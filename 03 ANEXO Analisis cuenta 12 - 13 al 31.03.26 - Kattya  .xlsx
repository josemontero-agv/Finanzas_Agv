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inanzas y Contabilidad\Créditos y Cobranzas\CIERRE CONTABILIDAD\ANÁLISIS\CUENTA 12\2026\03 - MARZO\"/>
    </mc:Choice>
  </mc:AlternateContent>
  <xr:revisionPtr revIDLastSave="0" documentId="13_ncr:1_{83F952E3-7ACD-4738-ACF8-5B1E3A67B84E}" xr6:coauthVersionLast="47" xr6:coauthVersionMax="47" xr10:uidLastSave="{00000000-0000-0000-0000-000000000000}"/>
  <bookViews>
    <workbookView xWindow="-120" yWindow="-120" windowWidth="20730" windowHeight="11160" tabRatio="932" xr2:uid="{00000000-000D-0000-FFFF-FFFF00000000}"/>
  </bookViews>
  <sheets>
    <sheet name="Balance de comprobación" sheetId="1" r:id="rId1"/>
    <sheet name="12121xx1" sheetId="2" r:id="rId2"/>
    <sheet name="1212xx2" sheetId="3" r:id="rId3"/>
    <sheet name="1212xx3" sheetId="4" r:id="rId4"/>
    <sheet name="122xx1" sheetId="5" r:id="rId5"/>
    <sheet name="122xx2" sheetId="6" r:id="rId6"/>
    <sheet name="122xx3" sheetId="7" r:id="rId7"/>
    <sheet name="122xx4" sheetId="8" r:id="rId8"/>
    <sheet name="122xx5" sheetId="9" r:id="rId9"/>
    <sheet name="1232xx1" sheetId="12" r:id="rId10"/>
    <sheet name="1233xx1" sheetId="10" r:id="rId11"/>
    <sheet name="1234xx1" sheetId="13" r:id="rId12"/>
    <sheet name="1234xx4" sheetId="14" r:id="rId13"/>
    <sheet name="1312xx1" sheetId="11" r:id="rId14"/>
    <sheet name="1312xx2" sheetId="15" r:id="rId15"/>
    <sheet name="1312xx3" sheetId="16" r:id="rId16"/>
    <sheet name="1321xx1" sheetId="18" r:id="rId17"/>
    <sheet name="1331xx1" sheetId="19" r:id="rId18"/>
    <sheet name="1332xx1" sheetId="20" r:id="rId19"/>
    <sheet name="133xx4" sheetId="21" r:id="rId20"/>
  </sheets>
  <definedNames>
    <definedName name="_xlnm._FilterDatabase" localSheetId="2" hidden="1">'1212xx2'!$A$1:$O$96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J27" i="1"/>
  <c r="J26" i="1"/>
  <c r="I28" i="1"/>
  <c r="I27" i="1"/>
  <c r="I26" i="1"/>
  <c r="M91" i="21"/>
  <c r="M14" i="20"/>
  <c r="M11" i="19"/>
  <c r="J24" i="1" l="1"/>
  <c r="I24" i="1"/>
  <c r="M5" i="18"/>
  <c r="J23" i="1"/>
  <c r="I23" i="1"/>
  <c r="J59" i="16"/>
  <c r="M57" i="16"/>
  <c r="J57" i="16"/>
  <c r="J22" i="1"/>
  <c r="I22" i="1"/>
  <c r="M8" i="15"/>
  <c r="J8" i="15"/>
  <c r="J19" i="1"/>
  <c r="I19" i="1"/>
  <c r="M41" i="14"/>
  <c r="J18" i="1"/>
  <c r="I18" i="1"/>
  <c r="M586" i="13"/>
  <c r="J15" i="1"/>
  <c r="I15" i="1"/>
  <c r="M136" i="12"/>
  <c r="M144" i="11"/>
  <c r="J144" i="11"/>
  <c r="L144" i="11" s="1"/>
  <c r="M142" i="11"/>
  <c r="I21" i="1" s="1"/>
  <c r="J21" i="1" s="1"/>
  <c r="J17" i="1"/>
  <c r="I17" i="1"/>
  <c r="M98" i="10"/>
  <c r="J12" i="1"/>
  <c r="I12" i="1"/>
  <c r="M879" i="9"/>
  <c r="J11" i="1"/>
  <c r="I11" i="1"/>
  <c r="M177" i="8"/>
  <c r="J10" i="1"/>
  <c r="I10" i="1"/>
  <c r="M130" i="7"/>
  <c r="J9" i="1"/>
  <c r="I9" i="1"/>
  <c r="M5" i="6"/>
  <c r="J8" i="1"/>
  <c r="I8" i="1"/>
  <c r="M99" i="5"/>
  <c r="J7" i="1"/>
  <c r="J6" i="1"/>
  <c r="I7" i="1"/>
  <c r="M82" i="4"/>
  <c r="J82" i="4"/>
  <c r="J84" i="4" s="1"/>
  <c r="L84" i="4" s="1"/>
  <c r="I6" i="1"/>
  <c r="L99" i="3"/>
  <c r="M98" i="3"/>
  <c r="J98" i="3"/>
  <c r="J100" i="3" s="1"/>
  <c r="J5" i="1"/>
  <c r="I5" i="1"/>
  <c r="M2772" i="2"/>
</calcChain>
</file>

<file path=xl/sharedStrings.xml><?xml version="1.0" encoding="utf-8"?>
<sst xmlns="http://schemas.openxmlformats.org/spreadsheetml/2006/main" count="41864" uniqueCount="12266">
  <si>
    <t>Saldo inicial</t>
  </si>
  <si>
    <t>De 01/01/2025
a 31/03/2026</t>
  </si>
  <si>
    <t>Saldo final</t>
  </si>
  <si>
    <t>Debe</t>
  </si>
  <si>
    <t>Haber</t>
  </si>
  <si>
    <t>1211003 FACTURAS POR COBRAR DEL EXTERIOR</t>
  </si>
  <si>
    <t>1212001 FACTURAS POR COBRAR NACIONALES M.N.</t>
  </si>
  <si>
    <t>1212002 FACTURAS POR COBRAR NACIONALES M.E.</t>
  </si>
  <si>
    <t>1212003 FACTURAS POR COBRAR DEL EXTERIOR</t>
  </si>
  <si>
    <t>1220001 ANTICIPOS CLIENTES NACIONAL M.N.</t>
  </si>
  <si>
    <t>1220002 ANTICIPOS CLIENTES NACIONAL M.E.</t>
  </si>
  <si>
    <t>1220003 ANTICIPOS CLIENTES DEL EXTERIOR</t>
  </si>
  <si>
    <t>1220004 ANTICIPOS VENTA DE DEPARTAMENTO PROY SB</t>
  </si>
  <si>
    <t>1220005 ANTICIPOS VENTA - MARKETPLACE</t>
  </si>
  <si>
    <t>1220006 ANTICIPOS VENTAS MN - SALDOS INICIALES</t>
  </si>
  <si>
    <t>1220007 ANTICIPOS VENTAS ME - SALDOS INICIALES</t>
  </si>
  <si>
    <t>1232001 LETRAS EN CARTERA NACIONAL M.N.</t>
  </si>
  <si>
    <t>1232002 LETRAS EN CARTERA NACIONAL M.E.</t>
  </si>
  <si>
    <t>1233001 LETRAS EN COBRANZA NACIONAL M.N.</t>
  </si>
  <si>
    <t>1234001 LETRAS EN DESCUENTO NACIONAL M.N.</t>
  </si>
  <si>
    <t>1234004 LETRAS PROTESTADAS NACIONAL M.N.</t>
  </si>
  <si>
    <t>1239001 LETRAS - SALDOS INICIALES</t>
  </si>
  <si>
    <t>1312001 FACTURAS POR COBRAR NACIONALES M.N. - EMITIDAS</t>
  </si>
  <si>
    <t>1312002 FACTURAS POR COBRAR NACIONALES M.E. - EMITIDAS</t>
  </si>
  <si>
    <t>1312003 FACTURAS POR COBRAR DEL EXTERIOR - EMITIDAS</t>
  </si>
  <si>
    <t>1321001 ANTICIPOS CLIENTES NACIONAL M.N.</t>
  </si>
  <si>
    <t>1321003 ANTICIPOS  CLIENTES  DEL EXTERIOR</t>
  </si>
  <si>
    <t xml:space="preserve">1331001 LETRAS EN CARTERA NACIONAL M.N. </t>
  </si>
  <si>
    <t xml:space="preserve">1332001 LETRAS EN COBRANZA NACIONAL M.N. </t>
  </si>
  <si>
    <t xml:space="preserve">1333004 LETRAS PROTESTADAS NACIONAL M.N. </t>
  </si>
  <si>
    <t>1911001 FACTURAS, BOLETAS Y OTROS COMPROBANTES POR COBRAR M.N.</t>
  </si>
  <si>
    <t>1913001 LETRAS POR COBRAR M.N.</t>
  </si>
  <si>
    <t>4511002 RESPONSABILIDAD LETRAS DESCONTADAS MN</t>
  </si>
  <si>
    <t>Asiento contable</t>
  </si>
  <si>
    <t>Número</t>
  </si>
  <si>
    <t>Fecha</t>
  </si>
  <si>
    <t>Fecha de vencimiento</t>
  </si>
  <si>
    <t>Cuenta</t>
  </si>
  <si>
    <t>Socio</t>
  </si>
  <si>
    <t>Etiqueta</t>
  </si>
  <si>
    <t>Referencia</t>
  </si>
  <si>
    <t>Moneda</t>
  </si>
  <si>
    <t>Importe en moneda</t>
  </si>
  <si>
    <t>Saldo</t>
  </si>
  <si>
    <t>Conciliación</t>
  </si>
  <si>
    <t>Creado por</t>
  </si>
  <si>
    <t>1212001 FACTURAS POR COBRAR NACIONALES M.N. (29740)</t>
  </si>
  <si>
    <t>F F01-00005209</t>
  </si>
  <si>
    <t>VETERINARIAS INTEGRADAS S.A.C.</t>
  </si>
  <si>
    <t>PEN</t>
  </si>
  <si>
    <t>PALIZA CAMAVILCA, JHOSSELYN JARUMY</t>
  </si>
  <si>
    <t>F F01-00005208</t>
  </si>
  <si>
    <t>F F01-00005207</t>
  </si>
  <si>
    <t>SOLUCIONES Y DESARROLLO VETERINARIO SOCIEDAD ANONIMA CERRADA</t>
  </si>
  <si>
    <t>A156993</t>
  </si>
  <si>
    <t>F F01-00005206</t>
  </si>
  <si>
    <t>MASCOTAS PERUANAS S.A.C.</t>
  </si>
  <si>
    <t>A150553</t>
  </si>
  <si>
    <t>F F01-00005203</t>
  </si>
  <si>
    <t>TIENDAS SUPERPET SOCIEDAD ANONIMA CERRADA - TIENDAS SUPERPET S.A.C.</t>
  </si>
  <si>
    <t>F F01-00005198</t>
  </si>
  <si>
    <t>M &amp; C VET S.A.C.</t>
  </si>
  <si>
    <t>A149116</t>
  </si>
  <si>
    <t>F F01-00005193</t>
  </si>
  <si>
    <t>REPRESENTACIONES DURAND S.A.C.</t>
  </si>
  <si>
    <t>A145572</t>
  </si>
  <si>
    <t>F F01-00005187</t>
  </si>
  <si>
    <t>TAI LOY S.A.</t>
  </si>
  <si>
    <t>F F01-00005179</t>
  </si>
  <si>
    <t>F F01-00005175</t>
  </si>
  <si>
    <t>GARCIA FIESTAS JOSE AURELIO-10105455629</t>
  </si>
  <si>
    <t>A148148</t>
  </si>
  <si>
    <t>F F01-00005174</t>
  </si>
  <si>
    <t>F D01-00000263</t>
  </si>
  <si>
    <t>LESCANO VALENCIA AMANDA ANGELICA</t>
  </si>
  <si>
    <t>MATTO ASTETE, AUGUSTO WALTER</t>
  </si>
  <si>
    <t>CAMBI/2026/03/1731 (AJUSTE POR DIFERENCIA DE CAMBIO MAR-2026)</t>
  </si>
  <si>
    <t>CAMBI/2026/03/1731</t>
  </si>
  <si>
    <t>AJUSTE DF TC MAR-2026</t>
  </si>
  <si>
    <t>AJUSTE POR DIFERENCIA DE CAMBIO MAR-2026</t>
  </si>
  <si>
    <t>USD</t>
  </si>
  <si>
    <t>A159652</t>
  </si>
  <si>
    <t>BACKOFIS</t>
  </si>
  <si>
    <t>B B01-00007574</t>
  </si>
  <si>
    <t>PEDEMONTE CORDOVA, HILDE ALBERTH</t>
  </si>
  <si>
    <t>A158708</t>
  </si>
  <si>
    <t>B B01-00007573</t>
  </si>
  <si>
    <t>ALMEYDA CANDIOTI, KEVIN ALEXANDER</t>
  </si>
  <si>
    <t>A158709</t>
  </si>
  <si>
    <t>B B01-00007572</t>
  </si>
  <si>
    <t>GUZMAN DOMINGUEZ, PEDRO ARTURO</t>
  </si>
  <si>
    <t>A158710</t>
  </si>
  <si>
    <t>B B01-00007569</t>
  </si>
  <si>
    <t>RAMIREZ CORDOVA, NELLY JUANITA</t>
  </si>
  <si>
    <t>B B01-00007568</t>
  </si>
  <si>
    <t>PILCO GOMEZ, LARISA VICTORIA</t>
  </si>
  <si>
    <t>A158711</t>
  </si>
  <si>
    <t>B B01-00007566</t>
  </si>
  <si>
    <t>CUADROS LUTTERBACH, DIETLIND KAREN</t>
  </si>
  <si>
    <t>A158712</t>
  </si>
  <si>
    <t>F F01-00005170</t>
  </si>
  <si>
    <t>TOP VETERINARIA S.A.C.</t>
  </si>
  <si>
    <t>A148597</t>
  </si>
  <si>
    <t>F F01-00005168</t>
  </si>
  <si>
    <t>AGROPEC SOCIEDAD COMERCIAL DE RESPONSABILIDAD LIMITADA</t>
  </si>
  <si>
    <t>A144559</t>
  </si>
  <si>
    <t>F F01-00005167</t>
  </si>
  <si>
    <t>F F01-00005162</t>
  </si>
  <si>
    <t>DISTRIBUCIONES AGROVENS E.I.R.L.</t>
  </si>
  <si>
    <t>A144205</t>
  </si>
  <si>
    <t>F F01-00005157</t>
  </si>
  <si>
    <t>GROUP VET S.A.C.</t>
  </si>
  <si>
    <t>A153156</t>
  </si>
  <si>
    <t>F F01-00005151</t>
  </si>
  <si>
    <t>F F01-00005148</t>
  </si>
  <si>
    <t>LSPSICOTERAPIA E.I.R.L.</t>
  </si>
  <si>
    <t>A158696</t>
  </si>
  <si>
    <t>F F01-00005144</t>
  </si>
  <si>
    <t>F D01-00000262</t>
  </si>
  <si>
    <t>H &amp; P DISTRIBUCIONES Y REPRESENTACIONES SOCIEDAD ANONIMA CERRADA</t>
  </si>
  <si>
    <t>A158008</t>
  </si>
  <si>
    <t>B B01-00007557</t>
  </si>
  <si>
    <t>ESPINOZA MELENDEZ, FRIDA SOFIA</t>
  </si>
  <si>
    <t>A158697</t>
  </si>
  <si>
    <t>B B01-00007536</t>
  </si>
  <si>
    <t>BRACAMONTE FERNANDEZ, LUIS FERNANDO</t>
  </si>
  <si>
    <t>A159010</t>
  </si>
  <si>
    <t>B B01-00007528</t>
  </si>
  <si>
    <t>CACERES AGUIRRE, ESTEFANNY TANIA</t>
  </si>
  <si>
    <t>A158698</t>
  </si>
  <si>
    <t>B B01-00007527</t>
  </si>
  <si>
    <t>SANCHEZ HINOJOSA, MAYRA ALEJANDRA</t>
  </si>
  <si>
    <t>A158699</t>
  </si>
  <si>
    <t>B B01-00007526</t>
  </si>
  <si>
    <t>BUSTAMANTE SOLANO, JAVIER ALVARO</t>
  </si>
  <si>
    <t>A158700</t>
  </si>
  <si>
    <t>B B01-00007524</t>
  </si>
  <si>
    <t>CERPA SOLORZANO, CARLOS</t>
  </si>
  <si>
    <t>A158701</t>
  </si>
  <si>
    <t>B B01-00007522</t>
  </si>
  <si>
    <t>SIFUENTES RODRIGUEZ, GUILLERMO DAVID</t>
  </si>
  <si>
    <t>A158702</t>
  </si>
  <si>
    <t>B B01-00007521</t>
  </si>
  <si>
    <t>JERI LUCAS, LUIS EDUARDO</t>
  </si>
  <si>
    <t>A158703</t>
  </si>
  <si>
    <t>B B01-00007520</t>
  </si>
  <si>
    <t>OLANO CORTEZ, LISSETTE NANCY</t>
  </si>
  <si>
    <t>A158704</t>
  </si>
  <si>
    <t>B B01-00007519</t>
  </si>
  <si>
    <t>MENDOZA MARQUEZ, JONATHAN JEFF</t>
  </si>
  <si>
    <t>A158705</t>
  </si>
  <si>
    <t>B B01-00007518</t>
  </si>
  <si>
    <t>IBAÑEZ CARRASCO, GRETHEL MARIA FERNANDA</t>
  </si>
  <si>
    <t>B B01-00007517</t>
  </si>
  <si>
    <t>ORDINOLA OSORIO, JUAN CARLOS</t>
  </si>
  <si>
    <t>A158706</t>
  </si>
  <si>
    <t>B B01-00007516</t>
  </si>
  <si>
    <t>KALAFATOVICH CASTAÑEDA, NORMAN</t>
  </si>
  <si>
    <t>A158707</t>
  </si>
  <si>
    <t>B B01-00007515</t>
  </si>
  <si>
    <t>CISNEROS LUJAN, NOELIA MILAGROS</t>
  </si>
  <si>
    <t>A159026</t>
  </si>
  <si>
    <t>B B01-00007514</t>
  </si>
  <si>
    <t>YUIJAN OROPEZ, LUIS ANTONIO</t>
  </si>
  <si>
    <t>A159029</t>
  </si>
  <si>
    <t>B B01-00007513</t>
  </si>
  <si>
    <t>GRANDA DE LA CRUZ, EVELYN PATRICIA</t>
  </si>
  <si>
    <t>A159033</t>
  </si>
  <si>
    <t>B B01-00007512</t>
  </si>
  <si>
    <t>TOCTO VALLEJOS, FRANS ADOLFO</t>
  </si>
  <si>
    <t>B B01-00007511</t>
  </si>
  <si>
    <t>ROSELL VARGAS, ANGELICA MARIA</t>
  </si>
  <si>
    <t>A159035</t>
  </si>
  <si>
    <t>B B01-00007510</t>
  </si>
  <si>
    <t>AGUINAGA CORTEZ, CAROLA IZAMAR</t>
  </si>
  <si>
    <t>A159038</t>
  </si>
  <si>
    <t>B B01-00007509</t>
  </si>
  <si>
    <t>RAMIREZ CARLOS, LUIS ARTURO</t>
  </si>
  <si>
    <t>A159041</t>
  </si>
  <si>
    <t>B B01-00007508</t>
  </si>
  <si>
    <t>CALDERON NAVARRO, MARIA DE LOS ANGELES</t>
  </si>
  <si>
    <t>A159044</t>
  </si>
  <si>
    <t>B B01-00007507</t>
  </si>
  <si>
    <t>ISIDRO GASPAR, DAYAN THANERR</t>
  </si>
  <si>
    <t>A159047</t>
  </si>
  <si>
    <t>B B01-00007506</t>
  </si>
  <si>
    <t>CAMPOS ROJAS, MILAGROS NATY</t>
  </si>
  <si>
    <t>A159049</t>
  </si>
  <si>
    <t>B B01-00007505</t>
  </si>
  <si>
    <t>A159052</t>
  </si>
  <si>
    <t>B B01-00007504</t>
  </si>
  <si>
    <t>CASTRO DIAZ, ERICK CRISTHIAN</t>
  </si>
  <si>
    <t>A159054</t>
  </si>
  <si>
    <t>F F01-00005131</t>
  </si>
  <si>
    <t>ADERVET S.A.C</t>
  </si>
  <si>
    <t>A153417</t>
  </si>
  <si>
    <t>B B01-00007486</t>
  </si>
  <si>
    <t>ASCENZO BATTISTINI, VANESSA MARGARITA</t>
  </si>
  <si>
    <t>A159007</t>
  </si>
  <si>
    <t>B B01-00007485</t>
  </si>
  <si>
    <t>SOLANO VASQUEZ, MARIA DEL PILAR</t>
  </si>
  <si>
    <t>A158579</t>
  </si>
  <si>
    <t>B B01-00007483</t>
  </si>
  <si>
    <t>HIGA HENNA, MITSUO ANDRES</t>
  </si>
  <si>
    <t>A158588</t>
  </si>
  <si>
    <t>B B01-00007481</t>
  </si>
  <si>
    <t>CHAPILLIQUEN HUAMAN, VANESSA ELIZABETH</t>
  </si>
  <si>
    <t>F F01-00005122</t>
  </si>
  <si>
    <t>A144560</t>
  </si>
  <si>
    <t>F F01-00005121</t>
  </si>
  <si>
    <t>ROFRAN  E.I.R.L.</t>
  </si>
  <si>
    <t>A147015</t>
  </si>
  <si>
    <t>F F01-00005117</t>
  </si>
  <si>
    <t>AGROPECUARIA LA PROVIDENCIA SAC</t>
  </si>
  <si>
    <t>A147395</t>
  </si>
  <si>
    <t>F F01-00005112</t>
  </si>
  <si>
    <t>GRANJAS AMAZONICAS S.A.C</t>
  </si>
  <si>
    <t>A145505</t>
  </si>
  <si>
    <t>F F01-00005111</t>
  </si>
  <si>
    <t>BALAREZO DEL VALLE RAY ERICK</t>
  </si>
  <si>
    <t>A158570</t>
  </si>
  <si>
    <t>F F01-00005108</t>
  </si>
  <si>
    <t>A145504</t>
  </si>
  <si>
    <t>F F01-00005101</t>
  </si>
  <si>
    <t>GRUPO VETERINARIO ADF S.A.C.</t>
  </si>
  <si>
    <t>A147016</t>
  </si>
  <si>
    <t>F F01-00005099</t>
  </si>
  <si>
    <t>F F01-00005098</t>
  </si>
  <si>
    <t>FIR LOGISTICS S.A.C.</t>
  </si>
  <si>
    <t>A156077</t>
  </si>
  <si>
    <t>BBVA1/2025/05434</t>
  </si>
  <si>
    <t>HUAMANI CARRASCO, ESTEFANI MILAGROS</t>
  </si>
  <si>
    <t>B B01-00007716</t>
  </si>
  <si>
    <t>A144294</t>
  </si>
  <si>
    <t>BARCENA BRAGA, KATTYA ADELAIDA</t>
  </si>
  <si>
    <t>B B01-00007465</t>
  </si>
  <si>
    <t>VELIZ SERQUEN, MARIBEL MARGOT</t>
  </si>
  <si>
    <t>A158995</t>
  </si>
  <si>
    <t>B B01-00007464</t>
  </si>
  <si>
    <t>ANTAURCO JARA, MARCOS WALDIR</t>
  </si>
  <si>
    <t>A158572</t>
  </si>
  <si>
    <t>B B01-00007463</t>
  </si>
  <si>
    <t>HAMADA JACINTO, CAROLYN HIROMI</t>
  </si>
  <si>
    <t>A158997</t>
  </si>
  <si>
    <t>B B01-00007462</t>
  </si>
  <si>
    <t>HUAMANCHUMO TORRES, JOSE RICARDO</t>
  </si>
  <si>
    <t>A158999</t>
  </si>
  <si>
    <t>B B01-00007458</t>
  </si>
  <si>
    <t>ZUBIA GONZALES, JOSE DIEGO</t>
  </si>
  <si>
    <t>A158573</t>
  </si>
  <si>
    <t>B B01-00007456</t>
  </si>
  <si>
    <t>NAVARRETE RIVERA, LUIS RODRIGO</t>
  </si>
  <si>
    <t>A158575</t>
  </si>
  <si>
    <t>B B01-00007455</t>
  </si>
  <si>
    <t>CHIAN LEE, SOFIA VICTORIA MELISSA</t>
  </si>
  <si>
    <t>B B01-00007454</t>
  </si>
  <si>
    <t>ROSILLO MENDOZA, ORNELLA JULLIANA</t>
  </si>
  <si>
    <t>A159001</t>
  </si>
  <si>
    <t>B B01-00007453</t>
  </si>
  <si>
    <t>PILLACA TANTA, GINA FIORELA</t>
  </si>
  <si>
    <t>A159002</t>
  </si>
  <si>
    <t>B B01-00007452</t>
  </si>
  <si>
    <t>CARRASCO CRIADO, SERGIO FERNANDO</t>
  </si>
  <si>
    <t>A159004</t>
  </si>
  <si>
    <t>F F01-00005096</t>
  </si>
  <si>
    <t>ACVET PERU E.I.R.L.</t>
  </si>
  <si>
    <t>F F01-00005094</t>
  </si>
  <si>
    <t>FIDO`S VET SRL</t>
  </si>
  <si>
    <t>A149131</t>
  </si>
  <si>
    <t>F F01-00005088</t>
  </si>
  <si>
    <t>A147026</t>
  </si>
  <si>
    <t>F F01-00005087</t>
  </si>
  <si>
    <t>VITAL PETS SOCIEDAD ANONIMA CERRADA - VITAL PETS S.A.C.</t>
  </si>
  <si>
    <t>A146614</t>
  </si>
  <si>
    <t>F F01-00005086</t>
  </si>
  <si>
    <t>DISTRIBUCIONES AGROVET GRANDEZ TARAPOTO S.R.L.</t>
  </si>
  <si>
    <t>A140116</t>
  </si>
  <si>
    <t>F F01-00005085</t>
  </si>
  <si>
    <t>A147014</t>
  </si>
  <si>
    <t>F F01-00005080</t>
  </si>
  <si>
    <t>PET´S PLACE VETERINARIAS S.A.C</t>
  </si>
  <si>
    <t>A149272</t>
  </si>
  <si>
    <t>F F01-00005078</t>
  </si>
  <si>
    <t>SERVICIOS VETERINARIOS ESPECIALIZADOS S.A.C.</t>
  </si>
  <si>
    <t>A151146</t>
  </si>
  <si>
    <t>F F01-00005076</t>
  </si>
  <si>
    <t>MAPEVAS SOCIEDAD ANONIMA CERRADA - MAPEVAS S.A.C.</t>
  </si>
  <si>
    <t>A149119</t>
  </si>
  <si>
    <t>F F01-00005071</t>
  </si>
  <si>
    <t>DERMIVET S.A.C.</t>
  </si>
  <si>
    <t>A147868</t>
  </si>
  <si>
    <t>F F01-00005070</t>
  </si>
  <si>
    <t>BIDASSOA S.A.C.</t>
  </si>
  <si>
    <t>A158988</t>
  </si>
  <si>
    <t>E B01-00000351</t>
  </si>
  <si>
    <t>VARIOS</t>
  </si>
  <si>
    <t>A150763</t>
  </si>
  <si>
    <t>B B01-00007443</t>
  </si>
  <si>
    <t>REYES BARRIENTOS, ARIANA FRANCESCA</t>
  </si>
  <si>
    <t>A158990</t>
  </si>
  <si>
    <t>B B01-00007439</t>
  </si>
  <si>
    <t>VALENZUELA GARCIA, ANTHONNY RHODAZ</t>
  </si>
  <si>
    <t>A158992</t>
  </si>
  <si>
    <t>B B01-00007434 (151034115739)</t>
  </si>
  <si>
    <t>B B01-00007434</t>
  </si>
  <si>
    <t>ROQUEZ MATOS, ANDREA GABRIELA</t>
  </si>
  <si>
    <t>151034115739</t>
  </si>
  <si>
    <t>A158566</t>
  </si>
  <si>
    <t>B B01-00007433 (2000012199222051-656693277)</t>
  </si>
  <si>
    <t>B B01-00007433</t>
  </si>
  <si>
    <t>LA ROSA MASSA, GONZALO</t>
  </si>
  <si>
    <t>2000012199222051-656693277</t>
  </si>
  <si>
    <t>A158568</t>
  </si>
  <si>
    <t>B B01-00007432</t>
  </si>
  <si>
    <t>ALVARADO BATTISTOLO, CARLOS ABEL</t>
  </si>
  <si>
    <t>A158994</t>
  </si>
  <si>
    <t>B B01-00007431</t>
  </si>
  <si>
    <t>YATACO YATACO, JUSTIN JUNIOR</t>
  </si>
  <si>
    <t>A158327</t>
  </si>
  <si>
    <t>B B01-00007430 (2000012196576955-656693277)</t>
  </si>
  <si>
    <t>B B01-00007430</t>
  </si>
  <si>
    <t>LAZARTE GOMEZ, SANDRA MONICA</t>
  </si>
  <si>
    <t>2000012196576955-656693277</t>
  </si>
  <si>
    <t>A158569</t>
  </si>
  <si>
    <t>F F01-00005066</t>
  </si>
  <si>
    <t>CAVERO &amp; COCHELLA INVERSIONES S.A.C.</t>
  </si>
  <si>
    <t>A150590</t>
  </si>
  <si>
    <t>F F01-00005062</t>
  </si>
  <si>
    <t>A149118</t>
  </si>
  <si>
    <t>F F01-00005061</t>
  </si>
  <si>
    <t>MEDICOSAS E.I.R.L.</t>
  </si>
  <si>
    <t>A150005</t>
  </si>
  <si>
    <t>F F01-00005059</t>
  </si>
  <si>
    <t>CEV BUSTAMANTE E.I.R.L.</t>
  </si>
  <si>
    <t>A149356</t>
  </si>
  <si>
    <t>F F01-00005048</t>
  </si>
  <si>
    <t>TECNICA AVICOLA S.A.</t>
  </si>
  <si>
    <t>A144268</t>
  </si>
  <si>
    <t>F F01-00005047</t>
  </si>
  <si>
    <t>VETERINARIAS TORRES AREVALO E.I.R.L.</t>
  </si>
  <si>
    <t>A151740</t>
  </si>
  <si>
    <t>F F01-00005044</t>
  </si>
  <si>
    <t>A147760</t>
  </si>
  <si>
    <t>F F01-00005027</t>
  </si>
  <si>
    <t>A147897</t>
  </si>
  <si>
    <t>B B01-00007420 (151015437195)</t>
  </si>
  <si>
    <t>B B01-00007420</t>
  </si>
  <si>
    <t>MATEO CHEPE, JESSICA FLOR</t>
  </si>
  <si>
    <t>151015437195</t>
  </si>
  <si>
    <t>A158555</t>
  </si>
  <si>
    <t>B B01-00007419</t>
  </si>
  <si>
    <t>AVILA HUAMOLLE, JONATHAN JOAN</t>
  </si>
  <si>
    <t>A158971</t>
  </si>
  <si>
    <t>B B01-00007416 (151694848100)</t>
  </si>
  <si>
    <t>B B01-00007416</t>
  </si>
  <si>
    <t>FERNANDEZ BARAHONA, GUILLERMO ENRIQUE</t>
  </si>
  <si>
    <t>151694848100</t>
  </si>
  <si>
    <t>A158556</t>
  </si>
  <si>
    <t>B B01-00007415 (150920351275)</t>
  </si>
  <si>
    <t>B B01-00007415</t>
  </si>
  <si>
    <t>ALJOVIN RODRIGO, JAVIER</t>
  </si>
  <si>
    <t>150920351275</t>
  </si>
  <si>
    <t>A158598</t>
  </si>
  <si>
    <t>B B01-00007414</t>
  </si>
  <si>
    <t>OLARTE ERAZO, SUSAN ALEXANDRA</t>
  </si>
  <si>
    <t>A158972</t>
  </si>
  <si>
    <t>B B01-00007413</t>
  </si>
  <si>
    <t>MORALES REYES, THAIS JAMILET</t>
  </si>
  <si>
    <t>A158973</t>
  </si>
  <si>
    <t>B B01-00007412</t>
  </si>
  <si>
    <t>YERREN CISNEROS, YESENNIA JAKELLINA</t>
  </si>
  <si>
    <t>A158982</t>
  </si>
  <si>
    <t>B B01-00007411</t>
  </si>
  <si>
    <t>VALVERDE SOSA, KARLA YULEISI</t>
  </si>
  <si>
    <t>B B01-00007410</t>
  </si>
  <si>
    <t>TINJUM MERRILL</t>
  </si>
  <si>
    <t>B B01-00007409</t>
  </si>
  <si>
    <t>MUÑOZ SANTILLANA, DAMBERT LOUIS</t>
  </si>
  <si>
    <t>A158559</t>
  </si>
  <si>
    <t>B B01-00007408</t>
  </si>
  <si>
    <t>TRUJILLANO ÑAHUI, LAURA</t>
  </si>
  <si>
    <t>A158984</t>
  </si>
  <si>
    <t>B B01-00007407 (150973951433)</t>
  </si>
  <si>
    <t>B B01-00007407</t>
  </si>
  <si>
    <t>BARRETO VARGAS, CAROLINA RITA</t>
  </si>
  <si>
    <t>150973951433</t>
  </si>
  <si>
    <t>A158560</t>
  </si>
  <si>
    <t>B B01-00007406</t>
  </si>
  <si>
    <t>RODRIGUEZ RAMOS, CRISTIAN SAUL</t>
  </si>
  <si>
    <t>A158561</t>
  </si>
  <si>
    <t>B B01-00007404</t>
  </si>
  <si>
    <t>SOLIS DIAZ, AZUCENA CIELO</t>
  </si>
  <si>
    <t>A158562</t>
  </si>
  <si>
    <t>B B01-00007403</t>
  </si>
  <si>
    <t>MANYA PAREDES, BRUNO RENAN</t>
  </si>
  <si>
    <t>A158986</t>
  </si>
  <si>
    <t>F F01-00005013</t>
  </si>
  <si>
    <t>B B01-00007401</t>
  </si>
  <si>
    <t>UCHASARA CASAVILCA, KATHERIN DENISSE</t>
  </si>
  <si>
    <t>A158547</t>
  </si>
  <si>
    <t>B B01-00007399</t>
  </si>
  <si>
    <t>ZAKKOUR MUSTAPHA</t>
  </si>
  <si>
    <t>A158548</t>
  </si>
  <si>
    <t>B B01-00007397</t>
  </si>
  <si>
    <t>MENDOZA ARREDONDO, JUAN JOSE</t>
  </si>
  <si>
    <t>A158549</t>
  </si>
  <si>
    <t>B B01-00007396</t>
  </si>
  <si>
    <t>MEJIA GRANDEZ, JUSTIN ALEJANDRO</t>
  </si>
  <si>
    <t>A158550</t>
  </si>
  <si>
    <t>B B01-00007395 (2000012164058413-656693277)</t>
  </si>
  <si>
    <t>B B01-00007395</t>
  </si>
  <si>
    <t>VIZCARRA ALVA, ROSARIO MARIA</t>
  </si>
  <si>
    <t>2000012164058413-656693277</t>
  </si>
  <si>
    <t>A158597</t>
  </si>
  <si>
    <t>B B01-00007393</t>
  </si>
  <si>
    <t>RUIZ GUTIERREZ, VALESKA JAZMIN</t>
  </si>
  <si>
    <t>A158965</t>
  </si>
  <si>
    <t>B B01-00007392 (150755169931)</t>
  </si>
  <si>
    <t>B B01-00007392</t>
  </si>
  <si>
    <t>NIÑO DE GUZMAN IBAÑEZ, RAHY JAFET</t>
  </si>
  <si>
    <t>150755169931</t>
  </si>
  <si>
    <t>A158552</t>
  </si>
  <si>
    <t>B B01-00007391</t>
  </si>
  <si>
    <t>AGUILAR TINTA, JONATHAN ERNESTO</t>
  </si>
  <si>
    <t>A158553</t>
  </si>
  <si>
    <t>B B01-00007390</t>
  </si>
  <si>
    <t>VELASQUEZ TORRES, JOSELYN JANELY</t>
  </si>
  <si>
    <t>B B01-00007389</t>
  </si>
  <si>
    <t>AYALA WINDER, ODED ANGELICA</t>
  </si>
  <si>
    <t>B B01-00007388</t>
  </si>
  <si>
    <t>MORALES FLORES, FRESIA GLENDY</t>
  </si>
  <si>
    <t>A158554</t>
  </si>
  <si>
    <t>B B01-00007387</t>
  </si>
  <si>
    <t>ACOSTA CASTILLO, RICARDO JUNIOR</t>
  </si>
  <si>
    <t>A158969</t>
  </si>
  <si>
    <t>B B01-00007381</t>
  </si>
  <si>
    <t>LA ROSA RINCON, ELIZABETH JOHANNA</t>
  </si>
  <si>
    <t>B B01-00007380</t>
  </si>
  <si>
    <t>ROQUE CUEVA, JORGE</t>
  </si>
  <si>
    <t>A158936</t>
  </si>
  <si>
    <t>B B01-00007379</t>
  </si>
  <si>
    <t>BERNALES VALDIVIA, MARIA DEL CARMEN</t>
  </si>
  <si>
    <t>A158946</t>
  </si>
  <si>
    <t>B B01-00007378</t>
  </si>
  <si>
    <t>GONZALES JIMENEZ, MARIA FERNANDA</t>
  </si>
  <si>
    <t>A158948</t>
  </si>
  <si>
    <t>B B01-00007373</t>
  </si>
  <si>
    <t>CONDOR GALLARDO, CINTHIA MARILYN</t>
  </si>
  <si>
    <t>A158950</t>
  </si>
  <si>
    <t>B B01-00007372</t>
  </si>
  <si>
    <t>MENDOZA ZAVALA, TOMY FRANK</t>
  </si>
  <si>
    <t>A158953</t>
  </si>
  <si>
    <t>B B01-00007369 (2000012123457467-656693277)</t>
  </si>
  <si>
    <t>B B01-00007369</t>
  </si>
  <si>
    <t>MARQUEZ MAZMELA, EMMA EDITH</t>
  </si>
  <si>
    <t>2000012123457467-656693277</t>
  </si>
  <si>
    <t>A158544</t>
  </si>
  <si>
    <t>B B01-00007368</t>
  </si>
  <si>
    <t>FERNANDEZ VASQUEZ, CLAUDIA SOFIA JUDITH</t>
  </si>
  <si>
    <t>A158956</t>
  </si>
  <si>
    <t>B B01-00007367</t>
  </si>
  <si>
    <t>ELORRIETA CANO, BRIAN</t>
  </si>
  <si>
    <t>A159012</t>
  </si>
  <si>
    <t>B B01-00007365</t>
  </si>
  <si>
    <t>HUARCAYA MENDOZA, HENRY ILDEFONSO</t>
  </si>
  <si>
    <t>B B01-00007364</t>
  </si>
  <si>
    <t>HUAMAN DAVILA, ANGELICA MARIA</t>
  </si>
  <si>
    <t>A158962</t>
  </si>
  <si>
    <t>B B01-00007363 (2000012116790817-656693277)</t>
  </si>
  <si>
    <t>B B01-00007363</t>
  </si>
  <si>
    <t>GARCIA CASTILLO, ERASMO</t>
  </si>
  <si>
    <t>2000012116790817-656693277</t>
  </si>
  <si>
    <t>A158545</t>
  </si>
  <si>
    <t>B B01-00007336 (150190974263)</t>
  </si>
  <si>
    <t>B B01-00007336</t>
  </si>
  <si>
    <t>VICENCIO MINAYA, EDU GUSTAVO</t>
  </si>
  <si>
    <t>150190974263</t>
  </si>
  <si>
    <t>A158546</t>
  </si>
  <si>
    <t>F F01-00004989</t>
  </si>
  <si>
    <t>BAMBY VET E.I.R.L.</t>
  </si>
  <si>
    <t>A145496</t>
  </si>
  <si>
    <t>F F01-00004983</t>
  </si>
  <si>
    <t>GRUPO ISAMISA S.A.C.</t>
  </si>
  <si>
    <t>A149115</t>
  </si>
  <si>
    <t>F F01-00004981</t>
  </si>
  <si>
    <t>PELUDITOS PETSHOP E.I.R.L.</t>
  </si>
  <si>
    <t>A147013</t>
  </si>
  <si>
    <t>B B01-00007334</t>
  </si>
  <si>
    <t>RODRIGUEZ PEREZ, KATHERINE CAROLINA</t>
  </si>
  <si>
    <t>A158892</t>
  </si>
  <si>
    <t>B B01-00007332</t>
  </si>
  <si>
    <t>PONTE RONCAL, CESAR ARTURO</t>
  </si>
  <si>
    <t>A158895</t>
  </si>
  <si>
    <t>B B01-00007331</t>
  </si>
  <si>
    <t>SANCHEZ GARCIA, YARIRE CARMELA</t>
  </si>
  <si>
    <t>A158928</t>
  </si>
  <si>
    <t>B B01-00007330 (150947183880)</t>
  </si>
  <si>
    <t>B B01-00007330</t>
  </si>
  <si>
    <t>SANTOS ARIAS, IVONNE GISELA</t>
  </si>
  <si>
    <t>150947183880</t>
  </si>
  <si>
    <t>A158530</t>
  </si>
  <si>
    <t>B B01-00007329</t>
  </si>
  <si>
    <t>A158540</t>
  </si>
  <si>
    <t>B B01-00007328 (150947929550)</t>
  </si>
  <si>
    <t>B B01-00007328</t>
  </si>
  <si>
    <t>ROCA ORTEGA, PAMELA LISSETT</t>
  </si>
  <si>
    <t>150947929550</t>
  </si>
  <si>
    <t>A158541</t>
  </si>
  <si>
    <t>B B01-00007325</t>
  </si>
  <si>
    <t>RODRIGUEZ VIGO, EDSON RICARDO</t>
  </si>
  <si>
    <t>A158932</t>
  </si>
  <si>
    <t>B B01-00007324</t>
  </si>
  <si>
    <t>REYNOSO ZEBALLOS, GIOVANA ELIZABETH</t>
  </si>
  <si>
    <t>A158542</t>
  </si>
  <si>
    <t>B B01-00007323</t>
  </si>
  <si>
    <t>HERRERA CARRION LEONIDAS RENE</t>
  </si>
  <si>
    <t>A158543</t>
  </si>
  <si>
    <t>F F01-00004975</t>
  </si>
  <si>
    <t>ARCA SERVICIOS GENERALES SRL</t>
  </si>
  <si>
    <t>A146718</t>
  </si>
  <si>
    <t>F F01-00004973</t>
  </si>
  <si>
    <t>LOLITA PET CENTER S.A.C. - LOLITA PET  S.A.C.</t>
  </si>
  <si>
    <t>A144255</t>
  </si>
  <si>
    <t>F C01-00000294</t>
  </si>
  <si>
    <t>GRUPO PHARMAX VETERINARIA S.A.C. - PHARMAX VET S.A.C.</t>
  </si>
  <si>
    <t>B B01-00007320</t>
  </si>
  <si>
    <t>PEREZ MATTA, EDISON ALEJANDRO</t>
  </si>
  <si>
    <t>A158870</t>
  </si>
  <si>
    <t>B B01-00007312</t>
  </si>
  <si>
    <t>BARRETO VALDERRAMA, LIZBETH ESTEFANY</t>
  </si>
  <si>
    <t>A158881</t>
  </si>
  <si>
    <t>B B01-00007311</t>
  </si>
  <si>
    <t>MORALES VASQUEZ, BERTHA ISOLINA</t>
  </si>
  <si>
    <t>A158884</t>
  </si>
  <si>
    <t>B B01-00007310</t>
  </si>
  <si>
    <t>PACHECO GARCIA, JORGE</t>
  </si>
  <si>
    <t>B B01-00007309</t>
  </si>
  <si>
    <t>TAFUR VERA, MIRYAM ROSA MARIA</t>
  </si>
  <si>
    <t>A158887</t>
  </si>
  <si>
    <t>B B01-00007308</t>
  </si>
  <si>
    <t>SALAZAR CACERES, LISETT PATRICIA</t>
  </si>
  <si>
    <t>A158890</t>
  </si>
  <si>
    <t>B B01-00007305</t>
  </si>
  <si>
    <t>NOYA BAO, URSULA PATRICIA</t>
  </si>
  <si>
    <t>F F01-00004966</t>
  </si>
  <si>
    <t>A144085</t>
  </si>
  <si>
    <t>F F01-00004963</t>
  </si>
  <si>
    <t>A149114</t>
  </si>
  <si>
    <t>F F01-00004962</t>
  </si>
  <si>
    <t>DOG CAT E.I.R.L.</t>
  </si>
  <si>
    <t>A147012</t>
  </si>
  <si>
    <t>F F01-00004961</t>
  </si>
  <si>
    <t>MARSEV S.A.C.</t>
  </si>
  <si>
    <t>A147018</t>
  </si>
  <si>
    <t>F F01-00004958</t>
  </si>
  <si>
    <t>REDONDOS S A</t>
  </si>
  <si>
    <t>A155235</t>
  </si>
  <si>
    <t>F F01-00004957</t>
  </si>
  <si>
    <t>WAYKIS PET S.A.C.</t>
  </si>
  <si>
    <t>A150601</t>
  </si>
  <si>
    <t>B B01-00007290</t>
  </si>
  <si>
    <t>MARQUEZ PANIAGUA, KEYLA KAREN</t>
  </si>
  <si>
    <t>A158857</t>
  </si>
  <si>
    <t>B B01-00007289 (150031304041)</t>
  </si>
  <si>
    <t>B B01-00007289</t>
  </si>
  <si>
    <t>OLIVA ESTANISH, VIANA ORNELLA</t>
  </si>
  <si>
    <t>150031304041</t>
  </si>
  <si>
    <t>A158526</t>
  </si>
  <si>
    <t>B B01-00007287</t>
  </si>
  <si>
    <t>LIMO VILCA, CARMEN MILAGROS</t>
  </si>
  <si>
    <t>A158858</t>
  </si>
  <si>
    <t>B B01-00007285</t>
  </si>
  <si>
    <t>CALDERON EGUILUZ, JOHANA JANETTE</t>
  </si>
  <si>
    <t>A158859</t>
  </si>
  <si>
    <t>B B01-00007284</t>
  </si>
  <si>
    <t>CAMERO CHAPILLIQUEN, CAMILA AYELEN</t>
  </si>
  <si>
    <t>A158860</t>
  </si>
  <si>
    <t>B B01-00007283</t>
  </si>
  <si>
    <t>CALLAN VILLANUEVA, ANGELA JOHANA</t>
  </si>
  <si>
    <t>A158861</t>
  </si>
  <si>
    <t>B B01-00007282</t>
  </si>
  <si>
    <t>ZEA CORNEJO, ERIKA</t>
  </si>
  <si>
    <t>A158865</t>
  </si>
  <si>
    <t>B B01-00007281</t>
  </si>
  <si>
    <t>SALAS MOSCOSO, NORMA ESTEFANIA</t>
  </si>
  <si>
    <t>A158867</t>
  </si>
  <si>
    <t>PTRP/2025/10258 (Redeem Bill of Exchange FLC-01923)</t>
  </si>
  <si>
    <t>PTRP/2025/10258</t>
  </si>
  <si>
    <t>UNIVERSO VETERINARIO SAC</t>
  </si>
  <si>
    <t>Pago de cliente S/ 11,987.76 - UNIVERSO VETERINARIO SAC - 16/03/2026</t>
  </si>
  <si>
    <t>Redeem Bill of Exchange FLC-01923</t>
  </si>
  <si>
    <t>PTRP/2025/10254 (Redeem Bill of Exchange FLC-01900)</t>
  </si>
  <si>
    <t>PTRP/2025/10254</t>
  </si>
  <si>
    <t>AGROCOMERCIO S.A.C.</t>
  </si>
  <si>
    <t>Pago de cliente S/ 16,612.26 - AGROCOMERCIO S.A.C. - 16/03/2026</t>
  </si>
  <si>
    <t>Redeem Bill of Exchange FLC-01900</t>
  </si>
  <si>
    <t>PTRP/2025/10251 (Redeem Bill of Exchange FLC-01920)</t>
  </si>
  <si>
    <t>PTRP/2025/10251</t>
  </si>
  <si>
    <t>IMPORTADORA MACHUPICCHU GENETICS SOCIEDAD COMERCIAL DE RESPONSABILIDAD LIMITADA - IMG S.R.L.</t>
  </si>
  <si>
    <t>Pago de cliente S/ 30,107.60 - IMPORTADORA MACHUPICCHU GENETICS SOCIEDAD COMERCIAL DE RESPONSABILIDAD LIMITADA - IMG S.R.L. - 16/03/2026</t>
  </si>
  <si>
    <t>Redeem Bill of Exchange FLC-01920</t>
  </si>
  <si>
    <t>F F01-00004954</t>
  </si>
  <si>
    <t>INVERSIONES PERUANAS PARA MASCOTAS S.A.C.</t>
  </si>
  <si>
    <t>A150554</t>
  </si>
  <si>
    <t>F C01-00000292</t>
  </si>
  <si>
    <t>PUBLIRUTS 78 S.A.C.</t>
  </si>
  <si>
    <t>F C01-00000291</t>
  </si>
  <si>
    <t>AGRIVET E INVERSIONES S.A.C.</t>
  </si>
  <si>
    <t>A149137</t>
  </si>
  <si>
    <t>B B01-00007279 (149887882639)</t>
  </si>
  <si>
    <t>B B01-00007279</t>
  </si>
  <si>
    <t>ROSAS LUNA, INGRID CAROLINA</t>
  </si>
  <si>
    <t>149887882639</t>
  </si>
  <si>
    <t>A158516</t>
  </si>
  <si>
    <t>B B01-00007275</t>
  </si>
  <si>
    <t>CASTRO PEREZ, CYNTIA CAROLINA</t>
  </si>
  <si>
    <t>A158853</t>
  </si>
  <si>
    <t>B B01-00007270</t>
  </si>
  <si>
    <t>HUALCA PALOMARES, CHERYL EILIM</t>
  </si>
  <si>
    <t>B B01-00007269</t>
  </si>
  <si>
    <t>DELGADO ZEGARRA, NIXA SUSANA</t>
  </si>
  <si>
    <t>A158517</t>
  </si>
  <si>
    <t>B B01-00007268</t>
  </si>
  <si>
    <t>SANCHEZ ARAGON, ROCIO VERONICA</t>
  </si>
  <si>
    <t>A158518</t>
  </si>
  <si>
    <t>B B01-00007267</t>
  </si>
  <si>
    <t>OYARCE OYARCE, SAMUEL</t>
  </si>
  <si>
    <t>B B01-00007266</t>
  </si>
  <si>
    <t>CALDERON GONZALES, FERNANDO MARTIN</t>
  </si>
  <si>
    <t>A158519</t>
  </si>
  <si>
    <t>B B01-00007265</t>
  </si>
  <si>
    <t>VALENCIA HERMOZA, CARMEN ADELAIDA</t>
  </si>
  <si>
    <t>B B01-00007264 (149860962913)</t>
  </si>
  <si>
    <t>B B01-00007264</t>
  </si>
  <si>
    <t>ALBA GONZALEZ, ANDREA FRANCES</t>
  </si>
  <si>
    <t>149860962913</t>
  </si>
  <si>
    <t>A158521</t>
  </si>
  <si>
    <t>B B01-00007263</t>
  </si>
  <si>
    <t>TIRADO TAPIA, BETTY ELIZABETH</t>
  </si>
  <si>
    <t>A158855</t>
  </si>
  <si>
    <t>B B01-00007262</t>
  </si>
  <si>
    <t>LEON GENIT, FRANCESCA ELVIRA ANA</t>
  </si>
  <si>
    <t>A158856</t>
  </si>
  <si>
    <t>B B01-00007261 (150354929568)</t>
  </si>
  <si>
    <t>B B01-00007261</t>
  </si>
  <si>
    <t>ORTIZ LEON, CYNTHIA PAOLA</t>
  </si>
  <si>
    <t>150354929568</t>
  </si>
  <si>
    <t>A158522</t>
  </si>
  <si>
    <t>B B01-00007260 (2000012020123739-656693277)</t>
  </si>
  <si>
    <t>B B01-00007260</t>
  </si>
  <si>
    <t>JIMENEZ FINETTI, FABRIZIO ISRAEL</t>
  </si>
  <si>
    <t>2000012020123739-656693277</t>
  </si>
  <si>
    <t>A158523</t>
  </si>
  <si>
    <t>B B01-00007259</t>
  </si>
  <si>
    <t>ROCHA GARCIA, JACKELYN</t>
  </si>
  <si>
    <t>A158524</t>
  </si>
  <si>
    <t>B B01-00007258 (149515417937)</t>
  </si>
  <si>
    <t>B B01-00007258</t>
  </si>
  <si>
    <t>BAZALAR CHAVARRIA, MARCIA MIRELLA</t>
  </si>
  <si>
    <t>149515417937</t>
  </si>
  <si>
    <t>A158525</t>
  </si>
  <si>
    <t>F F01-00004943</t>
  </si>
  <si>
    <t>EL HURON AZUL E.I.R.L</t>
  </si>
  <si>
    <t>A149109</t>
  </si>
  <si>
    <t>F F01-00004939</t>
  </si>
  <si>
    <t>A139875</t>
  </si>
  <si>
    <t>B B01-00006994</t>
  </si>
  <si>
    <t>MIRANDA VASQUEZ, KARINA ELENA</t>
  </si>
  <si>
    <t>A158837</t>
  </si>
  <si>
    <t>B B01-00006993</t>
  </si>
  <si>
    <t>URIARTE GUILLEN, ABIGAIL ALYSON</t>
  </si>
  <si>
    <t>A158839</t>
  </si>
  <si>
    <t>B B01-00006991 (149404668645)</t>
  </si>
  <si>
    <t>B B01-00006991</t>
  </si>
  <si>
    <t>LOZANO URQUIA, DIANA KAROLAY</t>
  </si>
  <si>
    <t>149404668645</t>
  </si>
  <si>
    <t>A158514</t>
  </si>
  <si>
    <t>B B01-00006990</t>
  </si>
  <si>
    <t>REGALADO COLUNCHE, LEIVER RAUL</t>
  </si>
  <si>
    <t>A158841</t>
  </si>
  <si>
    <t>B B01-00006989</t>
  </si>
  <si>
    <t>BOCANEGRA TORO, MARIA CARLA</t>
  </si>
  <si>
    <t>A158843</t>
  </si>
  <si>
    <t>B B01-00006988</t>
  </si>
  <si>
    <t>CAMPAÑA TORRES, MARY DANIELA</t>
  </si>
  <si>
    <t>A158847</t>
  </si>
  <si>
    <t>B B01-00006987</t>
  </si>
  <si>
    <t>BARRETO CRUZ, JESUS FRANCISCO</t>
  </si>
  <si>
    <t>A158850</t>
  </si>
  <si>
    <t>B B01-00006985 (150180298004)</t>
  </si>
  <si>
    <t>B B01-00006985</t>
  </si>
  <si>
    <t>NUÑEZ SALINAS, JOSE FELIPE</t>
  </si>
  <si>
    <t>150180298004</t>
  </si>
  <si>
    <t>A158515</t>
  </si>
  <si>
    <t>B B01-00006979</t>
  </si>
  <si>
    <t>ALARCON ESPILCO, LEONARDO ERNESTO</t>
  </si>
  <si>
    <t>A158851</t>
  </si>
  <si>
    <t>B B01-00006978</t>
  </si>
  <si>
    <t>BALDEON DIAZ, GUIVICSA JUSTA</t>
  </si>
  <si>
    <t>B B01-00006972</t>
  </si>
  <si>
    <t>A158852</t>
  </si>
  <si>
    <t>F F01-00004916</t>
  </si>
  <si>
    <t>A147019</t>
  </si>
  <si>
    <t>B B01-00006968</t>
  </si>
  <si>
    <t>FERNANDEZ BUSTAMANTE, ANDREA</t>
  </si>
  <si>
    <t>A158827</t>
  </si>
  <si>
    <t>B B01-00006967 (149235339289)</t>
  </si>
  <si>
    <t>B B01-00006967</t>
  </si>
  <si>
    <t>TIPISMANA ZAFRA, MARTHA REBECA</t>
  </si>
  <si>
    <t>149235339289</t>
  </si>
  <si>
    <t>A158502</t>
  </si>
  <si>
    <t>B B01-00006966 (149252960255)</t>
  </si>
  <si>
    <t>B B01-00006966</t>
  </si>
  <si>
    <t>CAMPOS CHAVEZ, SARITA GIANELLA</t>
  </si>
  <si>
    <t>149252960255</t>
  </si>
  <si>
    <t>A158504</t>
  </si>
  <si>
    <t>B B01-00006965 (2000011993421313-656693277)</t>
  </si>
  <si>
    <t>B B01-00006965</t>
  </si>
  <si>
    <t>PEREZ MANTARI, JAIRO FERNANDO</t>
  </si>
  <si>
    <t>2000011993421313-656693277</t>
  </si>
  <si>
    <t>A158505</t>
  </si>
  <si>
    <t>B B01-00006963 (149941912582)</t>
  </si>
  <si>
    <t>B B01-00006963</t>
  </si>
  <si>
    <t>BURGOS IDROGO, KELVIN JESUS</t>
  </si>
  <si>
    <t>149941912582</t>
  </si>
  <si>
    <t>A158507</t>
  </si>
  <si>
    <t>B B01-00006962 (149955328362)</t>
  </si>
  <si>
    <t>B B01-00006962</t>
  </si>
  <si>
    <t>SOTO CASTRO, MARIA VERONICA</t>
  </si>
  <si>
    <t>149955328362</t>
  </si>
  <si>
    <t>A158509</t>
  </si>
  <si>
    <t>B B01-00006961</t>
  </si>
  <si>
    <t>GODIÑO VILCHEZ, FRANCISCO ENRIQUE</t>
  </si>
  <si>
    <t>A158830</t>
  </si>
  <si>
    <t>B B01-00006957</t>
  </si>
  <si>
    <t>FLORES VASQUEZ, FERNANDO</t>
  </si>
  <si>
    <t>A158834</t>
  </si>
  <si>
    <t>B B01-00006956 (149934029442)</t>
  </si>
  <si>
    <t>B B01-00006956</t>
  </si>
  <si>
    <t>HINOSTROZA DIAZ, DORIS RAQUEL</t>
  </si>
  <si>
    <t>149934029442</t>
  </si>
  <si>
    <t>A158510</t>
  </si>
  <si>
    <t>B B01-00006955 (149924670172)</t>
  </si>
  <si>
    <t>B B01-00006955</t>
  </si>
  <si>
    <t>149924670172</t>
  </si>
  <si>
    <t>A158512</t>
  </si>
  <si>
    <t>B B01-00006954 (2000011983916431-656693277)</t>
  </si>
  <si>
    <t>B B01-00006954</t>
  </si>
  <si>
    <t>PINO, MAXIMO</t>
  </si>
  <si>
    <t>2000011983916431-656693277</t>
  </si>
  <si>
    <t>A158513</t>
  </si>
  <si>
    <t>PTRP/2025/10026 (Redeem Bill of Exchange FLC-01932)</t>
  </si>
  <si>
    <t>PTRP/2025/10026</t>
  </si>
  <si>
    <t>Pago de cliente S/ 69,855.87 - REPRESENTACIONES DURAND S.A.C. - 11/03/2026</t>
  </si>
  <si>
    <t>Redeem Bill of Exchange FLC-01932</t>
  </si>
  <si>
    <t>F F01-00004904</t>
  </si>
  <si>
    <t>A144267</t>
  </si>
  <si>
    <t>F F01-00004889</t>
  </si>
  <si>
    <t>A144705</t>
  </si>
  <si>
    <t>B B01-00006947 (20620266G53G)</t>
  </si>
  <si>
    <t>B B01-00006947</t>
  </si>
  <si>
    <t>MARCELO MONTOYA, CINDY DIANA</t>
  </si>
  <si>
    <t>20620266G53G</t>
  </si>
  <si>
    <t>A159188</t>
  </si>
  <si>
    <t>B B01-00006943 (20620266G53G)</t>
  </si>
  <si>
    <t>B B01-00006943</t>
  </si>
  <si>
    <t>VERA SANDOVAL, ROGER EMMANUEL</t>
  </si>
  <si>
    <t>A159189</t>
  </si>
  <si>
    <t>B B01-00006941 (20620266G53G)</t>
  </si>
  <si>
    <t>B B01-00006941</t>
  </si>
  <si>
    <t>BANDA COLCHAO, ANA BEATRIZ</t>
  </si>
  <si>
    <t>A159190</t>
  </si>
  <si>
    <t>B B01-00006937</t>
  </si>
  <si>
    <t>VALENCIA YARANGA, ROSA MERCEDES</t>
  </si>
  <si>
    <t>B B01-00006936 (20620266G53G)</t>
  </si>
  <si>
    <t>B B01-00006936</t>
  </si>
  <si>
    <t>CARRANZA UGARTE, MARIA DEL ROSARIO FRANCISCA</t>
  </si>
  <si>
    <t>A159191</t>
  </si>
  <si>
    <t>B B01-00006935 (20620266G53G)</t>
  </si>
  <si>
    <t>B B01-00006935</t>
  </si>
  <si>
    <t>SANCHEZ OLIVAS, JUAN JAVIER</t>
  </si>
  <si>
    <t>A159192</t>
  </si>
  <si>
    <t>B B01-00006934 (20620266G53G)</t>
  </si>
  <si>
    <t>B B01-00006934</t>
  </si>
  <si>
    <t>FARFAN ESPINOZA, LILIAN GIOVANNA</t>
  </si>
  <si>
    <t>A159193</t>
  </si>
  <si>
    <t>B B01-00006933</t>
  </si>
  <si>
    <t>ROJAS RAMOS, HADDE ESMERALDA</t>
  </si>
  <si>
    <t>A158824</t>
  </si>
  <si>
    <t>B B01-00006932 (149051906851)</t>
  </si>
  <si>
    <t>B B01-00006932</t>
  </si>
  <si>
    <t>LA ROSA BONIFACIO, JULIAN TONY</t>
  </si>
  <si>
    <t>149051906851</t>
  </si>
  <si>
    <t>A158501</t>
  </si>
  <si>
    <t>B B01-00006930</t>
  </si>
  <si>
    <t>CORNEJO CASTRO, SOLVEIG DANIELA</t>
  </si>
  <si>
    <t>A158825</t>
  </si>
  <si>
    <t>B B01-00006929</t>
  </si>
  <si>
    <t>MARROQUIN CARBAJAL, ALEJANDRA</t>
  </si>
  <si>
    <t>B B01-00006928</t>
  </si>
  <si>
    <t>B B01-00006927</t>
  </si>
  <si>
    <t>B B01-00006926</t>
  </si>
  <si>
    <t>B B01-00006925</t>
  </si>
  <si>
    <t>HARTH ALVARIÑO, SEBASTIAN</t>
  </si>
  <si>
    <t>B B01-00006924</t>
  </si>
  <si>
    <t>GARIBALDI ANTOLA, CHIARA</t>
  </si>
  <si>
    <t>B B01-00006923</t>
  </si>
  <si>
    <t>BULIC DEL CASTILLO, EVELYN</t>
  </si>
  <si>
    <t>B B01-00006922</t>
  </si>
  <si>
    <t>LOPEZ LOPEZ, GUSTAVO ADOLFO</t>
  </si>
  <si>
    <t>F F01-00004880</t>
  </si>
  <si>
    <t>A145845</t>
  </si>
  <si>
    <t>F C01-00000290</t>
  </si>
  <si>
    <t>ZOROZABAL &amp; ASOCIADOS S.A.C.</t>
  </si>
  <si>
    <t>B B01-00006916</t>
  </si>
  <si>
    <t>WROBEL KOENIG, ASTRID KATHERINE</t>
  </si>
  <si>
    <t>A158495</t>
  </si>
  <si>
    <t>B B01-00006915 (20620266G53G)</t>
  </si>
  <si>
    <t>B B01-00006915</t>
  </si>
  <si>
    <t>RAMOS PALACIOS, DRUNS STHY</t>
  </si>
  <si>
    <t>A159194</t>
  </si>
  <si>
    <t>B B01-00006914 (20620266G53G)</t>
  </si>
  <si>
    <t>B B01-00006914</t>
  </si>
  <si>
    <t>GONZALEZ ESTELA, LUIS ALBERTO</t>
  </si>
  <si>
    <t>A159195</t>
  </si>
  <si>
    <t>B B01-00006913 (20620266G53G)</t>
  </si>
  <si>
    <t>B B01-00006913</t>
  </si>
  <si>
    <t>QUINTOS INFANTAS, ANDREA STEFANIA</t>
  </si>
  <si>
    <t>A159196</t>
  </si>
  <si>
    <t>B B01-00006911</t>
  </si>
  <si>
    <t>DELGADO PRADO, JENNY ROXANA</t>
  </si>
  <si>
    <t>A158498</t>
  </si>
  <si>
    <t>PTRP/2025/10019 (Redeem Bill of Exchange FLC-01874)</t>
  </si>
  <si>
    <t>PTRP/2025/10019</t>
  </si>
  <si>
    <t>NOVAFARMA S.A.C.</t>
  </si>
  <si>
    <t>Pago de cliente S/ 26,271.06 - NOVAFARMA S.A.C. - 09/03/2026</t>
  </si>
  <si>
    <t>Redeem Bill of Exchange FLC-01874</t>
  </si>
  <si>
    <t>PTRP/2025/10017 (Redeem Bill of Exchange FLC-01918)</t>
  </si>
  <si>
    <t>PTRP/2025/10017</t>
  </si>
  <si>
    <t>Pago de cliente S/ 18,666.12 - NOVAFARMA S.A.C. - 09/03/2026</t>
  </si>
  <si>
    <t>Redeem Bill of Exchange FLC-01918</t>
  </si>
  <si>
    <t>PTRP/2025/10005 (Redeem Bill of Exchange FLC-01904)</t>
  </si>
  <si>
    <t>PTRP/2025/10005</t>
  </si>
  <si>
    <t>CORPORACION FARMACEUTICA VETERINARIA SOCIEDAD ANONIMA CERRADA</t>
  </si>
  <si>
    <t>Pago de cliente S/ 46,996.95 - CORPORACION FARMACEUTICA VETERINARIA SOCIEDAD ANONIMA CERRADA - 09/03/2026</t>
  </si>
  <si>
    <t>Redeem Bill of Exchange FLC-01904</t>
  </si>
  <si>
    <t>PTRP/2025/10004 (Redeem Bill of Exchange FLC-01905)</t>
  </si>
  <si>
    <t>PTRP/2025/10004</t>
  </si>
  <si>
    <t>Pago de cliente S/ 9,454.24 - CORPORACION FARMACEUTICA VETERINARIA SOCIEDAD ANONIMA CERRADA - 09/03/2026</t>
  </si>
  <si>
    <t>Redeem Bill of Exchange FLC-01905</t>
  </si>
  <si>
    <t>PTRP/2025/09998 (Redeem Bill of Exchange FLC-01899)</t>
  </si>
  <si>
    <t>PTRP/2025/09998</t>
  </si>
  <si>
    <t>Pago de cliente S/ 21,662.10 - REPRESENTACIONES DURAND S.A.C. - 09/03/2026</t>
  </si>
  <si>
    <t>Redeem Bill of Exchange FLC-01899</t>
  </si>
  <si>
    <t>PTRP/2025/09995 (Redeem Bill of Exchange FLC-01901)</t>
  </si>
  <si>
    <t>PTRP/2025/09995</t>
  </si>
  <si>
    <t>Pago de cliente S/ 43,215.66 - REPRESENTACIONES DURAND S.A.C. - 09/03/2026</t>
  </si>
  <si>
    <t>Redeem Bill of Exchange FLC-01901</t>
  </si>
  <si>
    <t>F F01-00004861</t>
  </si>
  <si>
    <t>A146613</t>
  </si>
  <si>
    <t>F F01-00004857</t>
  </si>
  <si>
    <t>A139874</t>
  </si>
  <si>
    <t>F F01-00004850</t>
  </si>
  <si>
    <t>PROGENSA C&amp;L E.I.R.L.</t>
  </si>
  <si>
    <t>A144608</t>
  </si>
  <si>
    <t>F F01-00004848 (2000011895221787-656693277)</t>
  </si>
  <si>
    <t>F F01-00004848</t>
  </si>
  <si>
    <t>VALDERRAMA PAZOS BRIGITTE KAROLY</t>
  </si>
  <si>
    <t>2000011895221787-656693277</t>
  </si>
  <si>
    <t>A158430</t>
  </si>
  <si>
    <t>B B01-00006908 (149578906202)</t>
  </si>
  <si>
    <t>B B01-00006908</t>
  </si>
  <si>
    <t>ZAPATA TOLENTINO, JOSE ANTONIO</t>
  </si>
  <si>
    <t>149578906202</t>
  </si>
  <si>
    <t>A158431</t>
  </si>
  <si>
    <t>B B01-00006907 (148855282833)</t>
  </si>
  <si>
    <t>B B01-00006907</t>
  </si>
  <si>
    <t>PORRO LI, MAYRA MARITZA</t>
  </si>
  <si>
    <t>148855282833</t>
  </si>
  <si>
    <t>A158466</t>
  </si>
  <si>
    <t>B B01-00006901 (2000011924674203-656693277)</t>
  </si>
  <si>
    <t>B B01-00006901</t>
  </si>
  <si>
    <t>FIESTAS YAMUNAQUE, BRYAN JUNIOR</t>
  </si>
  <si>
    <t>2000011924674203-656693277</t>
  </si>
  <si>
    <t>A158472</t>
  </si>
  <si>
    <t>B B01-00006900</t>
  </si>
  <si>
    <t>PRUDENCIO ROMERO, DYANNE IVANISSE DE LAS NIEVES</t>
  </si>
  <si>
    <t>B B01-00006899 (2000011927916223-656693277)</t>
  </si>
  <si>
    <t>B B01-00006899</t>
  </si>
  <si>
    <t>ARCE LOZANO, MARIA ANA</t>
  </si>
  <si>
    <t>2000011927916223-656693277</t>
  </si>
  <si>
    <t>A158475</t>
  </si>
  <si>
    <t>B B01-00006898 (2000011922278327-656693277)</t>
  </si>
  <si>
    <t>B B01-00006898</t>
  </si>
  <si>
    <t>ALCANTARA ROMAN, MAX ALBERTO</t>
  </si>
  <si>
    <t>2000011922278327-656693277</t>
  </si>
  <si>
    <t>A158477</t>
  </si>
  <si>
    <t>B B01-00006897 (2000011921349683-656693277)</t>
  </si>
  <si>
    <t>B B01-00006897</t>
  </si>
  <si>
    <t>ARBIGAUS DIOGO</t>
  </si>
  <si>
    <t>2000011921349683-656693277</t>
  </si>
  <si>
    <t>A158479</t>
  </si>
  <si>
    <t>B B01-00006896 (148781418471)</t>
  </si>
  <si>
    <t>B B01-00006896</t>
  </si>
  <si>
    <t>VEGA LAZARO, MARY CARMEN</t>
  </si>
  <si>
    <t>148781418471</t>
  </si>
  <si>
    <t>A158483</t>
  </si>
  <si>
    <t>B B01-00006895 (2000011906420431-656693277)</t>
  </si>
  <si>
    <t>B B01-00006895</t>
  </si>
  <si>
    <t>PRADO MERINO, MANUEL MARTIN</t>
  </si>
  <si>
    <t>2000011906420431-656693277</t>
  </si>
  <si>
    <t>A158485</t>
  </si>
  <si>
    <t>B B01-00006894 (20620266G53G)</t>
  </si>
  <si>
    <t>B B01-00006894</t>
  </si>
  <si>
    <t>MAMANI ESTEBAN, MANUELA CAMILA</t>
  </si>
  <si>
    <t>A159197</t>
  </si>
  <si>
    <t>B B01-00006893 (20620266G53G)</t>
  </si>
  <si>
    <t>B B01-00006893</t>
  </si>
  <si>
    <t>CONTRERAS CUSI, LEONID SIMON</t>
  </si>
  <si>
    <t>A159198</t>
  </si>
  <si>
    <t>B B01-00006892 (20620266G53G)</t>
  </si>
  <si>
    <t>B B01-00006892</t>
  </si>
  <si>
    <t>BURGA ALVARADO, AMELIA MERCEDES</t>
  </si>
  <si>
    <t>A159199</t>
  </si>
  <si>
    <t>B B01-00006882 (149167557082)</t>
  </si>
  <si>
    <t>B B01-00006882</t>
  </si>
  <si>
    <t>ALFARO BRIONES, JOSHUANE ALEXANDRA</t>
  </si>
  <si>
    <t>149167557082</t>
  </si>
  <si>
    <t>A158488</t>
  </si>
  <si>
    <t>B B01-00006881 (2000011891641863-656693277)</t>
  </si>
  <si>
    <t>B B01-00006881</t>
  </si>
  <si>
    <t>CERVANTES GUIA, ELIANA CAROLINA</t>
  </si>
  <si>
    <t>2000011891641863-656693277</t>
  </si>
  <si>
    <t>A158490</t>
  </si>
  <si>
    <t>F F01-00004838</t>
  </si>
  <si>
    <t>A153416</t>
  </si>
  <si>
    <t>F F01-00004835</t>
  </si>
  <si>
    <t>TAIPE YAMPASI MARGARITA JENNY</t>
  </si>
  <si>
    <t>A144316</t>
  </si>
  <si>
    <t>F F01-00004826</t>
  </si>
  <si>
    <t>A139873</t>
  </si>
  <si>
    <t>B B01-00006880 (20620266G53G)</t>
  </si>
  <si>
    <t>B B01-00006880</t>
  </si>
  <si>
    <t>SANTOS HUAMAN, MARICIELO</t>
  </si>
  <si>
    <t>A159200</t>
  </si>
  <si>
    <t>B B01-00006879 (20620266G53G)</t>
  </si>
  <si>
    <t>B B01-00006879</t>
  </si>
  <si>
    <t>VELASQUEZ RIOS, LUCILA</t>
  </si>
  <si>
    <t>A159201</t>
  </si>
  <si>
    <t>B B01-00006876 (20620266G53G)</t>
  </si>
  <si>
    <t>B B01-00006876</t>
  </si>
  <si>
    <t>YUCRA HINOSTROZA, EDISON SAUL</t>
  </si>
  <si>
    <t>A159202</t>
  </si>
  <si>
    <t>B B01-00006873 (2000011889183075-656693277)</t>
  </si>
  <si>
    <t>B B01-00006873</t>
  </si>
  <si>
    <t>GONZALEZ GILDEMEISTER, JULIA MARGARITA</t>
  </si>
  <si>
    <t>2000011889183075-656693277</t>
  </si>
  <si>
    <t>A158426</t>
  </si>
  <si>
    <t>B B01-00006872 (20620266G53G)</t>
  </si>
  <si>
    <t>B B01-00006872</t>
  </si>
  <si>
    <t>MERINO SERVAT, SHEILA PILAR</t>
  </si>
  <si>
    <t>A159203</t>
  </si>
  <si>
    <t>B B01-00006871 (20620266G53G)</t>
  </si>
  <si>
    <t>B B01-00006871</t>
  </si>
  <si>
    <t>RAMOS GRICELDA</t>
  </si>
  <si>
    <t>A159204</t>
  </si>
  <si>
    <t>B B01-00006870 (2000011877469519-656693277)</t>
  </si>
  <si>
    <t>B B01-00006870</t>
  </si>
  <si>
    <t>BENITEZ RODRIGUEZ, LUIS ARMANDO</t>
  </si>
  <si>
    <t>2000011877469519-656693277</t>
  </si>
  <si>
    <t>A158427</t>
  </si>
  <si>
    <t>B B01-00006869 (20620266G53G)</t>
  </si>
  <si>
    <t>B B01-00006869</t>
  </si>
  <si>
    <t>DAVID URQUIAGA, MARIANA ANDREA</t>
  </si>
  <si>
    <t>A159205</t>
  </si>
  <si>
    <t>B B01-00006868 (20620266G53G)</t>
  </si>
  <si>
    <t>B B01-00006868</t>
  </si>
  <si>
    <t>BECERRA ORTIZ, EDWIN DAVID</t>
  </si>
  <si>
    <t>A159206</t>
  </si>
  <si>
    <t>B B01-00006867</t>
  </si>
  <si>
    <t>AVENDAÑO DELGADO, ENRIQUE MARTIN</t>
  </si>
  <si>
    <t>A158428</t>
  </si>
  <si>
    <t>B B01-00006866 (148287247727)</t>
  </si>
  <si>
    <t>B B01-00006866</t>
  </si>
  <si>
    <t>CHANG ALZAMORA, JOSUE ENMANUEL</t>
  </si>
  <si>
    <t>148287247727</t>
  </si>
  <si>
    <t>A158429</t>
  </si>
  <si>
    <t>B B01-00006862</t>
  </si>
  <si>
    <t>DACILLO SENAGA, AKIRA RICARDO</t>
  </si>
  <si>
    <t>B B01-00006861</t>
  </si>
  <si>
    <t>WU BEOUTIS, SANTIAGO SEBASTIAN</t>
  </si>
  <si>
    <t>B B01-00006860</t>
  </si>
  <si>
    <t>HERRERA BASURTO, LUIS ANTONIO</t>
  </si>
  <si>
    <t>B B01-00006859</t>
  </si>
  <si>
    <t>CASTAÑEDA MONTALVAN, PAULO CESAR</t>
  </si>
  <si>
    <t>B B01-00006858</t>
  </si>
  <si>
    <t>UNDA FIGUEROA, FERNANDO ANIBAL</t>
  </si>
  <si>
    <t>B B01-00006857</t>
  </si>
  <si>
    <t>GUERRERO MENDEZ, JULIO ANGELO</t>
  </si>
  <si>
    <t>B B01-00006856</t>
  </si>
  <si>
    <t>CAJUSOL VILLALOBOS, LAURA CERAFINA</t>
  </si>
  <si>
    <t>B B01-00006854</t>
  </si>
  <si>
    <t>CHAVEZ LAM, FABRIZIO EDUARDO</t>
  </si>
  <si>
    <t>PTRP/2025/09987 (Redeem Bill of Exchange FLC-01831)</t>
  </si>
  <si>
    <t>PTRP/2025/09987</t>
  </si>
  <si>
    <t>Pago de cliente S/ 23,223.06 - GRUPO PHARMAX VETERINARIA S.A.C. - PHARMAX VET S.A.C. - 05/03/2026</t>
  </si>
  <si>
    <t>Redeem Bill of Exchange FLC-01831</t>
  </si>
  <si>
    <t>F F01-00004811</t>
  </si>
  <si>
    <t>A150844</t>
  </si>
  <si>
    <t>F F01-00004810</t>
  </si>
  <si>
    <t>A150843</t>
  </si>
  <si>
    <t>F F01-00004806</t>
  </si>
  <si>
    <t>A150846</t>
  </si>
  <si>
    <t>F F01-00004802</t>
  </si>
  <si>
    <t>A150845</t>
  </si>
  <si>
    <t>B B01-00006852 (20620266G53G)</t>
  </si>
  <si>
    <t>B B01-00006852</t>
  </si>
  <si>
    <t>GALARZA BALDEON, JOSE ENRIQUE</t>
  </si>
  <si>
    <t>A159207</t>
  </si>
  <si>
    <t>B B01-00006850 (20620266G53G)</t>
  </si>
  <si>
    <t>B B01-00006850</t>
  </si>
  <si>
    <t>HERRERA MORILLO, ALISON SELENE DEL MILAGRO</t>
  </si>
  <si>
    <t>A159208</t>
  </si>
  <si>
    <t>B B01-00006849 (20620266G53G)</t>
  </si>
  <si>
    <t>B B01-00006849</t>
  </si>
  <si>
    <t>BRAGA ANGULO, ANA PAULA</t>
  </si>
  <si>
    <t>A159209</t>
  </si>
  <si>
    <t>B B01-00006848 (20620266G53G)</t>
  </si>
  <si>
    <t>B B01-00006848</t>
  </si>
  <si>
    <t>A159210</t>
  </si>
  <si>
    <t>B B01-00006847 (148883276646)</t>
  </si>
  <si>
    <t>B B01-00006847</t>
  </si>
  <si>
    <t>CRESTANI MARTINEZ, CLAUDIO</t>
  </si>
  <si>
    <t>148883276646</t>
  </si>
  <si>
    <t>A158421</t>
  </si>
  <si>
    <t>B B01-00006846 (20620266G53G)</t>
  </si>
  <si>
    <t>B B01-00006846</t>
  </si>
  <si>
    <t>VILLAFUERTE SOTELO, ROSA</t>
  </si>
  <si>
    <t>A159211</t>
  </si>
  <si>
    <t>B B01-00006845</t>
  </si>
  <si>
    <t>ROJAS LOAYZA, NARDA MARCELA</t>
  </si>
  <si>
    <t>A158423</t>
  </si>
  <si>
    <t>B B01-00006844 (20620266G53G)</t>
  </si>
  <si>
    <t>B B01-00006844</t>
  </si>
  <si>
    <t>A159212</t>
  </si>
  <si>
    <t>B B01-00006843 (20620266G53G)</t>
  </si>
  <si>
    <t>B B01-00006843</t>
  </si>
  <si>
    <t>LEURIDAN ROSSI, NICOLE MARCIA</t>
  </si>
  <si>
    <t>A159213</t>
  </si>
  <si>
    <t>B B01-00006842 (20620266G53G)</t>
  </si>
  <si>
    <t>B B01-00006842</t>
  </si>
  <si>
    <t>CARREO DEL VALE JOSUE</t>
  </si>
  <si>
    <t>A159214</t>
  </si>
  <si>
    <t>B B01-00006841 (20620266G53G)</t>
  </si>
  <si>
    <t>B B01-00006841</t>
  </si>
  <si>
    <t>CARAZAS OCHOCHOQUE, DIANA GABRIELA</t>
  </si>
  <si>
    <t>A159215</t>
  </si>
  <si>
    <t>B B01-00006840 (20620266G53G)</t>
  </si>
  <si>
    <t>B B01-00006840</t>
  </si>
  <si>
    <t>JIMÉNEZ BURNEO, ELDA GISELLE</t>
  </si>
  <si>
    <t>A159216</t>
  </si>
  <si>
    <t>B B01-00006839 (148871785512)</t>
  </si>
  <si>
    <t>B B01-00006839</t>
  </si>
  <si>
    <t>UIPAN CHAVEZ, MARIA MILAGROS</t>
  </si>
  <si>
    <t>148871785512</t>
  </si>
  <si>
    <t>A158424</t>
  </si>
  <si>
    <t>B B01-00006826</t>
  </si>
  <si>
    <t>ROMAN CARDENAS, HILARY ASLY</t>
  </si>
  <si>
    <t>B B01-00006820 (20620266G53G)</t>
  </si>
  <si>
    <t>B B01-00006820</t>
  </si>
  <si>
    <t>MORENO SALAVERRY, GRACIELA</t>
  </si>
  <si>
    <t>A159217</t>
  </si>
  <si>
    <t>B B01-00006818 (20620266G53G)</t>
  </si>
  <si>
    <t>B B01-00006818</t>
  </si>
  <si>
    <t>ROJAS ALVARADO, PAMELA NAJHOMY</t>
  </si>
  <si>
    <t>A159218</t>
  </si>
  <si>
    <t>B B01-00006808 (2000011851729427-656693277)</t>
  </si>
  <si>
    <t>B B01-00006808</t>
  </si>
  <si>
    <t>VERA ULLOA, NANCY MARGARITA LUZMILA</t>
  </si>
  <si>
    <t>2000011851729427-656693277</t>
  </si>
  <si>
    <t>A158415</t>
  </si>
  <si>
    <t>B B01-00006807</t>
  </si>
  <si>
    <t>TAFUR BORJAS, BETZABE YAJAIRA</t>
  </si>
  <si>
    <t>B B01-00006806</t>
  </si>
  <si>
    <t>PEREZ ROJAS, VICTOR ALONSO</t>
  </si>
  <si>
    <t>B B01-00006805 (20620266G53G)</t>
  </si>
  <si>
    <t>B B01-00006805</t>
  </si>
  <si>
    <t>PANIAGUA CHACON, CECILIA</t>
  </si>
  <si>
    <t>A159219</t>
  </si>
  <si>
    <t>B B01-00006804 (20620266G53G)</t>
  </si>
  <si>
    <t>B B01-00006804</t>
  </si>
  <si>
    <t>MORENO ESPEJO, MARCO ANTONIO</t>
  </si>
  <si>
    <t>A159220</t>
  </si>
  <si>
    <t>B B01-00006803 (20620266G53G)</t>
  </si>
  <si>
    <t>B B01-00006803</t>
  </si>
  <si>
    <t>GARAUNDO MEZA, AXEL NICANDER OMAR</t>
  </si>
  <si>
    <t>A159221</t>
  </si>
  <si>
    <t>B B01-00006802 (148013807931)</t>
  </si>
  <si>
    <t>B B01-00006802</t>
  </si>
  <si>
    <t>BAUTISTA VALENZUELA, ESTEFANY MAYLY</t>
  </si>
  <si>
    <t>148013807931</t>
  </si>
  <si>
    <t>A158417</t>
  </si>
  <si>
    <t>B B01-00006801 (20620266G53G)</t>
  </si>
  <si>
    <t>B B01-00006801</t>
  </si>
  <si>
    <t>PULUCHE ESPEJO, EDMUNDO ALBERTO</t>
  </si>
  <si>
    <t>A159222</t>
  </si>
  <si>
    <t>B B01-00006800 (20620266G53G)</t>
  </si>
  <si>
    <t>B B01-00006800</t>
  </si>
  <si>
    <t>LI CARRILLO PAREDES, ANA SOFIA</t>
  </si>
  <si>
    <t>A159223</t>
  </si>
  <si>
    <t>B B01-00006799 (20620266G53G)</t>
  </si>
  <si>
    <t>B B01-00006799</t>
  </si>
  <si>
    <t>SALAZAR ISLA, BERESHIT ROSMARY</t>
  </si>
  <si>
    <t>A159224</t>
  </si>
  <si>
    <t>B B01-00006798 (2000011838706967-656693277)</t>
  </si>
  <si>
    <t>B B01-00006798</t>
  </si>
  <si>
    <t>LLAMOSAS LAZO, BRAYAN GILMER</t>
  </si>
  <si>
    <t>2000011838706967-656693277</t>
  </si>
  <si>
    <t>A158420</t>
  </si>
  <si>
    <t>PTRP/2025/09985 (Redeem Bill of Exchange FLC-01890)</t>
  </si>
  <si>
    <t>PTRP/2025/09985</t>
  </si>
  <si>
    <t>Pago de cliente S/ 7,924.28 - TOP VETERINARIA S.A.C. - 03/03/2026</t>
  </si>
  <si>
    <t>Redeem Bill of Exchange FLC-01890</t>
  </si>
  <si>
    <t>F F01-00004789</t>
  </si>
  <si>
    <t>A149117</t>
  </si>
  <si>
    <t>F F01-00004788</t>
  </si>
  <si>
    <t>A140115</t>
  </si>
  <si>
    <t>F F01-00004785</t>
  </si>
  <si>
    <t>A139974</t>
  </si>
  <si>
    <t>F F01-00004780</t>
  </si>
  <si>
    <t>A139872</t>
  </si>
  <si>
    <t>F F01-00004779</t>
  </si>
  <si>
    <t>A139871</t>
  </si>
  <si>
    <t>F F01-00004772</t>
  </si>
  <si>
    <t>A144086</t>
  </si>
  <si>
    <t>F D01-00000255</t>
  </si>
  <si>
    <t>B B01-00006789 (20620266G53G)</t>
  </si>
  <si>
    <t>B B01-00006789</t>
  </si>
  <si>
    <t>A159225</t>
  </si>
  <si>
    <t>B B01-00006787 (148272137000)</t>
  </si>
  <si>
    <t>B B01-00006787</t>
  </si>
  <si>
    <t>CARLOS SALAZAR, JOHANA</t>
  </si>
  <si>
    <t>148272137000</t>
  </si>
  <si>
    <t>A158405</t>
  </si>
  <si>
    <t>B B01-00006785 (148384614076)</t>
  </si>
  <si>
    <t>B B01-00006785</t>
  </si>
  <si>
    <t>SAMAME VILLAFANA, JORGE ANTONIO</t>
  </si>
  <si>
    <t>148384614076</t>
  </si>
  <si>
    <t>A158407</t>
  </si>
  <si>
    <t>B B01-00006784</t>
  </si>
  <si>
    <t>SILVA CANALE, PAOLA JANNETT</t>
  </si>
  <si>
    <t>B B01-00006783 (2000011815530697-656693277)</t>
  </si>
  <si>
    <t>B B01-00006783</t>
  </si>
  <si>
    <t>CISNEROS BACA, BENNY LANDO</t>
  </si>
  <si>
    <t>2000011815530697-656693277</t>
  </si>
  <si>
    <t>A158408</t>
  </si>
  <si>
    <t>B B01-00006782</t>
  </si>
  <si>
    <t>ANCCALLE GOMEZ, DIANIRA STEFFANI</t>
  </si>
  <si>
    <t>B B01-00006781 (2000011819074433-656693277)</t>
  </si>
  <si>
    <t>B B01-00006781</t>
  </si>
  <si>
    <t>DIESTRA RAMOS, DAYANNA ANTUANETTE</t>
  </si>
  <si>
    <t>2000011819074433-656693277</t>
  </si>
  <si>
    <t>A158410</t>
  </si>
  <si>
    <t>B B01-00006780 (148641231622)</t>
  </si>
  <si>
    <t>B B01-00006780</t>
  </si>
  <si>
    <t>ROJAS VALDERRAMA, EVELIN ALEJANDRA</t>
  </si>
  <si>
    <t>148641231622</t>
  </si>
  <si>
    <t>A158411</t>
  </si>
  <si>
    <t>B B01-00006779 (20620266G53G)</t>
  </si>
  <si>
    <t>B B01-00006779</t>
  </si>
  <si>
    <t>MELENDEZ ABANTO, CELIA ELSA</t>
  </si>
  <si>
    <t>A159226</t>
  </si>
  <si>
    <t>B B01-00006776 (147621884111)</t>
  </si>
  <si>
    <t>B B01-00006776</t>
  </si>
  <si>
    <t>CORDERO QUISPE, PIERO ALEXIS</t>
  </si>
  <si>
    <t>147621884111</t>
  </si>
  <si>
    <t>A158412</t>
  </si>
  <si>
    <t>B B01-00006775 (148436265658)</t>
  </si>
  <si>
    <t>B B01-00006775</t>
  </si>
  <si>
    <t>CHU SION RODRIGUEZ, CINTHIA LAURA</t>
  </si>
  <si>
    <t>148436265658</t>
  </si>
  <si>
    <t>A158413</t>
  </si>
  <si>
    <t>B B01-00006774</t>
  </si>
  <si>
    <t>SCHATZMANN DULANTO, JOHN BRUCE</t>
  </si>
  <si>
    <t>A158414</t>
  </si>
  <si>
    <t>PTRP/2025/09855 (Redeem Bill of Exchange FLC-01833)</t>
  </si>
  <si>
    <t>PTRP/2025/09855</t>
  </si>
  <si>
    <t>Pago de cliente S/ 59,734.50 - PROGENSA C&amp;L E.I.R.L. - 02/03/2026</t>
  </si>
  <si>
    <t>Redeem Bill of Exchange FLC-01833</t>
  </si>
  <si>
    <t>F F01-00004768 (2000011805417523-656693277)</t>
  </si>
  <si>
    <t>F F01-00004768</t>
  </si>
  <si>
    <t>LIMAW SOCIEDAD ANONIMA CERRADA - LIMAW S.A.C.</t>
  </si>
  <si>
    <t>2000011805417523-656693277</t>
  </si>
  <si>
    <t>A158400</t>
  </si>
  <si>
    <t>F F01-00004767</t>
  </si>
  <si>
    <t>WHERREMS SOBRINO JOSE ALEJANDRO GONZALO</t>
  </si>
  <si>
    <t>B B01-00006766</t>
  </si>
  <si>
    <t>ESCOBAR MACEDA, BRUNO FABRICIO</t>
  </si>
  <si>
    <t>A158443</t>
  </si>
  <si>
    <t>B B01-00006765 (2000011786887069-656693277)</t>
  </si>
  <si>
    <t>B B01-00006765</t>
  </si>
  <si>
    <t>TARRILLO HORNA, JORGE JACKIE</t>
  </si>
  <si>
    <t>2000011786887069-656693277</t>
  </si>
  <si>
    <t>A158402</t>
  </si>
  <si>
    <t>B B01-00006764</t>
  </si>
  <si>
    <t>SALINAS CORNEJO, CYNTHIA</t>
  </si>
  <si>
    <t>A158403</t>
  </si>
  <si>
    <t>B B01-00006762</t>
  </si>
  <si>
    <t>LUNA VICTORIA GUEVARA, LESLIE ITALA</t>
  </si>
  <si>
    <t>B B01-00006761</t>
  </si>
  <si>
    <t>CACERES PALACIOS, CAROLINA GRACIELA</t>
  </si>
  <si>
    <t>B B01-00006760</t>
  </si>
  <si>
    <t>POLO OLIVARES, CRISTOPHER ANGEL</t>
  </si>
  <si>
    <t>B B01-00006759</t>
  </si>
  <si>
    <t>ARTEAGA OBREGON, ADAN ALEXANDER</t>
  </si>
  <si>
    <t>B B01-00006758</t>
  </si>
  <si>
    <t>B B01-00006757</t>
  </si>
  <si>
    <t>TORRES MORANTE, CAROLINA DESIREE</t>
  </si>
  <si>
    <t>B B01-00006756</t>
  </si>
  <si>
    <t>PEÑA GARCIA, JAVIER ANTONY</t>
  </si>
  <si>
    <t>B B01-00006755</t>
  </si>
  <si>
    <t>GALLARDO FLORIAN ANGHELA MELISSA</t>
  </si>
  <si>
    <t>B B01-00006754 (2000011769046571-656693277)</t>
  </si>
  <si>
    <t>B B01-00006754</t>
  </si>
  <si>
    <t>PANTIGOSO ROSAS, JASSON ABRAHAM</t>
  </si>
  <si>
    <t>2000011769046571-656693277</t>
  </si>
  <si>
    <t>A158404</t>
  </si>
  <si>
    <t>B B01-00006749 (20620266G53G)</t>
  </si>
  <si>
    <t>B B01-00006749</t>
  </si>
  <si>
    <t>MAUTINO RAMOS, LUIS FERNANDO</t>
  </si>
  <si>
    <t>A159227</t>
  </si>
  <si>
    <t>B B01-00006748 (20620266G53G)</t>
  </si>
  <si>
    <t>B B01-00006748</t>
  </si>
  <si>
    <t>HUAMANI JUAREZ, ADELA SEFERINA</t>
  </si>
  <si>
    <t>B B01-00006747 (20620266G53G)</t>
  </si>
  <si>
    <t>B B01-00006747</t>
  </si>
  <si>
    <t>LOPEZ TORRES, JUAN MIGUEL</t>
  </si>
  <si>
    <t>A159229</t>
  </si>
  <si>
    <t>B B01-00006746 (20620266G53G)</t>
  </si>
  <si>
    <t>B B01-00006746</t>
  </si>
  <si>
    <t>FIESTAS PERICHE, FRANCISCA</t>
  </si>
  <si>
    <t>A159230</t>
  </si>
  <si>
    <t>B B01-00006744 (20620266G53G)</t>
  </si>
  <si>
    <t>B B01-00006744</t>
  </si>
  <si>
    <t>GUARNIZ MIRANDA, JUAN RAPHAEL</t>
  </si>
  <si>
    <t>A159231</t>
  </si>
  <si>
    <t>F F01-00004752</t>
  </si>
  <si>
    <t>GRUPO ORLANDO S.A.C.</t>
  </si>
  <si>
    <t>A149273</t>
  </si>
  <si>
    <t>F F01-00004748</t>
  </si>
  <si>
    <t>F F01-00004743</t>
  </si>
  <si>
    <t>B B01-00006742</t>
  </si>
  <si>
    <t>VARGAS LEON, ALEJANDRO VICTOR</t>
  </si>
  <si>
    <t>B B01-00006740 (20620266G53G)</t>
  </si>
  <si>
    <t>B B01-00006740</t>
  </si>
  <si>
    <t>BERRU HUAMAN, GABRIELA CRISTINA</t>
  </si>
  <si>
    <t>A159232</t>
  </si>
  <si>
    <t>B B01-00006739 (20620266G53G)</t>
  </si>
  <si>
    <t>B B01-00006739</t>
  </si>
  <si>
    <t>YEN AGON, BARBARA WENDY</t>
  </si>
  <si>
    <t>A159233</t>
  </si>
  <si>
    <t>B B01-00006738 (20620266G53G)</t>
  </si>
  <si>
    <t>B B01-00006738</t>
  </si>
  <si>
    <t>BARRERA LUZON, GIOSELING THAIS</t>
  </si>
  <si>
    <t>B B01-00006737 (20620266G53G)</t>
  </si>
  <si>
    <t>B B01-00006737</t>
  </si>
  <si>
    <t>PEREZ VERA, SANTOS ENRIQUE</t>
  </si>
  <si>
    <t>A159235</t>
  </si>
  <si>
    <t>B B01-00006736 (2000011754774783-656693277)</t>
  </si>
  <si>
    <t>B B01-00006736</t>
  </si>
  <si>
    <t>AGREDA CHUMPITAZI, JOSE ALONSO</t>
  </si>
  <si>
    <t>2000011754774783-656693277</t>
  </si>
  <si>
    <t>A158397</t>
  </si>
  <si>
    <t>B B01-00006734 (20620266G53G)</t>
  </si>
  <si>
    <t>B B01-00006734</t>
  </si>
  <si>
    <t>BARRIENTOS SERVAN, LUIS BELTRAN</t>
  </si>
  <si>
    <t>B B01-00006732</t>
  </si>
  <si>
    <t>LOVATON RAMIREZ, JUANA</t>
  </si>
  <si>
    <t>F F01-00004725</t>
  </si>
  <si>
    <t>F F01-00004716</t>
  </si>
  <si>
    <t>F D01-00000254</t>
  </si>
  <si>
    <t>B B01-00006730</t>
  </si>
  <si>
    <t>TORRES SOLORZANO, JONAS ELI</t>
  </si>
  <si>
    <t>B B01-00006724 (2000011750141311-656693277)</t>
  </si>
  <si>
    <t>B B01-00006724</t>
  </si>
  <si>
    <t>FRANCIA YAUYO, ELIZABETH VICTORIA</t>
  </si>
  <si>
    <t>2000011750141311-656693277</t>
  </si>
  <si>
    <t>A158391</t>
  </si>
  <si>
    <t>B B01-00006721 (147084228915)</t>
  </si>
  <si>
    <t>B B01-00006721</t>
  </si>
  <si>
    <t>RUBIO MARTINEZ, CAMILA ALEXANDRA</t>
  </si>
  <si>
    <t>147084228915</t>
  </si>
  <si>
    <t>A158392</t>
  </si>
  <si>
    <t>B B01-00006720 (147072467993)</t>
  </si>
  <si>
    <t>B B01-00006720</t>
  </si>
  <si>
    <t>SILVA GUERRERO, LUIS ROGER</t>
  </si>
  <si>
    <t>147072467993</t>
  </si>
  <si>
    <t>A158394</t>
  </si>
  <si>
    <t>B B01-00006719 (20620266G53G)</t>
  </si>
  <si>
    <t>B B01-00006719</t>
  </si>
  <si>
    <t>GUTIERREZ GONZALES, ANGELICA MARIA</t>
  </si>
  <si>
    <t>A159237</t>
  </si>
  <si>
    <t>B B01-00006714 (20620266G53G)</t>
  </si>
  <si>
    <t>B B01-00006714</t>
  </si>
  <si>
    <t>CATERIANO ALBERDI, MARIA PAULA</t>
  </si>
  <si>
    <t>A159238</t>
  </si>
  <si>
    <t>PTRP/2025/09848 (Redeem Bill of Exchange FLC-01840)</t>
  </si>
  <si>
    <t>PTRP/2025/09848</t>
  </si>
  <si>
    <t>Pago de cliente S/ 63,581.21 - REPRESENTACIONES DURAND S.A.C. - 25/02/2026</t>
  </si>
  <si>
    <t>Redeem Bill of Exchange FLC-01840</t>
  </si>
  <si>
    <t>PTRP/2025/09846 (Redeem Bill of Exchange FLC-01869)</t>
  </si>
  <si>
    <t>PTRP/2025/09846</t>
  </si>
  <si>
    <t>Pago de cliente S/ 151,104.24 - CORPORACION FARMACEUTICA VETERINARIA SOCIEDAD ANONIMA CERRADA - 25/02/2026</t>
  </si>
  <si>
    <t>Redeem Bill of Exchange FLC-01869</t>
  </si>
  <si>
    <t>PTRP/2025/09845 (Redeem Bill of Exchange FLC-01870)</t>
  </si>
  <si>
    <t>PTRP/2025/09845</t>
  </si>
  <si>
    <t>Pago de cliente S/ 42,404.40 - CORPORACION FARMACEUTICA VETERINARIA SOCIEDAD ANONIMA CERRADA - 25/02/2026</t>
  </si>
  <si>
    <t>Redeem Bill of Exchange FLC-01870</t>
  </si>
  <si>
    <t>F F01-00004703</t>
  </si>
  <si>
    <t>A142918</t>
  </si>
  <si>
    <t>F F01-00004700</t>
  </si>
  <si>
    <t>F F01-00004699</t>
  </si>
  <si>
    <t>A143494</t>
  </si>
  <si>
    <t>F F01-00004693</t>
  </si>
  <si>
    <t>LA CALERA S.A.C.</t>
  </si>
  <si>
    <t>A144395</t>
  </si>
  <si>
    <t>F F01-00004690</t>
  </si>
  <si>
    <t>A146602</t>
  </si>
  <si>
    <t>F F01-00004685</t>
  </si>
  <si>
    <t>A139228</t>
  </si>
  <si>
    <t>F F01-00004682</t>
  </si>
  <si>
    <t>A139278</t>
  </si>
  <si>
    <t>F D01-00000253</t>
  </si>
  <si>
    <t>A157461</t>
  </si>
  <si>
    <t>B B01-00006712</t>
  </si>
  <si>
    <t>PIÑEYROS GONZALES, ANA MARIA</t>
  </si>
  <si>
    <t>B B01-00006709</t>
  </si>
  <si>
    <t>TASAYCO ASHTU, CAROLINA BETZABE</t>
  </si>
  <si>
    <t>B B01-00006708 (146917316525)</t>
  </si>
  <si>
    <t>B B01-00006708</t>
  </si>
  <si>
    <t>LUERA CRISANTO, PERCY ELMER</t>
  </si>
  <si>
    <t>146917316525</t>
  </si>
  <si>
    <t>A158337</t>
  </si>
  <si>
    <t>B B01-00006707</t>
  </si>
  <si>
    <t>SAAVEDRA AGUILAR, KATHERINE ABIGAIL</t>
  </si>
  <si>
    <t>A158339</t>
  </si>
  <si>
    <t>B B01-00006706 (2000011723967747-656693277)</t>
  </si>
  <si>
    <t>B B01-00006706</t>
  </si>
  <si>
    <t>RIOS JIMENEZ, RAUL</t>
  </si>
  <si>
    <t>2000011723967747-656693277</t>
  </si>
  <si>
    <t>A158383</t>
  </si>
  <si>
    <t>B B01-00006705 (147713574816)</t>
  </si>
  <si>
    <t>B B01-00006705</t>
  </si>
  <si>
    <t>CHUQUILLANQUI MAYTA, JORGE YVAN</t>
  </si>
  <si>
    <t>147713574816</t>
  </si>
  <si>
    <t>A158389</t>
  </si>
  <si>
    <t>B B01-00006703</t>
  </si>
  <si>
    <t>VIVAR TOLEDO, KATIA RUTH</t>
  </si>
  <si>
    <t>A158390</t>
  </si>
  <si>
    <t>B B01-00006702</t>
  </si>
  <si>
    <t>RIMARACHIN OLIVERA, SEGUNDO MANUEL</t>
  </si>
  <si>
    <t>B B01-00006695 (146877670239)</t>
  </si>
  <si>
    <t>B B01-00006695</t>
  </si>
  <si>
    <t>146877670239</t>
  </si>
  <si>
    <t>A158321</t>
  </si>
  <si>
    <t>B B01-00006694 (20620266G53G)</t>
  </si>
  <si>
    <t>B B01-00006694</t>
  </si>
  <si>
    <t>PEÑA LOYOLA, VANIA MELISSA</t>
  </si>
  <si>
    <t>B B01-00006691 (146812593835)</t>
  </si>
  <si>
    <t>B B01-00006691</t>
  </si>
  <si>
    <t>RAMIREZ RODRIGUEZ, CLAUDIA JULISSA</t>
  </si>
  <si>
    <t>146812593835</t>
  </si>
  <si>
    <t>A158323</t>
  </si>
  <si>
    <t>B B01-00006690</t>
  </si>
  <si>
    <t>GUERRERO CARHUAVILCA, ANDREA MIDORI</t>
  </si>
  <si>
    <t>A158325</t>
  </si>
  <si>
    <t>B B01-00006689</t>
  </si>
  <si>
    <t>A158326</t>
  </si>
  <si>
    <t>B B01-00006688 (20620266G53G)</t>
  </si>
  <si>
    <t>B B01-00006688</t>
  </si>
  <si>
    <t>ZARATE SOTO, ELIZABETH FABIOLA</t>
  </si>
  <si>
    <t>B B01-00006687 (20620266G53G)</t>
  </si>
  <si>
    <t>B B01-00006687</t>
  </si>
  <si>
    <t>ALEGRIA REATEGUI, SAMARIA</t>
  </si>
  <si>
    <t>A159241</t>
  </si>
  <si>
    <t>B B01-00006686 (20620266G53G)</t>
  </si>
  <si>
    <t>B B01-00006686</t>
  </si>
  <si>
    <t>ACOSTA LOPEZ, ESTELINDA</t>
  </si>
  <si>
    <t>A159242</t>
  </si>
  <si>
    <t>B B01-00006685 (147485591332)</t>
  </si>
  <si>
    <t>B B01-00006685</t>
  </si>
  <si>
    <t>CERVANTES YRIGOYEN, FABRICIO</t>
  </si>
  <si>
    <t>147485591332</t>
  </si>
  <si>
    <t>A158329</t>
  </si>
  <si>
    <t>B B01-00006679</t>
  </si>
  <si>
    <t>CERDA PIACA, JORGE LUIS JONATHAN</t>
  </si>
  <si>
    <t>B B01-00006678</t>
  </si>
  <si>
    <t>JIMENEZ CAZAS, AYLIN MORIAN</t>
  </si>
  <si>
    <t>A158334</t>
  </si>
  <si>
    <t>PTRP/2025/09757 (Redeem Bill of Exchange FLC-01823)</t>
  </si>
  <si>
    <t>PTRP/2025/09757</t>
  </si>
  <si>
    <t>Pago de cliente S/ 145,475.28 - TOP VETERINARIA S.A.C. - 23/02/2026</t>
  </si>
  <si>
    <t>Redeem Bill of Exchange FLC-01823</t>
  </si>
  <si>
    <t>PTRP/2025/09754 (Redeem Bill of Exchange FLC-01756)</t>
  </si>
  <si>
    <t>PTRP/2025/09754</t>
  </si>
  <si>
    <t>GRUPO CONSORCIO VETERINARIO S.A.C.</t>
  </si>
  <si>
    <t>Pago de cliente S/ 23,890.74 - GRUPO CONSORCIO VETERINARIO S.A.C. - 23/02/2026</t>
  </si>
  <si>
    <t>Redeem Bill of Exchange FLC-01756</t>
  </si>
  <si>
    <t>F F01-00004644</t>
  </si>
  <si>
    <t>F F01-00004643</t>
  </si>
  <si>
    <t>A150842</t>
  </si>
  <si>
    <t>F F01-00004641</t>
  </si>
  <si>
    <t>SURCO VET SERVICE S.A.C</t>
  </si>
  <si>
    <t>A153452</t>
  </si>
  <si>
    <t>F F01-00004637</t>
  </si>
  <si>
    <t>F F01-00004635</t>
  </si>
  <si>
    <t>F F01-00004633</t>
  </si>
  <si>
    <t>F F01-00004632</t>
  </si>
  <si>
    <t>F F01-00004630</t>
  </si>
  <si>
    <t>VILLA PET'S E.I.R.L.</t>
  </si>
  <si>
    <t>A145159</t>
  </si>
  <si>
    <t>F D01-00000252</t>
  </si>
  <si>
    <t>B B01-00006672</t>
  </si>
  <si>
    <t>SILVA AGUILAR, KAROL LILY</t>
  </si>
  <si>
    <t>B B01-00006660 (20620266G53G)</t>
  </si>
  <si>
    <t>B B01-00006660</t>
  </si>
  <si>
    <t>MEZA HERVIAS, CARLOS EDUARDO</t>
  </si>
  <si>
    <t>A159243</t>
  </si>
  <si>
    <t>B B01-00006658</t>
  </si>
  <si>
    <t>CALDAS CABRERA, JAQUELINE</t>
  </si>
  <si>
    <t>B B01-00006657 (20620266G53G)</t>
  </si>
  <si>
    <t>B B01-00006657</t>
  </si>
  <si>
    <t>MENDOZA DARYENLIN</t>
  </si>
  <si>
    <t>A159244</t>
  </si>
  <si>
    <t>B B01-00006656</t>
  </si>
  <si>
    <t>BODERO ROGGERO, DIANALIA SACHENKA</t>
  </si>
  <si>
    <t>B B01-00006655</t>
  </si>
  <si>
    <t>SOTOMAYOR TORRES, MARIA TERESA</t>
  </si>
  <si>
    <t>B B01-00006654</t>
  </si>
  <si>
    <t>IBAÑEZ MAURI, MONICA SHAMELIN</t>
  </si>
  <si>
    <t>A158311</t>
  </si>
  <si>
    <t>B B01-00006653</t>
  </si>
  <si>
    <t>SEGOVIA ESCUDERO, LUIS ENRIQUE</t>
  </si>
  <si>
    <t>A158313</t>
  </si>
  <si>
    <t>B B01-00006652</t>
  </si>
  <si>
    <t>SANCHEZ GUTIERREZ, CLAUDIA PIERINA</t>
  </si>
  <si>
    <t>A158315</t>
  </si>
  <si>
    <t>B B01-00006651 (147217508640)</t>
  </si>
  <si>
    <t>B B01-00006651</t>
  </si>
  <si>
    <t>FLORES MERINO, SANDY</t>
  </si>
  <si>
    <t>147217508640</t>
  </si>
  <si>
    <t>A158316</t>
  </si>
  <si>
    <t>B B01-00006650 (146548088699)</t>
  </si>
  <si>
    <t>B B01-00006650</t>
  </si>
  <si>
    <t>ROMAN GODOY, MARISOL GAVINA</t>
  </si>
  <si>
    <t>146548088699</t>
  </si>
  <si>
    <t>A158318</t>
  </si>
  <si>
    <t>B B01-00006643 (20620266G53G)</t>
  </si>
  <si>
    <t>B B01-00006643</t>
  </si>
  <si>
    <t>HENDERSON NEGRILLO, CARMEN DEL PILAR</t>
  </si>
  <si>
    <t>A159245</t>
  </si>
  <si>
    <t>F D01-00000251</t>
  </si>
  <si>
    <t>B B01-00006604 (146368213973)</t>
  </si>
  <si>
    <t>B B01-00006604</t>
  </si>
  <si>
    <t>FALLAQUE CASIMIRO, ANDREA CAMILA</t>
  </si>
  <si>
    <t>146368213973</t>
  </si>
  <si>
    <t>A158237</t>
  </si>
  <si>
    <t>B B01-00006603 (20620266G53G)</t>
  </si>
  <si>
    <t>B B01-00006603</t>
  </si>
  <si>
    <t>GALLARDO CORNEJO, ANGIE GABRIELA</t>
  </si>
  <si>
    <t>A159246</t>
  </si>
  <si>
    <t>B B01-00006602</t>
  </si>
  <si>
    <t>FARFAN SILVA, CAROL</t>
  </si>
  <si>
    <t>A158238</t>
  </si>
  <si>
    <t>B B01-00006600 (146005353677)</t>
  </si>
  <si>
    <t>B B01-00006600</t>
  </si>
  <si>
    <t>CASTILLO AVILA, ALEJANDRA CRISTINA</t>
  </si>
  <si>
    <t>146005353677</t>
  </si>
  <si>
    <t>A158260</t>
  </si>
  <si>
    <t>B B01-00006597 (20620266G53G)</t>
  </si>
  <si>
    <t>B B01-00006597</t>
  </si>
  <si>
    <t>SALAS LICUONA, ALBERT JHONATAN</t>
  </si>
  <si>
    <t>A159247</t>
  </si>
  <si>
    <t>B B01-00006596</t>
  </si>
  <si>
    <t>MARCELO ZAVALETA, ANYELA VANESSA</t>
  </si>
  <si>
    <t>A158307</t>
  </si>
  <si>
    <t>B B01-00006595 (20620266G53G)</t>
  </si>
  <si>
    <t>B B01-00006595</t>
  </si>
  <si>
    <t>CANO NUÑEZ, OSCAR ELOY</t>
  </si>
  <si>
    <t>A159248</t>
  </si>
  <si>
    <t>B B01-00006594 (20620266G53G)</t>
  </si>
  <si>
    <t>B B01-00006594</t>
  </si>
  <si>
    <t>SEGURA MEJIA, LISETTY</t>
  </si>
  <si>
    <t>B B01-00006592 (20620266G53G)</t>
  </si>
  <si>
    <t>B B01-00006592</t>
  </si>
  <si>
    <t>GONZALES VINCES, MARIELA</t>
  </si>
  <si>
    <t>A159250</t>
  </si>
  <si>
    <t>B B01-00006590 (20620266G53G)</t>
  </si>
  <si>
    <t>B B01-00006590</t>
  </si>
  <si>
    <t>CASTILLO CHACALTANA, DANSLER HENSLER</t>
  </si>
  <si>
    <t>A159251</t>
  </si>
  <si>
    <t>B B01-00006589 (20620266G53G)</t>
  </si>
  <si>
    <t>B B01-00006589</t>
  </si>
  <si>
    <t>VEGA MERINO, MARIA ANTONELLA</t>
  </si>
  <si>
    <t>A159252</t>
  </si>
  <si>
    <t>B B01-00006588 (20620266G53G)</t>
  </si>
  <si>
    <t>B B01-00006588</t>
  </si>
  <si>
    <t>ARRIOLA COLMENARES, MONICA YOLANDA</t>
  </si>
  <si>
    <t>B B01-00006587 (146256147265)</t>
  </si>
  <si>
    <t>B B01-00006587</t>
  </si>
  <si>
    <t>146256147265</t>
  </si>
  <si>
    <t>A158308</t>
  </si>
  <si>
    <t>B B01-00006586 (146952293094)</t>
  </si>
  <si>
    <t>B B01-00006586</t>
  </si>
  <si>
    <t>CAMPOS VALENCIA, MARIA TERESA</t>
  </si>
  <si>
    <t>146952293094</t>
  </si>
  <si>
    <t>A158309</t>
  </si>
  <si>
    <t>F F01-00004611</t>
  </si>
  <si>
    <t>ALFREDO ORTEGA CLINICA DE DERMATOLOGIA VETERINARIA E.I.R.L.</t>
  </si>
  <si>
    <t>A150404</t>
  </si>
  <si>
    <t>F F01-00004605</t>
  </si>
  <si>
    <t>AGRO VETERINARIA MI BUEN PASTOR S.R.L.</t>
  </si>
  <si>
    <t>F F01-00004604</t>
  </si>
  <si>
    <t>A150840</t>
  </si>
  <si>
    <t>F F01-00004597</t>
  </si>
  <si>
    <t>F F01-00004595</t>
  </si>
  <si>
    <t>A150841</t>
  </si>
  <si>
    <t>B B01-00006570 (146935304984)</t>
  </si>
  <si>
    <t>B B01-00006570</t>
  </si>
  <si>
    <t>HUGHES PARDO, FELIPE JOSE MARTIN</t>
  </si>
  <si>
    <t>146935304984</t>
  </si>
  <si>
    <t>A158222</t>
  </si>
  <si>
    <t>B B01-00006568 (146237336135)</t>
  </si>
  <si>
    <t>B B01-00006568</t>
  </si>
  <si>
    <t>VELA OYOLA, ANTUANNETE IRENE</t>
  </si>
  <si>
    <t>146237336135</t>
  </si>
  <si>
    <t>A158225</t>
  </si>
  <si>
    <t>B B01-00006566 (20620266G53G)</t>
  </si>
  <si>
    <t>B B01-00006566</t>
  </si>
  <si>
    <t>A159254</t>
  </si>
  <si>
    <t>B B01-00006564 (20620266G53G)</t>
  </si>
  <si>
    <t>B B01-00006564</t>
  </si>
  <si>
    <t>MOLINO, ANDREA</t>
  </si>
  <si>
    <t>A159255</t>
  </si>
  <si>
    <t>B B01-00006561 (20620266G53G)</t>
  </si>
  <si>
    <t>B B01-00006561</t>
  </si>
  <si>
    <t>GARRIDO GAMBOA, IDALIA ESPERANZA</t>
  </si>
  <si>
    <t>A159256</t>
  </si>
  <si>
    <t>B B01-00006560 (146854765760)</t>
  </si>
  <si>
    <t>B B01-00006560</t>
  </si>
  <si>
    <t>RIOS SOLAR, MICAELA VICTORIA</t>
  </si>
  <si>
    <t>146854765760</t>
  </si>
  <si>
    <t>A158229</t>
  </si>
  <si>
    <t>B B01-00006559</t>
  </si>
  <si>
    <t>NARANJO POMALAYA, DAVID RODOLFO</t>
  </si>
  <si>
    <t>A158231</t>
  </si>
  <si>
    <t>B B01-00006558</t>
  </si>
  <si>
    <t>VALDIVIA OCHOA, YERSSON FERNANDO</t>
  </si>
  <si>
    <t>A158234</t>
  </si>
  <si>
    <t>B B01-00006557</t>
  </si>
  <si>
    <t>RODRIGUEZ ALVARADO, MARISSELA GERALDINE</t>
  </si>
  <si>
    <t>B B01-00006556 (20620266G53G)</t>
  </si>
  <si>
    <t>B B01-00006556</t>
  </si>
  <si>
    <t>MANCILLA CARRILLO, LUZ MIRELLA</t>
  </si>
  <si>
    <t>A159257</t>
  </si>
  <si>
    <t>B B01-00006555 (20620266G53G)</t>
  </si>
  <si>
    <t>B B01-00006555</t>
  </si>
  <si>
    <t>ZAPANA AHON, LUIS ANDRE</t>
  </si>
  <si>
    <t>A159258</t>
  </si>
  <si>
    <t>B B01-00006554 (20620266G53G)</t>
  </si>
  <si>
    <t>B B01-00006554</t>
  </si>
  <si>
    <t>EONOFRE MANUELO, ANA ISABEL</t>
  </si>
  <si>
    <t>A159259</t>
  </si>
  <si>
    <t>PTRP/2025/09656 (Redeem Bill of Exchange FLC-01858)</t>
  </si>
  <si>
    <t>PTRP/2025/09656</t>
  </si>
  <si>
    <t>Pago de cliente S/ 21,996.66 - DISTRIBUCIONES AGROVENS E.I.R.L. - 18/02/2026</t>
  </si>
  <si>
    <t>Redeem Bill of Exchange FLC-01858</t>
  </si>
  <si>
    <t>F F01-00004569</t>
  </si>
  <si>
    <t>F F01-00004558 (145937047397)</t>
  </si>
  <si>
    <t>F F01-00004558</t>
  </si>
  <si>
    <t>SANSEVIERIA S.A.C.S.</t>
  </si>
  <si>
    <t>145937047397</t>
  </si>
  <si>
    <t>A158195</t>
  </si>
  <si>
    <t>F D01-00000250</t>
  </si>
  <si>
    <t>F D01-00000249</t>
  </si>
  <si>
    <t>B B01-00006548 (2000011597344459-656693277)</t>
  </si>
  <si>
    <t>B B01-00006548</t>
  </si>
  <si>
    <t>MATIAS RARAZ, DENNYS JOSUE</t>
  </si>
  <si>
    <t>2000011597344459-656693277</t>
  </si>
  <si>
    <t>A158254</t>
  </si>
  <si>
    <t>B B01-00006545 (146775298492)</t>
  </si>
  <si>
    <t>B B01-00006545</t>
  </si>
  <si>
    <t>URTECHO NORIEGA, OLGA LIVIA</t>
  </si>
  <si>
    <t>146775298492</t>
  </si>
  <si>
    <t>A158259</t>
  </si>
  <si>
    <t>B B01-00006544 (20620266G53G)</t>
  </si>
  <si>
    <t>B B01-00006544</t>
  </si>
  <si>
    <t>RAMOS RODRIGUEZ, MISAEL MIGUEL</t>
  </si>
  <si>
    <t>B B01-00006543 (20620266G53G)</t>
  </si>
  <si>
    <t>B B01-00006543</t>
  </si>
  <si>
    <t>TATAJE TIRADO, TERRY VICTOR</t>
  </si>
  <si>
    <t>A159262</t>
  </si>
  <si>
    <t>B B01-00006542 (20620266G53G)</t>
  </si>
  <si>
    <t>B B01-00006542</t>
  </si>
  <si>
    <t>JARA LOPEZ, SHIRLEY STEPHANY</t>
  </si>
  <si>
    <t>B B01-00006527 (145959111005)</t>
  </si>
  <si>
    <t>B B01-00006527</t>
  </si>
  <si>
    <t>YNGA RIME, KEVIN JESUS</t>
  </si>
  <si>
    <t>145959111005</t>
  </si>
  <si>
    <t>A158220</t>
  </si>
  <si>
    <t>F F01-00004548</t>
  </si>
  <si>
    <t>F F01-00004545</t>
  </si>
  <si>
    <t>F D01-00000247</t>
  </si>
  <si>
    <t>F D01-00000246</t>
  </si>
  <si>
    <t>A157464</t>
  </si>
  <si>
    <t>B B01-00006524 (20620266G53G)</t>
  </si>
  <si>
    <t>B B01-00006524</t>
  </si>
  <si>
    <t>HUERTAS CASTILLO, LILIANA LISSET</t>
  </si>
  <si>
    <t>B B01-00006523 (145945600833)</t>
  </si>
  <si>
    <t>B B01-00006523</t>
  </si>
  <si>
    <t>145945600833</t>
  </si>
  <si>
    <t>A158185</t>
  </si>
  <si>
    <t>B B01-00006522 (146629874658)</t>
  </si>
  <si>
    <t>B B01-00006522</t>
  </si>
  <si>
    <t>ALOR RIVAS, GUSTAVO ADOLFO</t>
  </si>
  <si>
    <t>146629874658</t>
  </si>
  <si>
    <t>A158186</t>
  </si>
  <si>
    <t>B B01-00006521 (146537594768)</t>
  </si>
  <si>
    <t>B B01-00006521</t>
  </si>
  <si>
    <t>FLORES FANO, GRAZIELLA SILVANA</t>
  </si>
  <si>
    <t>146537594768</t>
  </si>
  <si>
    <t>A158251</t>
  </si>
  <si>
    <t>B B01-00006520 (20620266G53G)</t>
  </si>
  <si>
    <t>B B01-00006520</t>
  </si>
  <si>
    <t>ALARCON AROTAYPE , MILAGROS JANET</t>
  </si>
  <si>
    <t>B B01-00006511 (20620266G53G)</t>
  </si>
  <si>
    <t>B B01-00006511</t>
  </si>
  <si>
    <t>TURPO SUCASACA, JAEL DAMARIS</t>
  </si>
  <si>
    <t>A159266</t>
  </si>
  <si>
    <t>B B01-00006510 (20620266G53G)</t>
  </si>
  <si>
    <t>B B01-00006510</t>
  </si>
  <si>
    <t>SOLANO URIBE, PABLO</t>
  </si>
  <si>
    <t>A159267</t>
  </si>
  <si>
    <t>B B01-00006509 (146591717328)</t>
  </si>
  <si>
    <t>B B01-00006509</t>
  </si>
  <si>
    <t>GRUNHOLZER NICOLAS DAVID</t>
  </si>
  <si>
    <t>146591717328</t>
  </si>
  <si>
    <t>A158188</t>
  </si>
  <si>
    <t>B B01-00006507 (146548161244)</t>
  </si>
  <si>
    <t>B B01-00006507</t>
  </si>
  <si>
    <t>146548161244</t>
  </si>
  <si>
    <t>A158252</t>
  </si>
  <si>
    <t>PTRP/2025/09619 (Redeem Bill of Exchange FLC-01811)</t>
  </si>
  <si>
    <t>PTRP/2025/09619</t>
  </si>
  <si>
    <t>AGROVETERINARIA MARKET MATEO`S S.C.R.L</t>
  </si>
  <si>
    <t>Pago de cliente S/ 57,801.66 - AGROVETERINARIA MARKET MATEO`S S.C.R.L - 16/02/2026</t>
  </si>
  <si>
    <t>Redeem Bill of Exchange FLC-01811</t>
  </si>
  <si>
    <t>PTRP/2025/09616 (Redeem Bill of Exchange FLC-01853)</t>
  </si>
  <si>
    <t>PTRP/2025/09616</t>
  </si>
  <si>
    <t>Pago de cliente S/ 20,963.46 - DISTRIBUCIONES AGROVET GRANDEZ TARAPOTO S.R.L. - 16/02/2026</t>
  </si>
  <si>
    <t>Redeem Bill of Exchange FLC-01853</t>
  </si>
  <si>
    <t>PTRP/2025/09615 (Redeem Bill of Exchange FLC-01844)</t>
  </si>
  <si>
    <t>PTRP/2025/09615</t>
  </si>
  <si>
    <t>Pago de cliente S/ 12,158.70 - DISTRIBUCIONES AGROVET GRANDEZ TARAPOTO S.R.L. - 16/02/2026</t>
  </si>
  <si>
    <t>Redeem Bill of Exchange FLC-01844</t>
  </si>
  <si>
    <t>PTRP/2025/09610 (Redeem Bill of Exchange FLC-01814)</t>
  </si>
  <si>
    <t>PTRP/2025/09610</t>
  </si>
  <si>
    <t>Pago de cliente S/ 35,931.96 - DISTRIBUCIONES AGROVET GRANDEZ TARAPOTO S.R.L. - 16/02/2026</t>
  </si>
  <si>
    <t>Redeem Bill of Exchange FLC-01814</t>
  </si>
  <si>
    <t>PTRP/2025/09599 (Redeem Bill of Exchange FLC-01781)</t>
  </si>
  <si>
    <t>PTRP/2025/09599</t>
  </si>
  <si>
    <t>Pago de cliente S/ 24,806.88 - REPRESENTACIONES DURAND S.A.C. - 16/02/2026</t>
  </si>
  <si>
    <t>Redeem Bill of Exchange FLC-01781</t>
  </si>
  <si>
    <t>PTRP/2025/09598 (Redeem Bill of Exchange FLC-01806)</t>
  </si>
  <si>
    <t>PTRP/2025/09598</t>
  </si>
  <si>
    <t>Pago de cliente S/ 91,680.75 - REPRESENTACIONES DURAND S.A.C. - 16/02/2026</t>
  </si>
  <si>
    <t>Redeem Bill of Exchange FLC-01806</t>
  </si>
  <si>
    <t>B B01-00006505 (20620266G53G)</t>
  </si>
  <si>
    <t>B B01-00006505</t>
  </si>
  <si>
    <t>B B01-00006504 (2000011581106015-656693277)</t>
  </si>
  <si>
    <t>B B01-00006504</t>
  </si>
  <si>
    <t>SHEARAR LINDEN JAMES</t>
  </si>
  <si>
    <t>2000011581106015-656693277</t>
  </si>
  <si>
    <t>A158174</t>
  </si>
  <si>
    <t>B B01-00006503 (20620266G53G)</t>
  </si>
  <si>
    <t>B B01-00006503</t>
  </si>
  <si>
    <t>ARIZOLA GORDILLO, VANESA CECILIA</t>
  </si>
  <si>
    <t>A159268</t>
  </si>
  <si>
    <t>B B01-00006502 (146206627572)</t>
  </si>
  <si>
    <t>B B01-00006502</t>
  </si>
  <si>
    <t>SOPLA RODRIGUEZ, CRISTIAN MARCELO</t>
  </si>
  <si>
    <t>146206627572</t>
  </si>
  <si>
    <t>A158176</t>
  </si>
  <si>
    <t>B B01-00006501 (145654713135)</t>
  </si>
  <si>
    <t>B B01-00006501</t>
  </si>
  <si>
    <t>DIAZ SANDOVAL, DANIA ALEXANDRA</t>
  </si>
  <si>
    <t>145654713135</t>
  </si>
  <si>
    <t>A158181</t>
  </si>
  <si>
    <t>B B01-00006500 (20620266G53G)</t>
  </si>
  <si>
    <t>B B01-00006500</t>
  </si>
  <si>
    <t>QUISPE PIRCA, MILAGROS</t>
  </si>
  <si>
    <t>B B01-00006499 (20620266G53G)</t>
  </si>
  <si>
    <t>B B01-00006499</t>
  </si>
  <si>
    <t>RAMOS MAMANI, YULY STELA</t>
  </si>
  <si>
    <t>B B01-00006498 (20620266G53G)</t>
  </si>
  <si>
    <t>B B01-00006498</t>
  </si>
  <si>
    <t>SALSAVILCA PEREZ, TATIANA CARMEN</t>
  </si>
  <si>
    <t>A159271</t>
  </si>
  <si>
    <t>B B01-00006495</t>
  </si>
  <si>
    <t>ALFARO GASTELO ANDREW ESMITH</t>
  </si>
  <si>
    <t>B B01-00006494 (20620266G53G)</t>
  </si>
  <si>
    <t>B B01-00006494</t>
  </si>
  <si>
    <t>CHAVEZ IBERICO, ERIA ISABEL</t>
  </si>
  <si>
    <t>B B01-00006493 (20620266G53G)</t>
  </si>
  <si>
    <t>B B01-00006493</t>
  </si>
  <si>
    <t>FIGUEROA SILVA, MARIA GIULIANA</t>
  </si>
  <si>
    <t>A159273</t>
  </si>
  <si>
    <t>B B01-00006490 (146145621072)</t>
  </si>
  <si>
    <t>B B01-00006490</t>
  </si>
  <si>
    <t>CALERO ALVAREZ, SANTIAGO</t>
  </si>
  <si>
    <t>146145621072</t>
  </si>
  <si>
    <t>A158184</t>
  </si>
  <si>
    <t>B B01-00006488</t>
  </si>
  <si>
    <t>CUNO OBANDO, NATALY NOELIA</t>
  </si>
  <si>
    <t>A158173</t>
  </si>
  <si>
    <t>B B01-00006482 (20620266G53G)</t>
  </si>
  <si>
    <t>B B01-00006482</t>
  </si>
  <si>
    <t>VARES MUÑOZ, CARLA TEREZA</t>
  </si>
  <si>
    <t>A159274</t>
  </si>
  <si>
    <t>B B01-00006481 (20620266G53G)</t>
  </si>
  <si>
    <t>B B01-00006481</t>
  </si>
  <si>
    <t>ARANA BAUTISTA, RITA ALEXANDRA</t>
  </si>
  <si>
    <t>A159275</t>
  </si>
  <si>
    <t>B B01-00006480 (20620266G53G)</t>
  </si>
  <si>
    <t>B B01-00006480</t>
  </si>
  <si>
    <t>ROLDAN GIRALDO, KAREN ALEXANDRA NAHOMY</t>
  </si>
  <si>
    <t>A159276</t>
  </si>
  <si>
    <t>F D01-00000245</t>
  </si>
  <si>
    <t>B B01-00006457 (20620266G53G)</t>
  </si>
  <si>
    <t>B B01-00006457</t>
  </si>
  <si>
    <t>GONZALES CONDORI, HARRY YEISON</t>
  </si>
  <si>
    <t>A159277</t>
  </si>
  <si>
    <t>B B01-00006456 (2000011513450319-656693277)</t>
  </si>
  <si>
    <t>B B01-00006456</t>
  </si>
  <si>
    <t>YANA MOTTA, DAFNY MARGOTH</t>
  </si>
  <si>
    <t>2000011513450319-656693277</t>
  </si>
  <si>
    <t>A158168</t>
  </si>
  <si>
    <t>B B01-00006455 (20620266G53G)</t>
  </si>
  <si>
    <t>B B01-00006455</t>
  </si>
  <si>
    <t>MOSTACERO VELARDE, ISABELLA MARIBEL</t>
  </si>
  <si>
    <t>A159278</t>
  </si>
  <si>
    <t>PTRP/2025/09562 (Redeem Bill of Exchange FLC-01779)</t>
  </si>
  <si>
    <t>PTRP/2025/09562</t>
  </si>
  <si>
    <t>Pago de cliente S/ 7,180.92 - UNIVERSO VETERINARIO SAC - 11/02/2026</t>
  </si>
  <si>
    <t>Redeem Bill of Exchange FLC-01779</t>
  </si>
  <si>
    <t>F F01-00004482</t>
  </si>
  <si>
    <t>F D01-00000243</t>
  </si>
  <si>
    <t>B B01-00006451 (20620266G53G)</t>
  </si>
  <si>
    <t>B B01-00006451</t>
  </si>
  <si>
    <t>SALAZAR TORRES, JUAN CARLOS</t>
  </si>
  <si>
    <t>A159279</t>
  </si>
  <si>
    <t>B B01-00006450 (20620266G53G)</t>
  </si>
  <si>
    <t>B B01-00006450</t>
  </si>
  <si>
    <t>YANA LAURA, ELIANA</t>
  </si>
  <si>
    <t>B B01-00006448 (20620266G53G)</t>
  </si>
  <si>
    <t>B B01-00006448</t>
  </si>
  <si>
    <t>LINARES LINARES, VERONIKA KETA NOELIA</t>
  </si>
  <si>
    <t>B B01-00006447 (20620266G53G)</t>
  </si>
  <si>
    <t>B B01-00006447</t>
  </si>
  <si>
    <t>TELLEZ CHIRINOS, WALTER ANDREE EPIFANI</t>
  </si>
  <si>
    <t>A159282</t>
  </si>
  <si>
    <t>B B01-00006446 (20620266G53G)</t>
  </si>
  <si>
    <t>B B01-00006446</t>
  </si>
  <si>
    <t>VIALE MONGRUT, LORENA</t>
  </si>
  <si>
    <t>A159283</t>
  </si>
  <si>
    <t>B B01-00006445 (20620266G53G)</t>
  </si>
  <si>
    <t>B B01-00006445</t>
  </si>
  <si>
    <t>SAKANISHI MIYAKAWA, IVAN HIROSHI</t>
  </si>
  <si>
    <t>A159284</t>
  </si>
  <si>
    <t>B B01-00006444</t>
  </si>
  <si>
    <t>ESPINOZA SALAZAR, EMILIA ALEJANDRA</t>
  </si>
  <si>
    <t>B B01-00006440 (145018518567)</t>
  </si>
  <si>
    <t>B B01-00006440</t>
  </si>
  <si>
    <t>CHAVEZ VALDIVIEZO, ESTELA YOLANDA</t>
  </si>
  <si>
    <t>145018518567</t>
  </si>
  <si>
    <t>A158162</t>
  </si>
  <si>
    <t>B B01-00006439 (2000011496426547-656693277)</t>
  </si>
  <si>
    <t>B B01-00006439</t>
  </si>
  <si>
    <t>MUNIVE SANCHEZ, JEREMY JOAQUIN</t>
  </si>
  <si>
    <t>2000011496426547-656693277</t>
  </si>
  <si>
    <t>A158166</t>
  </si>
  <si>
    <t>B B01-00006437 (20620266G53G)</t>
  </si>
  <si>
    <t>B B01-00006437</t>
  </si>
  <si>
    <t>RUIZ LAVADO, MAYCOOL FREDY</t>
  </si>
  <si>
    <t>A159285</t>
  </si>
  <si>
    <t>B B01-00006435 (2000011491373071-656693277)</t>
  </si>
  <si>
    <t>B B01-00006435</t>
  </si>
  <si>
    <t>PAEZ HILARIO, JOSE MANUEL</t>
  </si>
  <si>
    <t>2000011491373071-656693277</t>
  </si>
  <si>
    <t>A158146</t>
  </si>
  <si>
    <t>B B01-00006431 (145578884306)</t>
  </si>
  <si>
    <t>B B01-00006431</t>
  </si>
  <si>
    <t>KARLSEN ERIC</t>
  </si>
  <si>
    <t>145578884306</t>
  </si>
  <si>
    <t>A158150</t>
  </si>
  <si>
    <t>B B01-00006430 (145577688136)</t>
  </si>
  <si>
    <t>B B01-00006430</t>
  </si>
  <si>
    <t>MORENO POLANCO, DEBORAH MARGOT</t>
  </si>
  <si>
    <t>145577688136</t>
  </si>
  <si>
    <t>A158151</t>
  </si>
  <si>
    <t>B B01-00006429 (2000011479306101-656693277)</t>
  </si>
  <si>
    <t>B B01-00006429</t>
  </si>
  <si>
    <t>SEGOVIA AVENDAÑO, ALFREDO</t>
  </si>
  <si>
    <t>2000011479306101-656693277</t>
  </si>
  <si>
    <t>A158153</t>
  </si>
  <si>
    <t>B B01-00006428 (145542564420)</t>
  </si>
  <si>
    <t>B B01-00006428</t>
  </si>
  <si>
    <t>MEJIA PUICON, BRIYAN ANTHONY JESUS</t>
  </si>
  <si>
    <t>145542564420</t>
  </si>
  <si>
    <t>A158161</t>
  </si>
  <si>
    <t>PTRP/2025/09370 (Redeem Bill of Exchange FLC-01809)</t>
  </si>
  <si>
    <t>PTRP/2025/09370</t>
  </si>
  <si>
    <t>Pago de cliente S/ 10,495.40 - TOP VETERINARIA S.A.C. - 09/02/2026</t>
  </si>
  <si>
    <t>Redeem Bill of Exchange FLC-01809</t>
  </si>
  <si>
    <t>PTRP/2025/09353 (Redeem Bill of Exchange FLC-01821)</t>
  </si>
  <si>
    <t>PTRP/2025/09353</t>
  </si>
  <si>
    <t>VETER PERU SOCIEDAD ANONIMA CERRADA</t>
  </si>
  <si>
    <t>Pago de cliente S/ 60,330.76 - VETER PERU SOCIEDAD ANONIMA CERRADA - 09/02/2026</t>
  </si>
  <si>
    <t>Redeem Bill of Exchange FLC-01821</t>
  </si>
  <si>
    <t>F F01-00004454</t>
  </si>
  <si>
    <t>F F01-00004445</t>
  </si>
  <si>
    <t>SAN FERNANDO S.A.</t>
  </si>
  <si>
    <t>A149268</t>
  </si>
  <si>
    <t>B B01-00006417</t>
  </si>
  <si>
    <t>HAMMER DIAZ, KLAUS CHRISTOPHER</t>
  </si>
  <si>
    <t>A158964</t>
  </si>
  <si>
    <t>B B01-00006416</t>
  </si>
  <si>
    <t>MISAICO PALOMINO, CHRISTIAN JAVIER</t>
  </si>
  <si>
    <t>B B01-00006415 (145388068864)</t>
  </si>
  <si>
    <t>B B01-00006415</t>
  </si>
  <si>
    <t>ZAMORA BEYK, HERCY GABRIELA</t>
  </si>
  <si>
    <t>145388068864</t>
  </si>
  <si>
    <t>B B01-00006414 (145365620784)</t>
  </si>
  <si>
    <t>B B01-00006414</t>
  </si>
  <si>
    <t>ZAKIMI NAKASONE, ERICA MIDORI</t>
  </si>
  <si>
    <t>145365620784</t>
  </si>
  <si>
    <t>B B01-00006413 (144656603895)</t>
  </si>
  <si>
    <t>B B01-00006413</t>
  </si>
  <si>
    <t>FLORES GALARZA, PRYSCILA ANGELICA</t>
  </si>
  <si>
    <t>144656603895</t>
  </si>
  <si>
    <t>A158250</t>
  </si>
  <si>
    <t>B B01-00006412 (145204670498)</t>
  </si>
  <si>
    <t>B B01-00006412</t>
  </si>
  <si>
    <t>TERRY NUÑEZ, NELLY DIANA</t>
  </si>
  <si>
    <t>145204670498</t>
  </si>
  <si>
    <t>A158123</t>
  </si>
  <si>
    <t>B B01-00006411 (144483187955)</t>
  </si>
  <si>
    <t>B B01-00006411</t>
  </si>
  <si>
    <t>LONGOBARDI MELENDEZ, CARLOS ALBERTO</t>
  </si>
  <si>
    <t>144483187955</t>
  </si>
  <si>
    <t>A158134</t>
  </si>
  <si>
    <t>B B01-00006410 (2000011429978445)</t>
  </si>
  <si>
    <t>B B01-00006410</t>
  </si>
  <si>
    <t>COCHACHI PUENTE DE LA VEGA, MIGUEL ANGEL BRIAN</t>
  </si>
  <si>
    <t>2000011429978445</t>
  </si>
  <si>
    <t>A158138</t>
  </si>
  <si>
    <t>B B01-00006409</t>
  </si>
  <si>
    <t>DU TONG</t>
  </si>
  <si>
    <t>A158966</t>
  </si>
  <si>
    <t>B B01-00006408 (20620266G53G)</t>
  </si>
  <si>
    <t>B B01-00006408</t>
  </si>
  <si>
    <t>SILVA ESPINOZA, IVANA MADELEINE</t>
  </si>
  <si>
    <t>A159286</t>
  </si>
  <si>
    <t>B B01-00006407 (20620266G53G)</t>
  </si>
  <si>
    <t>B B01-00006407</t>
  </si>
  <si>
    <t>MAMANI FLORES, NINFA NIDIA</t>
  </si>
  <si>
    <t>A159287</t>
  </si>
  <si>
    <t>B B01-00006403 (144446436835)</t>
  </si>
  <si>
    <t>B B01-00006403</t>
  </si>
  <si>
    <t>BOCANEGRA USHIÑAHUA, PEDRO ANTONIO</t>
  </si>
  <si>
    <t>144446436835</t>
  </si>
  <si>
    <t>A158141</t>
  </si>
  <si>
    <t>F F01-00004425</t>
  </si>
  <si>
    <t>B B01-00006399</t>
  </si>
  <si>
    <t>CHAVEZ CHAVEZ, MARIA PAOLA</t>
  </si>
  <si>
    <t>A158960</t>
  </si>
  <si>
    <t>B B01-00006398 (2000011421862317)</t>
  </si>
  <si>
    <t>B B01-00006398</t>
  </si>
  <si>
    <t>VENTURA CALCINA, DIEGO GABRIEL</t>
  </si>
  <si>
    <t>2000011421862317</t>
  </si>
  <si>
    <t>A158099</t>
  </si>
  <si>
    <t>B B01-00006397</t>
  </si>
  <si>
    <t>SULCA RIVERA, JULISSA</t>
  </si>
  <si>
    <t>A158961</t>
  </si>
  <si>
    <t>B B01-00006396 (2000011412683487)</t>
  </si>
  <si>
    <t>B B01-00006396</t>
  </si>
  <si>
    <t>GORDON FIGUEROA, LUCERO LUCCIANA</t>
  </si>
  <si>
    <t>2000011412683487</t>
  </si>
  <si>
    <t>A158247</t>
  </si>
  <si>
    <t>B B01-00006392 (2000011408458941)</t>
  </si>
  <si>
    <t>B B01-00006392</t>
  </si>
  <si>
    <t>2000011408458941</t>
  </si>
  <si>
    <t>B B01-00006390</t>
  </si>
  <si>
    <t>LA ROSA VIDAL, MARTHA PATRICIA</t>
  </si>
  <si>
    <t>A158954</t>
  </si>
  <si>
    <t>B B01-00006387</t>
  </si>
  <si>
    <t>GONZALES VASQUEZ, JOSELIN DEL PILAR</t>
  </si>
  <si>
    <t>A158955</t>
  </si>
  <si>
    <t>B B01-00006385</t>
  </si>
  <si>
    <t>QUINTO MAMANI, YOUSEL MELISSA</t>
  </si>
  <si>
    <t>A158958</t>
  </si>
  <si>
    <t>B B01-00006381 (144134847547)</t>
  </si>
  <si>
    <t>B B01-00006381</t>
  </si>
  <si>
    <t>OLIVERA ANGELES, CINTHYA SOLEDAD</t>
  </si>
  <si>
    <t>144134847547</t>
  </si>
  <si>
    <t>A158097</t>
  </si>
  <si>
    <t>B B01-00006380</t>
  </si>
  <si>
    <t>VARGAS RODRIGUEZ, MAIRA FERNANDA</t>
  </si>
  <si>
    <t>PTRP/2025/09159 (Redeem Bill of Exchange FLC-01802)</t>
  </si>
  <si>
    <t>PTRP/2025/09159</t>
  </si>
  <si>
    <t>INVERSIONES Y SERVICIOS VETERINARIO COTOS S.A.C.</t>
  </si>
  <si>
    <t>Pago de cliente S/ 11,922.54 - INVERSIONES Y SERVICIOS VETERINARIO COTOS S.A.C. - 04/02/2026</t>
  </si>
  <si>
    <t>Redeem Bill of Exchange FLC-01802</t>
  </si>
  <si>
    <t>PTRP/2025/09155 (Redeem Bill of Exchange FLC-01776)</t>
  </si>
  <si>
    <t>PTRP/2025/09155</t>
  </si>
  <si>
    <t>Pago de cliente S/ 56,429.17 - REPRESENTACIONES DURAND S.A.C. - 04/02/2026</t>
  </si>
  <si>
    <t>Redeem Bill of Exchange FLC-01776</t>
  </si>
  <si>
    <t>PTRP/2025/09128 (Redeem Bill of Exchange FLC-01768)</t>
  </si>
  <si>
    <t>PTRP/2025/09128</t>
  </si>
  <si>
    <t>CORPORACION VETLAND SOCIEDAD COMERCIAL DE REPONSABILIDAD LIMITADA - CORPORACION VETLAND S.R.L.</t>
  </si>
  <si>
    <t>Pago de cliente S/ 10,678.05 - CORPORACION VETLAND SOCIEDAD COMERCIAL DE REPONSABILIDAD LIMITADA - CORPORACION VETLAND S.R.L. - 04/02/2026</t>
  </si>
  <si>
    <t>Redeem Bill of Exchange FLC-01768</t>
  </si>
  <si>
    <t>F F01-00004397</t>
  </si>
  <si>
    <t>F D01-00000239</t>
  </si>
  <si>
    <t>B B01-00006372</t>
  </si>
  <si>
    <t>PACHECO CHIONG, NELLY CRISTINA</t>
  </si>
  <si>
    <t>A158949</t>
  </si>
  <si>
    <t>B B01-00006368</t>
  </si>
  <si>
    <t>ASTUDILLO MENDOZA, GLORIA MARIA</t>
  </si>
  <si>
    <t>A158951</t>
  </si>
  <si>
    <t>F F01-00004391</t>
  </si>
  <si>
    <t>F F01-00004387</t>
  </si>
  <si>
    <t>F F01-00004372</t>
  </si>
  <si>
    <t>B B01-00006352</t>
  </si>
  <si>
    <t>A158940</t>
  </si>
  <si>
    <t>B B01-00006347</t>
  </si>
  <si>
    <t>MILLA HURTADO, MARIA TERESA</t>
  </si>
  <si>
    <t>A158945</t>
  </si>
  <si>
    <t>B B01-00006346</t>
  </si>
  <si>
    <t>SALDAÑA MENDOZA, BRIAN GUISEPPE</t>
  </si>
  <si>
    <t>A158947</t>
  </si>
  <si>
    <t>PTRP/2025/09081 (Redeem Bill of Exchange FLC-01782)</t>
  </si>
  <si>
    <t>PTRP/2025/09081</t>
  </si>
  <si>
    <t>Pago de cliente S/ 69,270.67 - GRUPO CONSORCIO VETERINARIO S.A.C. - 02/02/2026</t>
  </si>
  <si>
    <t>Redeem Bill of Exchange FLC-01782</t>
  </si>
  <si>
    <t>F F01-00004375</t>
  </si>
  <si>
    <t>B B01-00006327</t>
  </si>
  <si>
    <t>QUISPE MENDIETA, PAMELA MERCEDES</t>
  </si>
  <si>
    <t>A158938</t>
  </si>
  <si>
    <t>B B01-00006326</t>
  </si>
  <si>
    <t>KAMIZONO CAMPOS, YASURI NAOMY</t>
  </si>
  <si>
    <t>B B01-00006325</t>
  </si>
  <si>
    <t>CASAS HERNANDEZ, MIGUEL JESUS</t>
  </si>
  <si>
    <t>B B01-00006319</t>
  </si>
  <si>
    <t>OTINIANO QUISPE, EDITH ELIZABETH</t>
  </si>
  <si>
    <t>F F01-00004354</t>
  </si>
  <si>
    <t>F F01-00004347</t>
  </si>
  <si>
    <t>F D01-00000238</t>
  </si>
  <si>
    <t>PTRP/2025/09078 (Redeem Bill of Exchange FLC-01788)</t>
  </si>
  <si>
    <t>PTRP/2025/09078</t>
  </si>
  <si>
    <t>Pago de cliente S/ 12,038.82 - NOVAFARMA S.A.C. - 29/01/2026</t>
  </si>
  <si>
    <t>Redeem Bill of Exchange FLC-01788</t>
  </si>
  <si>
    <t>PTRP/2025/09077 (Redeem Bill of Exchange FLC-01784)</t>
  </si>
  <si>
    <t>PTRP/2025/09077</t>
  </si>
  <si>
    <t>Pago de cliente S/ 83,588.19 - NOVAFARMA S.A.C. - 29/01/2026</t>
  </si>
  <si>
    <t>Redeem Bill of Exchange FLC-01784</t>
  </si>
  <si>
    <t>PTRP/2025/09075 (Redeem Bill of Exchange FLC-01770)</t>
  </si>
  <si>
    <t>PTRP/2025/09075</t>
  </si>
  <si>
    <t>Pago de cliente S/ 9,627.40 - NOVAFARMA S.A.C. - 29/01/2026</t>
  </si>
  <si>
    <t>Redeem Bill of Exchange FLC-01770</t>
  </si>
  <si>
    <t>F F01-00004335</t>
  </si>
  <si>
    <t>F F01-00004323</t>
  </si>
  <si>
    <t>F F01-00004320</t>
  </si>
  <si>
    <t>PAW RANGERS S.A.C.</t>
  </si>
  <si>
    <t>A151605</t>
  </si>
  <si>
    <t>B B01-00006305</t>
  </si>
  <si>
    <t>A158933</t>
  </si>
  <si>
    <t>B B01-00006304</t>
  </si>
  <si>
    <t>A158935</t>
  </si>
  <si>
    <t>PTRP/2025/09048 (Redeem Bill of Exchange FLC-01765)</t>
  </si>
  <si>
    <t>PTRP/2025/09048</t>
  </si>
  <si>
    <t>Pago de cliente S/ 15,413.88 - AGROCOMERCIO S.A.C. - 28/01/2026</t>
  </si>
  <si>
    <t>Redeem Bill of Exchange FLC-01765</t>
  </si>
  <si>
    <t>PTRP/2025/09043 (Redeem Bill of Exchange FLC-01755)</t>
  </si>
  <si>
    <t>PTRP/2025/09043</t>
  </si>
  <si>
    <t>Pago de cliente S/ 107,498.96 - CORPORACION FARMACEUTICA VETERINARIA SOCIEDAD ANONIMA CERRADA - 28/01/2026</t>
  </si>
  <si>
    <t>Redeem Bill of Exchange FLC-01755</t>
  </si>
  <si>
    <t>F F01-00004304</t>
  </si>
  <si>
    <t>F F01-00004294</t>
  </si>
  <si>
    <t>BCP01/2025/13340</t>
  </si>
  <si>
    <t>PEREIRA FUENTES, EIGLY YARITZA</t>
  </si>
  <si>
    <t>B B01-00006299</t>
  </si>
  <si>
    <t>ALEGRIA ORE, OLIVA</t>
  </si>
  <si>
    <t>A158921</t>
  </si>
  <si>
    <t>B B01-00006297</t>
  </si>
  <si>
    <t>SEMAK MARIYA</t>
  </si>
  <si>
    <t>A158927</t>
  </si>
  <si>
    <t>B B01-00006295</t>
  </si>
  <si>
    <t>VARAS RUIZ, MARITZA</t>
  </si>
  <si>
    <t>A158930</t>
  </si>
  <si>
    <t>F F01-00004278</t>
  </si>
  <si>
    <t>A153927</t>
  </si>
  <si>
    <t>B B01-00006252</t>
  </si>
  <si>
    <t>A158915</t>
  </si>
  <si>
    <t>B B01-00006247</t>
  </si>
  <si>
    <t>RAMOS SANDOVAL, MAURICIO SALVATORE</t>
  </si>
  <si>
    <t>A158916</t>
  </si>
  <si>
    <t>B B01-00006246</t>
  </si>
  <si>
    <t>RUIZ GALLOSO, SOFIA PIERINA</t>
  </si>
  <si>
    <t>A158918</t>
  </si>
  <si>
    <t>F F01-00004252</t>
  </si>
  <si>
    <t>F F01-00004242</t>
  </si>
  <si>
    <t>B B01-00006238</t>
  </si>
  <si>
    <t>CALLE RIVERA, CINTIA DEL PILAR</t>
  </si>
  <si>
    <t>A158909</t>
  </si>
  <si>
    <t>B B01-00006235</t>
  </si>
  <si>
    <t>OLANO TEJADA, SILVIA REBECA</t>
  </si>
  <si>
    <t>A158910</t>
  </si>
  <si>
    <t>B B01-00006229</t>
  </si>
  <si>
    <t>CHUMPITAZ PAUCAR, SHEILA ISABEL SUDEI</t>
  </si>
  <si>
    <t>B B01-00006228</t>
  </si>
  <si>
    <t>PAUCAR VALDIVIA, KATHERIN YOHANA</t>
  </si>
  <si>
    <t>B B01-00006226</t>
  </si>
  <si>
    <t>DE LA CRUZ KU, JOSE LUIS</t>
  </si>
  <si>
    <t>B B01-00006223</t>
  </si>
  <si>
    <t>CALDERON ROJAS, ROSA IRENE</t>
  </si>
  <si>
    <t>A158911</t>
  </si>
  <si>
    <t>B B01-00006221</t>
  </si>
  <si>
    <t>MAYO DE LA CRUZ, NILA</t>
  </si>
  <si>
    <t>A158912</t>
  </si>
  <si>
    <t>B B01-00006217</t>
  </si>
  <si>
    <t>FANARRAGA PICHILINGUE, ROCIO JESUS</t>
  </si>
  <si>
    <t>B B01-00006216</t>
  </si>
  <si>
    <t>SAAVEDRA COELLO, JOSUE ALVARO</t>
  </si>
  <si>
    <t>A158913</t>
  </si>
  <si>
    <t>B B01-00006215</t>
  </si>
  <si>
    <t>MARCHAN NORIEGA, WEENNY</t>
  </si>
  <si>
    <t>A158914</t>
  </si>
  <si>
    <t>F F01-00004240</t>
  </si>
  <si>
    <t>F F01-00004233</t>
  </si>
  <si>
    <t>F F01-00004229</t>
  </si>
  <si>
    <t>F F01-00004221</t>
  </si>
  <si>
    <t>B B01-00006197</t>
  </si>
  <si>
    <t>SILVA ZAVALA, KATTY SHELLEY</t>
  </si>
  <si>
    <t>A158907</t>
  </si>
  <si>
    <t>B B01-00006196</t>
  </si>
  <si>
    <t>POLAR RAMIREZ, GIANCARLO EMILIO</t>
  </si>
  <si>
    <t>B B01-00006191</t>
  </si>
  <si>
    <t>QUINTANILLA CALDERON, KARLA SILVIA</t>
  </si>
  <si>
    <t>A158908</t>
  </si>
  <si>
    <t>F F01-00004207</t>
  </si>
  <si>
    <t>F F01-00004200</t>
  </si>
  <si>
    <t>B B01-00006168</t>
  </si>
  <si>
    <t>CHUQUITAPA CHALLCO, EDER ROMARIO</t>
  </si>
  <si>
    <t>A158901</t>
  </si>
  <si>
    <t>B B01-00006167</t>
  </si>
  <si>
    <t>BARRERA HUAMAN, JESSENIA ANTWANE</t>
  </si>
  <si>
    <t>A158902</t>
  </si>
  <si>
    <t>B B01-00006166</t>
  </si>
  <si>
    <t>VARGAS ABANTO, MARIEL ANDREA</t>
  </si>
  <si>
    <t>A158903</t>
  </si>
  <si>
    <t>B B01-00006165</t>
  </si>
  <si>
    <t>MENDOZA JUAREZ, CYNTHIA JULISSA</t>
  </si>
  <si>
    <t>A158904</t>
  </si>
  <si>
    <t>B B01-00006164</t>
  </si>
  <si>
    <t>A158905</t>
  </si>
  <si>
    <t>B B01-00006161</t>
  </si>
  <si>
    <t>BETANCUR ROJAS PAULA ANDREA</t>
  </si>
  <si>
    <t>A158906</t>
  </si>
  <si>
    <t>F F01-00004192</t>
  </si>
  <si>
    <t>F F01-00004185</t>
  </si>
  <si>
    <t>A148889</t>
  </si>
  <si>
    <t>F F01-00004181</t>
  </si>
  <si>
    <t>A142917</t>
  </si>
  <si>
    <t>BCP01/2025/13166</t>
  </si>
  <si>
    <t>B C01-00000164</t>
  </si>
  <si>
    <t>GARCIA FIESTAS, JOSE AURELIO</t>
  </si>
  <si>
    <t>B B01-00006154</t>
  </si>
  <si>
    <t>CHOCCE QUISPE, FREDY ROBERTH</t>
  </si>
  <si>
    <t>A158900</t>
  </si>
  <si>
    <t>F F01-00004169</t>
  </si>
  <si>
    <t>F F01-00004163</t>
  </si>
  <si>
    <t>F C01-00000272</t>
  </si>
  <si>
    <t>B B01-00006137</t>
  </si>
  <si>
    <t>GOMEZ ADRIAM</t>
  </si>
  <si>
    <t>A158896</t>
  </si>
  <si>
    <t>B B01-00006135</t>
  </si>
  <si>
    <t>GALVEZ ZARATE MARIANA ISABEL</t>
  </si>
  <si>
    <t>A158897</t>
  </si>
  <si>
    <t>B B01-00006134</t>
  </si>
  <si>
    <t>ROMERO HUAMAN ROGER PEDRO</t>
  </si>
  <si>
    <t>A158898</t>
  </si>
  <si>
    <t>B B01-00006133</t>
  </si>
  <si>
    <t>VALDIVIA ALEXANDRA</t>
  </si>
  <si>
    <t>A158899</t>
  </si>
  <si>
    <t>B B01-00006120</t>
  </si>
  <si>
    <t>ALVAREZ CARDENAS PEDRO CARLOS</t>
  </si>
  <si>
    <t>B B01-00006119</t>
  </si>
  <si>
    <t>PINTADO GOMEZ ROSSMERY</t>
  </si>
  <si>
    <t>B B01-00006118</t>
  </si>
  <si>
    <t>FLORIANO SERNA, TATIANA FERNANDINA</t>
  </si>
  <si>
    <t>B B01-00006110</t>
  </si>
  <si>
    <t>PEREZ OYAGUE JONNY HUGO</t>
  </si>
  <si>
    <t>B B01-00006093</t>
  </si>
  <si>
    <t>LEON APAZA, ANGELA</t>
  </si>
  <si>
    <t>A158888</t>
  </si>
  <si>
    <t>B B01-00006092</t>
  </si>
  <si>
    <t>CASTAÑEDA HIDALGO ANDRE JESUS</t>
  </si>
  <si>
    <t>A158889</t>
  </si>
  <si>
    <t>B B01-00006091</t>
  </si>
  <si>
    <t>REYES NAVARRETE MARCO ANTONIO</t>
  </si>
  <si>
    <t>B B01-00006087</t>
  </si>
  <si>
    <t>SALVADOR FLORES MALU ZENOVIA</t>
  </si>
  <si>
    <t>A158891</t>
  </si>
  <si>
    <t>B B01-00006081</t>
  </si>
  <si>
    <t>ZEGARRA TAPIA CARMEN ROSA</t>
  </si>
  <si>
    <t>B B01-00006080</t>
  </si>
  <si>
    <t>TELLO BLANCA</t>
  </si>
  <si>
    <t>A158893</t>
  </si>
  <si>
    <t>B B01-00006079</t>
  </si>
  <si>
    <t>SALCEDO ORTIZ LUIS ENRIQUE</t>
  </si>
  <si>
    <t>A158894</t>
  </si>
  <si>
    <t>F C01-00000268</t>
  </si>
  <si>
    <t>B B01-00006073</t>
  </si>
  <si>
    <t>A158882</t>
  </si>
  <si>
    <t>B B01-00006071</t>
  </si>
  <si>
    <t>BECERRA LEONARDO AZUCENA CLEMENTINA</t>
  </si>
  <si>
    <t>A158883</t>
  </si>
  <si>
    <t>B B01-00006068</t>
  </si>
  <si>
    <t>CALDERON OJEDA, JORGE UMBERTO</t>
  </si>
  <si>
    <t>B B01-00006065</t>
  </si>
  <si>
    <t>A158885</t>
  </si>
  <si>
    <t>B B01-00006064</t>
  </si>
  <si>
    <t>PAREDES ROSALES MILAGROS LUCIA</t>
  </si>
  <si>
    <t>A158886</t>
  </si>
  <si>
    <t>B B01-00006057</t>
  </si>
  <si>
    <t>GODOY VILA VICTORIA ANGELICA</t>
  </si>
  <si>
    <t>B B01-00006053</t>
  </si>
  <si>
    <t>A158864</t>
  </si>
  <si>
    <t>B B01-00006052</t>
  </si>
  <si>
    <t>NUNTON CORDOVA KAREN MELISSA</t>
  </si>
  <si>
    <t>A158866</t>
  </si>
  <si>
    <t>B B01-00006051</t>
  </si>
  <si>
    <t>MONTALVO CARRASCO, JOSE ABEL</t>
  </si>
  <si>
    <t>A158868</t>
  </si>
  <si>
    <t>B B01-00006050</t>
  </si>
  <si>
    <t>BARREDA MARCANTONIO DENISE MARIE</t>
  </si>
  <si>
    <t>A158869</t>
  </si>
  <si>
    <t>B B01-00006047</t>
  </si>
  <si>
    <t>ARZAPALO AGUIRRE ROCIO ELIZABETH</t>
  </si>
  <si>
    <t>A158873</t>
  </si>
  <si>
    <t>F C01-00000266</t>
  </si>
  <si>
    <t>F C01-00000265</t>
  </si>
  <si>
    <t>F C01-00000264</t>
  </si>
  <si>
    <t>B C01-00000162 (138927032318)</t>
  </si>
  <si>
    <t>B C01-00000162</t>
  </si>
  <si>
    <t>MONTENEGRO SARMIENTO, ROSSMERY ELENA</t>
  </si>
  <si>
    <t>138927032318</t>
  </si>
  <si>
    <t>B B01-00006030</t>
  </si>
  <si>
    <t>D'ANGELO PIAGGIO FRANCESCO EZIO</t>
  </si>
  <si>
    <t>B B01-00006028</t>
  </si>
  <si>
    <t>VALERA MENDOZA CARMEN</t>
  </si>
  <si>
    <t>B B01-00006027</t>
  </si>
  <si>
    <t>VIVAS MONROY FIORELLA JANETH</t>
  </si>
  <si>
    <t>B B01-00006024</t>
  </si>
  <si>
    <t>A158862</t>
  </si>
  <si>
    <t>B B01-00006023</t>
  </si>
  <si>
    <t>BLANCO ELIAS JUAN JOSE</t>
  </si>
  <si>
    <t>A158863</t>
  </si>
  <si>
    <t>B B01-00006009</t>
  </si>
  <si>
    <t>NAVARRO, DIANA</t>
  </si>
  <si>
    <t>A158845</t>
  </si>
  <si>
    <t>B B01-00006008</t>
  </si>
  <si>
    <t>BERROCAL, URSULA</t>
  </si>
  <si>
    <t>A158846</t>
  </si>
  <si>
    <t>B B01-00006005</t>
  </si>
  <si>
    <t>GONZALES QUICHIZ, ALDAIR ALEXANDER</t>
  </si>
  <si>
    <t>A158848</t>
  </si>
  <si>
    <t>B B01-00006004</t>
  </si>
  <si>
    <t>PAREDES, DANITZA</t>
  </si>
  <si>
    <t>A158849</t>
  </si>
  <si>
    <t>B B01-00005981</t>
  </si>
  <si>
    <t>CUENCA PACHECO, GERALDINE NELLY</t>
  </si>
  <si>
    <t>A158838</t>
  </si>
  <si>
    <t>B B01-00005980</t>
  </si>
  <si>
    <t>QUIÑONES PINEDO, YULISSA MARINA</t>
  </si>
  <si>
    <t>A158840</t>
  </si>
  <si>
    <t>B B01-00005979</t>
  </si>
  <si>
    <t>PIZANGO CHANG, JOSUE ALEJANDRO</t>
  </si>
  <si>
    <t>A158842</t>
  </si>
  <si>
    <t>B B01-00005977</t>
  </si>
  <si>
    <t>CADENAS, MAURICIO</t>
  </si>
  <si>
    <t>A158844</t>
  </si>
  <si>
    <t>B B01-00005969</t>
  </si>
  <si>
    <t>A158795</t>
  </si>
  <si>
    <t>B B01-00005968</t>
  </si>
  <si>
    <t>RODRÍGUEZ , MARIA LUISA</t>
  </si>
  <si>
    <t>A158802</t>
  </si>
  <si>
    <t>B B01-00005967</t>
  </si>
  <si>
    <t>TINCOPA , GABRIEL ALEJANDRO</t>
  </si>
  <si>
    <t>A158822</t>
  </si>
  <si>
    <t>B B01-00005966</t>
  </si>
  <si>
    <t>SANCHEZ GARAY, LUIS RICARDO</t>
  </si>
  <si>
    <t>A158823</t>
  </si>
  <si>
    <t>B B01-00005965</t>
  </si>
  <si>
    <t>CASTILLO CHIRICHIGNO, MARIA EUGENIA</t>
  </si>
  <si>
    <t>A158826</t>
  </si>
  <si>
    <t>B B01-00005964</t>
  </si>
  <si>
    <t>CARDOZA APONTE, VALERY GABRIELA</t>
  </si>
  <si>
    <t>A158828</t>
  </si>
  <si>
    <t>B B01-00005963</t>
  </si>
  <si>
    <t>TOLEDO CERNA, LISSETH MARIELA</t>
  </si>
  <si>
    <t>A158829</t>
  </si>
  <si>
    <t>B B01-00005962</t>
  </si>
  <si>
    <t>VERASTEGUI GARCIA, BRIAN JHOSSUE</t>
  </si>
  <si>
    <t>A158833</t>
  </si>
  <si>
    <t>B B01-00005961</t>
  </si>
  <si>
    <t>VELASQUEZ , ROBINSON JOSÉ</t>
  </si>
  <si>
    <t>A158835</t>
  </si>
  <si>
    <t>B B01-00005960</t>
  </si>
  <si>
    <t>CARRASCO DILL'ERVA, CHRISTIAN DAVID</t>
  </si>
  <si>
    <t>A158836</t>
  </si>
  <si>
    <t>B B01-00005959</t>
  </si>
  <si>
    <t>PAZ ARCE, SUSSY GABRIELA</t>
  </si>
  <si>
    <t>B B01-00005952</t>
  </si>
  <si>
    <t>SARACHAGA CABADA, GREGORIO FABIO</t>
  </si>
  <si>
    <t>B B01-00005951</t>
  </si>
  <si>
    <t>BILLADONI MIÑAN, NICOLE NAHOMI</t>
  </si>
  <si>
    <t>A158783</t>
  </si>
  <si>
    <t>B B01-00005950</t>
  </si>
  <si>
    <t>MOREIRA, ANA VIRGINIA</t>
  </si>
  <si>
    <t>A158785</t>
  </si>
  <si>
    <t>B B01-00005932</t>
  </si>
  <si>
    <t>VILCHEZ CARRILLO, GINA CECILIA</t>
  </si>
  <si>
    <t>A158790</t>
  </si>
  <si>
    <t>B B01-00005929</t>
  </si>
  <si>
    <t>VALERA MEZA, MERY ANN ELENA</t>
  </si>
  <si>
    <t>B B01-00005915</t>
  </si>
  <si>
    <t>MILIAN DE LA CRUZ, DAYANNA ABIGAIL</t>
  </si>
  <si>
    <t>A158754</t>
  </si>
  <si>
    <t>B B01-00005914</t>
  </si>
  <si>
    <t>CONDOR SALAMBAY, JARITZA BELEN</t>
  </si>
  <si>
    <t>A158755</t>
  </si>
  <si>
    <t>B B01-00005913</t>
  </si>
  <si>
    <t>CACERES ROJAS, MARIANA NOHELY</t>
  </si>
  <si>
    <t>A158756</t>
  </si>
  <si>
    <t>B B01-00005912</t>
  </si>
  <si>
    <t>SULLCA CCORIMANYA, JOSE MARTIN</t>
  </si>
  <si>
    <t>A158758</t>
  </si>
  <si>
    <t>B B01-00005911</t>
  </si>
  <si>
    <t>PANDURO RAMOS, NINOSKA GABRIELA</t>
  </si>
  <si>
    <t>A158761</t>
  </si>
  <si>
    <t>B B01-00005910</t>
  </si>
  <si>
    <t>VELASQUEZ CARRERA, MARIA DEL CARMEN</t>
  </si>
  <si>
    <t>A158763</t>
  </si>
  <si>
    <t>B B01-00005909</t>
  </si>
  <si>
    <t>LANDAVERI PORTURAS, MARIA SUSANA</t>
  </si>
  <si>
    <t>A158765</t>
  </si>
  <si>
    <t>B B01-00005907</t>
  </si>
  <si>
    <t>GALARRETA CHAVEZ, BIANCA ABIGAIL</t>
  </si>
  <si>
    <t>A158767</t>
  </si>
  <si>
    <t>B B01-00005906</t>
  </si>
  <si>
    <t>DIAZ MAZABEL, JORGE MANUEL</t>
  </si>
  <si>
    <t>A158769</t>
  </si>
  <si>
    <t>B B01-00005905</t>
  </si>
  <si>
    <t>LIMACO OCHOA, BRYAN EDISON</t>
  </si>
  <si>
    <t>A158772</t>
  </si>
  <si>
    <t>B B01-00005904</t>
  </si>
  <si>
    <t>CORREA VASQUEZ, MARIA ALEXANDRA</t>
  </si>
  <si>
    <t>A158774</t>
  </si>
  <si>
    <t>B B01-00005903</t>
  </si>
  <si>
    <t>PEREZ GUEVARA, ELISA LILIANA</t>
  </si>
  <si>
    <t>B B01-00005902</t>
  </si>
  <si>
    <t>ÑAUPAS ORTEGA,ALBA MARINA</t>
  </si>
  <si>
    <t>A158777</t>
  </si>
  <si>
    <t>B B01-00005901</t>
  </si>
  <si>
    <t>CASTRO FALCÓN, CLAUDIA MERCEDES</t>
  </si>
  <si>
    <t>A158778</t>
  </si>
  <si>
    <t>B B01-00005900</t>
  </si>
  <si>
    <t>CASAS PALACIOS, VANINA VALERIA</t>
  </si>
  <si>
    <t>A158779</t>
  </si>
  <si>
    <t>B B01-00005895</t>
  </si>
  <si>
    <t>HUAMAN CCOSCCO, JORGE</t>
  </si>
  <si>
    <t>A158780</t>
  </si>
  <si>
    <t>B B01-00005894</t>
  </si>
  <si>
    <t>VELAZCO MADRID, ALONSO ANTONIO</t>
  </si>
  <si>
    <t>A158781</t>
  </si>
  <si>
    <t>B B01-00005888</t>
  </si>
  <si>
    <t>RODRIGUEZ GONZALEZ, ANA GISELLA</t>
  </si>
  <si>
    <t>A158746</t>
  </si>
  <si>
    <t>B B01-00005886</t>
  </si>
  <si>
    <t>HERNANDEZ ASCUE, ARIANA FERNANDA</t>
  </si>
  <si>
    <t>A158747</t>
  </si>
  <si>
    <t>B B01-00005885</t>
  </si>
  <si>
    <t>CASTILLO NOLASCO, HECTOR LUIS</t>
  </si>
  <si>
    <t>A158748</t>
  </si>
  <si>
    <t>B B01-00005884</t>
  </si>
  <si>
    <t>NAVA SANDOVAL CESAR ALBERTO</t>
  </si>
  <si>
    <t>A158749</t>
  </si>
  <si>
    <t>B B01-00005883</t>
  </si>
  <si>
    <t>GAMERO ABREGU, MABELL ALINA</t>
  </si>
  <si>
    <t>A158752</t>
  </si>
  <si>
    <t>B B01-00005882</t>
  </si>
  <si>
    <t>VERA VELEZ, GONZALO HUGO</t>
  </si>
  <si>
    <t>A158753</t>
  </si>
  <si>
    <t>B B01-00005877</t>
  </si>
  <si>
    <t>ANAYA SAMANIEGO, LORENZO MATIAS</t>
  </si>
  <si>
    <t>A158654</t>
  </si>
  <si>
    <t>B B01-00005851</t>
  </si>
  <si>
    <t>CHICON SAUCEDO, EMILIA INGRID JULISSA</t>
  </si>
  <si>
    <t>A158649</t>
  </si>
  <si>
    <t>B B01-00005848</t>
  </si>
  <si>
    <t>ABURTO ARROYO, FERNANDO</t>
  </si>
  <si>
    <t>A158650</t>
  </si>
  <si>
    <t>B B01-00005846</t>
  </si>
  <si>
    <t>MARTINEZ TRAMARRIA, MILAGRITOS VICTORIA</t>
  </si>
  <si>
    <t>A158651</t>
  </si>
  <si>
    <t>B B01-00005837</t>
  </si>
  <si>
    <t>CHAVEZ HUATAY, CAROLINA MERCEDES</t>
  </si>
  <si>
    <t>A158652</t>
  </si>
  <si>
    <t>B B01-00005833</t>
  </si>
  <si>
    <t>A158653</t>
  </si>
  <si>
    <t>B B01-00005772</t>
  </si>
  <si>
    <t>PIANTO MARIN, OLGA LIDIA</t>
  </si>
  <si>
    <t>A158641</t>
  </si>
  <si>
    <t>B B01-00005760</t>
  </si>
  <si>
    <t>CASTAÑEDA CHAU, LOURDES</t>
  </si>
  <si>
    <t>A158642</t>
  </si>
  <si>
    <t>B B01-00005759</t>
  </si>
  <si>
    <t>MENDEZ LEZAMETA, PIER ANGELI</t>
  </si>
  <si>
    <t>A158643</t>
  </si>
  <si>
    <t>B B01-00005756</t>
  </si>
  <si>
    <t>TRUJILLO TUESTA, LINDA XIOMARA</t>
  </si>
  <si>
    <t>A158644</t>
  </si>
  <si>
    <t>B B01-00005753</t>
  </si>
  <si>
    <t>ORTIZ RIVERA, SABINA MARTHA</t>
  </si>
  <si>
    <t>A158645</t>
  </si>
  <si>
    <t>B B01-00005752</t>
  </si>
  <si>
    <t>HERVACIO ALBERCA, STEFANY FATIMA</t>
  </si>
  <si>
    <t>A158646</t>
  </si>
  <si>
    <t>B B01-00005751</t>
  </si>
  <si>
    <t>OLIVERA SALAZAR, ARACELI DEL CARMEN</t>
  </si>
  <si>
    <t>A158647</t>
  </si>
  <si>
    <t>B B01-00005710</t>
  </si>
  <si>
    <t>LEYVA PERRY, MARIA GRACIA</t>
  </si>
  <si>
    <t>A158648</t>
  </si>
  <si>
    <t>B B01-00005708</t>
  </si>
  <si>
    <t>LAZO MADRID, LUIS MANUEL</t>
  </si>
  <si>
    <t>F F01-00003865</t>
  </si>
  <si>
    <t>B B01-00005515</t>
  </si>
  <si>
    <t>DAVILA PAUCAR, ALEX FRANCI</t>
  </si>
  <si>
    <t>A158633</t>
  </si>
  <si>
    <t>B B01-00005500</t>
  </si>
  <si>
    <t>PORRAS EVANS, ANDREA NICOLLE</t>
  </si>
  <si>
    <t>A158634</t>
  </si>
  <si>
    <t>B B01-00005499</t>
  </si>
  <si>
    <t>ORTEGA SOTERO, JACKELINE</t>
  </si>
  <si>
    <t>A158636</t>
  </si>
  <si>
    <t>B B01-00005498</t>
  </si>
  <si>
    <t>QUIÑONEZ APARICIO, CARLOS ANTONIO</t>
  </si>
  <si>
    <t>A158637</t>
  </si>
  <si>
    <t>B B01-00005495</t>
  </si>
  <si>
    <t>BATALLANOS REYES, JORGE LUIS</t>
  </si>
  <si>
    <t>A158638</t>
  </si>
  <si>
    <t>B B01-00005491</t>
  </si>
  <si>
    <t>ZUNIGA LEON, YENI ELIZABETH</t>
  </si>
  <si>
    <t>A158639</t>
  </si>
  <si>
    <t>B B01-00005490</t>
  </si>
  <si>
    <t>HERNANDEZ CONCEPCION, FRANCISCO CESAR</t>
  </si>
  <si>
    <t>A158640</t>
  </si>
  <si>
    <t>PAPANT/2025/05807 (B B01-00004193)</t>
  </si>
  <si>
    <t>PAPANT/2025/05807</t>
  </si>
  <si>
    <t>Pago de cliente S/ 102.31 - CERDA PIACA, JORGE LUIS JONATHAN - 22/12/2025</t>
  </si>
  <si>
    <t>B B01-00004193</t>
  </si>
  <si>
    <t>ISMAEL AVILA</t>
  </si>
  <si>
    <t>F C01-00000262</t>
  </si>
  <si>
    <t>B B01-00005438</t>
  </si>
  <si>
    <t>CARRASCO MAMANI, PATRICIA MILAGROS</t>
  </si>
  <si>
    <t>A158493</t>
  </si>
  <si>
    <t>B B01-00005434</t>
  </si>
  <si>
    <t>MORAN MORAN, JOSIAS ANTHONY</t>
  </si>
  <si>
    <t>B B01-00005432</t>
  </si>
  <si>
    <t>APAZA ARAPA, KATHERIN YENNIFER</t>
  </si>
  <si>
    <t>B B01-00005431</t>
  </si>
  <si>
    <t>DIAZ ZAVALETA, CARLA KATHERINE</t>
  </si>
  <si>
    <t>B B01-00005430</t>
  </si>
  <si>
    <t>PASICHE CELI, EVELYN NOEMI</t>
  </si>
  <si>
    <t>A158494</t>
  </si>
  <si>
    <t>B B01-00005429</t>
  </si>
  <si>
    <t>DIAZ ALVARADO, EMILIO</t>
  </si>
  <si>
    <t>A158500</t>
  </si>
  <si>
    <t>B B01-00005428</t>
  </si>
  <si>
    <t>A158631</t>
  </si>
  <si>
    <t>B B01-00005427</t>
  </si>
  <si>
    <t>A158632</t>
  </si>
  <si>
    <t>F F01-00003764</t>
  </si>
  <si>
    <t>A J PETS VETERINARIAS E.I.R.L</t>
  </si>
  <si>
    <t>B B01-00005415</t>
  </si>
  <si>
    <t>SANCHEZ HERRERA, LIZET SABEL</t>
  </si>
  <si>
    <t>A158491</t>
  </si>
  <si>
    <t>B B01-00005414</t>
  </si>
  <si>
    <t>VILELA YATACO, TATIANA RAFAELA</t>
  </si>
  <si>
    <t>A158492</t>
  </si>
  <si>
    <t>F F01-00003759</t>
  </si>
  <si>
    <t>CUNI FOOD E.I.R.L.</t>
  </si>
  <si>
    <t>F F01-00003757</t>
  </si>
  <si>
    <t>HOSPITAL VETERINARIO S.A.C.</t>
  </si>
  <si>
    <t>F F01-00003756</t>
  </si>
  <si>
    <t>F F01-00003755</t>
  </si>
  <si>
    <t>B B01-00005399</t>
  </si>
  <si>
    <t>VASQUEZ VELASQUEZ, CESAR AUGUSTO</t>
  </si>
  <si>
    <t>A158487</t>
  </si>
  <si>
    <t>B B01-00005396</t>
  </si>
  <si>
    <t>CALLE PEÑALOZA, JUANA YSABEL</t>
  </si>
  <si>
    <t>A158489</t>
  </si>
  <si>
    <t>B B01-00005386</t>
  </si>
  <si>
    <t>B B01-00005385</t>
  </si>
  <si>
    <t>B B01-00005377</t>
  </si>
  <si>
    <t>QUISPE GONZALES, ALEJANDRA BEATRIZ</t>
  </si>
  <si>
    <t>B B01-00005376</t>
  </si>
  <si>
    <t>QUISPE CHAVEZ, ARIANA FIORELLA</t>
  </si>
  <si>
    <t>B B01-00005372</t>
  </si>
  <si>
    <t>B B01-00005350</t>
  </si>
  <si>
    <t>B B01-00005316</t>
  </si>
  <si>
    <t>CORDOVA PEREZ, MARIA VIOLETA</t>
  </si>
  <si>
    <t>B B01-00005313</t>
  </si>
  <si>
    <t>HUAMAN MONTAÑEZ, WILFREDO</t>
  </si>
  <si>
    <t>A158486</t>
  </si>
  <si>
    <t>B B01-00005275</t>
  </si>
  <si>
    <t>CHURA MAMANI, ADRIAN ALEXANDER</t>
  </si>
  <si>
    <t>A158470</t>
  </si>
  <si>
    <t>B B01-00005266</t>
  </si>
  <si>
    <t>SIGÜEÑAS SILVA, FERNANDO</t>
  </si>
  <si>
    <t>A158471</t>
  </si>
  <si>
    <t>B B01-00005262</t>
  </si>
  <si>
    <t>ARBULU VERGARA, JORGE ARMANDO</t>
  </si>
  <si>
    <t>A158473</t>
  </si>
  <si>
    <t>B B01-00005257</t>
  </si>
  <si>
    <t>A158484</t>
  </si>
  <si>
    <t>B B01-00005242</t>
  </si>
  <si>
    <t>REBAZA REYES, KEVIN RUBEN</t>
  </si>
  <si>
    <t>B B01-00005238</t>
  </si>
  <si>
    <t>APOLINARIO GIRALDO, JENNY JUDITH</t>
  </si>
  <si>
    <t>A145860</t>
  </si>
  <si>
    <t>B B01-00005237</t>
  </si>
  <si>
    <t>A158463</t>
  </si>
  <si>
    <t>B B01-00005208</t>
  </si>
  <si>
    <t>LUQUE GAMERO, JANET DEL CARMEN</t>
  </si>
  <si>
    <t>B B01-00005203</t>
  </si>
  <si>
    <t>MENDO LEZCANO, AZUCENA KATHERY</t>
  </si>
  <si>
    <t>A158455</t>
  </si>
  <si>
    <t>B B01-00005201</t>
  </si>
  <si>
    <t>MORALES QUISPE, BRAYAN RENATO</t>
  </si>
  <si>
    <t>A158456</t>
  </si>
  <si>
    <t>B B01-00005200</t>
  </si>
  <si>
    <t>MENDOZA CALCINE, HELEN ROSSELBUT</t>
  </si>
  <si>
    <t>B B01-00005198</t>
  </si>
  <si>
    <t>RODRIGUEZ JULIETA MACARENA</t>
  </si>
  <si>
    <t>A158457</t>
  </si>
  <si>
    <t>B B01-00005195</t>
  </si>
  <si>
    <t>A158458</t>
  </si>
  <si>
    <t>B B01-00005194</t>
  </si>
  <si>
    <t>URETA BARRIOS, VIOLETA</t>
  </si>
  <si>
    <t>A158459</t>
  </si>
  <si>
    <t>B B01-00005192</t>
  </si>
  <si>
    <t>ARENAS OSNAYO, LIZETT</t>
  </si>
  <si>
    <t>A158460</t>
  </si>
  <si>
    <t>B B01-00005191</t>
  </si>
  <si>
    <t>CAMACHO QUISPE, CYNTIA ROSA</t>
  </si>
  <si>
    <t>A158461</t>
  </si>
  <si>
    <t>B B01-00005190</t>
  </si>
  <si>
    <t>PEREZ FLORES, GIORDAN JEAN PAUL</t>
  </si>
  <si>
    <t>A158462</t>
  </si>
  <si>
    <t>B B01-00005181</t>
  </si>
  <si>
    <t>PALACIOS PERLECHE, JOSE ENRIQUE</t>
  </si>
  <si>
    <t>A158454</t>
  </si>
  <si>
    <t>B B01-00005169</t>
  </si>
  <si>
    <t>VIZCARRA MEDINA, SHECIRA ALONDRA</t>
  </si>
  <si>
    <t>B B01-00005137</t>
  </si>
  <si>
    <t>VARA ROLDAN, DANIEL AURELIO</t>
  </si>
  <si>
    <t>B B01-00005135</t>
  </si>
  <si>
    <t>DÍAZ MALAVER, JUAN ANTONIO</t>
  </si>
  <si>
    <t>A158450</t>
  </si>
  <si>
    <t>B B01-00005134</t>
  </si>
  <si>
    <t>ARENALES BALDOCEDA, HUGO LUIS</t>
  </si>
  <si>
    <t>A158451</t>
  </si>
  <si>
    <t>B B01-00005133</t>
  </si>
  <si>
    <t>BALLESTEROS HUAMAN, PRISCILLA LISSETTE</t>
  </si>
  <si>
    <t>A158452</t>
  </si>
  <si>
    <t>B B01-00005132</t>
  </si>
  <si>
    <t>ARANA PAREDES, MARY HERMILA</t>
  </si>
  <si>
    <t>A158453</t>
  </si>
  <si>
    <t>B B01-00005088</t>
  </si>
  <si>
    <t>FERNANDEZ TORRES, MAIRA ELIZABETH</t>
  </si>
  <si>
    <t>A158448</t>
  </si>
  <si>
    <t>B B01-00005087</t>
  </si>
  <si>
    <t>JANAMPA LAYNES, MALENA LIZ</t>
  </si>
  <si>
    <t>A158449</t>
  </si>
  <si>
    <t>B B01-00005060</t>
  </si>
  <si>
    <t>AGUILAR CUBA, WILDER CESAR</t>
  </si>
  <si>
    <t>A158395</t>
  </si>
  <si>
    <t>B B01-00005058</t>
  </si>
  <si>
    <t>CRISOSTOMO ORTEGA, SHARON ANEL</t>
  </si>
  <si>
    <t>A158396</t>
  </si>
  <si>
    <t>B B01-00005057</t>
  </si>
  <si>
    <t>SIRLOPU RIVADENEIRA, CHRISTIAN JAIR</t>
  </si>
  <si>
    <t>A158398</t>
  </si>
  <si>
    <t>B B01-00005016</t>
  </si>
  <si>
    <t>DIAZ RIVERO, FABIAN OSWALDO</t>
  </si>
  <si>
    <t>B B01-00005013</t>
  </si>
  <si>
    <t>HILARIO ROJAS, JAZMIN MARIA</t>
  </si>
  <si>
    <t>B B01-00004998</t>
  </si>
  <si>
    <t>MENDOZA PALACIOS, CLAUDIA SOFIA</t>
  </si>
  <si>
    <t>A158393</t>
  </si>
  <si>
    <t>F C01-00000248</t>
  </si>
  <si>
    <t>AGROVET TOTAL EMPRESA INDIVIDUAL DE RESPONSABILIDAD LIMITADA</t>
  </si>
  <si>
    <t>B B01-00004955</t>
  </si>
  <si>
    <t>SEVERINO SEVERINO, JULIA ELIZABET</t>
  </si>
  <si>
    <t>F F01-00004869</t>
  </si>
  <si>
    <t>A139221</t>
  </si>
  <si>
    <t>F F01-00004991</t>
  </si>
  <si>
    <t>A139222</t>
  </si>
  <si>
    <t>F F01-00004841</t>
  </si>
  <si>
    <t>A139223</t>
  </si>
  <si>
    <t>F F01-00004987</t>
  </si>
  <si>
    <t>A139224</t>
  </si>
  <si>
    <t>F F01-00005100</t>
  </si>
  <si>
    <t>A139225</t>
  </si>
  <si>
    <t>F F01-00005097</t>
  </si>
  <si>
    <t>A139226</t>
  </si>
  <si>
    <t>B B01-00007457</t>
  </si>
  <si>
    <t>RAMIREZ MATEO, JANELA LIZBETH</t>
  </si>
  <si>
    <t>A139229</t>
  </si>
  <si>
    <t>IBK02/2025/03559</t>
  </si>
  <si>
    <t>B B01-00007459</t>
  </si>
  <si>
    <t>ABAD GUERRA, NATHALIE MILAGROS</t>
  </si>
  <si>
    <t>A139230</t>
  </si>
  <si>
    <t>IBK02/2025/03558</t>
  </si>
  <si>
    <t>B B01-00007280</t>
  </si>
  <si>
    <t>ALVAREZ CABRERA, ARNULFO GIORDANO</t>
  </si>
  <si>
    <t>A139250</t>
  </si>
  <si>
    <t>BCP01/2025/14824</t>
  </si>
  <si>
    <t>F F01-00004968</t>
  </si>
  <si>
    <t>EMPRESA AGROINDUSTRIAL SANTA LUCIA S.R.L.</t>
  </si>
  <si>
    <t>A139252</t>
  </si>
  <si>
    <t>BCP01/2025/15159</t>
  </si>
  <si>
    <t>B C01-00000178</t>
  </si>
  <si>
    <t>A139253</t>
  </si>
  <si>
    <t>B B01-00007385</t>
  </si>
  <si>
    <t>B B01-00007394</t>
  </si>
  <si>
    <t>HUAMAN REATEGUI, WINDY PATRICIA</t>
  </si>
  <si>
    <t>A139254</t>
  </si>
  <si>
    <t>BCP01/2025/15221</t>
  </si>
  <si>
    <t>BCP01/2025/15342</t>
  </si>
  <si>
    <t>VUCETICH LA TORRE, GERMAN</t>
  </si>
  <si>
    <t>B B01-00007421</t>
  </si>
  <si>
    <t>A139255</t>
  </si>
  <si>
    <t>BCP01/2025/15343</t>
  </si>
  <si>
    <t>HURTADO FLORES, JOSE LUIS</t>
  </si>
  <si>
    <t>B B01-00007418</t>
  </si>
  <si>
    <t>A139256</t>
  </si>
  <si>
    <t>BCP01/2025/15344</t>
  </si>
  <si>
    <t>B B01-00007422</t>
  </si>
  <si>
    <t>A139257</t>
  </si>
  <si>
    <t>F F01-00005075</t>
  </si>
  <si>
    <t>MOLICORP PERU S.A.C.</t>
  </si>
  <si>
    <t>A139258</t>
  </si>
  <si>
    <t>BCP01/2025/15365</t>
  </si>
  <si>
    <t>BCP01/2025/15371</t>
  </si>
  <si>
    <t>GARCIA MORETO, WILFREDO</t>
  </si>
  <si>
    <t>B B01-00007441</t>
  </si>
  <si>
    <t>A139259</t>
  </si>
  <si>
    <t>B B01-00007451</t>
  </si>
  <si>
    <t>FREITAS GONZALES, NELLY RAQUEL</t>
  </si>
  <si>
    <t>A139260</t>
  </si>
  <si>
    <t>BCP01/2025/15372</t>
  </si>
  <si>
    <t>BCP01/2025/15373</t>
  </si>
  <si>
    <t>LOAIZA MARIN JAIRO DE JESUS</t>
  </si>
  <si>
    <t>B B01-00007440</t>
  </si>
  <si>
    <t>A139261</t>
  </si>
  <si>
    <t>BCP01/2025/15374</t>
  </si>
  <si>
    <t>COPIA AQUINO, SULLEYKA NARUBY</t>
  </si>
  <si>
    <t>B B01-00007444</t>
  </si>
  <si>
    <t>A139262</t>
  </si>
  <si>
    <t>BCP01/2025/15391</t>
  </si>
  <si>
    <t>SUMINISTROS VETERINARIOS H &amp; S SOCIEDAD COMERCIAL DE RESPONSABILIDAD LIMITADA</t>
  </si>
  <si>
    <t>F F01-00004508</t>
  </si>
  <si>
    <t>A139263</t>
  </si>
  <si>
    <t>BCP01/2025/14409</t>
  </si>
  <si>
    <t>B B01-00007558</t>
  </si>
  <si>
    <t>CARMEN ARROYO, ERICKA LIZBET</t>
  </si>
  <si>
    <t>A139264</t>
  </si>
  <si>
    <t>BCP01/2025/15401</t>
  </si>
  <si>
    <t>F F01-00005110</t>
  </si>
  <si>
    <t>CAMAL FRIGORIFICO DON GOYO S.A.C.</t>
  </si>
  <si>
    <t>A139265</t>
  </si>
  <si>
    <t>BCP01/2025/15405</t>
  </si>
  <si>
    <t>BCP01/2025/15408</t>
  </si>
  <si>
    <t>TAMASHIRO HIGA, JOSE ANTONIO</t>
  </si>
  <si>
    <t>B B01-00007466</t>
  </si>
  <si>
    <t>A139269</t>
  </si>
  <si>
    <t>BCP01/2025/15409</t>
  </si>
  <si>
    <t>ATAUCUSI ARANGO, JAVIER ROSMER</t>
  </si>
  <si>
    <t>B B01-00007472</t>
  </si>
  <si>
    <t>A139270</t>
  </si>
  <si>
    <t>B B01-00007484</t>
  </si>
  <si>
    <t>YUMI YAGUI, BEATRIZ ANGELA</t>
  </si>
  <si>
    <t>A139271</t>
  </si>
  <si>
    <t>BCP01/2025/15411</t>
  </si>
  <si>
    <t>F D01-00000261</t>
  </si>
  <si>
    <t>ANIMASCOTAS INVERSIONES E.I.R.L.</t>
  </si>
  <si>
    <t>A139272</t>
  </si>
  <si>
    <t>BCP01/2025/15438</t>
  </si>
  <si>
    <t>BCP01/2025/15555</t>
  </si>
  <si>
    <t>F F01-00004692</t>
  </si>
  <si>
    <t>A139273</t>
  </si>
  <si>
    <t>F F01-00005145</t>
  </si>
  <si>
    <t>OTAMA INVERSIONES  S.A.C.</t>
  </si>
  <si>
    <t>A139283</t>
  </si>
  <si>
    <t>BCP01/2025/15439</t>
  </si>
  <si>
    <t>B B01-00007503</t>
  </si>
  <si>
    <t>CHAMBA CORDOVA, HUBER</t>
  </si>
  <si>
    <t>A139284</t>
  </si>
  <si>
    <t>BCP01/2025/15441</t>
  </si>
  <si>
    <t>BCP01/2025/15504</t>
  </si>
  <si>
    <t>F F01-00004045</t>
  </si>
  <si>
    <t>A139285</t>
  </si>
  <si>
    <t>F F01-00005180</t>
  </si>
  <si>
    <t>POLLOS MUÑOZ E.I.R.L.</t>
  </si>
  <si>
    <t>A139286</t>
  </si>
  <si>
    <t>BCP01/2025/15511</t>
  </si>
  <si>
    <t>BCP01/2025/15512</t>
  </si>
  <si>
    <t>F F01-00005041</t>
  </si>
  <si>
    <t>A139287</t>
  </si>
  <si>
    <t>BCP01/2025/15514</t>
  </si>
  <si>
    <t>IDME CUBA CARLOS ALFONZO</t>
  </si>
  <si>
    <t>B B01-00007523</t>
  </si>
  <si>
    <t>A139290</t>
  </si>
  <si>
    <t>BCP01/2025/15515</t>
  </si>
  <si>
    <t>CALISTO AGUIRRE, JUAN DIEGO</t>
  </si>
  <si>
    <t>B B01-00007556</t>
  </si>
  <si>
    <t>A139291</t>
  </si>
  <si>
    <t>F F01-00005160</t>
  </si>
  <si>
    <t>GREINGER PERU S.A.C.</t>
  </si>
  <si>
    <t>A139292</t>
  </si>
  <si>
    <t>BCP01/2025/15516</t>
  </si>
  <si>
    <t>BCP01/2025/15557</t>
  </si>
  <si>
    <t>MATOS SULLCA, PERCY</t>
  </si>
  <si>
    <t>B B01-00007570</t>
  </si>
  <si>
    <t>A139293</t>
  </si>
  <si>
    <t>BCP01/2025/15560</t>
  </si>
  <si>
    <t>GAMARRA SOLIS, TATIANA LUCIA</t>
  </si>
  <si>
    <t>B B01-00007571</t>
  </si>
  <si>
    <t>A139294</t>
  </si>
  <si>
    <t>BCP01/2025/15561</t>
  </si>
  <si>
    <t>CRUZ ACUÑA, BENITA</t>
  </si>
  <si>
    <t>B B01-00007576</t>
  </si>
  <si>
    <t>A139295</t>
  </si>
  <si>
    <t>F F01-00005092</t>
  </si>
  <si>
    <t>AGROSEL VET FARMACIA VETERINARIA S.A.C.</t>
  </si>
  <si>
    <t>A139296</t>
  </si>
  <si>
    <t>BCP01/2025/15364</t>
  </si>
  <si>
    <t>BCP01/2025/15360</t>
  </si>
  <si>
    <t>BCP01/2025/15562</t>
  </si>
  <si>
    <t>ACEVEDO CORZO, LUCERO MARGARITA</t>
  </si>
  <si>
    <t>B B01-00007575</t>
  </si>
  <si>
    <t>A139297</t>
  </si>
  <si>
    <t>BCP01/2025/15558</t>
  </si>
  <si>
    <t>F F01-00005009</t>
  </si>
  <si>
    <t>A139492</t>
  </si>
  <si>
    <t>F F01-00005082</t>
  </si>
  <si>
    <t>AGROVET Y DISTRIBUCIONES GRANDEZ S.R.L</t>
  </si>
  <si>
    <t>A139879</t>
  </si>
  <si>
    <t>F F01-00005028</t>
  </si>
  <si>
    <t>AGROVETERINARIA MEVELIN S.R.L.</t>
  </si>
  <si>
    <t>A139880</t>
  </si>
  <si>
    <t>F C01-00000062</t>
  </si>
  <si>
    <t>F F01-00005053</t>
  </si>
  <si>
    <t>A139881</t>
  </si>
  <si>
    <t>F F01-00005049</t>
  </si>
  <si>
    <t>A139882</t>
  </si>
  <si>
    <t>F F01-00005016</t>
  </si>
  <si>
    <t>A139883</t>
  </si>
  <si>
    <t>F F01-00005050</t>
  </si>
  <si>
    <t>A140117</t>
  </si>
  <si>
    <t>F F01-00004955</t>
  </si>
  <si>
    <t>A140118</t>
  </si>
  <si>
    <t>F F01-00004919</t>
  </si>
  <si>
    <t>A140121</t>
  </si>
  <si>
    <t>F F01-00004808</t>
  </si>
  <si>
    <t>A140122</t>
  </si>
  <si>
    <t>PTRP/2025/01845 (Redeem Bill of Exchange FLC-00230)</t>
  </si>
  <si>
    <t>PTRP/2025/01845</t>
  </si>
  <si>
    <t>Pago de cliente S/ 160,545.37 - REPRESENTACIONES DURAND S.A.C. - 31/03/2025</t>
  </si>
  <si>
    <t>Redeem Bill of Exchange FLC-00230</t>
  </si>
  <si>
    <t>A14152</t>
  </si>
  <si>
    <t>MONTERO VILCAS, JOSE GORGE</t>
  </si>
  <si>
    <t>F F01-00000476</t>
  </si>
  <si>
    <t>PTRP/2025/01846 (Redeem Bill of Exchange FLC-00232)</t>
  </si>
  <si>
    <t>PTRP/2025/01846</t>
  </si>
  <si>
    <t>Pago de cliente S/ 18,961.19 - REPRESENTACIONES DURAND S.A.C. - 31/03/2025</t>
  </si>
  <si>
    <t>Redeem Bill of Exchange FLC-00232</t>
  </si>
  <si>
    <t>A14153</t>
  </si>
  <si>
    <t>F F01-00000482</t>
  </si>
  <si>
    <t>PTRP/2025/01847 (Redeem Bill of Exchange FLC-00234)</t>
  </si>
  <si>
    <t>PTRP/2025/01847</t>
  </si>
  <si>
    <t>Pago de cliente S/ 96,363.53 - REPRESENTACIONES DURAND S.A.C. - 31/03/2025</t>
  </si>
  <si>
    <t>Redeem Bill of Exchange FLC-00234</t>
  </si>
  <si>
    <t>A14154</t>
  </si>
  <si>
    <t>F F01-00000485</t>
  </si>
  <si>
    <t>PTRP/2025/01848 (Redeem Bill of Exchange FLC-00235)</t>
  </si>
  <si>
    <t>PTRP/2025/01848</t>
  </si>
  <si>
    <t>Pago de cliente S/ 33,648.66 - REPRESENTACIONES DURAND S.A.C. - 31/03/2025</t>
  </si>
  <si>
    <t>Redeem Bill of Exchange FLC-00235</t>
  </si>
  <si>
    <t>A14155</t>
  </si>
  <si>
    <t>F F01-00000486</t>
  </si>
  <si>
    <t>PTRP/2025/01849 (Redeem Bill of Exchange FLC-00260)</t>
  </si>
  <si>
    <t>PTRP/2025/01849</t>
  </si>
  <si>
    <t>Pago de cliente S/ 3,598.45 - REPRESENTACIONES DURAND S.A.C. - 31/03/2025</t>
  </si>
  <si>
    <t>Redeem Bill of Exchange FLC-00260</t>
  </si>
  <si>
    <t>A14156</t>
  </si>
  <si>
    <t>F F01-00000530</t>
  </si>
  <si>
    <t>PTRP/2025/01850 (Redeem Bill of Exchange FLC-00245)</t>
  </si>
  <si>
    <t>PTRP/2025/01850</t>
  </si>
  <si>
    <t>Pago de cliente S/ 5,875.41 - NOVAFARMA S.A.C. - 31/03/2025</t>
  </si>
  <si>
    <t>Redeem Bill of Exchange FLC-00245</t>
  </si>
  <si>
    <t>A14188</t>
  </si>
  <si>
    <t>F F01-00000505</t>
  </si>
  <si>
    <t>PTRP/2025/01851 (Redeem Bill of Exchange FLC-00258)</t>
  </si>
  <si>
    <t>PTRP/2025/01851</t>
  </si>
  <si>
    <t>Pago de cliente S/ 6,986.63 - NOVAFARMA S.A.C. - 31/03/2025</t>
  </si>
  <si>
    <t>Redeem Bill of Exchange FLC-00258</t>
  </si>
  <si>
    <t>A14189</t>
  </si>
  <si>
    <t>F F01-00000524</t>
  </si>
  <si>
    <t>PTRP/2025/01852 (Redeem Bill of Exchange FLC-00269)</t>
  </si>
  <si>
    <t>PTRP/2025/01852</t>
  </si>
  <si>
    <t>Pago de cliente S/ 12,223.42 - NOVAFARMA S.A.C. - 31/03/2025</t>
  </si>
  <si>
    <t>Redeem Bill of Exchange FLC-00269</t>
  </si>
  <si>
    <t>A14190</t>
  </si>
  <si>
    <t>F F01-00000555</t>
  </si>
  <si>
    <t>PTRP/2025/01853 (Redeem Bill of Exchange FLC-00271)</t>
  </si>
  <si>
    <t>PTRP/2025/01853</t>
  </si>
  <si>
    <t>Pago de cliente S/ 20,237.53 - NOVAFARMA S.A.C. - 31/03/2025</t>
  </si>
  <si>
    <t>Redeem Bill of Exchange FLC-00271</t>
  </si>
  <si>
    <t>A14191</t>
  </si>
  <si>
    <t>F F01-00000556</t>
  </si>
  <si>
    <t>PTRP/2025/01854 (Redeem Bill of Exchange FLC-00272)</t>
  </si>
  <si>
    <t>PTRP/2025/01854</t>
  </si>
  <si>
    <t>Pago de cliente S/ 8,057.50 - NOVAFARMA S.A.C. - 31/03/2025</t>
  </si>
  <si>
    <t>Redeem Bill of Exchange FLC-00272</t>
  </si>
  <si>
    <t>A14192</t>
  </si>
  <si>
    <t>F F01-00000557</t>
  </si>
  <si>
    <t>PTRP/2025/01855 (Redeem Bill of Exchange FLC-00293)</t>
  </si>
  <si>
    <t>PTRP/2025/01855</t>
  </si>
  <si>
    <t>Pago de cliente S/ 7,353.74 - NOVAFARMA S.A.C. - 31/03/2025</t>
  </si>
  <si>
    <t>Redeem Bill of Exchange FLC-00293</t>
  </si>
  <si>
    <t>A14193</t>
  </si>
  <si>
    <t>F F01-00000609</t>
  </si>
  <si>
    <t>PTRP/2025/01856 (Redeem Bill of Exchange FLC-00307)</t>
  </si>
  <si>
    <t>PTRP/2025/01856</t>
  </si>
  <si>
    <t>Pago de cliente S/ 9,153.83 - NOVAFARMA S.A.C. - 31/03/2025</t>
  </si>
  <si>
    <t>Redeem Bill of Exchange FLC-00307</t>
  </si>
  <si>
    <t>A14194</t>
  </si>
  <si>
    <t>F F01-00000637</t>
  </si>
  <si>
    <t>F F01-00005077</t>
  </si>
  <si>
    <t>A142527</t>
  </si>
  <si>
    <t>F F01-00005135</t>
  </si>
  <si>
    <t>A142528</t>
  </si>
  <si>
    <t>BCP01/2025/14814 (20260316298849289888)</t>
  </si>
  <si>
    <t>BCP01/2025/14814</t>
  </si>
  <si>
    <t>B B01-00007100</t>
  </si>
  <si>
    <t>20260316298849289888</t>
  </si>
  <si>
    <t>A142983</t>
  </si>
  <si>
    <t>B B01-00007099</t>
  </si>
  <si>
    <t>B B01-00007098</t>
  </si>
  <si>
    <t>B B01-00007097</t>
  </si>
  <si>
    <t>B B01-00007096</t>
  </si>
  <si>
    <t>B B01-00007095</t>
  </si>
  <si>
    <t>B B01-00007094</t>
  </si>
  <si>
    <t>B B01-00007093</t>
  </si>
  <si>
    <t>B B01-00007092</t>
  </si>
  <si>
    <t>B B01-00007091</t>
  </si>
  <si>
    <t>MISC/2026/01/0421 (REGULARIZACIÓN TTG MN ENERO 26)</t>
  </si>
  <si>
    <t>MISC/2026/01/0421</t>
  </si>
  <si>
    <t>REGULARIZACIÓN TTG MN ENERO 26</t>
  </si>
  <si>
    <t>A143183</t>
  </si>
  <si>
    <t>E B01-00000291</t>
  </si>
  <si>
    <t>E B01-00000290</t>
  </si>
  <si>
    <t>E B01-00000289</t>
  </si>
  <si>
    <t>E B01-00000288</t>
  </si>
  <si>
    <t>VILLANUEVA PAZ, BRUNELLA XIMENA</t>
  </si>
  <si>
    <t>E 001-00000424</t>
  </si>
  <si>
    <t>GRUPO PATIO PERÚ SOCIEDAD ANONIMA CERRADA - GRUPO PATIO PERÚ S.A.C.</t>
  </si>
  <si>
    <t>E B01-00000287</t>
  </si>
  <si>
    <t>E 001-00000423</t>
  </si>
  <si>
    <t>B B01-00006296</t>
  </si>
  <si>
    <t>E B01-00000286</t>
  </si>
  <si>
    <t>E B01-00000285</t>
  </si>
  <si>
    <t>E B01-00000284</t>
  </si>
  <si>
    <t>E B01-00000283</t>
  </si>
  <si>
    <t>E 001-00000413</t>
  </si>
  <si>
    <t>B B01-00006286</t>
  </si>
  <si>
    <t>SALAS CUBA, ADRIAN RICARDO</t>
  </si>
  <si>
    <t>B B01-00006285</t>
  </si>
  <si>
    <t>RIVADENEIRA ROMERO, VIDAL EDUARDO</t>
  </si>
  <si>
    <t>B B01-00006284</t>
  </si>
  <si>
    <t>ICOCHEA D'ARRIGO, MARIA ELIANA</t>
  </si>
  <si>
    <t>B B01-00006283</t>
  </si>
  <si>
    <t>GONZALEZ VELIZ, ROSA ISABEL</t>
  </si>
  <si>
    <t>B B01-00006282</t>
  </si>
  <si>
    <t>BERNAL RUIZ, SAMUEL</t>
  </si>
  <si>
    <t>B B01-00006281</t>
  </si>
  <si>
    <t>CHIRINOS ZEGARRA, CLEOFÉ BEATRÍZ</t>
  </si>
  <si>
    <t>B B01-00006280</t>
  </si>
  <si>
    <t>NUÑEZ DELGADO, JIMNY YOEL</t>
  </si>
  <si>
    <t>B B01-00006279</t>
  </si>
  <si>
    <t>GAVIDIA CHUCAN, CESAR MIGUEL</t>
  </si>
  <si>
    <t>B B01-00006278</t>
  </si>
  <si>
    <t>OLAZABAL LOAIZA, JUAN PAVEL</t>
  </si>
  <si>
    <t>B B01-00006277</t>
  </si>
  <si>
    <t>CALLE ESPINOZA DE CAMACHO, SONIA YENNY</t>
  </si>
  <si>
    <t>B B01-00006276</t>
  </si>
  <si>
    <t>SIUCE MORENO, JUAN JOSE</t>
  </si>
  <si>
    <t>B B01-00006274</t>
  </si>
  <si>
    <t>PALOMINO FARFAN, JOEL ANDRE</t>
  </si>
  <si>
    <t>B B01-00006273</t>
  </si>
  <si>
    <t>ORBEZO WITTING, SLIM</t>
  </si>
  <si>
    <t>B B01-00006272</t>
  </si>
  <si>
    <t>MARIN TORREL, TEOFILO</t>
  </si>
  <si>
    <t>B B01-00006271</t>
  </si>
  <si>
    <t>MARIN TORREL, ROGELIO</t>
  </si>
  <si>
    <t>B B01-00006270</t>
  </si>
  <si>
    <t>MARIN TORREL, WILFREDO</t>
  </si>
  <si>
    <t>B B01-00006269</t>
  </si>
  <si>
    <t>PALACIOS GARBOZA, EDUARDO DANIEL</t>
  </si>
  <si>
    <t>B B01-00006268</t>
  </si>
  <si>
    <t>MALLCCO PEDROZO, FERNANDO MARTIN</t>
  </si>
  <si>
    <t>B B01-00006267</t>
  </si>
  <si>
    <t>CALDERON JAIME, CARLOS DANIEL</t>
  </si>
  <si>
    <t>B B01-00006266</t>
  </si>
  <si>
    <t>DELGADO GIRON, JUAN PASCUAL</t>
  </si>
  <si>
    <t>B B01-00006265</t>
  </si>
  <si>
    <t>CASAS ASTOS, EVA CONSUELO</t>
  </si>
  <si>
    <t>B B01-00006264</t>
  </si>
  <si>
    <t>PINEDO VICENTE, ROSA YSABEL</t>
  </si>
  <si>
    <t>B B01-00006263</t>
  </si>
  <si>
    <t>VILLALOBOS FLORIAN, RENZO ALEXIS</t>
  </si>
  <si>
    <t>B B01-00006262</t>
  </si>
  <si>
    <t>CHAVEZ VELASQUEZ DE GARCIA, AMANDA CRISTINA</t>
  </si>
  <si>
    <t>B B01-00006261</t>
  </si>
  <si>
    <t>FERRO CALLO DE RONDON, OLGA FABIOLA</t>
  </si>
  <si>
    <t>B B01-00006260</t>
  </si>
  <si>
    <t>TELLO AMAUT, CYNTHIA</t>
  </si>
  <si>
    <t>B B01-00006259</t>
  </si>
  <si>
    <t>MONT NEYRA, ROSA ISABEL</t>
  </si>
  <si>
    <t>B B01-00006258</t>
  </si>
  <si>
    <t>REQUEJO BRAVO, VICTOR ALONZO</t>
  </si>
  <si>
    <t>B B01-00006257</t>
  </si>
  <si>
    <t>GUEVARA ANICAMA, JIM ALEXANDER</t>
  </si>
  <si>
    <t>B B01-00006256</t>
  </si>
  <si>
    <t>COLETTI ROMERO, WINDY</t>
  </si>
  <si>
    <t>B B01-00006255</t>
  </si>
  <si>
    <t>DIAZ COAHILA, DIEGO</t>
  </si>
  <si>
    <t>B B01-00006200</t>
  </si>
  <si>
    <t>E B01-00000282</t>
  </si>
  <si>
    <t>CALDERON OJEDA, JESUS WILFREDO</t>
  </si>
  <si>
    <t>B B01-00006199</t>
  </si>
  <si>
    <t>E B01-00000281</t>
  </si>
  <si>
    <t>ANGULO GAMARRA, VANESSA CECILIA</t>
  </si>
  <si>
    <t>E B01-00000280</t>
  </si>
  <si>
    <t>CENTENO SAUÑE, DAVID ANGHELO</t>
  </si>
  <si>
    <t>E B01-00000279</t>
  </si>
  <si>
    <t>E B01-00000278</t>
  </si>
  <si>
    <t>E 001-00000411</t>
  </si>
  <si>
    <t>FERNANDEZ SANDOVAL ANA MARIA DE GUADALUPE</t>
  </si>
  <si>
    <t>B B01-00006186</t>
  </si>
  <si>
    <t>B B01-00006185</t>
  </si>
  <si>
    <t>F F01-00004177</t>
  </si>
  <si>
    <t>WUF</t>
  </si>
  <si>
    <t>B B01-00006150</t>
  </si>
  <si>
    <t>E 001-00000409</t>
  </si>
  <si>
    <t>E 001-00000408</t>
  </si>
  <si>
    <t>E 001-00000407</t>
  </si>
  <si>
    <t>SANIDAD AGROPECUARIA S.A.C.</t>
  </si>
  <si>
    <t>E 001-00000406</t>
  </si>
  <si>
    <t>E 001-00000405</t>
  </si>
  <si>
    <t>E B01-00000277</t>
  </si>
  <si>
    <t>E B01-00000276</t>
  </si>
  <si>
    <t>B B01-00006114</t>
  </si>
  <si>
    <t>B B01-00006113</t>
  </si>
  <si>
    <t>E B01-00000275</t>
  </si>
  <si>
    <t>E B01-00000274</t>
  </si>
  <si>
    <t>ENOTRIA S.A.</t>
  </si>
  <si>
    <t>E 001-00000403</t>
  </si>
  <si>
    <t>E 001-00000402</t>
  </si>
  <si>
    <t>B B01-00006042</t>
  </si>
  <si>
    <t>B B01-00006041</t>
  </si>
  <si>
    <t>B B01-00006040</t>
  </si>
  <si>
    <t>B B01-00006039</t>
  </si>
  <si>
    <t>F F01-00004037</t>
  </si>
  <si>
    <t>RIMAC SEGUROS Y REASEGUROS</t>
  </si>
  <si>
    <t>E B01-00000273</t>
  </si>
  <si>
    <t>B C01-00000093</t>
  </si>
  <si>
    <t>MADERO ALAYO, ANGELA CAROLINA</t>
  </si>
  <si>
    <t>B C01-00000092</t>
  </si>
  <si>
    <t>PAZ BARRIONUEVO, MILAGROS MAYTÉ</t>
  </si>
  <si>
    <t>E B01-00000272</t>
  </si>
  <si>
    <t>E B01-00000271</t>
  </si>
  <si>
    <t>B B01-00005982</t>
  </si>
  <si>
    <t>B B01-00005975</t>
  </si>
  <si>
    <t>B B01-00005971</t>
  </si>
  <si>
    <t>E B01-00000270</t>
  </si>
  <si>
    <t>QUIROZ BAUTISTA, GABRIELA</t>
  </si>
  <si>
    <t>E B01-00000269</t>
  </si>
  <si>
    <t>E 001-00000392</t>
  </si>
  <si>
    <t>E 001-00000390</t>
  </si>
  <si>
    <t>E 001-00000389</t>
  </si>
  <si>
    <t>FUMIGACIONES DEL SUR E.I.R.L.</t>
  </si>
  <si>
    <t>E 001-00000388</t>
  </si>
  <si>
    <t>E 001-00000387</t>
  </si>
  <si>
    <t>B B01-00005922</t>
  </si>
  <si>
    <t>B B01-00005921</t>
  </si>
  <si>
    <t>B B01-00005920</t>
  </si>
  <si>
    <t>B B01-00005917</t>
  </si>
  <si>
    <t>B B01-00005908</t>
  </si>
  <si>
    <t>B B01-00005891</t>
  </si>
  <si>
    <t>B B01-00005889</t>
  </si>
  <si>
    <t>F F01-00005037</t>
  </si>
  <si>
    <t>A143348</t>
  </si>
  <si>
    <t>F F01-00004927</t>
  </si>
  <si>
    <t>A143349</t>
  </si>
  <si>
    <t>F F01-00005004</t>
  </si>
  <si>
    <t>A143355</t>
  </si>
  <si>
    <t>F F01-00005002</t>
  </si>
  <si>
    <t>AGRICOTRAMG LL&amp;C E.I.R.L.</t>
  </si>
  <si>
    <t>A143356</t>
  </si>
  <si>
    <t>F F01-00004920</t>
  </si>
  <si>
    <t>A143357</t>
  </si>
  <si>
    <t>F F01-00005003</t>
  </si>
  <si>
    <t>A143358</t>
  </si>
  <si>
    <t>F F01-00005161</t>
  </si>
  <si>
    <t>A143359</t>
  </si>
  <si>
    <t>F F01-00003384</t>
  </si>
  <si>
    <t>A143360</t>
  </si>
  <si>
    <t>F F01-00005072</t>
  </si>
  <si>
    <t>DISTRIBUCIONES AGROCOMERCIO MAKIVET EMPRESA INDIVIDUAL DE RESPONSABILIDAD LIMITADA</t>
  </si>
  <si>
    <t>A143464</t>
  </si>
  <si>
    <t>F F01-00005056</t>
  </si>
  <si>
    <t>A144059</t>
  </si>
  <si>
    <t>F F01-00005102</t>
  </si>
  <si>
    <t>A144060</t>
  </si>
  <si>
    <t>F F01-00005093</t>
  </si>
  <si>
    <t>A144061</t>
  </si>
  <si>
    <t>F F01-00005173</t>
  </si>
  <si>
    <t>A144062</t>
  </si>
  <si>
    <t>F F01-00005172</t>
  </si>
  <si>
    <t>A144063</t>
  </si>
  <si>
    <t>F F01-00005190</t>
  </si>
  <si>
    <t>A144064</t>
  </si>
  <si>
    <t>MISC/2026/02/0294 (APLICACION COM FT PET NUTRI)</t>
  </si>
  <si>
    <t>MISC/2026/02/0294</t>
  </si>
  <si>
    <t>GRUPO JESSER S.A.C.</t>
  </si>
  <si>
    <t>APLICACION COM FT PET NUTRI</t>
  </si>
  <si>
    <t>A144073</t>
  </si>
  <si>
    <t>MALCA CASTELLARES, CYNTHIA LAURA</t>
  </si>
  <si>
    <t>F F01-00004332</t>
  </si>
  <si>
    <t>SCT01/2025/02138</t>
  </si>
  <si>
    <t>SCT01/2025/02133</t>
  </si>
  <si>
    <t>SCT01/2025/02088</t>
  </si>
  <si>
    <t>B B01-00006045</t>
  </si>
  <si>
    <t>F F01-00005055</t>
  </si>
  <si>
    <t>A144074</t>
  </si>
  <si>
    <t>F F01-00005019</t>
  </si>
  <si>
    <t>A144075</t>
  </si>
  <si>
    <t>F F01-00005166</t>
  </si>
  <si>
    <t>A144184</t>
  </si>
  <si>
    <t>F F01-00005165</t>
  </si>
  <si>
    <t>A144185</t>
  </si>
  <si>
    <t>F F01-00005132</t>
  </si>
  <si>
    <t>A144186</t>
  </si>
  <si>
    <t>F F01-00005089</t>
  </si>
  <si>
    <t>A144187</t>
  </si>
  <si>
    <t>F F01-00005026</t>
  </si>
  <si>
    <t>A144188</t>
  </si>
  <si>
    <t>F F01-00005018</t>
  </si>
  <si>
    <t>A144189</t>
  </si>
  <si>
    <t>F F01-00004984</t>
  </si>
  <si>
    <t>A144190</t>
  </si>
  <si>
    <t>F F01-00005191</t>
  </si>
  <si>
    <t>A144193</t>
  </si>
  <si>
    <t>F F01-00005194</t>
  </si>
  <si>
    <t>A144206</t>
  </si>
  <si>
    <t>F F01-00005057</t>
  </si>
  <si>
    <t>A144207</t>
  </si>
  <si>
    <t>F F01-00005036</t>
  </si>
  <si>
    <t>A144208</t>
  </si>
  <si>
    <t>F F01-00005109</t>
  </si>
  <si>
    <t>A144209</t>
  </si>
  <si>
    <t>F F01-00005155</t>
  </si>
  <si>
    <t>DISTRIBUCIONES Y MULTISERVICIOS A &amp; C EMPRESA INDIVIDUAL DE RESPONSABILIDAD LIMITADA</t>
  </si>
  <si>
    <t>A144212</t>
  </si>
  <si>
    <t>F F01-00005054</t>
  </si>
  <si>
    <t>A144213</t>
  </si>
  <si>
    <t>F F01-00004765</t>
  </si>
  <si>
    <t>A144269</t>
  </si>
  <si>
    <t>F C01-00000299</t>
  </si>
  <si>
    <t>A144315</t>
  </si>
  <si>
    <t>F F01-00003366</t>
  </si>
  <si>
    <t>F F01-00004995</t>
  </si>
  <si>
    <t>A144552</t>
  </si>
  <si>
    <t>F F01-00005032</t>
  </si>
  <si>
    <t>A144553</t>
  </si>
  <si>
    <t>F F01-00005123</t>
  </si>
  <si>
    <t>A144554</t>
  </si>
  <si>
    <t>F F01-00005143</t>
  </si>
  <si>
    <t>A144555</t>
  </si>
  <si>
    <t>F F01-00005129</t>
  </si>
  <si>
    <t>A144611</t>
  </si>
  <si>
    <t>F F01-00005067</t>
  </si>
  <si>
    <t>A144612</t>
  </si>
  <si>
    <t>MISC/2026/02/0303 (REGULARIZACIÓN TTG MN - FEBRERO 26)</t>
  </si>
  <si>
    <t>MISC/2026/02/0303</t>
  </si>
  <si>
    <t>REGULARIZACIÓN TTG MN -  FEBRERO 26</t>
  </si>
  <si>
    <t>A145500</t>
  </si>
  <si>
    <t>E B01-00000315</t>
  </si>
  <si>
    <t>E B01-00000314</t>
  </si>
  <si>
    <t>E B01-00000313</t>
  </si>
  <si>
    <t>E B01-00000312</t>
  </si>
  <si>
    <t>E B01-00000311</t>
  </si>
  <si>
    <t>E B01-00000310</t>
  </si>
  <si>
    <t>E 001-00000444</t>
  </si>
  <si>
    <t>PROGRAMA DE DESARROLLO  PRODUCTIVO AGRARIO RURAL - AGRO RURAL</t>
  </si>
  <si>
    <t>E 001-00000443</t>
  </si>
  <si>
    <t>E 001-00000437</t>
  </si>
  <si>
    <t>SAAVEDRA ARIAS CLAUDIA ISABEL</t>
  </si>
  <si>
    <t>B B01-00006718</t>
  </si>
  <si>
    <t>B B01-00006717</t>
  </si>
  <si>
    <t>B B01-00006677</t>
  </si>
  <si>
    <t>B B01-00006673</t>
  </si>
  <si>
    <t>E B01-00000309</t>
  </si>
  <si>
    <t>E B01-00000308</t>
  </si>
  <si>
    <t>E B01-00000307</t>
  </si>
  <si>
    <t>E B01-00000306</t>
  </si>
  <si>
    <t>E B01-00000305</t>
  </si>
  <si>
    <t>E B01-00000304</t>
  </si>
  <si>
    <t>E B01-00000303</t>
  </si>
  <si>
    <t>E B01-00000302</t>
  </si>
  <si>
    <t>E B01-00000301</t>
  </si>
  <si>
    <t>E B01-00000300</t>
  </si>
  <si>
    <t>PADILLA SALAS, CECILIA YAJAIDA</t>
  </si>
  <si>
    <t>E 001-00000436</t>
  </si>
  <si>
    <t>FRANCO CABRERA VANESSA PAOLA</t>
  </si>
  <si>
    <t>E 001-00000435</t>
  </si>
  <si>
    <t>ROYALPET EIRL</t>
  </si>
  <si>
    <t>E 001-00000434</t>
  </si>
  <si>
    <t>E 001-00000433</t>
  </si>
  <si>
    <t>PACUS CASTRO DANIK KATHERYN</t>
  </si>
  <si>
    <t>E 001-00000432</t>
  </si>
  <si>
    <t>ACUÑA ALVAREZ LAURA ELIZABETH</t>
  </si>
  <si>
    <t>B B01-00004708</t>
  </si>
  <si>
    <t>ANDONAYRE DIAZ DE SAKANISHI, DEYSY TATIANA</t>
  </si>
  <si>
    <t>B B01-00006641</t>
  </si>
  <si>
    <t>B B01-00006640</t>
  </si>
  <si>
    <t>E B01-00000299</t>
  </si>
  <si>
    <t>E B01-00000298</t>
  </si>
  <si>
    <t>E B01-00000297</t>
  </si>
  <si>
    <t>E B01-00000296</t>
  </si>
  <si>
    <t>QUISPE OCHOA, LYANA DOLORES</t>
  </si>
  <si>
    <t>E 001-00000431</t>
  </si>
  <si>
    <t>B B01-00006593</t>
  </si>
  <si>
    <t>E 001-00000429</t>
  </si>
  <si>
    <t>CHIMUELO PET SHOP S.A.C.</t>
  </si>
  <si>
    <t>E 001-00000428</t>
  </si>
  <si>
    <t>CORPORACION PRIMAX S.A.</t>
  </si>
  <si>
    <t>E 001-00000427</t>
  </si>
  <si>
    <t>B B01-00006552</t>
  </si>
  <si>
    <t>B B01-00006551</t>
  </si>
  <si>
    <t>E B01-00000295</t>
  </si>
  <si>
    <t>E B01-00000294</t>
  </si>
  <si>
    <t>E B01-00000293</t>
  </si>
  <si>
    <t>E B01-00000292</t>
  </si>
  <si>
    <t>E 001-00000426</t>
  </si>
  <si>
    <t>B B01-00006529</t>
  </si>
  <si>
    <t>F F01-00004497</t>
  </si>
  <si>
    <t>B B01-00006432</t>
  </si>
  <si>
    <t>B B01-00006402</t>
  </si>
  <si>
    <t>DE VELAZCO JAUREGUI, GUADALUPE</t>
  </si>
  <si>
    <t>B B01-00006400</t>
  </si>
  <si>
    <t>B B01-00006377</t>
  </si>
  <si>
    <t>B B01-00006367</t>
  </si>
  <si>
    <t>B B01-00006366</t>
  </si>
  <si>
    <t>B B01-00006365</t>
  </si>
  <si>
    <t>B B01-00006364</t>
  </si>
  <si>
    <t>F F01-00005182</t>
  </si>
  <si>
    <t>A145569</t>
  </si>
  <si>
    <t>F F01-00005183</t>
  </si>
  <si>
    <t>A145570</t>
  </si>
  <si>
    <t>F F01-00005192</t>
  </si>
  <si>
    <t>A145571</t>
  </si>
  <si>
    <t>BCP01/2025/15430</t>
  </si>
  <si>
    <t>F F01-00004491</t>
  </si>
  <si>
    <t>A146601</t>
  </si>
  <si>
    <t>BCP01/2025/14541</t>
  </si>
  <si>
    <t>SULLON FARRO FIORELLA DEL ROCIO</t>
  </si>
  <si>
    <t>F F01-00004661</t>
  </si>
  <si>
    <t>A147017</t>
  </si>
  <si>
    <t>F F01-00005205</t>
  </si>
  <si>
    <t>A147025</t>
  </si>
  <si>
    <t>F F01-00004908</t>
  </si>
  <si>
    <t>A147028</t>
  </si>
  <si>
    <t>F F01-00005063</t>
  </si>
  <si>
    <t>A147029</t>
  </si>
  <si>
    <t>F F01-00005164</t>
  </si>
  <si>
    <t>A147032</t>
  </si>
  <si>
    <t>F F01-00005103</t>
  </si>
  <si>
    <t>A148576</t>
  </si>
  <si>
    <t>F F01-00005200</t>
  </si>
  <si>
    <t>A148584</t>
  </si>
  <si>
    <t>B B01-00004664</t>
  </si>
  <si>
    <t>ORE FLORES, SHIRLEY NAHYR</t>
  </si>
  <si>
    <t>A158388</t>
  </si>
  <si>
    <t>F F01-00005197</t>
  </si>
  <si>
    <t>A148585</t>
  </si>
  <si>
    <t>F F01-00005195</t>
  </si>
  <si>
    <t>A148586</t>
  </si>
  <si>
    <t>BCP01/2025/15428</t>
  </si>
  <si>
    <t>F F01-00003795</t>
  </si>
  <si>
    <t>A148886</t>
  </si>
  <si>
    <t>F F01-00003874</t>
  </si>
  <si>
    <t>A148887</t>
  </si>
  <si>
    <t>F C01-00000277</t>
  </si>
  <si>
    <t>A148888</t>
  </si>
  <si>
    <t>F C01-00000274</t>
  </si>
  <si>
    <t>F F01-00004063</t>
  </si>
  <si>
    <t>F F01-00004061</t>
  </si>
  <si>
    <t>F F01-00003966</t>
  </si>
  <si>
    <t>BCP01/2025/13783</t>
  </si>
  <si>
    <t>F F01-00003151</t>
  </si>
  <si>
    <t>A148892</t>
  </si>
  <si>
    <t>F F01-00003067</t>
  </si>
  <si>
    <t>A148893</t>
  </si>
  <si>
    <t>BCP01/2025/01705</t>
  </si>
  <si>
    <t>INVERSIONES PROAVET E.I.R.L.</t>
  </si>
  <si>
    <t>F D01-00000073</t>
  </si>
  <si>
    <t>A14936</t>
  </si>
  <si>
    <t>F D01-00000072</t>
  </si>
  <si>
    <t>A14937</t>
  </si>
  <si>
    <t>F D01-00000071</t>
  </si>
  <si>
    <t>A14938</t>
  </si>
  <si>
    <t>F D01-00000083</t>
  </si>
  <si>
    <t>A14939</t>
  </si>
  <si>
    <t>F D01-00000064</t>
  </si>
  <si>
    <t>A14940</t>
  </si>
  <si>
    <t>F F01-00004964</t>
  </si>
  <si>
    <t>CENTRO DE NUTRICION INTEGRAL MOZAN E.I.R.L.</t>
  </si>
  <si>
    <t>A149424</t>
  </si>
  <si>
    <t>BCP01/2025/15156</t>
  </si>
  <si>
    <t>BCP01/2025/01710</t>
  </si>
  <si>
    <t>F D01-00000063</t>
  </si>
  <si>
    <t>A14943</t>
  </si>
  <si>
    <t>F D01-00000077</t>
  </si>
  <si>
    <t>A14944</t>
  </si>
  <si>
    <t>F D01-00000088</t>
  </si>
  <si>
    <t>A14945</t>
  </si>
  <si>
    <t>F D01-00000066</t>
  </si>
  <si>
    <t>A14946</t>
  </si>
  <si>
    <t>F D01-00000082</t>
  </si>
  <si>
    <t>A14947</t>
  </si>
  <si>
    <t>B B01-00007405</t>
  </si>
  <si>
    <t>ROGER JALIRI TIPULA</t>
  </si>
  <si>
    <t>A149873</t>
  </si>
  <si>
    <t>IBK02/2025/03516</t>
  </si>
  <si>
    <t>B B01-00006902</t>
  </si>
  <si>
    <t>A149874</t>
  </si>
  <si>
    <t>IBK02/2025/03372</t>
  </si>
  <si>
    <t>F F01-00005051</t>
  </si>
  <si>
    <t>A150184</t>
  </si>
  <si>
    <t>BCP01/2025/01787</t>
  </si>
  <si>
    <t>AGROVET MANANTIAL S.A.C.</t>
  </si>
  <si>
    <t>F D01-00000049</t>
  </si>
  <si>
    <t>A15035</t>
  </si>
  <si>
    <t>F C01-00000281</t>
  </si>
  <si>
    <t>A150405</t>
  </si>
  <si>
    <t>F F01-00004559</t>
  </si>
  <si>
    <t>F F01-00004894</t>
  </si>
  <si>
    <t>A150617</t>
  </si>
  <si>
    <t>F F01-00004866</t>
  </si>
  <si>
    <t>ATENCION VETERINARIA S.A.C</t>
  </si>
  <si>
    <t>A150758</t>
  </si>
  <si>
    <t>BCP01/2025/14625</t>
  </si>
  <si>
    <t>MISC/2026/03/0293 (REGULARIZACION TTG MARZO - 26)</t>
  </si>
  <si>
    <t>MISC/2026/03/0293</t>
  </si>
  <si>
    <t>REGULARIZACION TTG MARZO  - 26</t>
  </si>
  <si>
    <t>A150774</t>
  </si>
  <si>
    <t>E 001-00000455</t>
  </si>
  <si>
    <t>PONCE SALCEDO JAVIER</t>
  </si>
  <si>
    <t>E 001-00000454</t>
  </si>
  <si>
    <t>E 001-00000453</t>
  </si>
  <si>
    <t>E B01-00000356</t>
  </si>
  <si>
    <t>E B01-00000355</t>
  </si>
  <si>
    <t>E B01-00000354</t>
  </si>
  <si>
    <t>B B01-00007476</t>
  </si>
  <si>
    <t>B B01-00007473</t>
  </si>
  <si>
    <t>E B01-00000353</t>
  </si>
  <si>
    <t>E B01-00000352</t>
  </si>
  <si>
    <t>MEDINA CHONG, SEBASTIAN PASTOR</t>
  </si>
  <si>
    <t>E B01-00000350</t>
  </si>
  <si>
    <t>B B01-00007446</t>
  </si>
  <si>
    <t>DEL RISCO SOTIL, JIMENA MARIA</t>
  </si>
  <si>
    <t>B B01-00007436</t>
  </si>
  <si>
    <t>B B01-00007435</t>
  </si>
  <si>
    <t>E B01-00000349</t>
  </si>
  <si>
    <t>E B01-00000348</t>
  </si>
  <si>
    <t>E B01-00000347</t>
  </si>
  <si>
    <t>E 001-00000452</t>
  </si>
  <si>
    <t>E B01-00000346</t>
  </si>
  <si>
    <t>E B01-00000345</t>
  </si>
  <si>
    <t>B B01-00007375</t>
  </si>
  <si>
    <t>B B01-00007370</t>
  </si>
  <si>
    <t>B B01-00007304</t>
  </si>
  <si>
    <t>B B01-00007303</t>
  </si>
  <si>
    <t>B B01-00007296</t>
  </si>
  <si>
    <t>E B01-00000344</t>
  </si>
  <si>
    <t>E B01-00000343</t>
  </si>
  <si>
    <t>E B01-00000342</t>
  </si>
  <si>
    <t>E B01-00000341</t>
  </si>
  <si>
    <t>E B01-00000340</t>
  </si>
  <si>
    <t>E B01-00000339</t>
  </si>
  <si>
    <t>E B01-00000338</t>
  </si>
  <si>
    <t>E B01-00000337</t>
  </si>
  <si>
    <t>E B01-00000336</t>
  </si>
  <si>
    <t>E B01-00000335</t>
  </si>
  <si>
    <t>E B01-00000334</t>
  </si>
  <si>
    <t>E B01-00000333</t>
  </si>
  <si>
    <t>E 001-00000451</t>
  </si>
  <si>
    <t>E B01-00000332</t>
  </si>
  <si>
    <t>E B01-00000331</t>
  </si>
  <si>
    <t>E B01-00000330</t>
  </si>
  <si>
    <t>B B01-00007254</t>
  </si>
  <si>
    <t>E 001-00000450</t>
  </si>
  <si>
    <t>CALDERON VERA JESUS WILFREDO - 10066053488</t>
  </si>
  <si>
    <t>B B01-00006996</t>
  </si>
  <si>
    <t>E B01-00000329</t>
  </si>
  <si>
    <t>E B01-00000328</t>
  </si>
  <si>
    <t>B B01-00006964</t>
  </si>
  <si>
    <t>B B01-00006953</t>
  </si>
  <si>
    <t>E B01-00000327</t>
  </si>
  <si>
    <t>E B01-00000326</t>
  </si>
  <si>
    <t>E 001-00000449</t>
  </si>
  <si>
    <t>B B01-00006949</t>
  </si>
  <si>
    <t>E B01-00000325</t>
  </si>
  <si>
    <t>E B01-00000323</t>
  </si>
  <si>
    <t>B B01-00006919</t>
  </si>
  <si>
    <t>B B01-00006918</t>
  </si>
  <si>
    <t>B B01-00006917</t>
  </si>
  <si>
    <t>E B01-00000322</t>
  </si>
  <si>
    <t>E B01-00000321</t>
  </si>
  <si>
    <t>E B01-00000320</t>
  </si>
  <si>
    <t>E 001-00000448</t>
  </si>
  <si>
    <t>E 001-00000447</t>
  </si>
  <si>
    <t>E 001-00000446</t>
  </si>
  <si>
    <t>E B01-00000319</t>
  </si>
  <si>
    <t>E 001-00000445</t>
  </si>
  <si>
    <t>F F01-00004793</t>
  </si>
  <si>
    <t>E B01-00000318</t>
  </si>
  <si>
    <t>E B01-00000317</t>
  </si>
  <si>
    <t>E B01-00000316</t>
  </si>
  <si>
    <t>B B01-00006796</t>
  </si>
  <si>
    <t>ROJAS VASQUEZ, DIANA VIRGINIA</t>
  </si>
  <si>
    <t>SCT01/2025/02495</t>
  </si>
  <si>
    <t>ALLCA MELENDEZ, ANTONIO IVAN</t>
  </si>
  <si>
    <t>B B01-00007417</t>
  </si>
  <si>
    <t>A151197</t>
  </si>
  <si>
    <t>SCT01/2025/02516</t>
  </si>
  <si>
    <t>DE LA CRUZ VELASQUEZ, CARLOS HERMOGENES</t>
  </si>
  <si>
    <t>B B01-00007442</t>
  </si>
  <si>
    <t>A151198</t>
  </si>
  <si>
    <t>B B01-00007525</t>
  </si>
  <si>
    <t>SANCHEZ TAKAHASHI, STEFANY SARA</t>
  </si>
  <si>
    <t>A151199</t>
  </si>
  <si>
    <t>SCT01/2025/02519</t>
  </si>
  <si>
    <t>B B01-00007567</t>
  </si>
  <si>
    <t>RAMIREZ NELSON, ANGELA PATRICIA</t>
  </si>
  <si>
    <t>A151200</t>
  </si>
  <si>
    <t>SCT01/2025/02520</t>
  </si>
  <si>
    <t>BCP01/2025/01800</t>
  </si>
  <si>
    <t>ANIMALIA REPRESENTACIONES E.I.R.L.</t>
  </si>
  <si>
    <t>F F01-00000389</t>
  </si>
  <si>
    <t>A15285</t>
  </si>
  <si>
    <t>RIMARACHIN GALVEZ, JOEL JOSEPH</t>
  </si>
  <si>
    <t>BBVA1/2025/00746</t>
  </si>
  <si>
    <t>AGROPECUARIA BUJIRO YONEZAWA S.A.C.</t>
  </si>
  <si>
    <t>F F01-00000451</t>
  </si>
  <si>
    <t>A15286</t>
  </si>
  <si>
    <t>F C01-00000289</t>
  </si>
  <si>
    <t>A152980</t>
  </si>
  <si>
    <t>F C01-00000287</t>
  </si>
  <si>
    <t>BCP01/2025/00915</t>
  </si>
  <si>
    <t>E001-159</t>
  </si>
  <si>
    <t>A15312</t>
  </si>
  <si>
    <t>E 001-00000159</t>
  </si>
  <si>
    <t>BCP01/2025/01709</t>
  </si>
  <si>
    <t>F F01-00000004</t>
  </si>
  <si>
    <t>A15313</t>
  </si>
  <si>
    <t>F F01-00000546</t>
  </si>
  <si>
    <t>IDROGO MEDINA JUAN CARLOS</t>
  </si>
  <si>
    <t>A15314</t>
  </si>
  <si>
    <t>BCP01/2025/00911</t>
  </si>
  <si>
    <t>F F01-00000548</t>
  </si>
  <si>
    <t>CASA DEL BUEN CRIADOR E.I.R.L.</t>
  </si>
  <si>
    <t>A15316</t>
  </si>
  <si>
    <t>BCP01/2025/00333</t>
  </si>
  <si>
    <t>PTRP/2025/01877 (Redeem Bill of Exchange FLC-00208)</t>
  </si>
  <si>
    <t>PTRP/2025/01877</t>
  </si>
  <si>
    <t>Pago de cliente S/ 79,264.72 - GRUPO PHARMAX VETERINARIA S.A.C. - PHARMAX VET S.A.C. - 02/04/2025</t>
  </si>
  <si>
    <t>Redeem Bill of Exchange FLC-00208</t>
  </si>
  <si>
    <t>A15319</t>
  </si>
  <si>
    <t>F F01-00000424</t>
  </si>
  <si>
    <t>PTRP/2025/01878 (Redeem Bill of Exchange FLC-00196)</t>
  </si>
  <si>
    <t>PTRP/2025/01878</t>
  </si>
  <si>
    <t>Pago de cliente S/ 43,346.58 - TOP VETERINARIA S.A.C. - 02/04/2025</t>
  </si>
  <si>
    <t>Redeem Bill of Exchange FLC-00196</t>
  </si>
  <si>
    <t>A15320</t>
  </si>
  <si>
    <t>F F01-00000411</t>
  </si>
  <si>
    <t>PTRP/2025/01879 (Redeem Bill of Exchange FLC-00256)</t>
  </si>
  <si>
    <t>PTRP/2025/01879</t>
  </si>
  <si>
    <t>Pago de cliente S/ 11,800.66 - TOP VETERINARIA S.A.C. - 02/04/2025</t>
  </si>
  <si>
    <t>Redeem Bill of Exchange FLC-00256</t>
  </si>
  <si>
    <t>A15321</t>
  </si>
  <si>
    <t>F F01-00000522</t>
  </si>
  <si>
    <t>PTRP/2025/01880 (Redeem Bill of Exchange FLC-00257)</t>
  </si>
  <si>
    <t>PTRP/2025/01880</t>
  </si>
  <si>
    <t>Pago de cliente S/ 34,646.39 - TOP VETERINARIA S.A.C. - 02/04/2025</t>
  </si>
  <si>
    <t>Redeem Bill of Exchange FLC-00257</t>
  </si>
  <si>
    <t>A15322</t>
  </si>
  <si>
    <t>F F01-00000523</t>
  </si>
  <si>
    <t>PTRP/2025/01881 (Redeem Bill of Exchange FLC-00242)</t>
  </si>
  <si>
    <t>PTRP/2025/01881</t>
  </si>
  <si>
    <t>Pago de cliente S/ 12,306.19 - CORPORACION FARMACEUTICA VETERINARIA SOCIEDAD ANONIMA CERRADA - 02/04/2025</t>
  </si>
  <si>
    <t>Redeem Bill of Exchange FLC-00242</t>
  </si>
  <si>
    <t>A15325</t>
  </si>
  <si>
    <t>F F01-00000499</t>
  </si>
  <si>
    <t>PTRP/2025/01882 (Redeem Bill of Exchange FLC-00262)</t>
  </si>
  <si>
    <t>PTRP/2025/01882</t>
  </si>
  <si>
    <t>Pago de cliente S/ 20,506.36 - INVERSIONES Y SERVICIOS VETERINARIO COTOS S.A.C. - 02/04/2025</t>
  </si>
  <si>
    <t>Redeem Bill of Exchange FLC-00262</t>
  </si>
  <si>
    <t>A15326</t>
  </si>
  <si>
    <t>F F01-00000534</t>
  </si>
  <si>
    <t>PTRP/2025/01883 (Redeem Bill of Exchange FLC-00285)</t>
  </si>
  <si>
    <t>PTRP/2025/01883</t>
  </si>
  <si>
    <t>Pago de cliente S/ 4,924.96 - AGROPEC SOCIEDAD COMERCIAL DE RESPONSABILIDAD LIMITADA - 03/04/2025</t>
  </si>
  <si>
    <t>Redeem Bill of Exchange FLC-00285</t>
  </si>
  <si>
    <t>A15327</t>
  </si>
  <si>
    <t>F F01-00000591</t>
  </si>
  <si>
    <t>PTRP/2025/01884 (Redeem Bill of Exchange FLC-00261)</t>
  </si>
  <si>
    <t>PTRP/2025/01884</t>
  </si>
  <si>
    <t>Pago de cliente S/ 18,456.14 - AGROPEC SOCIEDAD COMERCIAL DE RESPONSABILIDAD LIMITADA - 03/04/2025</t>
  </si>
  <si>
    <t>Redeem Bill of Exchange FLC-00261</t>
  </si>
  <si>
    <t>A15328</t>
  </si>
  <si>
    <t>F F01-00000533</t>
  </si>
  <si>
    <t>PTRP/2025/01885 (Redeem Bill of Exchange FLC-00214)</t>
  </si>
  <si>
    <t>PTRP/2025/01885</t>
  </si>
  <si>
    <t>Pago de cliente S/ 20,450.14 - AGROPEC SOCIEDAD COMERCIAL DE RESPONSABILIDAD LIMITADA - 03/04/2025</t>
  </si>
  <si>
    <t>Redeem Bill of Exchange FLC-00214</t>
  </si>
  <si>
    <t>A15329</t>
  </si>
  <si>
    <t>F F01-00000442</t>
  </si>
  <si>
    <t>PTRP/2025/01886 (Redeem Bill of Exchange FLC-00191)</t>
  </si>
  <si>
    <t>PTRP/2025/01886</t>
  </si>
  <si>
    <t>Pago de cliente S/ 4,951.31 - AGROPEC SOCIEDAD COMERCIAL DE RESPONSABILIDAD LIMITADA - 03/04/2025</t>
  </si>
  <si>
    <t>Redeem Bill of Exchange FLC-00191</t>
  </si>
  <si>
    <t>A15330</t>
  </si>
  <si>
    <t>F F01-00000405</t>
  </si>
  <si>
    <t>BCP01/2025/01714</t>
  </si>
  <si>
    <t>F F01-00000348</t>
  </si>
  <si>
    <t>A15339</t>
  </si>
  <si>
    <t>PAPANT/2025/09397 (B B01-00006751)</t>
  </si>
  <si>
    <t>PAPANT/2025/09397</t>
  </si>
  <si>
    <t>ESCAMILO MUÑOZ, DIANA DORELLI</t>
  </si>
  <si>
    <t>Pago de cliente S/ 173.44 - ESCAMILO MUÑOZ, DIANA DORELLI - 02/03/2026</t>
  </si>
  <si>
    <t>B B01-00006751</t>
  </si>
  <si>
    <t>A154095</t>
  </si>
  <si>
    <t>PAPANT/2025/09398 (B B01-00006795)</t>
  </si>
  <si>
    <t>PAPANT/2025/09398</t>
  </si>
  <si>
    <t>BRAVO PEREZ, MANUEL FEDERICO</t>
  </si>
  <si>
    <t>Pago de cliente S/ 156.55 - BRAVO PEREZ, MANUEL FEDERICO - 03/03/2026</t>
  </si>
  <si>
    <t>B B01-00006795</t>
  </si>
  <si>
    <t>A154096</t>
  </si>
  <si>
    <t>PAPANT/2025/09399 (B B01-00006794)</t>
  </si>
  <si>
    <t>PAPANT/2025/09399</t>
  </si>
  <si>
    <t>Pago de cliente S/ 133.98 - VARGAS LEON, ALEJANDRO VICTOR - 03/03/2026</t>
  </si>
  <si>
    <t>B B01-00006794</t>
  </si>
  <si>
    <t>A154098</t>
  </si>
  <si>
    <t>PAPANT/2025/09400 (B B01-00006777)</t>
  </si>
  <si>
    <t>PAPANT/2025/09400</t>
  </si>
  <si>
    <t>HURTADO CANDENAS, JOHANNA</t>
  </si>
  <si>
    <t>Pago de cliente S/ 83.59 - HURTADO CANDENAS, JOHANNA - 03/03/2026</t>
  </si>
  <si>
    <t>B B01-00006777</t>
  </si>
  <si>
    <t>A154099</t>
  </si>
  <si>
    <t>PAPANT/2025/09401 (B B01-00006797)</t>
  </si>
  <si>
    <t>PAPANT/2025/09401</t>
  </si>
  <si>
    <t>ROJAS BERNAL, ZAIDA CAROLINA</t>
  </si>
  <si>
    <t>Pago de cliente S/ 154.88 - ROJAS BERNAL, ZAIDA CAROLINA - 04/03/2026</t>
  </si>
  <si>
    <t>B B01-00006797</t>
  </si>
  <si>
    <t>A154100</t>
  </si>
  <si>
    <t>PAPANT/2025/09402 (B B01-00006819)</t>
  </si>
  <si>
    <t>PAPANT/2025/09402</t>
  </si>
  <si>
    <t>CALDERON OJEDA, PEDRO ALEJANDRO</t>
  </si>
  <si>
    <t>Pago de cliente S/ 218.30 - CALDERON OJEDA, PEDRO ALEJANDRO - 04/03/2026</t>
  </si>
  <si>
    <t>B B01-00006819</t>
  </si>
  <si>
    <t>A154104</t>
  </si>
  <si>
    <t>PAPANT/2025/09403 (B B01-00006851)</t>
  </si>
  <si>
    <t>PAPANT/2025/09403</t>
  </si>
  <si>
    <t>GRILLO ENRIQUEZ, THALIA VERONICA</t>
  </si>
  <si>
    <t>Pago de cliente S/ 109.15 - GRILLO ENRIQUEZ, THALIA VERONICA - 05/03/2026</t>
  </si>
  <si>
    <t>B B01-00006851</t>
  </si>
  <si>
    <t>A154128</t>
  </si>
  <si>
    <t>PAPANT/2025/09404 (B B01-00006853)</t>
  </si>
  <si>
    <t>PAPANT/2025/09404</t>
  </si>
  <si>
    <t>CURI PALOMINO, MARTIN JESUS</t>
  </si>
  <si>
    <t>Pago de cliente S/ 355.85 - CURI PALOMINO, MARTIN JESUS - 05/03/2026</t>
  </si>
  <si>
    <t>B B01-00006853</t>
  </si>
  <si>
    <t>A154133</t>
  </si>
  <si>
    <t>PAPANT/2025/09405 (B B01-00006878)</t>
  </si>
  <si>
    <t>PAPANT/2025/09405</t>
  </si>
  <si>
    <t>ROMANI GARCIA, JEAN CARLO JOSE</t>
  </si>
  <si>
    <t>Pago de cliente S/ 108.78 - ROMANI GARCIA, JEAN CARLO JOSE - 06/03/2026</t>
  </si>
  <si>
    <t>B B01-00006878</t>
  </si>
  <si>
    <t>A154136</t>
  </si>
  <si>
    <t>PAPANT/2025/09406 (B B01-00006874)</t>
  </si>
  <si>
    <t>PAPANT/2025/09406</t>
  </si>
  <si>
    <t>ANCHORENA ARIAS, GIOVANNA DEL PILAR</t>
  </si>
  <si>
    <t>Pago de cliente S/ 288.81 - ANCHORENA ARIAS, GIOVANNA DEL PILAR - 06/03/2026</t>
  </si>
  <si>
    <t>B B01-00006874</t>
  </si>
  <si>
    <t>A154138</t>
  </si>
  <si>
    <t>PAPANT/2025/09407 (B B01-00006950)</t>
  </si>
  <si>
    <t>PAPANT/2025/09407</t>
  </si>
  <si>
    <t>Pago de cliente S/ 176.79 - PALIZA CAMAVILCA, JHOSSELYN JARUMY - 11/03/2026</t>
  </si>
  <si>
    <t>B B01-00006950</t>
  </si>
  <si>
    <t>A154139</t>
  </si>
  <si>
    <t>PAPANT/2025/09408 (B B01-00006971)</t>
  </si>
  <si>
    <t>PAPANT/2025/09408</t>
  </si>
  <si>
    <t>HUAMANCAJA CARDENAS, URSULA</t>
  </si>
  <si>
    <t>Pago de cliente S/ 168.50 - HUAMANCAJA CARDENAS, URSULA - 13/03/2026</t>
  </si>
  <si>
    <t>B B01-00006971</t>
  </si>
  <si>
    <t>A154142</t>
  </si>
  <si>
    <t>PAPANT/2025/09409 (B B01-00007278)</t>
  </si>
  <si>
    <t>PAPANT/2025/09409</t>
  </si>
  <si>
    <t>RIOS GERMAN, STEFANNY MARIANELLA</t>
  </si>
  <si>
    <t>Pago de cliente S/ 453.12 - RIOS GERMAN, STEFANNY MARIANELLA - 16/03/2026</t>
  </si>
  <si>
    <t>B B01-00007278</t>
  </si>
  <si>
    <t>A154157</t>
  </si>
  <si>
    <t>PAPANT/2025/09410 (B B01-00007253)</t>
  </si>
  <si>
    <t>PAPANT/2025/09410</t>
  </si>
  <si>
    <t>HUEZA MATENCIO, JANET BEATRIZ</t>
  </si>
  <si>
    <t>Pago de cliente S/ 97.35 - HUEZA MATENCIO, JANET BEATRIZ - 16/03/2026</t>
  </si>
  <si>
    <t>B B01-00007253</t>
  </si>
  <si>
    <t>A154158</t>
  </si>
  <si>
    <t>PAPANT/2025/09411 (B B01-00007273)</t>
  </si>
  <si>
    <t>PAPANT/2025/09411</t>
  </si>
  <si>
    <t>BARBOZA CASTRO, CARLOS ALFREDO</t>
  </si>
  <si>
    <t>Pago de cliente S/ 217.57 - BARBOZA CASTRO, CARLOS ALFREDO - 16/03/2026</t>
  </si>
  <si>
    <t>B B01-00007273</t>
  </si>
  <si>
    <t>A154160</t>
  </si>
  <si>
    <t>PAPANT/2025/09412 (B B01-00007306)</t>
  </si>
  <si>
    <t>PAPANT/2025/09412</t>
  </si>
  <si>
    <t>SANTIBAÑEZ PEÑA, CHRISTIAN ANTONIO</t>
  </si>
  <si>
    <t>Pago de cliente S/ 108.78 - SANTIBAÑEZ PEÑA, CHRISTIAN ANTONIO - 18/03/2026</t>
  </si>
  <si>
    <t>B B01-00007306</t>
  </si>
  <si>
    <t>A154161</t>
  </si>
  <si>
    <t>PAPANT/2025/09413 (B B01-00007321)</t>
  </si>
  <si>
    <t>PAPANT/2025/09413</t>
  </si>
  <si>
    <t>Pago de cliente S/ 136.88 - ROJAS BERNAL, ZAIDA CAROLINA - 19/03/2026</t>
  </si>
  <si>
    <t>B B01-00007321</t>
  </si>
  <si>
    <t>A154163</t>
  </si>
  <si>
    <t>PAPANT/2025/09414 (B B01-00007371)</t>
  </si>
  <si>
    <t>PAPANT/2025/09414</t>
  </si>
  <si>
    <t>BARRERA ROZAS, JONATHAN JAVIER</t>
  </si>
  <si>
    <t>Pago de cliente S/ 162.49 - BARRERA ROZAS, JONATHAN JAVIER - 20/03/2026</t>
  </si>
  <si>
    <t>B B01-00007371</t>
  </si>
  <si>
    <t>A154164</t>
  </si>
  <si>
    <t>PAPANT/2025/09415 (B B01-00007335)</t>
  </si>
  <si>
    <t>PAPANT/2025/09415</t>
  </si>
  <si>
    <t>BELTRAN FLORES, XIMENA ALEJANDRA</t>
  </si>
  <si>
    <t>Pago de cliente S/ 457.87 - BELTRAN FLORES, XIMENA ALEJANDRA - 20/03/2026</t>
  </si>
  <si>
    <t>B B01-00007335</t>
  </si>
  <si>
    <t>A154165</t>
  </si>
  <si>
    <t>PAPANT/2025/09416 (B B01-00007376)</t>
  </si>
  <si>
    <t>PAPANT/2025/09416</t>
  </si>
  <si>
    <t>HIYAGON ARROYO, STEPHANIE PAMELA</t>
  </si>
  <si>
    <t>Pago de cliente S/ 177.43 - HIYAGON ARROYO, STEPHANIE PAMELA - 20/03/2026</t>
  </si>
  <si>
    <t>B B01-00007376</t>
  </si>
  <si>
    <t>A154166</t>
  </si>
  <si>
    <t>PAPANT/2025/09417 (B B01-00007398)</t>
  </si>
  <si>
    <t>PAPANT/2025/09417</t>
  </si>
  <si>
    <t>RODRIGUEZ CARMONA, MARIA ESTHER</t>
  </si>
  <si>
    <t>Pago de cliente S/ 130.39 - RODRIGUEZ CARMONA, MARIA ESTHER - 23/03/2026</t>
  </si>
  <si>
    <t>B B01-00007398</t>
  </si>
  <si>
    <t>A154167</t>
  </si>
  <si>
    <t>PAPANT/2025/09418 (B B01-00007437)</t>
  </si>
  <si>
    <t>PAPANT/2025/09418</t>
  </si>
  <si>
    <t>Pago de cliente S/ 109.15 - GRILLO ENRIQUEZ, THALIA VERONICA - 25/03/2026</t>
  </si>
  <si>
    <t>B B01-00007437</t>
  </si>
  <si>
    <t>A154169</t>
  </si>
  <si>
    <t>PAPANT/2025/09419 (B B01-00007474)</t>
  </si>
  <si>
    <t>PAPANT/2025/09419</t>
  </si>
  <si>
    <t>Pago de cliente S/ 37.17 - ROJAS BERNAL, ZAIDA CAROLINA - 26/03/2026</t>
  </si>
  <si>
    <t>B B01-00007474</t>
  </si>
  <si>
    <t>A154170</t>
  </si>
  <si>
    <t>PAPANT/2025/09420 (B B01-00007461)</t>
  </si>
  <si>
    <t>PAPANT/2025/09420</t>
  </si>
  <si>
    <t>ARELLANO BASTIDAS, RAQUEL CONSUELO</t>
  </si>
  <si>
    <t>Pago de cliente S/ 193.11 - ARELLANO BASTIDAS, RAQUEL CONSUELO - 26/03/2026</t>
  </si>
  <si>
    <t>B B01-00007461</t>
  </si>
  <si>
    <t>A154171</t>
  </si>
  <si>
    <t>PAPANT/2025/09421 (B B01-00007487)</t>
  </si>
  <si>
    <t>PAPANT/2025/09421</t>
  </si>
  <si>
    <t>DE LA CRUZ OCHOCHOQUE, JEAN CARLOS</t>
  </si>
  <si>
    <t>Pago de cliente S/ 247.25 - DE LA CRUZ OCHOCHOQUE, JEAN CARLOS - 27/03/2026</t>
  </si>
  <si>
    <t>B B01-00007487</t>
  </si>
  <si>
    <t>A154173</t>
  </si>
  <si>
    <t>B B01-00004591</t>
  </si>
  <si>
    <t>WUEST PAREDES, CRISTINA</t>
  </si>
  <si>
    <t>A158382</t>
  </si>
  <si>
    <t>PAPANT/2025/09422 (B B01-00007530)</t>
  </si>
  <si>
    <t>PAPANT/2025/09422</t>
  </si>
  <si>
    <t>Pago de cliente S/ 32.56 - PALIZA CAMAVILCA, JHOSSELYN JARUMY - 30/03/2026</t>
  </si>
  <si>
    <t>B B01-00007530</t>
  </si>
  <si>
    <t>A154174</t>
  </si>
  <si>
    <t>B B01-00004589</t>
  </si>
  <si>
    <t>CONISLLA YAÑEZ, WENDY MARIA</t>
  </si>
  <si>
    <t>A158384</t>
  </si>
  <si>
    <t>B B01-00007563</t>
  </si>
  <si>
    <t>ALHUAY PEREZ, ESPERANZA VICTORIA</t>
  </si>
  <si>
    <t>A154227</t>
  </si>
  <si>
    <t>PAPANT/2025/09423 (B B01-00007563)</t>
  </si>
  <si>
    <t>PAPANT/2025/09423</t>
  </si>
  <si>
    <t>Pago de cliente S/ 201.87 - ALHUAY PEREZ, ESPERANZA VICTORIA - 30/03/2026</t>
  </si>
  <si>
    <t>B B01-00007562</t>
  </si>
  <si>
    <t>HUAMANI CCOCHACHI, MIRTHA LILIANA</t>
  </si>
  <si>
    <t>A154228</t>
  </si>
  <si>
    <t>PAPANT/2025/09424 (B B01-00007562)</t>
  </si>
  <si>
    <t>PAPANT/2025/09424</t>
  </si>
  <si>
    <t>Pago de cliente S/ 674.50 - HUAMANI CCOCHACHI, MIRTHA LILIANA - 30/03/2026</t>
  </si>
  <si>
    <t>B B01-00004583</t>
  </si>
  <si>
    <t>SANDOVAL SECLEN, CRISTHIAN ANTONIO</t>
  </si>
  <si>
    <t>A158385</t>
  </si>
  <si>
    <t>B B01-00007565</t>
  </si>
  <si>
    <t>RIQUEZ ALVARO, IVONNE KATTY</t>
  </si>
  <si>
    <t>A154229</t>
  </si>
  <si>
    <t>PAPANT/2025/09425 (B B01-00007565)</t>
  </si>
  <si>
    <t>PAPANT/2025/09425</t>
  </si>
  <si>
    <t>Pago de cliente S/ 612.50 - RIQUEZ ALVARO, IVONNE KATTY - 30/03/2026</t>
  </si>
  <si>
    <t>B B01-00007564</t>
  </si>
  <si>
    <t>A154230</t>
  </si>
  <si>
    <t>PAPANT/2025/09426 (B B01-00007564)</t>
  </si>
  <si>
    <t>PAPANT/2025/09426</t>
  </si>
  <si>
    <t>Pago de cliente S/ 295.00 - TORRES SOLORZANO, JONAS ELI - 30/03/2026</t>
  </si>
  <si>
    <t>B B01-00007560</t>
  </si>
  <si>
    <t>A154247</t>
  </si>
  <si>
    <t>PAPANT/2025/09428 (B B01-00007560)</t>
  </si>
  <si>
    <t>PAPANT/2025/09428</t>
  </si>
  <si>
    <t>Pago de cliente S/ 24.00 - GARCIA FIESTAS, JOSE AURELIO - 30/03/2026</t>
  </si>
  <si>
    <t>MISC/2025/02/0006</t>
  </si>
  <si>
    <t>INVERSIONES PET CENTER S.A.C.</t>
  </si>
  <si>
    <t>REDONDEO</t>
  </si>
  <si>
    <t>A1544</t>
  </si>
  <si>
    <t>F F01-00000174</t>
  </si>
  <si>
    <t>F010-00001420</t>
  </si>
  <si>
    <t>B B01-00006549</t>
  </si>
  <si>
    <t>CHOU CHU, LILY</t>
  </si>
  <si>
    <t>A154498</t>
  </si>
  <si>
    <t>BCP02/2025/02170</t>
  </si>
  <si>
    <t>BCP02/2025/02154</t>
  </si>
  <si>
    <t>F F01-00000168</t>
  </si>
  <si>
    <t>A1545</t>
  </si>
  <si>
    <t>F010-00001416</t>
  </si>
  <si>
    <t>PTRP/2025/01892 (Redeem Bill of Exchange FLC-00181)</t>
  </si>
  <si>
    <t>PTRP/2025/01892</t>
  </si>
  <si>
    <t>Pago de cliente S/ 4,705.06 - AGROVET Y DISTRIBUCIONES GRANDEZ S.R.L - 07/04/2025</t>
  </si>
  <si>
    <t>Redeem Bill of Exchange FLC-00181</t>
  </si>
  <si>
    <t>A15481</t>
  </si>
  <si>
    <t>F010-00026306</t>
  </si>
  <si>
    <t>PAPANT/2025/09511 (B B01-00006952)</t>
  </si>
  <si>
    <t>PAPANT/2025/09511</t>
  </si>
  <si>
    <t>CAMPOS DRAGO, JUAN CARLOS</t>
  </si>
  <si>
    <t>Pago de cliente S/ 29.09 - CAMPOS DRAGO, JUAN CARLOS - 12/03/2026</t>
  </si>
  <si>
    <t>B B01-00006952</t>
  </si>
  <si>
    <t>A155069</t>
  </si>
  <si>
    <t>PAPANT/2025/09512 (B B01-00006969)</t>
  </si>
  <si>
    <t>PAPANT/2025/09512</t>
  </si>
  <si>
    <t>Pago de cliente S/ 147.50 - GARCIA FIESTAS, JOSE AURELIO - 13/03/2026</t>
  </si>
  <si>
    <t>B B01-00006969</t>
  </si>
  <si>
    <t>A155072</t>
  </si>
  <si>
    <t>F C01-00000219</t>
  </si>
  <si>
    <t>A155074</t>
  </si>
  <si>
    <t>F C01-00000218</t>
  </si>
  <si>
    <t>F C01-00000186</t>
  </si>
  <si>
    <t>F C01-00000185</t>
  </si>
  <si>
    <t>F F01-00000285</t>
  </si>
  <si>
    <t>F010-00027038</t>
  </si>
  <si>
    <t>PAPANT/2025/09513 (B B01-00007475)</t>
  </si>
  <si>
    <t>PAPANT/2025/09513</t>
  </si>
  <si>
    <t>Pago de cliente S/ 306.07 - CAMPOS DRAGO, JUAN CARLOS - 26/03/2026</t>
  </si>
  <si>
    <t>B B01-00007475</t>
  </si>
  <si>
    <t>A155076</t>
  </si>
  <si>
    <t>F C01-00000293</t>
  </si>
  <si>
    <t>A155518</t>
  </si>
  <si>
    <t>F F01-00004607</t>
  </si>
  <si>
    <t>F F01-00000706</t>
  </si>
  <si>
    <t>LA CASA DEL AGRICULTOR E.I.R.L.</t>
  </si>
  <si>
    <t>A15655</t>
  </si>
  <si>
    <t>BCP01/2025/01708</t>
  </si>
  <si>
    <t>F F01-00000701</t>
  </si>
  <si>
    <t>DISTRIBUCIONES VETERINARIAS LA TORRE S.A.C.</t>
  </si>
  <si>
    <t>A15666</t>
  </si>
  <si>
    <t>BCP01/2025/01712</t>
  </si>
  <si>
    <t>F F01-00000694</t>
  </si>
  <si>
    <t>A15668</t>
  </si>
  <si>
    <t>BCP01/2025/01707</t>
  </si>
  <si>
    <t>PTRP/2025/01893 (Redeem Bill of Exchange FLC-00182)</t>
  </si>
  <si>
    <t>PTRP/2025/01893</t>
  </si>
  <si>
    <t>Pago de cliente S/ 4,362.80 - AGROVETERINARIA MARKET MATEO`S S.C.R.L - 07/04/2025</t>
  </si>
  <si>
    <t>Redeem Bill of Exchange FLC-00182</t>
  </si>
  <si>
    <t>A15683</t>
  </si>
  <si>
    <t>F F01-00000385</t>
  </si>
  <si>
    <t>B B01-00001201</t>
  </si>
  <si>
    <t>SANTIAGO BRAVO, BELINDA</t>
  </si>
  <si>
    <t>A15692</t>
  </si>
  <si>
    <t>BCP01/2025/01715</t>
  </si>
  <si>
    <t>F F01-00000705</t>
  </si>
  <si>
    <t>CLINICA SAN PABLO HERNANDEZ S.A.C.</t>
  </si>
  <si>
    <t>A15695</t>
  </si>
  <si>
    <t>BCP01/2025/01711</t>
  </si>
  <si>
    <t>BCP01/2025/01713</t>
  </si>
  <si>
    <t>CERNA ULLOA, VICTOR HUGO</t>
  </si>
  <si>
    <t>B B01-00001182</t>
  </si>
  <si>
    <t>A15697</t>
  </si>
  <si>
    <t>B B01-00001163</t>
  </si>
  <si>
    <t>HUAMAN CHANTA, MARIA MARLENY</t>
  </si>
  <si>
    <t>A15698</t>
  </si>
  <si>
    <t>B B01-00004571</t>
  </si>
  <si>
    <t>DAGA VILLANUEVA, GILMER</t>
  </si>
  <si>
    <t>A158380</t>
  </si>
  <si>
    <t>BCP01/2025/01794</t>
  </si>
  <si>
    <t>B B01-00001200</t>
  </si>
  <si>
    <t>LONGHI CACERES, TRILCE</t>
  </si>
  <si>
    <t>A15706</t>
  </si>
  <si>
    <t>BCP01/2025/01721</t>
  </si>
  <si>
    <t>B B01-00001197</t>
  </si>
  <si>
    <t>VASQUEZ HUACAL, JOSE YONE</t>
  </si>
  <si>
    <t>A15709</t>
  </si>
  <si>
    <t>BCP01/2025/01716</t>
  </si>
  <si>
    <t>B B01-00001192</t>
  </si>
  <si>
    <t>AQUINO ROSADO, JOSELYN</t>
  </si>
  <si>
    <t>A15715</t>
  </si>
  <si>
    <t>BCP01/2025/01718</t>
  </si>
  <si>
    <t>B B01-00001190</t>
  </si>
  <si>
    <t>MICHA MONDRAGON, MIGUEL ANGEL</t>
  </si>
  <si>
    <t>A15716</t>
  </si>
  <si>
    <t>BCP01/2025/01802</t>
  </si>
  <si>
    <t>PTRP/2025/01894 (Redeem Bill of Exchange FLC-00278)</t>
  </si>
  <si>
    <t>PTRP/2025/01894</t>
  </si>
  <si>
    <t>Pago de cliente S/ 11,974.58 - LESCANO VALENCIA AMANDA ANGELICA - 07/04/2025</t>
  </si>
  <si>
    <t>Redeem Bill of Exchange FLC-00278</t>
  </si>
  <si>
    <t>A15717</t>
  </si>
  <si>
    <t>F F01-00000576</t>
  </si>
  <si>
    <t>PTRP/2025/01895 (Redeem Bill of Exchange FLC-00279)</t>
  </si>
  <si>
    <t>PTRP/2025/01895</t>
  </si>
  <si>
    <t>Pago de cliente S/ 11,839.59 - LESCANO VALENCIA AMANDA ANGELICA - 07/04/2025</t>
  </si>
  <si>
    <t>Redeem Bill of Exchange FLC-00279</t>
  </si>
  <si>
    <t>A15718</t>
  </si>
  <si>
    <t>F F01-00000580</t>
  </si>
  <si>
    <t>PTRP/2025/01896 (Redeem Bill of Exchange FLC-00294)</t>
  </si>
  <si>
    <t>PTRP/2025/01896</t>
  </si>
  <si>
    <t>Pago de cliente S/ 11,998.24 - LESCANO VALENCIA AMANDA ANGELICA - 07/04/2025</t>
  </si>
  <si>
    <t>Redeem Bill of Exchange FLC-00294</t>
  </si>
  <si>
    <t>A15719</t>
  </si>
  <si>
    <t>F F01-00000612</t>
  </si>
  <si>
    <t>PTRP/2025/01897 (Redeem Bill of Exchange FLC-00297)</t>
  </si>
  <si>
    <t>PTRP/2025/01897</t>
  </si>
  <si>
    <t>Pago de cliente S/ 11,877.74 - LESCANO VALENCIA AMANDA ANGELICA - 07/04/2025</t>
  </si>
  <si>
    <t>Redeem Bill of Exchange FLC-00297</t>
  </si>
  <si>
    <t>A15720</t>
  </si>
  <si>
    <t>F F01-00000616</t>
  </si>
  <si>
    <t>F F01-00000459</t>
  </si>
  <si>
    <t>A15734</t>
  </si>
  <si>
    <t>B B01-00004554</t>
  </si>
  <si>
    <t>RAMOS AMEZQUITA, KARINA</t>
  </si>
  <si>
    <t>A158379</t>
  </si>
  <si>
    <t>BCP01/2025/01165</t>
  </si>
  <si>
    <t>F F01-00000453</t>
  </si>
  <si>
    <t>EL COMEDERO S.R.L.</t>
  </si>
  <si>
    <t>A15735</t>
  </si>
  <si>
    <t>BCP01/2025/01189</t>
  </si>
  <si>
    <t>F F01-00000538</t>
  </si>
  <si>
    <t>A15739</t>
  </si>
  <si>
    <t>BCP01/2025/01439</t>
  </si>
  <si>
    <t>F F01-00000539</t>
  </si>
  <si>
    <t>A15740</t>
  </si>
  <si>
    <t>BCP01/2025/01441</t>
  </si>
  <si>
    <t>F F01-00000566</t>
  </si>
  <si>
    <t>A15741</t>
  </si>
  <si>
    <t>BCP01/2025/01494</t>
  </si>
  <si>
    <t>F F01-00000559</t>
  </si>
  <si>
    <t>GRUPO EMPRESARIAL CORINA SOCIEDAD ANONIMA CERRADA - G.E. CORINA S.A.C.</t>
  </si>
  <si>
    <t>A15742</t>
  </si>
  <si>
    <t>BCP01/2025/01497</t>
  </si>
  <si>
    <t>F F01-00000569</t>
  </si>
  <si>
    <t>A15743</t>
  </si>
  <si>
    <t>BCP01/2025/01496</t>
  </si>
  <si>
    <t>F F01-00000589</t>
  </si>
  <si>
    <t>A15744</t>
  </si>
  <si>
    <t>BCP01/2025/01548</t>
  </si>
  <si>
    <t>F F01-00000433</t>
  </si>
  <si>
    <t>AGRO QUIMICA SILVA S.A.C.</t>
  </si>
  <si>
    <t>A15745</t>
  </si>
  <si>
    <t>BCP01/2025/01127</t>
  </si>
  <si>
    <t>F F01-00000481</t>
  </si>
  <si>
    <t>AGRICOLA PACOCHA S.A.C.</t>
  </si>
  <si>
    <t>A15750</t>
  </si>
  <si>
    <t>BCP01/2025/01262</t>
  </si>
  <si>
    <t>F F01-00000484</t>
  </si>
  <si>
    <t>A15751</t>
  </si>
  <si>
    <t>BCP01/2025/01263</t>
  </si>
  <si>
    <t>F F01-00000561</t>
  </si>
  <si>
    <t>A15752</t>
  </si>
  <si>
    <t>BCP01/2025/01500</t>
  </si>
  <si>
    <t>F F01-00000579</t>
  </si>
  <si>
    <t>A15753</t>
  </si>
  <si>
    <t>BCP01/2025/01519</t>
  </si>
  <si>
    <t>F F01-00000575</t>
  </si>
  <si>
    <t>A15754</t>
  </si>
  <si>
    <t>BCP01/2025/01520</t>
  </si>
  <si>
    <t>F F01-00000598</t>
  </si>
  <si>
    <t>A15756</t>
  </si>
  <si>
    <t>BCP01/2025/01550</t>
  </si>
  <si>
    <t>F F01-00000600</t>
  </si>
  <si>
    <t>A15757</t>
  </si>
  <si>
    <t>BCP01/2025/01593</t>
  </si>
  <si>
    <t>F F01-00000470</t>
  </si>
  <si>
    <t>A15758</t>
  </si>
  <si>
    <t>BCP01/2025/01217</t>
  </si>
  <si>
    <t>F C01-00000072</t>
  </si>
  <si>
    <t>F010-00001418</t>
  </si>
  <si>
    <t>F010-00001417</t>
  </si>
  <si>
    <t>BCP01/2025/01841</t>
  </si>
  <si>
    <t>F F01-00000241</t>
  </si>
  <si>
    <t>A15759</t>
  </si>
  <si>
    <t>F F01-00000673</t>
  </si>
  <si>
    <t>A15760</t>
  </si>
  <si>
    <t>BCP01/2025/01777</t>
  </si>
  <si>
    <t>F F01-00000685</t>
  </si>
  <si>
    <t>MAYOVET CORPORATION SOCIEDAD ANONIMA CERRADA</t>
  </si>
  <si>
    <t>A15761</t>
  </si>
  <si>
    <t>BCP01/2025/01774</t>
  </si>
  <si>
    <t>B C01-00000182</t>
  </si>
  <si>
    <t>A157624</t>
  </si>
  <si>
    <t>B B01-00007471</t>
  </si>
  <si>
    <t>B B01-00007482</t>
  </si>
  <si>
    <t>YZARRA GIGNOUX, MILDRED INÉS</t>
  </si>
  <si>
    <t>A157625</t>
  </si>
  <si>
    <t>BBVA1/2025/05435</t>
  </si>
  <si>
    <t>F F01-00000648</t>
  </si>
  <si>
    <t>A15763</t>
  </si>
  <si>
    <t>BCP01/2025/01768</t>
  </si>
  <si>
    <t>F F01-00000638</t>
  </si>
  <si>
    <t>A15764</t>
  </si>
  <si>
    <t>BCP01/2025/01662</t>
  </si>
  <si>
    <t>PAPANT/2025/09593 (B B01-00004147)</t>
  </si>
  <si>
    <t>PAPANT/2025/09593</t>
  </si>
  <si>
    <t>Pago de cliente S/ 90.90 - VELASQUEZ CARRERA, MARIA DEL CARMEN - 31/03/2026</t>
  </si>
  <si>
    <t>B B01-00004147</t>
  </si>
  <si>
    <t>A157678</t>
  </si>
  <si>
    <t>PAPANT/2025/09594 (B B01-00005523)</t>
  </si>
  <si>
    <t>PAPANT/2025/09594</t>
  </si>
  <si>
    <t>MEDINA LOPEZ, WALTER EDUARDO</t>
  </si>
  <si>
    <t>Pago de cliente S/ 306.00 - MEDINA LOPEZ, WALTER EDUARDO - 31/03/2026</t>
  </si>
  <si>
    <t>B B01-00005523</t>
  </si>
  <si>
    <t>A157679</t>
  </si>
  <si>
    <t>PAPANT/2025/09595 (B B01-00006187)</t>
  </si>
  <si>
    <t>PAPANT/2025/09595</t>
  </si>
  <si>
    <t>VALDEZ CALDAS, DANIEL</t>
  </si>
  <si>
    <t>Pago de cliente S/ 187.01 - VALDEZ CALDAS, DANIEL - 31/03/2026</t>
  </si>
  <si>
    <t>B B01-00006187</t>
  </si>
  <si>
    <t>A157680</t>
  </si>
  <si>
    <t>PAPANT/2025/09596 (B B01-00006250)</t>
  </si>
  <si>
    <t>PAPANT/2025/09596</t>
  </si>
  <si>
    <t>ALAMO VIERA, EVELYN MILAGROS</t>
  </si>
  <si>
    <t>Pago de cliente S/ 113.91 - ALAMO VIERA, EVELYN MILAGROS - 31/03/2026</t>
  </si>
  <si>
    <t>B B01-00006250</t>
  </si>
  <si>
    <t>A157681</t>
  </si>
  <si>
    <t>PAPANT/2025/09597 (B B01-00006324)</t>
  </si>
  <si>
    <t>PAPANT/2025/09597</t>
  </si>
  <si>
    <t>GONZALES LARIOS, FERNANDO EDUARDO</t>
  </si>
  <si>
    <t>Pago de cliente S/ 134.91 - GONZALES LARIOS, FERNANDO EDUARDO - 31/03/2026</t>
  </si>
  <si>
    <t>B B01-00006324</t>
  </si>
  <si>
    <t>A157682</t>
  </si>
  <si>
    <t>PAPANT/2025/09598 (B B01-00006406)</t>
  </si>
  <si>
    <t>PAPANT/2025/09598</t>
  </si>
  <si>
    <t>PACHECO GUTIERREZ, PAMELA ROSA</t>
  </si>
  <si>
    <t>Pago de cliente S/ 130.50 - PACHECO GUTIERREZ, PAMELA ROSA - 31/03/2026</t>
  </si>
  <si>
    <t>B B01-00006406</t>
  </si>
  <si>
    <t>A157683</t>
  </si>
  <si>
    <t>PAPANT/2025/09599 (B B01-00006427)</t>
  </si>
  <si>
    <t>PAPANT/2025/09599</t>
  </si>
  <si>
    <t>MEZA DEL CAMPO, LORENA ANDREA</t>
  </si>
  <si>
    <t>Pago de cliente S/ 181.72 - MEZA DEL CAMPO, LORENA ANDREA - 31/03/2026</t>
  </si>
  <si>
    <t>B B01-00006427</t>
  </si>
  <si>
    <t>A157685</t>
  </si>
  <si>
    <t>PAPANT/2025/09600 (B B01-00006454)</t>
  </si>
  <si>
    <t>PAPANT/2025/09600</t>
  </si>
  <si>
    <t>DOIG BERNUY, PATRICIO RAFAEL MARTIN</t>
  </si>
  <si>
    <t>Pago de cliente S/ 384.74 - DOIG BERNUY, PATRICIO RAFAEL MARTIN - 31/03/2026</t>
  </si>
  <si>
    <t>B B01-00006454</t>
  </si>
  <si>
    <t>A157687</t>
  </si>
  <si>
    <t>PAPANT/2025/09601 (B B01-00006473)</t>
  </si>
  <si>
    <t>PAPANT/2025/09601</t>
  </si>
  <si>
    <t>MANTILLA LOZANO, PRISCILA ESTHER</t>
  </si>
  <si>
    <t>Pago de cliente S/ 147.10 - MANTILLA LOZANO, PRISCILA ESTHER - 31/03/2026</t>
  </si>
  <si>
    <t>B B01-00006473</t>
  </si>
  <si>
    <t>A157689</t>
  </si>
  <si>
    <t>PAPANT/2025/09602 (B B01-00006496)</t>
  </si>
  <si>
    <t>PAPANT/2025/09602</t>
  </si>
  <si>
    <t>ROJAS CHIPANA, MARIA FERNANDA</t>
  </si>
  <si>
    <t>Pago de cliente S/ 137.20 - ROJAS CHIPANA, MARIA FERNANDA - 31/03/2026</t>
  </si>
  <si>
    <t>B B01-00006496</t>
  </si>
  <si>
    <t>A157691</t>
  </si>
  <si>
    <t>PAPANT/2025/09603 (B B01-00006547)</t>
  </si>
  <si>
    <t>PAPANT/2025/09603</t>
  </si>
  <si>
    <t>MANRIQUE ESTRADA, DAVID EDGARDO</t>
  </si>
  <si>
    <t>Pago de cliente S/ 127.42 - MANRIQUE ESTRADA, DAVID EDGARDO - 31/03/2026</t>
  </si>
  <si>
    <t>B B01-00006547</t>
  </si>
  <si>
    <t>A157696</t>
  </si>
  <si>
    <t>PAPANT/2025/09605 (B B01-00007384)</t>
  </si>
  <si>
    <t>PAPANT/2025/09605</t>
  </si>
  <si>
    <t>OLMEDO GALAN, CHARLY ALEX</t>
  </si>
  <si>
    <t>Pago de cliente S/ 127.42 - OLMEDO GALAN, CHARLY ALEX - 31/03/2026</t>
  </si>
  <si>
    <t>B B01-00007384</t>
  </si>
  <si>
    <t>A157702</t>
  </si>
  <si>
    <t>PAPANT/2025/09606 (B B01-00006675)</t>
  </si>
  <si>
    <t>PAPANT/2025/09606</t>
  </si>
  <si>
    <t>MONDRAGON DOMINGUEZ, PERCI</t>
  </si>
  <si>
    <t>Pago de cliente S/ 168.50 - MONDRAGON DOMINGUEZ, PERCI - 23/02/2026</t>
  </si>
  <si>
    <t>B B01-00006675</t>
  </si>
  <si>
    <t>A157711</t>
  </si>
  <si>
    <t>MISC/2026/03/0495 (REGULARIZACON JUNTOZ MAR - 26)</t>
  </si>
  <si>
    <t>MISC/2026/03/0495</t>
  </si>
  <si>
    <t>SILVESTRE BERMUDEZ, JULIA KATTY</t>
  </si>
  <si>
    <t>REGULARIZACON JUNTOZ MAR - 26</t>
  </si>
  <si>
    <t>A157750</t>
  </si>
  <si>
    <t>B B01-00006763</t>
  </si>
  <si>
    <t>PAPANT/2025/09611 (B B01-00002088)</t>
  </si>
  <si>
    <t>PAPANT/2025/09611</t>
  </si>
  <si>
    <t>CHUCOS BASTIDAS, ERIC BARONI</t>
  </si>
  <si>
    <t>Pago de cliente S/ 257.40 - CHUCOS BASTIDAS, ERIC BARONI - 31/03/2026</t>
  </si>
  <si>
    <t>B B01-00002088</t>
  </si>
  <si>
    <t>A157806</t>
  </si>
  <si>
    <t>B B01-00002088 (114360580223)</t>
  </si>
  <si>
    <t>114360580223</t>
  </si>
  <si>
    <t>PAPANT/2025/09612 (B B01-00002512)</t>
  </si>
  <si>
    <t>PAPANT/2025/09612</t>
  </si>
  <si>
    <t>MONTAÑEZ SOTO, JENNY LIDIA</t>
  </si>
  <si>
    <t>Pago de cliente S/ 59.23 - MONTAÑEZ SOTO, JENNY LIDIA - 31/03/2026</t>
  </si>
  <si>
    <t>B B01-00002512</t>
  </si>
  <si>
    <t>A157807</t>
  </si>
  <si>
    <t>B B01-00002512 (118319892267)</t>
  </si>
  <si>
    <t>118319892267</t>
  </si>
  <si>
    <t>PAPANT/2025/09613 (B B01-00002665)</t>
  </si>
  <si>
    <t>PAPANT/2025/09613</t>
  </si>
  <si>
    <t>RIVERA AVILES, ANDREA ESMERALDA</t>
  </si>
  <si>
    <t>Pago de cliente S/ 43.20 - RIVERA AVILES, ANDREA ESMERALDA - 31/03/2026</t>
  </si>
  <si>
    <t>B B01-00002665</t>
  </si>
  <si>
    <t>A157808</t>
  </si>
  <si>
    <t>B B01-00002665 (120403314864)</t>
  </si>
  <si>
    <t>120403314864</t>
  </si>
  <si>
    <t>PAPANT/2025/09614 (B B01-00002707)</t>
  </si>
  <si>
    <t>PAPANT/2025/09614</t>
  </si>
  <si>
    <t>QUINTEROS PEREZ, ELVIA ROXANA</t>
  </si>
  <si>
    <t>Pago de cliente S/ 125.28 - QUINTEROS PEREZ, ELVIA ROXANA - 31/03/2026</t>
  </si>
  <si>
    <t>B B01-00002707</t>
  </si>
  <si>
    <t>A157809</t>
  </si>
  <si>
    <t>B B01-00002707 (120212911853)</t>
  </si>
  <si>
    <t>120212911853</t>
  </si>
  <si>
    <t>PAPANT/2025/09615 (B B01-00002849)</t>
  </si>
  <si>
    <t>PAPANT/2025/09615</t>
  </si>
  <si>
    <t>Pago de cliente S/ 86.40 - RIVERA AVILES, ANDREA ESMERALDA - 31/03/2026</t>
  </si>
  <si>
    <t>B B01-00002849</t>
  </si>
  <si>
    <t>A157810</t>
  </si>
  <si>
    <t>B B01-00002849 (121809116517)</t>
  </si>
  <si>
    <t>121809116517</t>
  </si>
  <si>
    <t>PAPANT/2025/09616 (B B01-00003144)</t>
  </si>
  <si>
    <t>PAPANT/2025/09616</t>
  </si>
  <si>
    <t>NOVOA GUTIERREZ, BLANCA FABIOLA</t>
  </si>
  <si>
    <t>Pago de cliente S/ 64.45 - NOVOA GUTIERREZ, BLANCA FABIOLA - 31/03/2026</t>
  </si>
  <si>
    <t>B B01-00003144</t>
  </si>
  <si>
    <t>A157811</t>
  </si>
  <si>
    <t>B B01-00003144 (123514024723)</t>
  </si>
  <si>
    <t>123514024723</t>
  </si>
  <si>
    <t>PAPANT/2025/09617 (B B01-00003141)</t>
  </si>
  <si>
    <t>PAPANT/2025/09617</t>
  </si>
  <si>
    <t>MATIAS YAYA, LAURA BELEN</t>
  </si>
  <si>
    <t>Pago de cliente S/ 96.30 - MATIAS YAYA, LAURA BELEN - 31/03/2026</t>
  </si>
  <si>
    <t>B B01-00003141</t>
  </si>
  <si>
    <t>A157812</t>
  </si>
  <si>
    <t>B B01-00003141 (124063993996)</t>
  </si>
  <si>
    <t>124063993996</t>
  </si>
  <si>
    <t>PAPANT/2025/09618 (B B01-00003289)</t>
  </si>
  <si>
    <t>PAPANT/2025/09618</t>
  </si>
  <si>
    <t>Pago de cliente S/ 144.28 - ROCA ORTEGA, PAMELA LISSETT - 31/03/2026</t>
  </si>
  <si>
    <t>B B01-00003289</t>
  </si>
  <si>
    <t>A157813</t>
  </si>
  <si>
    <t>B B01-00003289 (125275736940)</t>
  </si>
  <si>
    <t>125275736940</t>
  </si>
  <si>
    <t>PAPANT/2025/09619 (B B01-00003354)</t>
  </si>
  <si>
    <t>PAPANT/2025/09619</t>
  </si>
  <si>
    <t>FLORES CALLE, JUAN DIEGO</t>
  </si>
  <si>
    <t>Pago de cliente S/ 85.86 - FLORES CALLE, JUAN DIEGO - 31/03/2026</t>
  </si>
  <si>
    <t>B B01-00003354</t>
  </si>
  <si>
    <t>A157814</t>
  </si>
  <si>
    <t>PAPANT/2025/09620 (B B01-00003426)</t>
  </si>
  <si>
    <t>PAPANT/2025/09620</t>
  </si>
  <si>
    <t>B B01-00003426</t>
  </si>
  <si>
    <t>A157815</t>
  </si>
  <si>
    <t>B B01-00003426 (126273437092)</t>
  </si>
  <si>
    <t>126273437092</t>
  </si>
  <si>
    <t>PAPANT/2025/09621 (F F01-00002705)</t>
  </si>
  <si>
    <t>PAPANT/2025/09621</t>
  </si>
  <si>
    <t>Pago de cliente S/ 136.67 - MASCOTAS PERUANAS S.A.C. - 31/03/2026</t>
  </si>
  <si>
    <t>F F01-00002705</t>
  </si>
  <si>
    <t>A157816</t>
  </si>
  <si>
    <t>PAPANT/2025/09622 (B B01-00004165)</t>
  </si>
  <si>
    <t>PAPANT/2025/09622</t>
  </si>
  <si>
    <t>DELGADO ESPINOZA, MARTIN ANTONIO</t>
  </si>
  <si>
    <t>Pago de cliente S/ 160.94 - DELGADO ESPINOZA, MARTIN ANTONIO - 31/03/2026</t>
  </si>
  <si>
    <t>B B01-00004165</t>
  </si>
  <si>
    <t>A157817</t>
  </si>
  <si>
    <t>MISC/2026/01/0211 (REGULARIZACIÓN RIPLEY ENE 26)</t>
  </si>
  <si>
    <t>MISC/2026/01/0211</t>
  </si>
  <si>
    <t>REGULARIZACIÓN RIPLEY ENE 26</t>
  </si>
  <si>
    <t>PAPANT/2025/09623 (B B01-00004731)</t>
  </si>
  <si>
    <t>PAPANT/2025/09623</t>
  </si>
  <si>
    <t>Pago de cliente S/ 97.76 - ROCA ORTEGA, PAMELA LISSETT - 31/03/2026</t>
  </si>
  <si>
    <t>B B01-00004731</t>
  </si>
  <si>
    <t>A157818</t>
  </si>
  <si>
    <t>B B01-00004731 (134096046514)</t>
  </si>
  <si>
    <t>134096046514</t>
  </si>
  <si>
    <t>PAPANT/2025/09624 (B B01-00005314)</t>
  </si>
  <si>
    <t>PAPANT/2025/09624</t>
  </si>
  <si>
    <t>BLANCO CALDERON, ELVIS FRANK</t>
  </si>
  <si>
    <t>Pago de cliente S/ 108.61 - BLANCO CALDERON, ELVIS FRANK - 31/03/2026</t>
  </si>
  <si>
    <t>B B01-00005314</t>
  </si>
  <si>
    <t>A157819</t>
  </si>
  <si>
    <t>B B01-00005314 (137662404368)</t>
  </si>
  <si>
    <t>137662404368</t>
  </si>
  <si>
    <t>PAPANT/2025/09625 (B B01-00005845)</t>
  </si>
  <si>
    <t>PAPANT/2025/09625</t>
  </si>
  <si>
    <t>VIZCARDO OTERO, YADIRA SOFIA</t>
  </si>
  <si>
    <t>Pago de cliente S/ 13.61 - VIZCARDO OTERO, YADIRA SOFIA - 31/03/2026</t>
  </si>
  <si>
    <t>B B01-00005845</t>
  </si>
  <si>
    <t>A157820</t>
  </si>
  <si>
    <t>B B01-00005845 (139328117493)</t>
  </si>
  <si>
    <t>139328117493</t>
  </si>
  <si>
    <t>PAPANT/2025/09626 (B B01-00005887)</t>
  </si>
  <si>
    <t>PAPANT/2025/09626</t>
  </si>
  <si>
    <t>VEGA CABIESES, CESAR AUGUSTO</t>
  </si>
  <si>
    <t>Pago de cliente S/ 232.20 - VEGA CABIESES, CESAR AUGUSTO - 31/03/2026</t>
  </si>
  <si>
    <t>B B01-00005887</t>
  </si>
  <si>
    <t>A157821</t>
  </si>
  <si>
    <t>PAPANT/2025/09627 (B B01-00005899)</t>
  </si>
  <si>
    <t>PAPANT/2025/09627</t>
  </si>
  <si>
    <t>Pago de cliente S/ 74.66 - FLORES MERINO, SANDY - 31/03/2026</t>
  </si>
  <si>
    <t>B B01-00005899</t>
  </si>
  <si>
    <t>A157822</t>
  </si>
  <si>
    <t>PAPANT/2025/09628 (B B01-00005973)</t>
  </si>
  <si>
    <t>PAPANT/2025/09628</t>
  </si>
  <si>
    <t>Pago de cliente S/ 20.40 - VIZCARDO OTERO, YADIRA SOFIA - 31/03/2026</t>
  </si>
  <si>
    <t>B B01-00005973</t>
  </si>
  <si>
    <t>A157823</t>
  </si>
  <si>
    <t>PAPANT/2025/09629 (B B01-00005978)</t>
  </si>
  <si>
    <t>PAPANT/2025/09629</t>
  </si>
  <si>
    <t>Pago de cliente S/ 196.54 - ROJAS LOAYZA, NARDA MARCELA - 31/03/2026</t>
  </si>
  <si>
    <t>B B01-00005978</t>
  </si>
  <si>
    <t>A157824</t>
  </si>
  <si>
    <t>PAPANT/2025/09630 (B B01-00005995)</t>
  </si>
  <si>
    <t>PAPANT/2025/09630</t>
  </si>
  <si>
    <t>Pago de cliente S/ 61.02 - NOVOA GUTIERREZ, BLANCA FABIOLA - 31/03/2026</t>
  </si>
  <si>
    <t>B B01-00005995</t>
  </si>
  <si>
    <t>A157825</t>
  </si>
  <si>
    <t>PAPANT/2025/09631 (B B01-00006043)</t>
  </si>
  <si>
    <t>PAPANT/2025/09631</t>
  </si>
  <si>
    <t>CAHUASCANCO SANTA CRUZ, EVA</t>
  </si>
  <si>
    <t>Pago de cliente S/ 493.49 - CAHUASCANCO SANTA CRUZ, EVA - 31/03/2026</t>
  </si>
  <si>
    <t>B B01-00006043</t>
  </si>
  <si>
    <t>A157826</t>
  </si>
  <si>
    <t>B B01-00006043 (141747384754)</t>
  </si>
  <si>
    <t>141747384754</t>
  </si>
  <si>
    <t>PAPANT/2025/09632 (B B01-00006037)</t>
  </si>
  <si>
    <t>PAPANT/2025/09632</t>
  </si>
  <si>
    <t>PUJAICO NESTOR</t>
  </si>
  <si>
    <t>Pago de cliente S/ 67.94 - PUJAICO NESTOR - 31/03/2026</t>
  </si>
  <si>
    <t>B B01-00006037</t>
  </si>
  <si>
    <t>A157827</t>
  </si>
  <si>
    <t>B B01-00006037 (140827274393)</t>
  </si>
  <si>
    <t>140827274393</t>
  </si>
  <si>
    <t>PAPANT/2025/09633 (B B01-00006034)</t>
  </si>
  <si>
    <t>PAPANT/2025/09633</t>
  </si>
  <si>
    <t>ESPINOZA HERRERA, GRACE ALLISON</t>
  </si>
  <si>
    <t>Pago de cliente S/ 941.73 - ESPINOZA HERRERA, GRACE ALLISON - 31/03/2026</t>
  </si>
  <si>
    <t>B B01-00006034</t>
  </si>
  <si>
    <t>A157828</t>
  </si>
  <si>
    <t>B B01-00006034 (141518498054 - 141718104824)</t>
  </si>
  <si>
    <t>141518498054 - 141718104824</t>
  </si>
  <si>
    <t>PAPANT/2025/09634 (B B01-00006032)</t>
  </si>
  <si>
    <t>PAPANT/2025/09634</t>
  </si>
  <si>
    <t>CAMPOS GAMARRA, ROCIO NICOLE</t>
  </si>
  <si>
    <t>Pago de cliente S/ 169.12 - CAMPOS GAMARRA, ROCIO NICOLE - 31/03/2026</t>
  </si>
  <si>
    <t>B B01-00006032</t>
  </si>
  <si>
    <t>A157829</t>
  </si>
  <si>
    <t>B B01-00006032 (141503331912)</t>
  </si>
  <si>
    <t>141503331912</t>
  </si>
  <si>
    <t>PAPANT/2025/09635 (B B01-00006026)</t>
  </si>
  <si>
    <t>PAPANT/2025/09635</t>
  </si>
  <si>
    <t>VERA CESPEDES RITA TANIA</t>
  </si>
  <si>
    <t>Pago de cliente S/ 72.50 - VERA CESPEDES RITA TANIA - 31/03/2026</t>
  </si>
  <si>
    <t>B B01-00006026</t>
  </si>
  <si>
    <t>A157830</t>
  </si>
  <si>
    <t>PAPANT/2025/09636 (B B01-00006025)</t>
  </si>
  <si>
    <t>PAPANT/2025/09636</t>
  </si>
  <si>
    <t>QUISPE LOZANO RAUL SAMMER</t>
  </si>
  <si>
    <t>Pago de cliente S/ 118.50 - QUISPE LOZANO RAUL SAMMER - 31/03/2026</t>
  </si>
  <si>
    <t>B B01-00006025</t>
  </si>
  <si>
    <t>A157831</t>
  </si>
  <si>
    <t>PAPANT/2025/09637 (B B01-00006020)</t>
  </si>
  <si>
    <t>PAPANT/2025/09637</t>
  </si>
  <si>
    <t>TELLO GHERSI VERONICA ANDREA</t>
  </si>
  <si>
    <t>Pago de cliente S/ 350.47 - TELLO GHERSI VERONICA ANDREA - 31/03/2026</t>
  </si>
  <si>
    <t>B B01-00006020</t>
  </si>
  <si>
    <t>A157832</t>
  </si>
  <si>
    <t>B B01-00006020 (141472599918)</t>
  </si>
  <si>
    <t>141472599918</t>
  </si>
  <si>
    <t>PAPANT/2025/09638 (B B01-00006055)</t>
  </si>
  <si>
    <t>PAPANT/2025/09638</t>
  </si>
  <si>
    <t>MATOS JESUS JANET ROCIO</t>
  </si>
  <si>
    <t>Pago de cliente S/ 70.50 - MATOS JESUS JANET ROCIO - 31/03/2026</t>
  </si>
  <si>
    <t>B B01-00006055</t>
  </si>
  <si>
    <t>A157833</t>
  </si>
  <si>
    <t>B B01-00006055 (141193641343)</t>
  </si>
  <si>
    <t>141193641343</t>
  </si>
  <si>
    <t>PAPANT/2025/09639 (B B01-00006054)</t>
  </si>
  <si>
    <t>PAPANT/2025/09639</t>
  </si>
  <si>
    <t>VASQUEZ SAAVEDRA, WILLFRIDO VINICIUS</t>
  </si>
  <si>
    <t>Pago de cliente S/ 52.50 - VASQUEZ SAAVEDRA, WILLFRIDO VINICIUS - 31/03/2026</t>
  </si>
  <si>
    <t>B B01-00006054</t>
  </si>
  <si>
    <t>A157834</t>
  </si>
  <si>
    <t>PAPANT/2025/09640 (B B01-00006070)</t>
  </si>
  <si>
    <t>PAPANT/2025/09640</t>
  </si>
  <si>
    <t>JIMENEZ ALEXANDRA</t>
  </si>
  <si>
    <t>Pago de cliente S/ 98.83 - JIMENEZ ALEXANDRA - 31/03/2026</t>
  </si>
  <si>
    <t>B B01-00006070</t>
  </si>
  <si>
    <t>A157835</t>
  </si>
  <si>
    <t>B B01-00006070 (141338734241)</t>
  </si>
  <si>
    <t>141338734241</t>
  </si>
  <si>
    <t>PAPANT/2025/09641 (B B01-00006061)</t>
  </si>
  <si>
    <t>PAPANT/2025/09641</t>
  </si>
  <si>
    <t>Pago de cliente S/ 195.30 - ROMAN GODOY, MARISOL GAVINA - 31/03/2026</t>
  </si>
  <si>
    <t>B B01-00006061</t>
  </si>
  <si>
    <t>A157836</t>
  </si>
  <si>
    <t>B B01-00006061 (141907835766)</t>
  </si>
  <si>
    <t>141907835766</t>
  </si>
  <si>
    <t>PAPANT/2025/09642 (B B01-00006060)</t>
  </si>
  <si>
    <t>PAPANT/2025/09642</t>
  </si>
  <si>
    <t>MACHADO CESAR</t>
  </si>
  <si>
    <t>Pago de cliente S/ 149.40 - MACHADO CESAR - 31/03/2026</t>
  </si>
  <si>
    <t>B B01-00006060</t>
  </si>
  <si>
    <t>A157837</t>
  </si>
  <si>
    <t>B B01-00006060 (141877846358)</t>
  </si>
  <si>
    <t>141877846358</t>
  </si>
  <si>
    <t>PAPANT/2025/09643 (B B01-00006108)</t>
  </si>
  <si>
    <t>PAPANT/2025/09643</t>
  </si>
  <si>
    <t>Pago de cliente S/ 542.42 - GUZMAN DOMINGUEZ, PEDRO ARTURO - 31/03/2026</t>
  </si>
  <si>
    <t>B B01-00006108</t>
  </si>
  <si>
    <t>A157838</t>
  </si>
  <si>
    <t>B B01-00006108 (141640419793)</t>
  </si>
  <si>
    <t>141640419793</t>
  </si>
  <si>
    <t>PAPANT/2025/09644 (B B01-00006128)</t>
  </si>
  <si>
    <t>PAPANT/2025/09644</t>
  </si>
  <si>
    <t>PINEDA CASTRO SEGUNDO WALTER</t>
  </si>
  <si>
    <t>Pago de cliente S/ 344.36 - PINEDA CASTRO SEGUNDO WALTER - 31/03/2026</t>
  </si>
  <si>
    <t>B B01-00006128</t>
  </si>
  <si>
    <t>A157839</t>
  </si>
  <si>
    <t>B B01-00006128 (141784513333)</t>
  </si>
  <si>
    <t>141784513333</t>
  </si>
  <si>
    <t>PAPANT/2025/09646 (B B01-00006126)</t>
  </si>
  <si>
    <t>PAPANT/2025/09646</t>
  </si>
  <si>
    <t>Pago de cliente S/ 53.99 - FLORES FANO, GRAZIELLA SILVANA - 31/03/2026</t>
  </si>
  <si>
    <t>B B01-00006126</t>
  </si>
  <si>
    <t>A157841</t>
  </si>
  <si>
    <t>B B01-00006126 (142658478710)</t>
  </si>
  <si>
    <t>142658478710</t>
  </si>
  <si>
    <t>PAPANT/2025/09647 (B B01-00006125)</t>
  </si>
  <si>
    <t>PAPANT/2025/09647</t>
  </si>
  <si>
    <t>Pago de cliente S/ 142.62 - ROCA ORTEGA, PAMELA LISSETT - 31/03/2026</t>
  </si>
  <si>
    <t>B B01-00006125</t>
  </si>
  <si>
    <t>A157842</t>
  </si>
  <si>
    <t>PAPANT/2025/09648 (B B01-00006124)</t>
  </si>
  <si>
    <t>PAPANT/2025/09648</t>
  </si>
  <si>
    <t>RAYGADA GONZALES MARIA EUGENIA LUISA</t>
  </si>
  <si>
    <t>Pago de cliente S/ 79.00 - RAYGADA GONZALES MARIA EUGENIA LUISA - 31/03/2026</t>
  </si>
  <si>
    <t>B B01-00006124</t>
  </si>
  <si>
    <t>A157843</t>
  </si>
  <si>
    <t>B B01-00006124 (141867326321)</t>
  </si>
  <si>
    <t>141867326321</t>
  </si>
  <si>
    <t>PAPANT/2025/09649 (B B01-00006123)</t>
  </si>
  <si>
    <t>PAPANT/2025/09649</t>
  </si>
  <si>
    <t>MANCO MATOS, VICTOR CHRISTIAN</t>
  </si>
  <si>
    <t>Pago de cliente S/ 110.01 - MANCO MATOS, VICTOR CHRISTIAN - 31/03/2026</t>
  </si>
  <si>
    <t>B B01-00006123</t>
  </si>
  <si>
    <t>A157844</t>
  </si>
  <si>
    <t>B B01-00006123 (142347051998)</t>
  </si>
  <si>
    <t>142347051998</t>
  </si>
  <si>
    <t>PAPANT/2025/09650 (B B01-00006122)</t>
  </si>
  <si>
    <t>PAPANT/2025/09650</t>
  </si>
  <si>
    <t>RAFAEL AGUILAR ALEXIS JOSE</t>
  </si>
  <si>
    <t>Pago de cliente S/ 155.70 - RAFAEL AGUILAR ALEXIS JOSE - 31/03/2026</t>
  </si>
  <si>
    <t>B B01-00006122</t>
  </si>
  <si>
    <t>A157845</t>
  </si>
  <si>
    <t>B B01-00006122 (2000011096181845)</t>
  </si>
  <si>
    <t>2000011096181845</t>
  </si>
  <si>
    <t>PAPANT/2025/09651 (B B01-00006121)</t>
  </si>
  <si>
    <t>PAPANT/2025/09651</t>
  </si>
  <si>
    <t>ROCA GUTIERREZ PIERO EDUARDO</t>
  </si>
  <si>
    <t>Pago de cliente S/ 75.50 - ROCA GUTIERREZ PIERO EDUARDO - 31/03/2026</t>
  </si>
  <si>
    <t>B B01-00006121</t>
  </si>
  <si>
    <t>A157846</t>
  </si>
  <si>
    <t>B B01-00006121 (2000011096181845)</t>
  </si>
  <si>
    <t>PAPANT/2025/09652 (B B01-00006139)</t>
  </si>
  <si>
    <t>PAPANT/2025/09652</t>
  </si>
  <si>
    <t>DAVALOS TORBISCO MILAGROS MELIZA</t>
  </si>
  <si>
    <t>Pago de cliente S/ 122.40 - DAVALOS TORBISCO MILAGROS MELIZA - 31/03/2026</t>
  </si>
  <si>
    <t>B B01-00006139</t>
  </si>
  <si>
    <t>A157847</t>
  </si>
  <si>
    <t>B B01-00006139 (2000011134209529)</t>
  </si>
  <si>
    <t>2000011134209529</t>
  </si>
  <si>
    <t>PAPANT/2025/09653 (B B01-00006138)</t>
  </si>
  <si>
    <t>PAPANT/2025/09653</t>
  </si>
  <si>
    <t>ESPINOZA LOPEZ ALAN ESTEBAN</t>
  </si>
  <si>
    <t>Pago de cliente S/ 219.26 - ESPINOZA LOPEZ ALAN ESTEBAN - 31/03/2026</t>
  </si>
  <si>
    <t>B B01-00006138</t>
  </si>
  <si>
    <t>A157848</t>
  </si>
  <si>
    <t>PAPANT/2025/09654 (B B01-00006136)</t>
  </si>
  <si>
    <t>PAPANT/2025/09654</t>
  </si>
  <si>
    <t>TINOCO REYNOSO, ROSA KATERIN</t>
  </si>
  <si>
    <t>Pago de cliente S/ 189.64 - TINOCO REYNOSO, ROSA KATERIN - 31/03/2026</t>
  </si>
  <si>
    <t>B B01-00006136</t>
  </si>
  <si>
    <t>A157849</t>
  </si>
  <si>
    <t>B B01-00006136 (142686470326)</t>
  </si>
  <si>
    <t>142686470326</t>
  </si>
  <si>
    <t>PAPANT/2025/09655 (B B01-00006155)</t>
  </si>
  <si>
    <t>PAPANT/2025/09655</t>
  </si>
  <si>
    <t>VARGAS RIVERA, SIMON ANDRES</t>
  </si>
  <si>
    <t>Pago de cliente S/ 197.64 - VARGAS RIVERA, SIMON ANDRES - 31/03/2026</t>
  </si>
  <si>
    <t>B B01-00006155</t>
  </si>
  <si>
    <t>A157850</t>
  </si>
  <si>
    <t>B B01-00006155 (142267257777)</t>
  </si>
  <si>
    <t>142267257777</t>
  </si>
  <si>
    <t>PAPANT/2025/09656 (B B01-00006140)</t>
  </si>
  <si>
    <t>PAPANT/2025/09656</t>
  </si>
  <si>
    <t>LUNA BORJA AMARILIS NICOLE</t>
  </si>
  <si>
    <t>Pago de cliente S/ 0.01 - LUNA BORJA AMARILIS NICOLE - 31/03/2026</t>
  </si>
  <si>
    <t>B B01-00006140</t>
  </si>
  <si>
    <t>A157851</t>
  </si>
  <si>
    <t>B B01-00004445</t>
  </si>
  <si>
    <t>MANRIQUE ALDAVE, KAREN SELENA</t>
  </si>
  <si>
    <t>A158374</t>
  </si>
  <si>
    <t>B B01-00004444</t>
  </si>
  <si>
    <t>ASCENCIO CASTILLO, ORIETTA YSABEL</t>
  </si>
  <si>
    <t>A158377</t>
  </si>
  <si>
    <t>BCP01/2025/13131</t>
  </si>
  <si>
    <t>BCP01/2025/13128</t>
  </si>
  <si>
    <t>PAPANT/2025/09657 (B B01-00006181)</t>
  </si>
  <si>
    <t>PAPANT/2025/09657</t>
  </si>
  <si>
    <t>VENEGAS GUERRERO, ADOLFO GABRIEL</t>
  </si>
  <si>
    <t>Pago de cliente S/ 140.49 - VENEGAS GUERRERO, ADOLFO GABRIEL - 31/03/2026</t>
  </si>
  <si>
    <t>B B01-00006181</t>
  </si>
  <si>
    <t>A157852</t>
  </si>
  <si>
    <t>B B01-00006181 (143090977036)</t>
  </si>
  <si>
    <t>143090977036</t>
  </si>
  <si>
    <t>PAPANT/2025/09658 (B B01-00006170)</t>
  </si>
  <si>
    <t>PAPANT/2025/09658</t>
  </si>
  <si>
    <t>ALDAVE QUISPE, PAMELA DEBORAH</t>
  </si>
  <si>
    <t>Pago de cliente S/ 121.90 - ALDAVE QUISPE, PAMELA DEBORAH - 31/03/2026</t>
  </si>
  <si>
    <t>B B01-00006170</t>
  </si>
  <si>
    <t>A157853</t>
  </si>
  <si>
    <t>B B01-00004433</t>
  </si>
  <si>
    <t>HUARCA HINOJOSA, LISSETTE</t>
  </si>
  <si>
    <t>A158378</t>
  </si>
  <si>
    <t>B B01-00006170 (142407819137)</t>
  </si>
  <si>
    <t>142407819137</t>
  </si>
  <si>
    <t>PAPANT/2025/09659 (B B01-00006169)</t>
  </si>
  <si>
    <t>PAPANT/2025/09659</t>
  </si>
  <si>
    <t>REMUZGO DE LA CRUZ, CARLOS FRANCISCO</t>
  </si>
  <si>
    <t>Pago de cliente S/ 213.30 - REMUZGO DE LA CRUZ, CARLOS FRANCISCO - 31/03/2026</t>
  </si>
  <si>
    <t>B B01-00006169</t>
  </si>
  <si>
    <t>A157854</t>
  </si>
  <si>
    <t>B B01-00006169 (142334625583)</t>
  </si>
  <si>
    <t>142334625583</t>
  </si>
  <si>
    <t>PAPANT/2025/09660 (B B01-00006162)</t>
  </si>
  <si>
    <t>PAPANT/2025/09660</t>
  </si>
  <si>
    <t>Pago de cliente S/ 561.25 - RAMIREZ RODRIGUEZ, CLAUDIA JULISSA - 31/03/2026</t>
  </si>
  <si>
    <t>B B01-00006162</t>
  </si>
  <si>
    <t>A157855</t>
  </si>
  <si>
    <t>B B01-00006162 (142987651610)</t>
  </si>
  <si>
    <t>142987651610</t>
  </si>
  <si>
    <t>PAPANT/2025/09661 (B B01-00006127)</t>
  </si>
  <si>
    <t>PAPANT/2025/09661</t>
  </si>
  <si>
    <t>Pago de cliente S/ 291.00 - DELGADO PRADO, JENNY ROXANA - 31/03/2026</t>
  </si>
  <si>
    <t>B B01-00006127</t>
  </si>
  <si>
    <t>A157856</t>
  </si>
  <si>
    <t>B B01-00006127 (142354117836)</t>
  </si>
  <si>
    <t>142354117836</t>
  </si>
  <si>
    <t>MISC/2026/03/0496 (APLICACION FT MERCADO PAGO - MARZO 26)</t>
  </si>
  <si>
    <t>MISC/2026/03/0496</t>
  </si>
  <si>
    <t>INOSTROZA CAMPOS, ANTHONY LUIGGI</t>
  </si>
  <si>
    <t>APLICACION FT MERCADO PAGO - MARZO 26</t>
  </si>
  <si>
    <t>A157873</t>
  </si>
  <si>
    <t>CHAHUAYO CHOQUE, ANDREA LIBIA</t>
  </si>
  <si>
    <t>JARAMILLO CARRION, CARMEN CONSUELO</t>
  </si>
  <si>
    <t>CURAY TORRES, PIER ALESSANDRO</t>
  </si>
  <si>
    <t>GAMBINI MESTANZA, FIDEL DAMASO</t>
  </si>
  <si>
    <t>B B01-00006239 (2000011230749679)</t>
  </si>
  <si>
    <t>B B01-00006239</t>
  </si>
  <si>
    <t>2000011230749679</t>
  </si>
  <si>
    <t>B B01-00006231 (143281152430)</t>
  </si>
  <si>
    <t>B B01-00006231</t>
  </si>
  <si>
    <t>143281152430</t>
  </si>
  <si>
    <t>B B01-00006227</t>
  </si>
  <si>
    <t>B B01-00006225 (143523296232)</t>
  </si>
  <si>
    <t>B B01-00006225</t>
  </si>
  <si>
    <t>143523296232</t>
  </si>
  <si>
    <t>B B01-00006224</t>
  </si>
  <si>
    <t>B B01-00006222</t>
  </si>
  <si>
    <t>PAPANT/2025/09668 (B B01-00006220)</t>
  </si>
  <si>
    <t>PAPANT/2025/09668</t>
  </si>
  <si>
    <t>PAREDES FERNANDEZ, JOSE ANTONIO</t>
  </si>
  <si>
    <t>Pago de cliente S/ 68.67 - PAREDES FERNANDEZ, JOSE ANTONIO - 31/03/2026</t>
  </si>
  <si>
    <t>B B01-00006220</t>
  </si>
  <si>
    <t>A157874</t>
  </si>
  <si>
    <t>B B01-00006220 (143352036846)</t>
  </si>
  <si>
    <t>143352036846</t>
  </si>
  <si>
    <t>PAPANT/2025/09669 (B B01-00006219)</t>
  </si>
  <si>
    <t>PAPANT/2025/09669</t>
  </si>
  <si>
    <t>DE LA PEÑA DE LA CRUZ ABRIL</t>
  </si>
  <si>
    <t>Pago de cliente S/ 229.43 - DE LA PEÑA DE LA CRUZ ABRIL - 31/03/2026</t>
  </si>
  <si>
    <t>B B01-00006219</t>
  </si>
  <si>
    <t>A157875</t>
  </si>
  <si>
    <t>B B01-00006219 (142827782517)</t>
  </si>
  <si>
    <t>142827782517</t>
  </si>
  <si>
    <t>PAPANT/2025/09670 (B B01-00006254)</t>
  </si>
  <si>
    <t>PAPANT/2025/09670</t>
  </si>
  <si>
    <t>RAMOS LOZA, HENRICH LEONELL</t>
  </si>
  <si>
    <t>Pago de cliente S/ 75.50 - RAMOS LOZA, HENRICH LEONELL - 31/03/2026</t>
  </si>
  <si>
    <t>B B01-00006254</t>
  </si>
  <si>
    <t>A157876</t>
  </si>
  <si>
    <t>B B01-00006254 (2000011247833835)</t>
  </si>
  <si>
    <t>2000011247833835</t>
  </si>
  <si>
    <t>PAPANT/2025/09671 (B B01-00006248)</t>
  </si>
  <si>
    <t>PAPANT/2025/09671</t>
  </si>
  <si>
    <t>URCIA RUIZ, CARLOS FERNANDO</t>
  </si>
  <si>
    <t>Pago de cliente S/ 91.26 - URCIA RUIZ, CARLOS FERNANDO - 31/03/2026</t>
  </si>
  <si>
    <t>B B01-00006248</t>
  </si>
  <si>
    <t>A157877</t>
  </si>
  <si>
    <t>B B01-00006248 (143638284494)</t>
  </si>
  <si>
    <t>143638284494</t>
  </si>
  <si>
    <t>PAPANT/2025/09672 (B B01-00006303)</t>
  </si>
  <si>
    <t>PAPANT/2025/09672</t>
  </si>
  <si>
    <t>Pago de cliente S/ 172.14 - BAZALAR CHAVARRIA, MARCIA MIRELLA - 31/03/2026</t>
  </si>
  <si>
    <t>B B01-00006303</t>
  </si>
  <si>
    <t>A157878</t>
  </si>
  <si>
    <t>B B01-00006303 (143877352150)</t>
  </si>
  <si>
    <t>143877352150</t>
  </si>
  <si>
    <t>PAPANT/2025/09673 (B B01-00006313)</t>
  </si>
  <si>
    <t>PAPANT/2025/09673</t>
  </si>
  <si>
    <t>Pago de cliente S/ 251.94 - CERPA SOLORZANO, CARLOS - 31/03/2026</t>
  </si>
  <si>
    <t>B B01-00006313</t>
  </si>
  <si>
    <t>A157879</t>
  </si>
  <si>
    <t>B B01-00006313 (144004679702)</t>
  </si>
  <si>
    <t>144004679702</t>
  </si>
  <si>
    <t>PAPANT/2025/09674 (B B01-00006312)</t>
  </si>
  <si>
    <t>PAPANT/2025/09674</t>
  </si>
  <si>
    <t>GARCIA SALDAÑA, GERARDO MANUEL FRANCISCO</t>
  </si>
  <si>
    <t>Pago de cliente S/ 81.52 - GARCIA SALDAÑA, GERARDO MANUEL FRANCISCO - 31/03/2026</t>
  </si>
  <si>
    <t>B B01-00006312</t>
  </si>
  <si>
    <t>A157880</t>
  </si>
  <si>
    <t>B B01-00006312 (2000011284783591)</t>
  </si>
  <si>
    <t>2000011284783591</t>
  </si>
  <si>
    <t>PAPANT/2025/09675 (B B01-00006309)</t>
  </si>
  <si>
    <t>PAPANT/2025/09675</t>
  </si>
  <si>
    <t>RUIZ BRAVO PORTOCARRERO, RICARDO EDUARDO</t>
  </si>
  <si>
    <t>Pago de cliente S/ 69.29 - RUIZ BRAVO PORTOCARRERO, RICARDO EDUARDO - 31/03/2026</t>
  </si>
  <si>
    <t>B B01-00006309</t>
  </si>
  <si>
    <t>A157881</t>
  </si>
  <si>
    <t>B B01-00006309 (144010051810)</t>
  </si>
  <si>
    <t>144010051810</t>
  </si>
  <si>
    <t>PAPANT/2025/09676 (F F01-00004368)</t>
  </si>
  <si>
    <t>PAPANT/2025/09676</t>
  </si>
  <si>
    <t>Pago de cliente S/ 516.78 - SANSEVIERIA S.A.C.S. - 31/03/2026</t>
  </si>
  <si>
    <t>F F01-00004368</t>
  </si>
  <si>
    <t>A157882</t>
  </si>
  <si>
    <t>F F01-00004368 (144165062848)</t>
  </si>
  <si>
    <t>144165062848</t>
  </si>
  <si>
    <t>PAPANT/2025/09677 (B B01-00006335)</t>
  </si>
  <si>
    <t>PAPANT/2025/09677</t>
  </si>
  <si>
    <t>ESPINOZA SAMPERTEGUI, ARTURO</t>
  </si>
  <si>
    <t>Pago de cliente S/ 94.05 - ESPINOZA SAMPERTEGUI, ARTURO - 31/03/2026</t>
  </si>
  <si>
    <t>B B01-00006335</t>
  </si>
  <si>
    <t>A157883</t>
  </si>
  <si>
    <t>B B01-00006335 (2000011300190471)</t>
  </si>
  <si>
    <t>2000011300190471</t>
  </si>
  <si>
    <t>PAPANT/2025/09678 (B B01-00006334)</t>
  </si>
  <si>
    <t>PAPANT/2025/09678</t>
  </si>
  <si>
    <t>URETA CRUZ, HYBETH ROXANA</t>
  </si>
  <si>
    <t>Pago de cliente S/ 119.00 - URETA CRUZ, HYBETH ROXANA - 31/03/2026</t>
  </si>
  <si>
    <t>B B01-00006334</t>
  </si>
  <si>
    <t>A157884</t>
  </si>
  <si>
    <t>B B01-00006334 (144141478622)</t>
  </si>
  <si>
    <t>144141478622</t>
  </si>
  <si>
    <t>PAPANT/2025/09679 (B B01-00006333)</t>
  </si>
  <si>
    <t>PAPANT/2025/09679</t>
  </si>
  <si>
    <t>Pago de cliente S/ 94.05 - LA ROSA MASSA, GONZALO - 31/03/2026</t>
  </si>
  <si>
    <t>B B01-00006333</t>
  </si>
  <si>
    <t>A157885</t>
  </si>
  <si>
    <t>B B01-00006333 (2000011300913183)</t>
  </si>
  <si>
    <t>2000011300913183</t>
  </si>
  <si>
    <t>PAPANT/2025/09680 (B B01-00006332)</t>
  </si>
  <si>
    <t>PAPANT/2025/09680</t>
  </si>
  <si>
    <t>CORONADO HILARIO, NICOLE MELANY</t>
  </si>
  <si>
    <t>Pago de cliente S/ 315.99 - CORONADO HILARIO, NICOLE MELANY - 31/03/2026</t>
  </si>
  <si>
    <t>B B01-00006332</t>
  </si>
  <si>
    <t>A157886</t>
  </si>
  <si>
    <t>B B01-00006332 (144154440330)</t>
  </si>
  <si>
    <t>144154440330</t>
  </si>
  <si>
    <t>PAPANT/2025/09681 (B B01-00006330)</t>
  </si>
  <si>
    <t>PAPANT/2025/09681</t>
  </si>
  <si>
    <t>PRADO AGUILAR, JAVIER</t>
  </si>
  <si>
    <t>Pago de cliente S/ 172.80 - PRADO AGUILAR, JAVIER - 31/03/2026</t>
  </si>
  <si>
    <t>B B01-00006330</t>
  </si>
  <si>
    <t>A157887</t>
  </si>
  <si>
    <t>B B01-00006330 (2000011344314901)</t>
  </si>
  <si>
    <t>2000011344314901</t>
  </si>
  <si>
    <t>PAPANT/2025/09682 (B B01-00006329)</t>
  </si>
  <si>
    <t>PAPANT/2025/09682</t>
  </si>
  <si>
    <t>SALAZAR VERGARA, KATHERINE MILAGROS</t>
  </si>
  <si>
    <t>Pago de cliente S/ 251.25 - SALAZAR VERGARA, KATHERINE MILAGROS - 31/03/2026</t>
  </si>
  <si>
    <t>B B01-00006329</t>
  </si>
  <si>
    <t>A157888</t>
  </si>
  <si>
    <t>B B01-00006329 (144158071532)</t>
  </si>
  <si>
    <t>144158071532</t>
  </si>
  <si>
    <t>PAPANT/2025/09683 (B B01-00006328)</t>
  </si>
  <si>
    <t>PAPANT/2025/09683</t>
  </si>
  <si>
    <t>ÑAUPA PACHECO, DEISY</t>
  </si>
  <si>
    <t>Pago de cliente S/ 147.60 - ÑAUPA PACHECO, DEISY - 31/03/2026</t>
  </si>
  <si>
    <t>B B01-00006328</t>
  </si>
  <si>
    <t>A157889</t>
  </si>
  <si>
    <t>B B01-00006328 (143483913401)</t>
  </si>
  <si>
    <t>143483913401</t>
  </si>
  <si>
    <t>PAPANT/2025/09684 (B B01-00006323)</t>
  </si>
  <si>
    <t>PAPANT/2025/09684</t>
  </si>
  <si>
    <t>HURTADO BOCANEGRA, ALEXANDRA JIMENA</t>
  </si>
  <si>
    <t>Pago de cliente S/ 41.31 - HURTADO BOCANEGRA, ALEXANDRA JIMENA - 31/03/2026</t>
  </si>
  <si>
    <t>B B01-00006323</t>
  </si>
  <si>
    <t>A157890</t>
  </si>
  <si>
    <t>B B01-00006323 (2000011307295119)</t>
  </si>
  <si>
    <t>2000011307295119</t>
  </si>
  <si>
    <t>PAPANT/2025/09685 (B B01-00006322)</t>
  </si>
  <si>
    <t>PAPANT/2025/09685</t>
  </si>
  <si>
    <t>RODRIGUEZ SIFUENTES, DANAE ASTRYD RAFAELA</t>
  </si>
  <si>
    <t>Pago de cliente S/ 335.47 - RODRIGUEZ SIFUENTES, DANAE ASTRYD RAFAELA - 31/03/2026</t>
  </si>
  <si>
    <t>B B01-00006322</t>
  </si>
  <si>
    <t>A157891</t>
  </si>
  <si>
    <t>B B01-00006322 (143754207205)</t>
  </si>
  <si>
    <t>143754207205</t>
  </si>
  <si>
    <t>PAPANT/2025/09686 (B B01-00006321)</t>
  </si>
  <si>
    <t>PAPANT/2025/09686</t>
  </si>
  <si>
    <t>PEREZ GAMBINI, MIGUEL HUMBERTO</t>
  </si>
  <si>
    <t>Pago de cliente S/ 284.23 - PEREZ GAMBINI, MIGUEL HUMBERTO - 31/03/2026</t>
  </si>
  <si>
    <t>B B01-00006321</t>
  </si>
  <si>
    <t>A157892</t>
  </si>
  <si>
    <t>PAPANT/2025/09687 (B B01-00006318)</t>
  </si>
  <si>
    <t>PAPANT/2025/09687</t>
  </si>
  <si>
    <t>LAOS PAREDES, PAMELA DENYS</t>
  </si>
  <si>
    <t>Pago de cliente S/ 130.81 - LAOS PAREDES, PAMELA DENYS - 31/03/2026</t>
  </si>
  <si>
    <t>B B01-00006318</t>
  </si>
  <si>
    <t>A157893</t>
  </si>
  <si>
    <t>B B01-00006318 (144432523254)</t>
  </si>
  <si>
    <t>144432523254</t>
  </si>
  <si>
    <t>PAPANT/2025/09688 (B B01-00006317)</t>
  </si>
  <si>
    <t>PAPANT/2025/09688</t>
  </si>
  <si>
    <t>Pago de cliente S/ 155.00 - ALOR RIVAS, GUSTAVO ADOLFO - 31/03/2026</t>
  </si>
  <si>
    <t>B B01-00006317</t>
  </si>
  <si>
    <t>A157894</t>
  </si>
  <si>
    <t>B B01-00006317 (143822931045)</t>
  </si>
  <si>
    <t>143822931045</t>
  </si>
  <si>
    <t>PAPANT/2025/09689 (B B01-00006357)</t>
  </si>
  <si>
    <t>PAPANT/2025/09689</t>
  </si>
  <si>
    <t>HINOJOSA ALCAZAR, MARCO ANTONIO</t>
  </si>
  <si>
    <t>Pago de cliente S/ 53.91 - HINOJOSA ALCAZAR, MARCO ANTONIO - 31/03/2026</t>
  </si>
  <si>
    <t>B B01-00006357</t>
  </si>
  <si>
    <t>A157895</t>
  </si>
  <si>
    <t>B B01-00006357 (2000011356648093)</t>
  </si>
  <si>
    <t>2000011356648093</t>
  </si>
  <si>
    <t>PAPANT/2025/09690 (B B01-00006375)</t>
  </si>
  <si>
    <t>PAPANT/2025/09690</t>
  </si>
  <si>
    <t>Pago de cliente S/ 128.04 - SANTOS ARIAS, IVONNE GISELA - 31/03/2026</t>
  </si>
  <si>
    <t>B B01-00006375</t>
  </si>
  <si>
    <t>A157896</t>
  </si>
  <si>
    <t>B B01-00006375 (144791236234)</t>
  </si>
  <si>
    <t>144791236234</t>
  </si>
  <si>
    <t>PAPANT/2025/09691 (B B01-00006384)</t>
  </si>
  <si>
    <t>PAPANT/2025/09691</t>
  </si>
  <si>
    <t>TORRES GUZMAN, ALEX RODRIGO</t>
  </si>
  <si>
    <t>Pago de cliente S/ 452.00 - TORRES GUZMAN, ALEX RODRIGO - 31/03/2026</t>
  </si>
  <si>
    <t>B B01-00006384</t>
  </si>
  <si>
    <t>A157898</t>
  </si>
  <si>
    <t>B B01-00006384 (144239271885)</t>
  </si>
  <si>
    <t>144239271885</t>
  </si>
  <si>
    <t>PAPANT/2025/09692 (B B01-00007561)</t>
  </si>
  <si>
    <t>PAPANT/2025/09692</t>
  </si>
  <si>
    <t>Pago de cliente S/ 359.39 - GARCIA FIESTAS, JOSE AURELIO - 31/03/2026</t>
  </si>
  <si>
    <t>B B01-00007561</t>
  </si>
  <si>
    <t>A157900</t>
  </si>
  <si>
    <t>B C01-00000176</t>
  </si>
  <si>
    <t>A158320</t>
  </si>
  <si>
    <t>B B01-00006567</t>
  </si>
  <si>
    <t>B C01-00000179</t>
  </si>
  <si>
    <t>SAPALLANAY VILLASANTE, ASTRID OLENKA MERCEDES</t>
  </si>
  <si>
    <t>A158330</t>
  </si>
  <si>
    <t>B B01-00006958</t>
  </si>
  <si>
    <t>MISC/2026/01/0210 (REGULARIZACIÓN FPAY -ENER 26)</t>
  </si>
  <si>
    <t>MISC/2026/01/0210</t>
  </si>
  <si>
    <t>REGULARIZACIÓN FPAY  -ENER 26</t>
  </si>
  <si>
    <t>A158399</t>
  </si>
  <si>
    <t>B B01-00005089</t>
  </si>
  <si>
    <t>B B01-00006827</t>
  </si>
  <si>
    <t>KOECHLIN FIGARI, JOSE ALFREDO</t>
  </si>
  <si>
    <t>A158425</t>
  </si>
  <si>
    <t>BCP01/2025/14465</t>
  </si>
  <si>
    <t>B B01-00006903</t>
  </si>
  <si>
    <t>PIZARRO GARCIA, CARLOS FRANCISCO</t>
  </si>
  <si>
    <t>A158469</t>
  </si>
  <si>
    <t>BCP01/2025/14547</t>
  </si>
  <si>
    <t>PAPANT/2025/10436 (B B01-00006727)</t>
  </si>
  <si>
    <t>PAPANT/2025/10436</t>
  </si>
  <si>
    <t>Pago de cliente S/ 359.39 - GARCIA FIESTAS, JOSE AURELIO - 26/02/2026</t>
  </si>
  <si>
    <t>B B01-00006727</t>
  </si>
  <si>
    <t>A159366</t>
  </si>
  <si>
    <t>F F01-00000722</t>
  </si>
  <si>
    <t>A16108</t>
  </si>
  <si>
    <t>BCP01/2025/01884</t>
  </si>
  <si>
    <t>F F01-00000726</t>
  </si>
  <si>
    <t>A16109</t>
  </si>
  <si>
    <t>BCP01/2025/01887</t>
  </si>
  <si>
    <t>BCP01/2025/01897</t>
  </si>
  <si>
    <t>AVELINO CORTEZ, DEYVI JARLES</t>
  </si>
  <si>
    <t>B B01-00001215</t>
  </si>
  <si>
    <t>A16110</t>
  </si>
  <si>
    <t>F F01-00000719</t>
  </si>
  <si>
    <t>BIOGENESIS PERU E.I.R.L.</t>
  </si>
  <si>
    <t>A16112</t>
  </si>
  <si>
    <t>BCP01/2025/01885</t>
  </si>
  <si>
    <t>F F01-00000712</t>
  </si>
  <si>
    <t>SALAZAR ORTIZ DE EDUARDO DANITZA C.</t>
  </si>
  <si>
    <t>A16115</t>
  </si>
  <si>
    <t>BCP01/2025/01889</t>
  </si>
  <si>
    <t>F F01-00000595</t>
  </si>
  <si>
    <t>A16116</t>
  </si>
  <si>
    <t>BCP01/2025/01547</t>
  </si>
  <si>
    <t>B B01-00001220</t>
  </si>
  <si>
    <t>EDQUEN REGALADO, EDINSON RONALDINIO</t>
  </si>
  <si>
    <t>A16120</t>
  </si>
  <si>
    <t>BCP01/2025/01895</t>
  </si>
  <si>
    <t>B B01-00001221</t>
  </si>
  <si>
    <t>PINO VEAS, CESAR AUGUSTO</t>
  </si>
  <si>
    <t>A16122</t>
  </si>
  <si>
    <t>BCP01/2025/01892</t>
  </si>
  <si>
    <t>BCP01/2025/01882</t>
  </si>
  <si>
    <t>F F01-00000082</t>
  </si>
  <si>
    <t>A16177</t>
  </si>
  <si>
    <t>F F01-00000023</t>
  </si>
  <si>
    <t>A16178</t>
  </si>
  <si>
    <t>F F01-00000656</t>
  </si>
  <si>
    <t>BIOGEN-PERU S.A.C.</t>
  </si>
  <si>
    <t>A16336</t>
  </si>
  <si>
    <t>BCP01/2025/01763</t>
  </si>
  <si>
    <t>F F01-00000675</t>
  </si>
  <si>
    <t>A16337</t>
  </si>
  <si>
    <t>BCP01/2025/01766</t>
  </si>
  <si>
    <t>F F01-00000653</t>
  </si>
  <si>
    <t>DISTRIBUIDORA EL ESTABLO E. I. R. L.</t>
  </si>
  <si>
    <t>A16344</t>
  </si>
  <si>
    <t>F C01-00000070</t>
  </si>
  <si>
    <t>PTRP/2025/01953 (Redeem Bill of Exchange FLC-00236)</t>
  </si>
  <si>
    <t>PTRP/2025/01953</t>
  </si>
  <si>
    <t>Pago de cliente S/ 8,440.34 - AGROCOMERCIO S.A.C. - 28/03/2025</t>
  </si>
  <si>
    <t>Redeem Bill of Exchange FLC-00236</t>
  </si>
  <si>
    <t>A16347</t>
  </si>
  <si>
    <t>F F01-00000492</t>
  </si>
  <si>
    <t>PTRP/2025/01954 (Redeem Bill of Exchange FLC-00237)</t>
  </si>
  <si>
    <t>PTRP/2025/01954</t>
  </si>
  <si>
    <t>Pago de cliente S/ 9,624.44 - AGROCOMERCIO S.A.C. - 28/03/2025</t>
  </si>
  <si>
    <t>Redeem Bill of Exchange FLC-00237</t>
  </si>
  <si>
    <t>A16361</t>
  </si>
  <si>
    <t>F F01-00000494</t>
  </si>
  <si>
    <t>F F01-00000186</t>
  </si>
  <si>
    <t>A16535</t>
  </si>
  <si>
    <t>MISC/2025/02/0173 (F F01-00000186)</t>
  </si>
  <si>
    <t>MISC/2025/02/0173</t>
  </si>
  <si>
    <t>F C01-00000026</t>
  </si>
  <si>
    <t>MISC/2025/02/0174 (F F01-00000200)</t>
  </si>
  <si>
    <t>MISC/2025/02/0174</t>
  </si>
  <si>
    <t>AGROVET LOS ANDES SOCIEDAD COMERCIAL DE RESPONSABILIDAD LIMITADA - AGROVET LOS ANDES S.R.L.</t>
  </si>
  <si>
    <t>F F01-00000200</t>
  </si>
  <si>
    <t>A16549</t>
  </si>
  <si>
    <t>F010-00001432</t>
  </si>
  <si>
    <t>F010-00001431</t>
  </si>
  <si>
    <t>BCP01/2025/01336</t>
  </si>
  <si>
    <t>MEZA BOCANEGRA, LUIS ALBERTO</t>
  </si>
  <si>
    <t>B B01-00000803</t>
  </si>
  <si>
    <t>A16550</t>
  </si>
  <si>
    <t>F F01-00000458</t>
  </si>
  <si>
    <t>AGRIMEC VETERINARIA E.I.R.L. - AGRIMEC VET E.I.R.L.</t>
  </si>
  <si>
    <t>A16587</t>
  </si>
  <si>
    <t>BCP01/2025/01216</t>
  </si>
  <si>
    <t>F F01-00000661</t>
  </si>
  <si>
    <t>A16588</t>
  </si>
  <si>
    <t>BCP01/2025/01783</t>
  </si>
  <si>
    <t>BCP01/2025/01764</t>
  </si>
  <si>
    <t>F F01-00000440</t>
  </si>
  <si>
    <t>A16589</t>
  </si>
  <si>
    <t>BCP01/2025/01151</t>
  </si>
  <si>
    <t>F F01-00000625</t>
  </si>
  <si>
    <t>A16590</t>
  </si>
  <si>
    <t>BBVA1/2025/00797</t>
  </si>
  <si>
    <t>F F01-00000531</t>
  </si>
  <si>
    <t>A16591</t>
  </si>
  <si>
    <t>BCP01/2025/01438</t>
  </si>
  <si>
    <t>F F01-00000677</t>
  </si>
  <si>
    <t>AGROVET EL NORTEÑO E.I.R.L.</t>
  </si>
  <si>
    <t>A16592</t>
  </si>
  <si>
    <t>BCP01/2025/01773</t>
  </si>
  <si>
    <t>F F01-00000431</t>
  </si>
  <si>
    <t>CONSTRUCTORA Y MULTISERVICIOS AGROVET J&amp;S SOCIEDAD ANONIMA CERRADA</t>
  </si>
  <si>
    <t>A16593</t>
  </si>
  <si>
    <t>BCP01/2025/01130</t>
  </si>
  <si>
    <t>BCP01/2025/01107</t>
  </si>
  <si>
    <t>F F01-00000421</t>
  </si>
  <si>
    <t>A16594</t>
  </si>
  <si>
    <t>F C01-00000048</t>
  </si>
  <si>
    <t>F F01-00000423</t>
  </si>
  <si>
    <t>INVERSIONES Y SERVICIOS AGROPECUARIOS S.R.L.</t>
  </si>
  <si>
    <t>A16595</t>
  </si>
  <si>
    <t>BCP01/2025/01109</t>
  </si>
  <si>
    <t>IBK02/2025/00431</t>
  </si>
  <si>
    <t>SOLUTION WASI E.I.R.L.</t>
  </si>
  <si>
    <t>F F01-00000432</t>
  </si>
  <si>
    <t>A16596</t>
  </si>
  <si>
    <t>F F01-00000441</t>
  </si>
  <si>
    <t>A16600</t>
  </si>
  <si>
    <t>BCP01/2025/01147</t>
  </si>
  <si>
    <t>F F01-00000437</t>
  </si>
  <si>
    <t>A16601</t>
  </si>
  <si>
    <t>BCP01/2025/01145</t>
  </si>
  <si>
    <t>F F01-00000435</t>
  </si>
  <si>
    <t>A16602</t>
  </si>
  <si>
    <t>BCP01/2025/01150</t>
  </si>
  <si>
    <t>F F01-00000443</t>
  </si>
  <si>
    <t>A16603</t>
  </si>
  <si>
    <t>BCP01/2025/01144</t>
  </si>
  <si>
    <t>F F01-00000449</t>
  </si>
  <si>
    <t>A16604</t>
  </si>
  <si>
    <t>BCP01/2025/01190</t>
  </si>
  <si>
    <t>F F01-00000448</t>
  </si>
  <si>
    <t>A16605</t>
  </si>
  <si>
    <t>F C01-00000074</t>
  </si>
  <si>
    <t>F F01-00000456</t>
  </si>
  <si>
    <t>AGROVET Y DISTRIBUCIONES EL SEMBRADOR S.R.L.</t>
  </si>
  <si>
    <t>A16607</t>
  </si>
  <si>
    <t>BCP01/2025/01191</t>
  </si>
  <si>
    <t>F F01-00000455</t>
  </si>
  <si>
    <t>AGUIVET S.A.C.</t>
  </si>
  <si>
    <t>A16608</t>
  </si>
  <si>
    <t>BCP01/2025/01188</t>
  </si>
  <si>
    <t>F C01-00000069</t>
  </si>
  <si>
    <t>F F01-00000466</t>
  </si>
  <si>
    <t>A16609</t>
  </si>
  <si>
    <t>BCP01/2025/01163</t>
  </si>
  <si>
    <t>BCP01/2025/01162</t>
  </si>
  <si>
    <t>F F01-00000471</t>
  </si>
  <si>
    <t>FARMACIAS VETERINARIAS DEL PERU S.A.C.</t>
  </si>
  <si>
    <t>A16610</t>
  </si>
  <si>
    <t>IBK02/2025/00360</t>
  </si>
  <si>
    <t>F F01-00000468</t>
  </si>
  <si>
    <t>A16611</t>
  </si>
  <si>
    <t>IBK02/2025/00358</t>
  </si>
  <si>
    <t>F F01-00000477</t>
  </si>
  <si>
    <t>VETERINARIA SAN PABLO E.I.R.L.</t>
  </si>
  <si>
    <t>A16614</t>
  </si>
  <si>
    <t>BCP01/2025/01218</t>
  </si>
  <si>
    <t>BCP01/2025/01215</t>
  </si>
  <si>
    <t>BCP01/2025/01213</t>
  </si>
  <si>
    <t>F F01-00000469</t>
  </si>
  <si>
    <t>VETLAB MEDIC E.I.R.L.</t>
  </si>
  <si>
    <t>A16616</t>
  </si>
  <si>
    <t>IBK02/2025/00359</t>
  </si>
  <si>
    <t>F F01-00000686</t>
  </si>
  <si>
    <t>A16617</t>
  </si>
  <si>
    <t>BCP01/2025/01782</t>
  </si>
  <si>
    <t>F F01-00000681</t>
  </si>
  <si>
    <t>AGROVET Y MULTISERVICIOS GUERRERO E.I.R.L.</t>
  </si>
  <si>
    <t>A16618</t>
  </si>
  <si>
    <t>BCP01/2025/01779</t>
  </si>
  <si>
    <t>BCP01/2025/01771</t>
  </si>
  <si>
    <t>F F01-00000691</t>
  </si>
  <si>
    <t>A16619</t>
  </si>
  <si>
    <t>BCP01/2025/01767</t>
  </si>
  <si>
    <t>F F01-00000690</t>
  </si>
  <si>
    <t>A16620</t>
  </si>
  <si>
    <t>BCP01/2025/01781</t>
  </si>
  <si>
    <t>BCP01/2025/01780</t>
  </si>
  <si>
    <t>F F01-00000667</t>
  </si>
  <si>
    <t>EMPRESA COMERCIALIZADORA DE INSUMOS Y PRODUCTOS AGROPECUARIOS Y TRANSPORTES S.R.L.</t>
  </si>
  <si>
    <t>A16621</t>
  </si>
  <si>
    <t>BCP01/2025/01765</t>
  </si>
  <si>
    <t>F F01-00000678</t>
  </si>
  <si>
    <t>A16622</t>
  </si>
  <si>
    <t>BCP01/2025/01772</t>
  </si>
  <si>
    <t>F F01-00000688</t>
  </si>
  <si>
    <t>SOLUCIONES VETERINARIAS EL CHINO S.A.C.</t>
  </si>
  <si>
    <t>A16623</t>
  </si>
  <si>
    <t>BCP01/2025/01786</t>
  </si>
  <si>
    <t>F F01-00000672</t>
  </si>
  <si>
    <t>A16625</t>
  </si>
  <si>
    <t>BCP01/2025/01778</t>
  </si>
  <si>
    <t>F F01-00000674</t>
  </si>
  <si>
    <t>A16626</t>
  </si>
  <si>
    <t>BCP01/2025/01785</t>
  </si>
  <si>
    <t>F F01-00000668</t>
  </si>
  <si>
    <t>SANIDAD AGROPECUARIA &amp; ASOCIADOS S.A.C.</t>
  </si>
  <si>
    <t>A16627</t>
  </si>
  <si>
    <t>F C01-00000085</t>
  </si>
  <si>
    <t>F F01-00000676</t>
  </si>
  <si>
    <t>A16628</t>
  </si>
  <si>
    <t>BCP01/2025/01775</t>
  </si>
  <si>
    <t>F F01-00000493</t>
  </si>
  <si>
    <t>A16629</t>
  </si>
  <si>
    <t>BCP01/2025/01286</t>
  </si>
  <si>
    <t>F F01-00000487</t>
  </si>
  <si>
    <t>A16630</t>
  </si>
  <si>
    <t>BCP01/2025/01267</t>
  </si>
  <si>
    <t>F F01-00000490</t>
  </si>
  <si>
    <t>A16631</t>
  </si>
  <si>
    <t>BBVA1/2025/00593</t>
  </si>
  <si>
    <t>F F01-00000478</t>
  </si>
  <si>
    <t>A16632</t>
  </si>
  <si>
    <t>F C01-00000083</t>
  </si>
  <si>
    <t>BCP01/2025/01264</t>
  </si>
  <si>
    <t>F C01-00000067</t>
  </si>
  <si>
    <t>F F01-00000480</t>
  </si>
  <si>
    <t>SANTILLANA ORMAECHE MANUEL GINO</t>
  </si>
  <si>
    <t>A16633</t>
  </si>
  <si>
    <t>IBK02/2025/00372</t>
  </si>
  <si>
    <t>F F01-00000489</t>
  </si>
  <si>
    <t>A16634</t>
  </si>
  <si>
    <t>BCP01/2025/01265</t>
  </si>
  <si>
    <t>F F01-00000497</t>
  </si>
  <si>
    <t>A16635</t>
  </si>
  <si>
    <t>BCP01/2025/01335</t>
  </si>
  <si>
    <t>F F01-00000501</t>
  </si>
  <si>
    <t>A16636</t>
  </si>
  <si>
    <t>BCP01/2025/01331</t>
  </si>
  <si>
    <t>F F01-00000498</t>
  </si>
  <si>
    <t>NAVARRO ORTIZ PAOLA INES</t>
  </si>
  <si>
    <t>A16637</t>
  </si>
  <si>
    <t>BCP01/2025/01268</t>
  </si>
  <si>
    <t>MISC/2025/03/0135 (F F01-00000506)</t>
  </si>
  <si>
    <t>MISC/2025/03/0135</t>
  </si>
  <si>
    <t>F F01-00000506</t>
  </si>
  <si>
    <t>A16640</t>
  </si>
  <si>
    <t>F F01-00000508</t>
  </si>
  <si>
    <t>BCP01/2025/01334</t>
  </si>
  <si>
    <t>F F01-00000509</t>
  </si>
  <si>
    <t>A16641</t>
  </si>
  <si>
    <t>BCP01/2025/01337</t>
  </si>
  <si>
    <t>BCP01/2025/01333</t>
  </si>
  <si>
    <t>IBK02/2025/00413</t>
  </si>
  <si>
    <t>MI MEJOR PATA SOCIEDAD ANONIMA CERRADA - MI MEJOR PATA S.A.C.</t>
  </si>
  <si>
    <t>F F01-00000513</t>
  </si>
  <si>
    <t>A16653</t>
  </si>
  <si>
    <t>F F01-00000518</t>
  </si>
  <si>
    <t>A16654</t>
  </si>
  <si>
    <t>BCP01/2025/01340</t>
  </si>
  <si>
    <t>F F01-00000532</t>
  </si>
  <si>
    <t>A16655</t>
  </si>
  <si>
    <t>BBVA1/2025/00690</t>
  </si>
  <si>
    <t>F F01-00000536</t>
  </si>
  <si>
    <t>A16659</t>
  </si>
  <si>
    <t>BCP01/2025/01410</t>
  </si>
  <si>
    <t>F F01-00000527</t>
  </si>
  <si>
    <t>A16661</t>
  </si>
  <si>
    <t>BCP01/2025/01443</t>
  </si>
  <si>
    <t>F F01-00000544</t>
  </si>
  <si>
    <t>A16662</t>
  </si>
  <si>
    <t>BCP01/2025/01442</t>
  </si>
  <si>
    <t>F F01-00000560</t>
  </si>
  <si>
    <t>A16663</t>
  </si>
  <si>
    <t>BCP01/2025/01493</t>
  </si>
  <si>
    <t>F F01-00000558</t>
  </si>
  <si>
    <t>A16664</t>
  </si>
  <si>
    <t>BCP01/2025/01495</t>
  </si>
  <si>
    <t>F F01-00000553</t>
  </si>
  <si>
    <t>A16665</t>
  </si>
  <si>
    <t>BCP01/2025/01470</t>
  </si>
  <si>
    <t>BCP01/2025/01437</t>
  </si>
  <si>
    <t>F F01-00000554</t>
  </si>
  <si>
    <t>A16666</t>
  </si>
  <si>
    <t>BCP01/2025/01472</t>
  </si>
  <si>
    <t>F F01-00000572</t>
  </si>
  <si>
    <t>CARRANZA MARIN DENNIS</t>
  </si>
  <si>
    <t>A16667</t>
  </si>
  <si>
    <t>BCP01/2025/01521</t>
  </si>
  <si>
    <t>F F01-00000571</t>
  </si>
  <si>
    <t>CORPORACION DE GRANJAS DEL PERU SAC</t>
  </si>
  <si>
    <t>A16668</t>
  </si>
  <si>
    <t>BBVA1/2025/00720</t>
  </si>
  <si>
    <t>MISC/2025/03/0136 (F F01-00000517)</t>
  </si>
  <si>
    <t>MISC/2025/03/0136</t>
  </si>
  <si>
    <t>PACHECO NAVEROS RICHARD</t>
  </si>
  <si>
    <t>F F01-00000517</t>
  </si>
  <si>
    <t>A16671</t>
  </si>
  <si>
    <t>BCP01/2025/01371</t>
  </si>
  <si>
    <t>BCP01/2025/01886</t>
  </si>
  <si>
    <t>F D01-00000090</t>
  </si>
  <si>
    <t>A16685</t>
  </si>
  <si>
    <t>F D01-00000091</t>
  </si>
  <si>
    <t>A16686</t>
  </si>
  <si>
    <t>F F01-00000577</t>
  </si>
  <si>
    <t>A16689</t>
  </si>
  <si>
    <t>BCP01/2025/01527</t>
  </si>
  <si>
    <t>BCP01/2025/01526</t>
  </si>
  <si>
    <t>BCP01/2025/01525</t>
  </si>
  <si>
    <t>F F01-00000584</t>
  </si>
  <si>
    <t>A16690</t>
  </si>
  <si>
    <t>BCP01/2025/01549</t>
  </si>
  <si>
    <t>BCP01/2025/01546</t>
  </si>
  <si>
    <t>F F01-00000596</t>
  </si>
  <si>
    <t>A16691</t>
  </si>
  <si>
    <t>BCP01/2025/01552</t>
  </si>
  <si>
    <t>F F01-00000611</t>
  </si>
  <si>
    <t>A16692</t>
  </si>
  <si>
    <t>BCP01/2025/01592</t>
  </si>
  <si>
    <t>F F01-00000617</t>
  </si>
  <si>
    <t>A16693</t>
  </si>
  <si>
    <t>BCP01/2025/01625</t>
  </si>
  <si>
    <t>BCP01/2025/01623</t>
  </si>
  <si>
    <t>F F01-00000615</t>
  </si>
  <si>
    <t>HUAMANI CONSA YOLANDA</t>
  </si>
  <si>
    <t>A16694</t>
  </si>
  <si>
    <t>BCP01/2025/01629</t>
  </si>
  <si>
    <t>MISC/2025/03/0137 (F F01-00000633)</t>
  </si>
  <si>
    <t>MISC/2025/03/0137</t>
  </si>
  <si>
    <t xml:space="preserve">F F01-00000633
</t>
  </si>
  <si>
    <t>F F01-00000633</t>
  </si>
  <si>
    <t>A16695</t>
  </si>
  <si>
    <t>BCP01/2025/01665</t>
  </si>
  <si>
    <t>F F01-00000629</t>
  </si>
  <si>
    <t>A16696</t>
  </si>
  <si>
    <t>BCP01/2025/01624</t>
  </si>
  <si>
    <t>F F01-00000631</t>
  </si>
  <si>
    <t>A16697</t>
  </si>
  <si>
    <t>BCP01/2025/01627</t>
  </si>
  <si>
    <t>F F01-00000658</t>
  </si>
  <si>
    <t>AGROVETERINARIA CENTRAL NITSUGA SOCIEDAD COMERCIAL DE RESPONSABILIDAD LIMITADA CENTRAL NITSUGA S.R.L</t>
  </si>
  <si>
    <t>A16722</t>
  </si>
  <si>
    <t>BBVA1/2025/00837</t>
  </si>
  <si>
    <t>F F01-00000652</t>
  </si>
  <si>
    <t>CORPORACION AGROVETERINARIA &amp; MULTISERVICIOS BUENDIA SOCIEDAD ANONIMA CERRADA - A &amp; M BUENDIA S.A.C.</t>
  </si>
  <si>
    <t>A16725</t>
  </si>
  <si>
    <t>BCP01/2025/01769</t>
  </si>
  <si>
    <t>F F01-00000655</t>
  </si>
  <si>
    <t>PAVETSUR S.A.C.</t>
  </si>
  <si>
    <t>A16728</t>
  </si>
  <si>
    <t>BCP01/2025/01660</t>
  </si>
  <si>
    <t>BCP01/2025/01658</t>
  </si>
  <si>
    <t>F F01-00000651</t>
  </si>
  <si>
    <t>A16729</t>
  </si>
  <si>
    <t>BCP01/2025/01661</t>
  </si>
  <si>
    <t>F F01-00000642</t>
  </si>
  <si>
    <t>A16730</t>
  </si>
  <si>
    <t>BCP01/2025/01664</t>
  </si>
  <si>
    <t>F F01-00000646</t>
  </si>
  <si>
    <t>PHARMAVET MARKET E.I.R.L.</t>
  </si>
  <si>
    <t>A16731</t>
  </si>
  <si>
    <t>BCP01/2025/01659</t>
  </si>
  <si>
    <t>F F01-00000641</t>
  </si>
  <si>
    <t>A16732</t>
  </si>
  <si>
    <t>IBK02/2025/00541</t>
  </si>
  <si>
    <t>F F01-00000657</t>
  </si>
  <si>
    <t>A16733</t>
  </si>
  <si>
    <t>BCP01/2025/01776</t>
  </si>
  <si>
    <t>IBK02/2025/00576</t>
  </si>
  <si>
    <t>F F01-00000665</t>
  </si>
  <si>
    <t>A16734</t>
  </si>
  <si>
    <t>F F01-00000645</t>
  </si>
  <si>
    <t>A16735</t>
  </si>
  <si>
    <t>BCP01/2025/01663</t>
  </si>
  <si>
    <t>F F01-00000623</t>
  </si>
  <si>
    <t>A16736</t>
  </si>
  <si>
    <t>IBK02/2025/00505</t>
  </si>
  <si>
    <t>F F01-00000630</t>
  </si>
  <si>
    <t>A16737</t>
  </si>
  <si>
    <t>BCP01/2025/01631</t>
  </si>
  <si>
    <t>PTRP/2025/00126 (Redeem Bill of Exchange FLC-00009)</t>
  </si>
  <si>
    <t>PTRP/2025/00126</t>
  </si>
  <si>
    <t>Pago de cliente S/ 50,812.07 - REPRESENTACIONES DURAND S.A.C. - 07/02/2025</t>
  </si>
  <si>
    <t>Redeem Bill of Exchange FLC-00009</t>
  </si>
  <si>
    <t>A1674</t>
  </si>
  <si>
    <t>F F01-00000029</t>
  </si>
  <si>
    <t>F F01-00000634</t>
  </si>
  <si>
    <t>RAPIPET S.R.L.</t>
  </si>
  <si>
    <t>A16744</t>
  </si>
  <si>
    <t>BCP01/2025/01626</t>
  </si>
  <si>
    <t>F F01-00000622</t>
  </si>
  <si>
    <t>A16745</t>
  </si>
  <si>
    <t>IBK02/2025/00504</t>
  </si>
  <si>
    <t>PTRP/2025/00127 (Redeem Bill of Exchange FLC-00022)</t>
  </si>
  <si>
    <t>PTRP/2025/00127</t>
  </si>
  <si>
    <t>Pago de cliente S/ 4,042.68 - REPRESENTACIONES DURAND S.A.C. - 07/02/2025</t>
  </si>
  <si>
    <t>Redeem Bill of Exchange FLC-00022</t>
  </si>
  <si>
    <t>A1675</t>
  </si>
  <si>
    <t>F F01-00000045</t>
  </si>
  <si>
    <t>B B01-00000734</t>
  </si>
  <si>
    <t>OTAIZA VALDIVEZ, PEDRO ANTONIO</t>
  </si>
  <si>
    <t>A16754</t>
  </si>
  <si>
    <t>BBVA1/2025/00644</t>
  </si>
  <si>
    <t>MISC/2025/03/0138 (F F01-00000407)</t>
  </si>
  <si>
    <t>MISC/2025/03/0138</t>
  </si>
  <si>
    <t>F F01-00000407</t>
  </si>
  <si>
    <t>A16763</t>
  </si>
  <si>
    <t>BCP02/2025/00221</t>
  </si>
  <si>
    <t>BBVA1/2025/00836</t>
  </si>
  <si>
    <t>F F01-00000072</t>
  </si>
  <si>
    <t>A16764</t>
  </si>
  <si>
    <t>F F01-00000073</t>
  </si>
  <si>
    <t>A16765</t>
  </si>
  <si>
    <t>F F01-00000074</t>
  </si>
  <si>
    <t>A16766</t>
  </si>
  <si>
    <t>B B01-00004360</t>
  </si>
  <si>
    <t>NAVARRO AGUILAR, PAOLA ALEJANDRA</t>
  </si>
  <si>
    <t>A158373</t>
  </si>
  <si>
    <t>F F01-00000110</t>
  </si>
  <si>
    <t>A16767</t>
  </si>
  <si>
    <t>PAPANT/2025/01555 (F F01-00000491)</t>
  </si>
  <si>
    <t>PAPANT/2025/01555</t>
  </si>
  <si>
    <t>Pago de cliente S/ 33.19 - EMPRESA COMERCIALIZADORA DE INSUMOS Y PRODUCTOS AGROPECUARIOS Y TRANSPORTES S.R.L. - 31/03/2025</t>
  </si>
  <si>
    <t>F F01-00000491</t>
  </si>
  <si>
    <t>A16769</t>
  </si>
  <si>
    <t>PTRP/2025/02084 (Redeem Bill of Exchange FLC-00303)</t>
  </si>
  <si>
    <t>PTRP/2025/02084</t>
  </si>
  <si>
    <t>Pago de cliente S/ 17,093.22 - AGRO VETERINARIA MI BUEN PASTOR S.R.L. - 11/04/2025</t>
  </si>
  <si>
    <t>Redeem Bill of Exchange FLC-00303</t>
  </si>
  <si>
    <t>A17260</t>
  </si>
  <si>
    <t>F F01-00000632</t>
  </si>
  <si>
    <t>PTRP/2025/02087 (Redeem Bill of Exchange FLC-00292)</t>
  </si>
  <si>
    <t>PTRP/2025/02087</t>
  </si>
  <si>
    <t>Pago de cliente S/ 50,881.60 - REPRESENTACIONES DURAND S.A.C. - 11/04/2025</t>
  </si>
  <si>
    <t>Redeem Bill of Exchange FLC-00292</t>
  </si>
  <si>
    <t>A17263</t>
  </si>
  <si>
    <t>F F01-00000608</t>
  </si>
  <si>
    <t>PTRP/2025/02088 (Redeem Bill of Exchange FLC-00290)</t>
  </si>
  <si>
    <t>PTRP/2025/02088</t>
  </si>
  <si>
    <t>Pago de cliente S/ 34,047.31 - REPRESENTACIONES DURAND S.A.C. - 11/04/2025</t>
  </si>
  <si>
    <t>Redeem Bill of Exchange FLC-00290</t>
  </si>
  <si>
    <t>A17264</t>
  </si>
  <si>
    <t>F F01-00000606</t>
  </si>
  <si>
    <t>PTRP/2025/02089 (Redeem Bill of Exchange FLC-00291)</t>
  </si>
  <si>
    <t>PTRP/2025/02089</t>
  </si>
  <si>
    <t>Pago de cliente S/ 99,759.95 - REPRESENTACIONES DURAND S.A.C. - 11/04/2025</t>
  </si>
  <si>
    <t>Redeem Bill of Exchange FLC-00291</t>
  </si>
  <si>
    <t>A17265</t>
  </si>
  <si>
    <t>F F01-00000607</t>
  </si>
  <si>
    <t>F C01-00000237</t>
  </si>
  <si>
    <t>PTRP/2025/02090 (Redeem Bill of Exchange FLC-00339)</t>
  </si>
  <si>
    <t>PTRP/2025/02090</t>
  </si>
  <si>
    <t>Pago de cliente S/ 45,187.02 - REPRESENTACIONES DURAND S.A.C. - 11/04/2025</t>
  </si>
  <si>
    <t>Redeem Bill of Exchange FLC-00339</t>
  </si>
  <si>
    <t>A17267</t>
  </si>
  <si>
    <t>F F01-00000699</t>
  </si>
  <si>
    <t>PTRP/2025/02091 (Redeem Bill of Exchange FLC-00284)</t>
  </si>
  <si>
    <t>PTRP/2025/02091</t>
  </si>
  <si>
    <t>Pago de cliente S/ 23,009.30 - REPRESENTACIONES DURAND S.A.C. - 11/04/2025</t>
  </si>
  <si>
    <t>Redeem Bill of Exchange FLC-00284</t>
  </si>
  <si>
    <t>A17268</t>
  </si>
  <si>
    <t>F F01-00000588</t>
  </si>
  <si>
    <t>PTRP/2025/02092 (Redeem Bill of Exchange FLC-00194)</t>
  </si>
  <si>
    <t>PTRP/2025/02092</t>
  </si>
  <si>
    <t>Pago de cliente S/ 7,873.93 - UNIVERSO VETERINARIO SAC - 11/04/2025</t>
  </si>
  <si>
    <t>Redeem Bill of Exchange FLC-00194</t>
  </si>
  <si>
    <t>A17269</t>
  </si>
  <si>
    <t>F F01-00000409</t>
  </si>
  <si>
    <t>PTRP/2025/02093 (Redeem Bill of Exchange FLC-00280)</t>
  </si>
  <si>
    <t>PTRP/2025/02093</t>
  </si>
  <si>
    <t>Pago de cliente S/ 9,150.22 - UNIVERSO VETERINARIO SAC - 11/04/2025</t>
  </si>
  <si>
    <t>Redeem Bill of Exchange FLC-00280</t>
  </si>
  <si>
    <t>A17270</t>
  </si>
  <si>
    <t>F F01-00000582</t>
  </si>
  <si>
    <t>PTRP/2025/02094 (Redeem Bill of Exchange FLC-00296)</t>
  </si>
  <si>
    <t>PTRP/2025/02094</t>
  </si>
  <si>
    <t>Pago de cliente S/ 9,657.12 - UNIVERSO VETERINARIO SAC - 11/04/2025</t>
  </si>
  <si>
    <t>Redeem Bill of Exchange FLC-00296</t>
  </si>
  <si>
    <t>A17271</t>
  </si>
  <si>
    <t>F F01-00000614</t>
  </si>
  <si>
    <t>PTRP/2025/02095 (Redeem Bill of Exchange FLC-00195)</t>
  </si>
  <si>
    <t>PTRP/2025/02095</t>
  </si>
  <si>
    <t>Pago de cliente S/ 7,896.06 - UNIVERSO VETERINARIO SAC - 11/04/2025</t>
  </si>
  <si>
    <t>Redeem Bill of Exchange FLC-00195</t>
  </si>
  <si>
    <t>A17272</t>
  </si>
  <si>
    <t>F F01-00000410</t>
  </si>
  <si>
    <t>PTRP/2025/02096 (Redeem Bill of Exchange FLC-00243)</t>
  </si>
  <si>
    <t>PTRP/2025/02096</t>
  </si>
  <si>
    <t>Pago de cliente S/ 7,889.41 - UNIVERSO VETERINARIO SAC - 11/04/2025</t>
  </si>
  <si>
    <t>Redeem Bill of Exchange FLC-00243</t>
  </si>
  <si>
    <t>A17273</t>
  </si>
  <si>
    <t>F F01-00000500</t>
  </si>
  <si>
    <t>PTRP/2025/02097 (Redeem Bill of Exchange FLC-00254)</t>
  </si>
  <si>
    <t>PTRP/2025/02097</t>
  </si>
  <si>
    <t>Pago de cliente S/ 8,843.45 - UNIVERSO VETERINARIO SAC - 11/04/2025</t>
  </si>
  <si>
    <t>Redeem Bill of Exchange FLC-00254</t>
  </si>
  <si>
    <t>A17274</t>
  </si>
  <si>
    <t>F F01-00000512</t>
  </si>
  <si>
    <t>BCP01/2025/01791</t>
  </si>
  <si>
    <t>A17307</t>
  </si>
  <si>
    <t>F D01-00000087</t>
  </si>
  <si>
    <t>F D01-00000086</t>
  </si>
  <si>
    <t>F D01-00000085</t>
  </si>
  <si>
    <t>F D01-00000084</t>
  </si>
  <si>
    <t>F D01-00000065</t>
  </si>
  <si>
    <t>F C01-00000089</t>
  </si>
  <si>
    <t>F C01-00000081</t>
  </si>
  <si>
    <t>F F01-00002812</t>
  </si>
  <si>
    <t>CENTRO DE APOYO A LA INDUSTRIA FARMACEUTICA S.A.C. - CAIF S.A.C.</t>
  </si>
  <si>
    <t>B B01-00004124</t>
  </si>
  <si>
    <t>A158372</t>
  </si>
  <si>
    <t>B B01-00004109</t>
  </si>
  <si>
    <t>ALEGRE OSORES, RAFAEL</t>
  </si>
  <si>
    <t>A158361</t>
  </si>
  <si>
    <t>B B01-00004098</t>
  </si>
  <si>
    <t>SANCHEZ GOMEZ, JUAN CARLOS</t>
  </si>
  <si>
    <t>A158371</t>
  </si>
  <si>
    <t>B B01-00004075</t>
  </si>
  <si>
    <t>PUPUCHE CIENFUEGOS, ASTRID YERALDIN</t>
  </si>
  <si>
    <t>A158350</t>
  </si>
  <si>
    <t>B B01-00003668</t>
  </si>
  <si>
    <t>VILCHEZ BARRIENTOS, ANDREA NATHALY</t>
  </si>
  <si>
    <t>B B01-00003551</t>
  </si>
  <si>
    <t>A158348</t>
  </si>
  <si>
    <t>F F01-00002256</t>
  </si>
  <si>
    <t>SUPERMERCADOS PARA MASCOTAS DEL PERU S.A.C.</t>
  </si>
  <si>
    <t>B B01-00003275</t>
  </si>
  <si>
    <t>A158347</t>
  </si>
  <si>
    <t>PAPANT/2025/03598 (B B01-00002601)</t>
  </si>
  <si>
    <t>PAPANT/2025/03598</t>
  </si>
  <si>
    <t>GUERRERO VARGAS, JHON DAVID</t>
  </si>
  <si>
    <t>Pago de cliente S/ 484.00 - GUERRERO VARGAS, JHON DAVID - 25/08/2025</t>
  </si>
  <si>
    <t>B B01-00002601</t>
  </si>
  <si>
    <t>PAPANT/2025/03595 (B B01-00002235)</t>
  </si>
  <si>
    <t>PAPANT/2025/03595</t>
  </si>
  <si>
    <t>B B01-00002235</t>
  </si>
  <si>
    <t>PAPANT/2025/03594 (B B01-00001804)</t>
  </si>
  <si>
    <t>PAPANT/2025/03594</t>
  </si>
  <si>
    <t>B B01-00001804</t>
  </si>
  <si>
    <t>PAPANT/2025/03593 (B B01-00001801)</t>
  </si>
  <si>
    <t>PAPANT/2025/03593</t>
  </si>
  <si>
    <t>Pago de cliente S/ 1,425.00 - DEL RISCO SOTIL, JIMENA MARIA - 25/08/2025</t>
  </si>
  <si>
    <t>B B01-00001801</t>
  </si>
  <si>
    <t>PAPANT/2025/03591 (B B01-00001576)</t>
  </si>
  <si>
    <t>PAPANT/2025/03591</t>
  </si>
  <si>
    <t>CALDERÓN ASCONA, NATHALY ELENA</t>
  </si>
  <si>
    <t>Pago de cliente S/ 484.00 - CALDERÓN ASCONA, NATHALY ELENA - 25/08/2025</t>
  </si>
  <si>
    <t>B B01-00001576</t>
  </si>
  <si>
    <t>PAPANT/2025/03590 (B B01-00001575)</t>
  </si>
  <si>
    <t>PAPANT/2025/03590</t>
  </si>
  <si>
    <t>VALDEZ HINOSTROZA, NATALY DEL CARMEN</t>
  </si>
  <si>
    <t>Pago de cliente S/ 194.75 - VALDEZ HINOSTROZA, NATALY DEL CARMEN - 25/08/2025</t>
  </si>
  <si>
    <t>B B01-00001575</t>
  </si>
  <si>
    <t>PAPANT/2025/03588 (B B01-00001574)</t>
  </si>
  <si>
    <t>PAPANT/2025/03588</t>
  </si>
  <si>
    <t>B B01-00001574</t>
  </si>
  <si>
    <t>PAPANT/2025/03587 (B B01-00001168)</t>
  </si>
  <si>
    <t>PAPANT/2025/03587</t>
  </si>
  <si>
    <t>B B01-00001168</t>
  </si>
  <si>
    <t>PAPANT/2025/03586 (B B01-00001169)</t>
  </si>
  <si>
    <t>PAPANT/2025/03586</t>
  </si>
  <si>
    <t>B B01-00001169</t>
  </si>
  <si>
    <t>PAPANT/2025/03585 (B B01-00001167)</t>
  </si>
  <si>
    <t>PAPANT/2025/03585</t>
  </si>
  <si>
    <t>Pago de cliente S/ 194.75 - CALDERÓN ASCONA, NATHALY ELENA - 25/08/2025</t>
  </si>
  <si>
    <t>B B01-00001167</t>
  </si>
  <si>
    <t>PAPANT/2025/03583 (B B01-00000654)</t>
  </si>
  <si>
    <t>PAPANT/2025/03583</t>
  </si>
  <si>
    <t>B B01-00000654</t>
  </si>
  <si>
    <t>PAPANT/2025/03582 (B B01-00000646)</t>
  </si>
  <si>
    <t>PAPANT/2025/03582</t>
  </si>
  <si>
    <t>B B01-00000646</t>
  </si>
  <si>
    <t>PAPANT/2025/03581 (B B01-00000645)</t>
  </si>
  <si>
    <t>PAPANT/2025/03581</t>
  </si>
  <si>
    <t>B B01-00000645</t>
  </si>
  <si>
    <t>PAPANT/2025/03580 (B B01-00000644)</t>
  </si>
  <si>
    <t>PAPANT/2025/03580</t>
  </si>
  <si>
    <t>CHINCHAY MAYORIA, ROMMEL</t>
  </si>
  <si>
    <t>Pago de cliente S/ 210.00 - CHINCHAY MAYORIA, ROMMEL - 25/08/2025</t>
  </si>
  <si>
    <t>B B01-00000644</t>
  </si>
  <si>
    <t>PAPANT/2025/03578 (B B01-00000090)</t>
  </si>
  <si>
    <t>PAPANT/2025/03578</t>
  </si>
  <si>
    <t>Pago de cliente S/ 405.00 - CAMPOS DRAGO, JUAN CARLOS - 25/08/2025</t>
  </si>
  <si>
    <t>B B01-00000090</t>
  </si>
  <si>
    <t>PAPANT/2025/03577 (B B01-00000089)</t>
  </si>
  <si>
    <t>PAPANT/2025/03577</t>
  </si>
  <si>
    <t>B B01-00000089</t>
  </si>
  <si>
    <t>B C01-00000059 (2753424843)</t>
  </si>
  <si>
    <t>B C01-00000059</t>
  </si>
  <si>
    <t>ORMEÑO CASTILLO, CLAUDIA ALEJANDRA</t>
  </si>
  <si>
    <t>2753424843</t>
  </si>
  <si>
    <t>B B01-00002495</t>
  </si>
  <si>
    <t>LOPEZ PEREZ, PEDRO WALTER VICTOR JHEAMPIERRE</t>
  </si>
  <si>
    <t>B B01-00002458</t>
  </si>
  <si>
    <t>MAYOR MORALES, CECILIA MARISOL</t>
  </si>
  <si>
    <t>A158345</t>
  </si>
  <si>
    <t>SCT01/2025/00789</t>
  </si>
  <si>
    <t>B B01-00002268</t>
  </si>
  <si>
    <t>B B01-00002267</t>
  </si>
  <si>
    <t>B B01-00002266</t>
  </si>
  <si>
    <t>B B01-00002265</t>
  </si>
  <si>
    <t>B B01-00002264</t>
  </si>
  <si>
    <t>B B01-00002263</t>
  </si>
  <si>
    <t>B B01-00002262</t>
  </si>
  <si>
    <t>ZAVALA DELGADO, ANA PAMELA</t>
  </si>
  <si>
    <t>B B01-00002261</t>
  </si>
  <si>
    <t>B B01-00002260</t>
  </si>
  <si>
    <t>B B01-00002259</t>
  </si>
  <si>
    <t>PAITAN ZUMBA, SAMUEL ANDERSON</t>
  </si>
  <si>
    <t>B B01-00002258</t>
  </si>
  <si>
    <t>F C01-00000162</t>
  </si>
  <si>
    <t>B B01-00002043</t>
  </si>
  <si>
    <t>PATIÑO - PAUL URETA, FERNANDO ALONSO</t>
  </si>
  <si>
    <t>B B01-00001889 (113145409118)</t>
  </si>
  <si>
    <t>B B01-00001889</t>
  </si>
  <si>
    <t>113145409118</t>
  </si>
  <si>
    <t>B B01-00001856</t>
  </si>
  <si>
    <t>B B01-00001844</t>
  </si>
  <si>
    <t>TORRES PINGUZ, JOSE MARIA</t>
  </si>
  <si>
    <t>B B01-00001842</t>
  </si>
  <si>
    <t>MIRANDA DEXTRE, ADRIANA ISABEL</t>
  </si>
  <si>
    <t>B B01-00001839</t>
  </si>
  <si>
    <t>GUADALUPE FLORES, JUDITH FABIOLA</t>
  </si>
  <si>
    <t>B B01-00001838</t>
  </si>
  <si>
    <t>PEREA OSORIO, ALONSO FERNANDO</t>
  </si>
  <si>
    <t>B B01-00001833</t>
  </si>
  <si>
    <t>VERGARA AYRAS, LINET ALMENDRA</t>
  </si>
  <si>
    <t>B B01-00001830</t>
  </si>
  <si>
    <t>FLORES HUAYCANI, CLAUDIA ALEJANDRA</t>
  </si>
  <si>
    <t>B B01-00001827</t>
  </si>
  <si>
    <t>NAVEA HIDALGO, PEDRO JOSE</t>
  </si>
  <si>
    <t>B B01-00001826</t>
  </si>
  <si>
    <t>DEXTRE BAZALAR, RICARDO</t>
  </si>
  <si>
    <t>B B01-00001824</t>
  </si>
  <si>
    <t>B B01-00001809</t>
  </si>
  <si>
    <t>FERNANDEZ COLLANTES, CLAUDIA ROSSMARY</t>
  </si>
  <si>
    <t>B B01-00001808</t>
  </si>
  <si>
    <t>MATSUDA GUINOZA, CAROLINA</t>
  </si>
  <si>
    <t>B C01-00000029 (108386025894)</t>
  </si>
  <si>
    <t>B C01-00000029</t>
  </si>
  <si>
    <t>MUÑOZ RODRIGUEZ, DIEGO ALONSO</t>
  </si>
  <si>
    <t>108386025894</t>
  </si>
  <si>
    <t>B B01-00001076</t>
  </si>
  <si>
    <t>ANTUNEZ MAGUIÑA, CLARIBEL PILAR</t>
  </si>
  <si>
    <t>A158342</t>
  </si>
  <si>
    <t>B B01-00001074</t>
  </si>
  <si>
    <t>IPARRAGUIRRE CASTILLO, CARLOS ANDERSON</t>
  </si>
  <si>
    <t>A158344</t>
  </si>
  <si>
    <t>F F01-00000373</t>
  </si>
  <si>
    <t>B B01-00000349</t>
  </si>
  <si>
    <t>ZACIGA CARDENAS, KAREEN ALINA</t>
  </si>
  <si>
    <t>A158341</t>
  </si>
  <si>
    <t>F C01-00000043</t>
  </si>
  <si>
    <t>F C01-00000042</t>
  </si>
  <si>
    <t>F C01-00000021</t>
  </si>
  <si>
    <t>F010-00026964</t>
  </si>
  <si>
    <t>AGRO PERU COMUNICACIONES SRL</t>
  </si>
  <si>
    <t>F010-00024396</t>
  </si>
  <si>
    <t>FARMACIA VETERINARIA EL ESTABLO S.A.C.</t>
  </si>
  <si>
    <t>F010-00024286</t>
  </si>
  <si>
    <t>F010-00024285</t>
  </si>
  <si>
    <t>F010-00024284</t>
  </si>
  <si>
    <t>F010-00024242</t>
  </si>
  <si>
    <t>F010-00024225</t>
  </si>
  <si>
    <t>F010-00024208</t>
  </si>
  <si>
    <t>F010-00024207</t>
  </si>
  <si>
    <t>F010-00024186</t>
  </si>
  <si>
    <t>F010-00024166</t>
  </si>
  <si>
    <t>F010-00021799</t>
  </si>
  <si>
    <t>JIMENEZ LUNA VICTORIA,KEVIN EDMUNDO</t>
  </si>
  <si>
    <t>F010-00018720</t>
  </si>
  <si>
    <t>CONSORCIO DISTRIBUIDOR VETERINARIO S.A.C.-CODIVET S.A.C.</t>
  </si>
  <si>
    <t>F010-00018661</t>
  </si>
  <si>
    <t>F010-00018630</t>
  </si>
  <si>
    <t>F010-00018449</t>
  </si>
  <si>
    <t>F010-00018448</t>
  </si>
  <si>
    <t>F010-00018416</t>
  </si>
  <si>
    <t>F010-00018396</t>
  </si>
  <si>
    <t>F010-00018171</t>
  </si>
  <si>
    <t>F010-00018139</t>
  </si>
  <si>
    <t>F010-00018119</t>
  </si>
  <si>
    <t>F010-00017980</t>
  </si>
  <si>
    <t>F010-00017979</t>
  </si>
  <si>
    <t>F010-00017963</t>
  </si>
  <si>
    <t>F010-00017962</t>
  </si>
  <si>
    <t>F010-00001346</t>
  </si>
  <si>
    <t>F010-00001292</t>
  </si>
  <si>
    <t>F010-00001228</t>
  </si>
  <si>
    <t>F010-00001067</t>
  </si>
  <si>
    <t>F010-00001054</t>
  </si>
  <si>
    <t>F010-00000961</t>
  </si>
  <si>
    <t>F010-00000955</t>
  </si>
  <si>
    <t>F010-00000673</t>
  </si>
  <si>
    <t>B010-00021571</t>
  </si>
  <si>
    <t>B010-00021570</t>
  </si>
  <si>
    <t>B010-00021548</t>
  </si>
  <si>
    <t>NAPA CHAVEZ, YORDANO ARON</t>
  </si>
  <si>
    <t>B010-00021484</t>
  </si>
  <si>
    <t>CUPE PARDO, BRENDA NOEMI</t>
  </si>
  <si>
    <t>B010-00021476</t>
  </si>
  <si>
    <t>B010-00021472</t>
  </si>
  <si>
    <t>SALAZAR GUERRERO, DAGOBERTO</t>
  </si>
  <si>
    <t>B010-00021454</t>
  </si>
  <si>
    <t>CALDERON OJEDA, RICARDO MARTIN</t>
  </si>
  <si>
    <t>B010-00021442</t>
  </si>
  <si>
    <t>B010-00021380</t>
  </si>
  <si>
    <t>B010-00021205</t>
  </si>
  <si>
    <t>B010-00000479</t>
  </si>
  <si>
    <t>SURCO YBARCENA, NOHELIA SOLEDAD</t>
  </si>
  <si>
    <t>B010-00000420</t>
  </si>
  <si>
    <t>DELGADO ORELLANO, FERNANDO</t>
  </si>
  <si>
    <t>B010-00000407</t>
  </si>
  <si>
    <t>TOYAMA KOBASHIGAWA, NANCY MERCEDES</t>
  </si>
  <si>
    <t>DIF</t>
  </si>
  <si>
    <t>1212002 FACTURAS POR COBRAR NACIONALES M.E. (94)</t>
  </si>
  <si>
    <t>2025-01-01</t>
  </si>
  <si>
    <t>CAMBI/2026/03/1722 (Ajuste diferencia cambio No realizada)</t>
  </si>
  <si>
    <t>CAMBI/2026/03/1722</t>
  </si>
  <si>
    <t>Ajuste diferencia cambio No realizada</t>
  </si>
  <si>
    <t>A158607</t>
  </si>
  <si>
    <t>CAMBI/2026/03/1225 (Ajuste diferencia cambio No realizada)</t>
  </si>
  <si>
    <t>CAMBI/2026/03/1225</t>
  </si>
  <si>
    <t>A152905</t>
  </si>
  <si>
    <t>CAMBI/2026/02/1233 (Ajuste diferencia cambio No realizada)</t>
  </si>
  <si>
    <t>CAMBI/2026/02/1233</t>
  </si>
  <si>
    <t>BCP02/2025/02242</t>
  </si>
  <si>
    <t>SCHRYVER LOGISTICS DEL PERU S.A.C</t>
  </si>
  <si>
    <t>F F01-00003105</t>
  </si>
  <si>
    <t>A127181</t>
  </si>
  <si>
    <t>CAMBI/2026/02/1066 (Ajuste diferencia cambio No realizada)</t>
  </si>
  <si>
    <t>CAMBI/2026/02/1066</t>
  </si>
  <si>
    <t>A143767</t>
  </si>
  <si>
    <t>CAMBI/2026/01/3238 (Ajuste diferencia cambio No realizada)</t>
  </si>
  <si>
    <t>CAMBI/2026/01/3238</t>
  </si>
  <si>
    <t>CAMBI/2026/01/1026 (Ajuste diferencia cambio No realizada)</t>
  </si>
  <si>
    <t>CAMBI/2026/01/1026</t>
  </si>
  <si>
    <t>A129931</t>
  </si>
  <si>
    <t>CAMBI/2025/12/2426 (Ajuste diferencia cambio No realizada)</t>
  </si>
  <si>
    <t>CAMBI/2025/12/2426</t>
  </si>
  <si>
    <t>PAPANT/2025/06381 (F F01-00003961)</t>
  </si>
  <si>
    <t>PAPANT/2025/06381</t>
  </si>
  <si>
    <t>Pago de cliente $ 860.00 - GARCIA FIESTAS JOSE AURELIO-10105455629 - 30/12/2025</t>
  </si>
  <si>
    <t>F F01-00003961</t>
  </si>
  <si>
    <t>A113746</t>
  </si>
  <si>
    <t>CAMBI/2025/12/2425 (Ajuste diferencia cambio No realizada)</t>
  </si>
  <si>
    <t>CAMBI/2025/12/2425</t>
  </si>
  <si>
    <t>A129874</t>
  </si>
  <si>
    <t>PAPANT/2025/06375 (F F01-00003399)</t>
  </si>
  <si>
    <t>PAPANT/2025/06375</t>
  </si>
  <si>
    <t>Pago de cliente $ 860.00 - GARCIA FIESTAS JOSE AURELIO-10105455629 - 30/11/2025</t>
  </si>
  <si>
    <t>F F01-00003399</t>
  </si>
  <si>
    <t>A113733</t>
  </si>
  <si>
    <t>CAMBI/2025/11/1649 (Ajuste diferencia cambio No realizada)</t>
  </si>
  <si>
    <t>CAMBI/2025/11/1649</t>
  </si>
  <si>
    <t>CAMBI/2025/11/1548 (Ajuste diferencia cambio No realizada)</t>
  </si>
  <si>
    <t>CAMBI/2025/11/1548</t>
  </si>
  <si>
    <t>A128787</t>
  </si>
  <si>
    <t>CAMBI/2025/10/2481 (Ajuste diferencia cambio No realizada)</t>
  </si>
  <si>
    <t>CAMBI/2025/10/2481</t>
  </si>
  <si>
    <t>PAPANT/2025/04984 (F F01-00002970)</t>
  </si>
  <si>
    <t>PAPANT/2025/04984</t>
  </si>
  <si>
    <t>Pago de cliente $ 860.00 - GARCIA FIESTAS JOSE AURELIO-10105455629 - 30/10/2025</t>
  </si>
  <si>
    <t>F F01-00002970</t>
  </si>
  <si>
    <t>A113848</t>
  </si>
  <si>
    <t>CAMBI/2025/10/1938 (Ajuste diferencia cambio No realizada)</t>
  </si>
  <si>
    <t>CAMBI/2025/10/1938</t>
  </si>
  <si>
    <t>A121029</t>
  </si>
  <si>
    <t>PAPANT/2025/04334 (F F01-00002539)</t>
  </si>
  <si>
    <t>PAPANT/2025/04334</t>
  </si>
  <si>
    <t>Pago de cliente $ 860.00 - GARCIA FIESTAS JOSE AURELIO-10105455629 - 30/09/2025</t>
  </si>
  <si>
    <t>F F01-00002539</t>
  </si>
  <si>
    <t>A113847</t>
  </si>
  <si>
    <t>CAMBI/2025/09/2074 (Ajuste diferencia cambio No realizada)</t>
  </si>
  <si>
    <t>CAMBI/2025/09/2074</t>
  </si>
  <si>
    <t>CAMBI/2025/09/1961 (EXTORNO DIFERENCIA DE CAMBIO AGOSTO)</t>
  </si>
  <si>
    <t>CAMBI/2025/09/1961</t>
  </si>
  <si>
    <t>EXTORNO DIFERENCIA DE CAMBIO AGOSTO</t>
  </si>
  <si>
    <t>A119725</t>
  </si>
  <si>
    <t>CAMBI/2025/09/1797 (Ajuste diferencia cambio No realizada)</t>
  </si>
  <si>
    <t>CAMBI/2025/09/1797</t>
  </si>
  <si>
    <t>A118927</t>
  </si>
  <si>
    <t>CAMBI/2025/08/2388 (AJUSTE DE DIFERENCIA DE CAMBIO AGOSTO)</t>
  </si>
  <si>
    <t>CAMBI/2025/08/2388</t>
  </si>
  <si>
    <t>AJUSTE DE DIFERENCIA DE CAMBIO AGOSTO</t>
  </si>
  <si>
    <t>CAMBI/2025/08/2378 (Ajuste diferencia cambio No realizada)</t>
  </si>
  <si>
    <t>CAMBI/2025/08/2378</t>
  </si>
  <si>
    <t>PAPANT/2025/03696 (F F01-00002123)</t>
  </si>
  <si>
    <t>PAPANT/2025/03696</t>
  </si>
  <si>
    <t>Pago de cliente $ 860.00 - GARCIA FIESTAS JOSE AURELIO-10105455629 - 26/08/2025</t>
  </si>
  <si>
    <t>F F01-00002123</t>
  </si>
  <si>
    <t>A113846</t>
  </si>
  <si>
    <t>CAMBI/2025/08/1883 (Ajuste diferencia cambio No realizada)</t>
  </si>
  <si>
    <t>CAMBI/2025/08/1883</t>
  </si>
  <si>
    <t>A114311</t>
  </si>
  <si>
    <t>CAMBI/2025/07/1286 (Ajuste diferencia cambio No realizada)</t>
  </si>
  <si>
    <t>CAMBI/2025/07/1286</t>
  </si>
  <si>
    <t>PAPANT/2025/03688 (F F01-00001775)</t>
  </si>
  <si>
    <t>PAPANT/2025/03688</t>
  </si>
  <si>
    <t>Pago de cliente $ 860.00 - GARCIA FIESTAS JOSE AURELIO-10105455629 - 24/07/2025</t>
  </si>
  <si>
    <t>F F01-00001775</t>
  </si>
  <si>
    <t>A113841</t>
  </si>
  <si>
    <t>CAMBI/2025/07/1421 (EXTORNO DIFERENCIA DE CAMBIO JUNIO)</t>
  </si>
  <si>
    <t>CAMBI/2025/07/1421</t>
  </si>
  <si>
    <t>EXTORNO DIFERENCIA DE CAMBIO JUNIO</t>
  </si>
  <si>
    <t>A122050</t>
  </si>
  <si>
    <t>CAMBI/2025/07/1193 (Ajuste diferencia cambio No realizada)</t>
  </si>
  <si>
    <t>CAMBI/2025/07/1193</t>
  </si>
  <si>
    <t>A114443</t>
  </si>
  <si>
    <t>CAMBI/2025/06/2287 (AJUSTE DE DIFERENCIA DE CAMBIO JUNIO)</t>
  </si>
  <si>
    <t>CAMBI/2025/06/2287</t>
  </si>
  <si>
    <t>AJUSTE DE DIFERENCIA DE CAMBIO JUNIO</t>
  </si>
  <si>
    <t>CAMBI/2025/06/2154 (Ajuste diferencia cambio No realizada)</t>
  </si>
  <si>
    <t>CAMBI/2025/06/2154</t>
  </si>
  <si>
    <t>PAPANT/2025/03679 (F F01-00001545)</t>
  </si>
  <si>
    <t>PAPANT/2025/03679</t>
  </si>
  <si>
    <t>Pago de cliente $ 860.00 - GARCIA FIESTAS JOSE AURELIO-10105455629 - 27/06/2025</t>
  </si>
  <si>
    <t>F F01-00001545</t>
  </si>
  <si>
    <t>A113804</t>
  </si>
  <si>
    <t>CAMBI/2025/06/2285 (EXTORNO DE DIFERENCIA DE CAMBIO MAYO)</t>
  </si>
  <si>
    <t>CAMBI/2025/06/2285</t>
  </si>
  <si>
    <t>EXTORNO DE DIFERENCIA DE CAMBIO MAYO</t>
  </si>
  <si>
    <t>A122004</t>
  </si>
  <si>
    <t>CAMBI/2025/06/1914 (Ajuste diferencia cambio No realizada)</t>
  </si>
  <si>
    <t>CAMBI/2025/06/1914</t>
  </si>
  <si>
    <t>A114347</t>
  </si>
  <si>
    <t>CAMBI/2025/05/1306 (AJUSTE DE DIFERENCIA DE CAMBIO MAYO)</t>
  </si>
  <si>
    <t>CAMBI/2025/05/1306</t>
  </si>
  <si>
    <t>AJUSTE DE DIFERENCIA DE CAMBIO MAYO</t>
  </si>
  <si>
    <t>CAMBI/2025/05/1256 (Ajuste diferencia cambio No realizada)</t>
  </si>
  <si>
    <t>CAMBI/2025/05/1256</t>
  </si>
  <si>
    <t>PAPANT/2025/03676 (F F01-00001231)</t>
  </si>
  <si>
    <t>PAPANT/2025/03676</t>
  </si>
  <si>
    <t>Pago de cliente $ 1,720.00 - GARCIA FIESTAS JOSE AURELIO-10105455629 - 28/05/2025</t>
  </si>
  <si>
    <t>F F01-00001231</t>
  </si>
  <si>
    <t>A113840</t>
  </si>
  <si>
    <t>PAPANT/2025/03675 (F F01-00001230)</t>
  </si>
  <si>
    <t>PAPANT/2025/03675</t>
  </si>
  <si>
    <t>Pago de cliente $ 860.00 - GARCIA FIESTAS JOSE AURELIO-10105455629 - 28/05/2025</t>
  </si>
  <si>
    <t>F F01-00001230</t>
  </si>
  <si>
    <t>A113838</t>
  </si>
  <si>
    <t>PAPANT/2025/03670 (F F01-00001034)</t>
  </si>
  <si>
    <t>PAPANT/2025/03670</t>
  </si>
  <si>
    <t>Pago de cliente $ 860.00 - GARCIA FIESTAS JOSE AURELIO-10105455629 - 06/05/2025</t>
  </si>
  <si>
    <t>F F01-00001034</t>
  </si>
  <si>
    <t>A113835</t>
  </si>
  <si>
    <t>CAMBI/2025/05/1308 (EXTORNO DE DIFERENCIA DE CAMBIO ABRIL)</t>
  </si>
  <si>
    <t>CAMBI/2025/05/1308</t>
  </si>
  <si>
    <t>EXTORNO DE DIFERENCIA DE CAMBIO ABRIL</t>
  </si>
  <si>
    <t>A122041</t>
  </si>
  <si>
    <t>CAMBI/2025/05/1006 (Ajuste diferencia cambio No realizada)</t>
  </si>
  <si>
    <t>CAMBI/2025/05/1006</t>
  </si>
  <si>
    <t>A110329</t>
  </si>
  <si>
    <t>CAMBI/2025/04/1687 (AJUSTE DE DIFERENCIA DE CAMBIO ABRIL)</t>
  </si>
  <si>
    <t>CAMBI/2025/04/1687</t>
  </si>
  <si>
    <t>AJUSTE DE DIFERENCIA DE CAMBIO ABRIL</t>
  </si>
  <si>
    <t>CAMBI/2025/04/1651 (Ajuste diferencia cambio No realizada)</t>
  </si>
  <si>
    <t>CAMBI/2025/04/1651</t>
  </si>
  <si>
    <t>CAMBI/2025/04/1685 (EXTORNO DE DIFERENCIA DE CAMBIO MARZO)</t>
  </si>
  <si>
    <t>CAMBI/2025/04/1685</t>
  </si>
  <si>
    <t>EXTORNO DE DIFERENCIA DE CAMBIO MARZO</t>
  </si>
  <si>
    <t>A121996</t>
  </si>
  <si>
    <t>CAMBI/2025/04/1627 (Ajuste diferencia cambio No realizada)</t>
  </si>
  <si>
    <t>CAMBI/2025/04/1627</t>
  </si>
  <si>
    <t>A110328</t>
  </si>
  <si>
    <t>PAPANT/2025/03663 (F F01-00000696)</t>
  </si>
  <si>
    <t>PAPANT/2025/03663</t>
  </si>
  <si>
    <t>Pago de cliente $ 860.00 - GARCIA FIESTAS JOSE AURELIO-10105455629 - 31/03/2025</t>
  </si>
  <si>
    <t>F F01-00000696</t>
  </si>
  <si>
    <t>A113827</t>
  </si>
  <si>
    <t>CAMBI/2025/03/1457 (AJUSTE DE DIFERENCIA DE CAMBIO MARZO)</t>
  </si>
  <si>
    <t>CAMBI/2025/03/1457</t>
  </si>
  <si>
    <t>AJUSTE DE DIFERENCIA DE CAMBIO MARZO</t>
  </si>
  <si>
    <t>CAMBI/2025/03/1398 (Ajuste diferencia cambio No realizada)</t>
  </si>
  <si>
    <t>CAMBI/2025/03/1398</t>
  </si>
  <si>
    <t>CAMBI/2025/03/1459 (EXTORNO DE DIFERENCIA DE CAMBIO FEBRERO)</t>
  </si>
  <si>
    <t>CAMBI/2025/03/1459</t>
  </si>
  <si>
    <t>EXTORNO DE DIFERENCIA DE CAMBIO FEBRERO</t>
  </si>
  <si>
    <t>A122042</t>
  </si>
  <si>
    <t>CAMBI/2025/03/1396 (Ajuste diferencia cambio No realizada)</t>
  </si>
  <si>
    <t>CAMBI/2025/03/1396</t>
  </si>
  <si>
    <t>A96154</t>
  </si>
  <si>
    <t>PAPANT/2025/03654 (F F01-00000377)</t>
  </si>
  <si>
    <t>PAPANT/2025/03654</t>
  </si>
  <si>
    <t>Pago de cliente $ 1,014.80 - GARCIA FIESTAS JOSE AURELIO-10105455629 - 28/02/2025</t>
  </si>
  <si>
    <t>F F01-00000377</t>
  </si>
  <si>
    <t>A113793</t>
  </si>
  <si>
    <t>CAMBI/2025/02/1494 (AJUSTE DE DIFERENCIA DE CAMBIO FEBRERO)</t>
  </si>
  <si>
    <t>CAMBI/2025/02/1494</t>
  </si>
  <si>
    <t>AJUSTE DE DIFERENCIA DE CAMBIO FEBRERO</t>
  </si>
  <si>
    <t>CAMBI/2025/02/1481 (Ajuste diferencia cambio No realizada)</t>
  </si>
  <si>
    <t>CAMBI/2025/02/1481</t>
  </si>
  <si>
    <t>F C01-00000064</t>
  </si>
  <si>
    <t>HANKA OPERADOR LOGISTICO S.A.C.</t>
  </si>
  <si>
    <t>A5344</t>
  </si>
  <si>
    <t>CAMBI/2025/02/0567</t>
  </si>
  <si>
    <t>Diferencia en tipo de cambio de moneda</t>
  </si>
  <si>
    <t>PAPANT/2025/03548 (B B01-00000357)</t>
  </si>
  <si>
    <t>PAPANT/2025/03548</t>
  </si>
  <si>
    <t>TAUCA TORRES, ALAN ARMANDO</t>
  </si>
  <si>
    <t>Pago de cliente $ 6,500.00 - TAUCA TORRES, ALAN ARMANDO - 14/02/2025</t>
  </si>
  <si>
    <t>B B01-00000357</t>
  </si>
  <si>
    <t>A58164</t>
  </si>
  <si>
    <t>CAMBI/2025/02/1480 (Ajuste diferencia cambio No realizada)</t>
  </si>
  <si>
    <t>CAMBI/2025/02/1480</t>
  </si>
  <si>
    <t>A110327</t>
  </si>
  <si>
    <t>CAMBI/2025/01/0583 (Ajuste diferencia cambio No realizada)</t>
  </si>
  <si>
    <t>CAMBI/2025/01/0583</t>
  </si>
  <si>
    <t>B C01-00000002</t>
  </si>
  <si>
    <t>A29921</t>
  </si>
  <si>
    <t>B B01-00000091</t>
  </si>
  <si>
    <t>F010-00026476</t>
  </si>
  <si>
    <t>B010-00006448</t>
  </si>
  <si>
    <t>B010-00006447</t>
  </si>
  <si>
    <t>B010-00006308</t>
  </si>
  <si>
    <t>B010-00006307</t>
  </si>
  <si>
    <t>B010-00006158</t>
  </si>
  <si>
    <t>B010-00006157</t>
  </si>
  <si>
    <t>B010-00005998</t>
  </si>
  <si>
    <t>B010-00005997</t>
  </si>
  <si>
    <t>B010-00005857</t>
  </si>
  <si>
    <t>B010-00005856</t>
  </si>
  <si>
    <t>B010-00005625</t>
  </si>
  <si>
    <t>B010-00005624</t>
  </si>
  <si>
    <t>B010-00005578</t>
  </si>
  <si>
    <t>B010-00005577</t>
  </si>
  <si>
    <t>B010-00005384</t>
  </si>
  <si>
    <t>B010-00005383</t>
  </si>
  <si>
    <t>B010-00005138</t>
  </si>
  <si>
    <t>B010-00005137</t>
  </si>
  <si>
    <t>B010-00005017</t>
  </si>
  <si>
    <t>B010-00005016</t>
  </si>
  <si>
    <t>TC</t>
  </si>
  <si>
    <t>MN</t>
  </si>
  <si>
    <t>1212003 FACTURAS POR COBRAR DEL EXTERIOR (2208)</t>
  </si>
  <si>
    <t>F F15-00000353</t>
  </si>
  <si>
    <t>MONTECO S.A</t>
  </si>
  <si>
    <t>A144647</t>
  </si>
  <si>
    <t>A158608</t>
  </si>
  <si>
    <t>F BILL/2026/03/1846 (APLICACION DE FT MKT COMO SALDO A FAVOR DE [...])</t>
  </si>
  <si>
    <t>F BILL/2026/03/1846</t>
  </si>
  <si>
    <t>MONTECO ANIMAL HEALTH S.A. DE C.V.</t>
  </si>
  <si>
    <t>F F15-00000287</t>
  </si>
  <si>
    <t>APLICACION DE FT MKT COMO SALDO A FAVOR DE FT POR COBRAR DE MONTECO SV</t>
  </si>
  <si>
    <t>CAMBI/2026/03/0903</t>
  </si>
  <si>
    <t>F F15-00000347</t>
  </si>
  <si>
    <t>GLOBALVET</t>
  </si>
  <si>
    <t>PARKER MENDOZA, VANESSA ALEXANDRA</t>
  </si>
  <si>
    <t>F D15-00000043</t>
  </si>
  <si>
    <t>F F15-00000345</t>
  </si>
  <si>
    <t>GRUPO GRANDES ROMAN S.A.</t>
  </si>
  <si>
    <t>E B01-00000324</t>
  </si>
  <si>
    <t>DYNTEC SPOL. S.R.O</t>
  </si>
  <si>
    <t>A158917</t>
  </si>
  <si>
    <t>F F15-00000340</t>
  </si>
  <si>
    <t>A150402</t>
  </si>
  <si>
    <t>F D15-00000042</t>
  </si>
  <si>
    <t>A150403</t>
  </si>
  <si>
    <t>E 001-00000430</t>
  </si>
  <si>
    <t>MILIFAR SHPK</t>
  </si>
  <si>
    <t>E 001-00000425</t>
  </si>
  <si>
    <t>MY PETS VETERINARY CENTER W.L.L</t>
  </si>
  <si>
    <t>CAMBI/2026/02/0132</t>
  </si>
  <si>
    <t>UNIVET S.R.L.</t>
  </si>
  <si>
    <t>BCP02/2025/02147</t>
  </si>
  <si>
    <t>F F15-00000285</t>
  </si>
  <si>
    <t>F F15-00000323</t>
  </si>
  <si>
    <t>GRUPO COMERCIAL MONTECO S.A.</t>
  </si>
  <si>
    <t>A158872</t>
  </si>
  <si>
    <t>F F15-00000320</t>
  </si>
  <si>
    <t>F F15-00000316</t>
  </si>
  <si>
    <t>A143463</t>
  </si>
  <si>
    <t>F C15-00000040</t>
  </si>
  <si>
    <t>CAMBI/2026/01/0975</t>
  </si>
  <si>
    <t>F F15-00000307</t>
  </si>
  <si>
    <t>F F15-00000299</t>
  </si>
  <si>
    <t>F F15-00000297</t>
  </si>
  <si>
    <t>A159297</t>
  </si>
  <si>
    <t>F F15-00000289</t>
  </si>
  <si>
    <t>A158871</t>
  </si>
  <si>
    <t>F F15-00000283</t>
  </si>
  <si>
    <t>CYCLOVET - SARL.</t>
  </si>
  <si>
    <t>A148869</t>
  </si>
  <si>
    <t>F F15-00000282</t>
  </si>
  <si>
    <t>A148868</t>
  </si>
  <si>
    <t>F F15-00000281</t>
  </si>
  <si>
    <t>A148867</t>
  </si>
  <si>
    <t>F F15-00000279</t>
  </si>
  <si>
    <t>F D15-00000036</t>
  </si>
  <si>
    <t>SOCIEDAD NACIONAL PECUARIA S.A.</t>
  </si>
  <si>
    <t>A142982</t>
  </si>
  <si>
    <t>PAPANT/2025/05849 (F D15-00000035)</t>
  </si>
  <si>
    <t>PAPANT/2025/05849</t>
  </si>
  <si>
    <t>BREMER LANKA (PVT) LTD.</t>
  </si>
  <si>
    <t>Pago de cliente $ 600.00 - BREMER LANKA (PVT) LTD. - 23/12/2025</t>
  </si>
  <si>
    <t>F D15-00000035</t>
  </si>
  <si>
    <t>A142959</t>
  </si>
  <si>
    <t>CAMBI/2026/03/0085</t>
  </si>
  <si>
    <t>A142981</t>
  </si>
  <si>
    <t>BCP03/2025/00499</t>
  </si>
  <si>
    <t>F F15-00000280</t>
  </si>
  <si>
    <t>CAMBI/2026/03/0897</t>
  </si>
  <si>
    <t>A145775</t>
  </si>
  <si>
    <t>BCP03/2025/00530</t>
  </si>
  <si>
    <t>F F15-00000296</t>
  </si>
  <si>
    <t>F C15-00000041</t>
  </si>
  <si>
    <t>A145776</t>
  </si>
  <si>
    <t>CAMBI/2026/01/0978</t>
  </si>
  <si>
    <t>F F15-00000313</t>
  </si>
  <si>
    <t>F D15-00000032</t>
  </si>
  <si>
    <t>METROPOLITAN VETERINARY MARKETING CO.L.L.C.</t>
  </si>
  <si>
    <t>CAMBI/2026/03/0923</t>
  </si>
  <si>
    <t>A148186</t>
  </si>
  <si>
    <t>BCP03/2025/00532</t>
  </si>
  <si>
    <t>F F15-00000240</t>
  </si>
  <si>
    <t>MISC/2026/02/0015 (Aplicacion de FT Provedor MT PNM)</t>
  </si>
  <si>
    <t>MISC/2026/02/0015</t>
  </si>
  <si>
    <t>F F15-00000288</t>
  </si>
  <si>
    <t>Aplicacion de FT Provedor MT PNM</t>
  </si>
  <si>
    <t>A152489</t>
  </si>
  <si>
    <t>CAMBI/2026/02/0191</t>
  </si>
  <si>
    <t>A152747</t>
  </si>
  <si>
    <t>CAMBI/2025/11/0943</t>
  </si>
  <si>
    <t>CAMBI/2025/11/0916</t>
  </si>
  <si>
    <t>VYPHAVET CO., LTD.</t>
  </si>
  <si>
    <t>BCP03/2025/00380</t>
  </si>
  <si>
    <t>F F15-00000226</t>
  </si>
  <si>
    <t>BCP02/2025/01715</t>
  </si>
  <si>
    <t>F050-00001585</t>
  </si>
  <si>
    <t>F F15-00000212</t>
  </si>
  <si>
    <t>CAMBI/2025/09/0763</t>
  </si>
  <si>
    <t>BILI AGRO BUSINESS PLC</t>
  </si>
  <si>
    <t>BCP02/2025/01211</t>
  </si>
  <si>
    <t>F D15-00000017</t>
  </si>
  <si>
    <t>F F15-00000117</t>
  </si>
  <si>
    <t>EMPRESA MELO S.A.</t>
  </si>
  <si>
    <t>CAMBI/2025/07/1140</t>
  </si>
  <si>
    <t>BCP02/2025/00964</t>
  </si>
  <si>
    <t>F F15-00000037</t>
  </si>
  <si>
    <t>F F15-00000092</t>
  </si>
  <si>
    <t>BIOVETA A.S.</t>
  </si>
  <si>
    <t>A158432</t>
  </si>
  <si>
    <t>PAPANT/2025/02567 (F F15-00000051)</t>
  </si>
  <si>
    <t>PAPANT/2025/02567</t>
  </si>
  <si>
    <t>Pago de cliente $ 51,956.45 - GRUPO GRANDES ROMAN S.A. - 06/06/2025</t>
  </si>
  <si>
    <t>F F15-00000051</t>
  </si>
  <si>
    <t>F050-00001348</t>
  </si>
  <si>
    <t>VETLINE</t>
  </si>
  <si>
    <t>F050-00000640</t>
  </si>
  <si>
    <t>SEUMEDS LIMITED</t>
  </si>
  <si>
    <t>F010-00000880</t>
  </si>
  <si>
    <t>F010-00000780</t>
  </si>
  <si>
    <t>DERIBAL SOCIEDAD ANONIMA</t>
  </si>
  <si>
    <t>F010-00000503</t>
  </si>
  <si>
    <t>SADIN INTERNATIONAL TRADING CO. L.L.C.</t>
  </si>
  <si>
    <t>F010-00000358</t>
  </si>
  <si>
    <t>F010-00000359</t>
  </si>
  <si>
    <t>BEIJING YI LONG XIANG TECHNOLOGY CO.LTD</t>
  </si>
  <si>
    <t>1220001 ANTICIPOS CLIENTES NACIONAL M.N. (412)</t>
  </si>
  <si>
    <t>BCP01/2025/15559</t>
  </si>
  <si>
    <t>CAMPOS ALONZO ANDRES EDUARDO</t>
  </si>
  <si>
    <t>ABONO</t>
  </si>
  <si>
    <t>A149375</t>
  </si>
  <si>
    <t>BCP01/2025/15501</t>
  </si>
  <si>
    <t>SALDO</t>
  </si>
  <si>
    <t>BCP01/2025/15499</t>
  </si>
  <si>
    <t xml:space="preserve">DE AGRIMEC VET EIRL </t>
  </si>
  <si>
    <t>BBVA1/2025/05541</t>
  </si>
  <si>
    <t>AGROVETERINARIA Y MULTISERVICIOS "DAGA" SOCIEDAD COMERCIAL DE RESPONSABILIDAD LIMITADA</t>
  </si>
  <si>
    <t>BCP01/2025/15370</t>
  </si>
  <si>
    <t>GONZALES MEDINA JOHANNA PATRICIA</t>
  </si>
  <si>
    <t>BCP01/2025/15268</t>
  </si>
  <si>
    <t>ABONO NO IDENTIFICADOS</t>
  </si>
  <si>
    <t>BCP01/2025/15265</t>
  </si>
  <si>
    <t>A144252</t>
  </si>
  <si>
    <t>BBVA1/2025/05284</t>
  </si>
  <si>
    <t>ABONO NO IDENTIFICADO</t>
  </si>
  <si>
    <t>IBK02/2025/03473</t>
  </si>
  <si>
    <t>BCP01/2025/15154</t>
  </si>
  <si>
    <t>BCP01/2025/14815</t>
  </si>
  <si>
    <t>SALDO A FVAOR PE</t>
  </si>
  <si>
    <t>BCP01/2025/14260</t>
  </si>
  <si>
    <t>BCP01/2025/14105</t>
  </si>
  <si>
    <t>Saldo pendiente: S/ 12,909.50</t>
  </si>
  <si>
    <t>BCP01/2025/13699</t>
  </si>
  <si>
    <t>SALDO A FAVOR</t>
  </si>
  <si>
    <t>BCP01/2025/13693</t>
  </si>
  <si>
    <t>SALDO PE</t>
  </si>
  <si>
    <t>BCP01/2025/13593</t>
  </si>
  <si>
    <t>BCP01/2025/13510</t>
  </si>
  <si>
    <t>PETS SHOP LA MOLINA SOCIEDAD ANONIMA CERRADA</t>
  </si>
  <si>
    <t>BBVA1/2025/04579</t>
  </si>
  <si>
    <t>BCP01/2025/13309</t>
  </si>
  <si>
    <t>saldo a favor</t>
  </si>
  <si>
    <t>BCP01/2025/13304</t>
  </si>
  <si>
    <t>saldo a favor por FT F F01-00004319</t>
  </si>
  <si>
    <t>PAPANT/2025/06651 (F F01-00004168)</t>
  </si>
  <si>
    <t>PAPANT/2025/06651</t>
  </si>
  <si>
    <t>Pago de cliente S/ 6,553.18 - AGUIVET S.A.C. - 20/01/2026</t>
  </si>
  <si>
    <t>F F01-00004168</t>
  </si>
  <si>
    <t>BCP01/2025/12997</t>
  </si>
  <si>
    <t>DE AGRIVET E INVERSION SALDO</t>
  </si>
  <si>
    <t>PAPANT/2025/06663 (F F01-00004004)</t>
  </si>
  <si>
    <t>PAPANT/2025/06663</t>
  </si>
  <si>
    <t>Pago de cliente S/ 208.65 - VETERINARIA SAN PABLO E.I.R.L. - 07/01/2026</t>
  </si>
  <si>
    <t>F F01-00004004</t>
  </si>
  <si>
    <t>BCP01/2025/12118</t>
  </si>
  <si>
    <t>GALIANO FRANCO, LESLI GIANINA</t>
  </si>
  <si>
    <t>PAPANT/2025/08273 (B B01-00004471)</t>
  </si>
  <si>
    <t>PAPANT/2025/08273</t>
  </si>
  <si>
    <t>SANCHEZ YEPEZ CARLA STEFANY</t>
  </si>
  <si>
    <t>Pago de cliente S/ 75.00 - SANCHEZ YEPEZ CARLA STEFANY - 01/01/2026</t>
  </si>
  <si>
    <t>B B01-00004471</t>
  </si>
  <si>
    <t>BCP01/2025/11893</t>
  </si>
  <si>
    <t>BCP01/2025/11888</t>
  </si>
  <si>
    <t>BCP01/2025/11770</t>
  </si>
  <si>
    <t>BBVA1/2025/04024</t>
  </si>
  <si>
    <t>BCP01/2025/11310</t>
  </si>
  <si>
    <t>BBVA1/2025/03966</t>
  </si>
  <si>
    <t>VETERINARIA PIURA SOCIEDAD ANONIMA CERRADA</t>
  </si>
  <si>
    <t>BCP01/2025/11285</t>
  </si>
  <si>
    <t>SALDO FT 3651</t>
  </si>
  <si>
    <t>BCP01/2025/11162</t>
  </si>
  <si>
    <t>SALDO A FAVOR PE S10920</t>
  </si>
  <si>
    <t>BCP01/2025/10319</t>
  </si>
  <si>
    <t>BCP01/2025/10162</t>
  </si>
  <si>
    <t>DE AGRO QUIMICA SILVA  SALDO</t>
  </si>
  <si>
    <t>BCP01/2025/09744</t>
  </si>
  <si>
    <t>BCP01/2025/09677</t>
  </si>
  <si>
    <t>Saldo pendiente: S/ 41.95 - TRAN.CTAS.TERC.BM  SALDO A FAVOR</t>
  </si>
  <si>
    <t>BCP01/2025/09576</t>
  </si>
  <si>
    <t>MISTER PET S.A.C.</t>
  </si>
  <si>
    <t>DE MISTER PET SAC - ABONO</t>
  </si>
  <si>
    <t>BCP01/2025/09075</t>
  </si>
  <si>
    <t>COUCOU AMI S.A.C.</t>
  </si>
  <si>
    <t>SALDO A FAVOR PE S08677</t>
  </si>
  <si>
    <t>SCT01/2025/01317</t>
  </si>
  <si>
    <t>ALIAGA HERMOZA RAQUEL REBECA</t>
  </si>
  <si>
    <t>SALDO A  FAVOR PE S08338</t>
  </si>
  <si>
    <t>BCP01/2025/08820</t>
  </si>
  <si>
    <t>PRIVET E.I.R.L. - PRIVET</t>
  </si>
  <si>
    <t>SALDO A FAVOR PE S08194</t>
  </si>
  <si>
    <t>IBK02/2025/02097</t>
  </si>
  <si>
    <t>BCP01/2025/08726</t>
  </si>
  <si>
    <t>FLORES REYNA DE ROMERO YOLANDA ELIZABETH</t>
  </si>
  <si>
    <t>saldo a favor PE S08106</t>
  </si>
  <si>
    <t>BCP01/2025/11715</t>
  </si>
  <si>
    <t>A159468</t>
  </si>
  <si>
    <t>BCP01/2025/08639</t>
  </si>
  <si>
    <t>BCP01/2025/11192</t>
  </si>
  <si>
    <t>BBVA1/2025/03810</t>
  </si>
  <si>
    <t>ABONO NO ID</t>
  </si>
  <si>
    <t>BBVA1/2025/03725</t>
  </si>
  <si>
    <t>BCP01/2025/10433</t>
  </si>
  <si>
    <t>BBVA1/2025/03460</t>
  </si>
  <si>
    <t>BCP01/2025/08431</t>
  </si>
  <si>
    <t>BCP01/2025/08483</t>
  </si>
  <si>
    <t>BBVA1/2025/02681</t>
  </si>
  <si>
    <t>DEP PB 011 N.00007514 DISP 0 ABONO NO ID</t>
  </si>
  <si>
    <t>BNDET/2025/00004</t>
  </si>
  <si>
    <t>NOT.ABON - DETR - NO RECONOCIDA</t>
  </si>
  <si>
    <t>BNDET/2025/00003</t>
  </si>
  <si>
    <t>NOT.ABON - ABONO NO RECONOC</t>
  </si>
  <si>
    <t>BBVA1/2025/00839</t>
  </si>
  <si>
    <t>BBVA1/2025/00618</t>
  </si>
  <si>
    <t>CHRISTIAN ABRAHAM ABARCA - ABONO NO ID.</t>
  </si>
  <si>
    <t>SCT01/2025/00075</t>
  </si>
  <si>
    <t>PAPANT/2025/04977 (F D01-00000177)</t>
  </si>
  <si>
    <t>PAPANT/2025/04977</t>
  </si>
  <si>
    <t>Pago de cliente S/ 17.85 - ACVET PERU E.I.R.L. - 04/09/2025</t>
  </si>
  <si>
    <t>F D01-00000177</t>
  </si>
  <si>
    <t>IBK02/2025/01823</t>
  </si>
  <si>
    <t>SALDO A FAVOR PE S06734</t>
  </si>
  <si>
    <t>BCP01/2025/07528</t>
  </si>
  <si>
    <t>BCP01/2025/07444</t>
  </si>
  <si>
    <t>BBVA1/2025/02501</t>
  </si>
  <si>
    <t>Saldo a favor</t>
  </si>
  <si>
    <t>BBVA1/2025/02309</t>
  </si>
  <si>
    <t>CORPORACION AGROINDUSTRIAL SAN BERNARDO SAC - AGROCORP SAN BERNARDO</t>
  </si>
  <si>
    <t>BCP01/2025/04942</t>
  </si>
  <si>
    <t>ABONO POR IDENTIFICAR A FAVOR</t>
  </si>
  <si>
    <t>IBK02/2025/01209</t>
  </si>
  <si>
    <t>BCP01/2025/04270</t>
  </si>
  <si>
    <t>ESPECIALIDADES VETERINARIAS E.I.R.L.</t>
  </si>
  <si>
    <t>ADELANTO PEDIDO SHARON</t>
  </si>
  <si>
    <t>BCP01/2025/04121</t>
  </si>
  <si>
    <t>PAPANT/2025/02388 (F F01-00001235)</t>
  </si>
  <si>
    <t>PAPANT/2025/02388</t>
  </si>
  <si>
    <t>Pago de cliente S/ 3,613.31 - VETERINARIA SAN PABLO E.I.R.L. - 28/05/2025</t>
  </si>
  <si>
    <t>F F01-00001235</t>
  </si>
  <si>
    <t>BCP01/2025/04078</t>
  </si>
  <si>
    <t>SERVISVET`S EL MINISTER.DE GANADERIA EIR</t>
  </si>
  <si>
    <t>PAPANT/2025/02173 (F F01-00001127)</t>
  </si>
  <si>
    <t>PAPANT/2025/02173</t>
  </si>
  <si>
    <t>Pago de cliente S/ 258.53 - BIOGENESIS PERU E.I.R.L. - 23/05/2025</t>
  </si>
  <si>
    <t>F F01-00001127</t>
  </si>
  <si>
    <t>BCP01/2025/03041</t>
  </si>
  <si>
    <t>saldo a favor del cliente</t>
  </si>
  <si>
    <t>BCP01/2025/02506</t>
  </si>
  <si>
    <t>BCP01/2025/02226</t>
  </si>
  <si>
    <t>SALDO PE 2944</t>
  </si>
  <si>
    <t>BCP01/2025/01890</t>
  </si>
  <si>
    <t>ABONO DE LOS ANDES SIN IDENT</t>
  </si>
  <si>
    <t>IDROGO MEDINA JUAN CARLOS - S01911</t>
  </si>
  <si>
    <t>BCP01/2025/01222</t>
  </si>
  <si>
    <t>AGROVET LOS ANDES ABONO NO IDE.</t>
  </si>
  <si>
    <t>BCP01/2025/01003</t>
  </si>
  <si>
    <t>SALDO DE PE S01221</t>
  </si>
  <si>
    <t>BCP01/2025/00996</t>
  </si>
  <si>
    <t>SALDO PE S01305</t>
  </si>
  <si>
    <t>BCP01/2025/00652</t>
  </si>
  <si>
    <t>HERRERA CASTRO, RICK GOLDER PAULO</t>
  </si>
  <si>
    <t>BCP01/2025/00617</t>
  </si>
  <si>
    <t>SALDO PE S00872</t>
  </si>
  <si>
    <t>BCP01/2025/00090</t>
  </si>
  <si>
    <t>SANTO MARTIN S.A.C.</t>
  </si>
  <si>
    <t xml:space="preserve">Saldo pendiente: S/ 1,347.20 - DE SANTO MARTIN SAC  </t>
  </si>
  <si>
    <t>DAP/2025/01/0003 (SALDOS INICIALES)</t>
  </si>
  <si>
    <t>DAP/2025/01/0003</t>
  </si>
  <si>
    <t>PE 7243</t>
  </si>
  <si>
    <t>SALDOS INICIALES</t>
  </si>
  <si>
    <t>VETERINARIA SULLANA S.R.L.</t>
  </si>
  <si>
    <t>ABONO PE 5547 - VETERINARIA SULLANA</t>
  </si>
  <si>
    <t>NOBLEJAS FLORIDO WENDY GISSELA</t>
  </si>
  <si>
    <t>ABONO PE  5152 - WENDY NOBLEJAS</t>
  </si>
  <si>
    <t>PE 6183</t>
  </si>
  <si>
    <t>AGRONEGOCIOS MUNDO RURAL EMPRESA INDIVIDUAL DE RESPONSABILIDAD LIMITADA</t>
  </si>
  <si>
    <t>PE 2934 AGRONEGOCIOS MUNDO RURAL EMPRESA INDIVIDUA</t>
  </si>
  <si>
    <t>PE 3006</t>
  </si>
  <si>
    <t>PE 7114</t>
  </si>
  <si>
    <t>ABONO DE PROTESTO QUEDO A FAVOR</t>
  </si>
  <si>
    <t>PE 7287</t>
  </si>
  <si>
    <t>PE 2131 AGUIVET S.A.C.</t>
  </si>
  <si>
    <t>PE 6354</t>
  </si>
  <si>
    <t>PE 2898 HUAMANI CONSA YOLANDA</t>
  </si>
  <si>
    <t>PE 6298</t>
  </si>
  <si>
    <t>PE 7180</t>
  </si>
  <si>
    <t>1220002 ANTICIPOS CLIENTES NACIONAL M.E. (4)</t>
  </si>
  <si>
    <t>IBK01/2025/01119</t>
  </si>
  <si>
    <t>OLEA ESTRADA CESAR AUGUSTO</t>
  </si>
  <si>
    <t>ABONO COMPRA DE VEH.</t>
  </si>
  <si>
    <t>A151999</t>
  </si>
  <si>
    <t>1220003 ANTICIPOS CLIENTES DEL EXTERIOR (442)</t>
  </si>
  <si>
    <t>BCP03/2025/00524</t>
  </si>
  <si>
    <t>INVERSIONES MONTECO DE CARTAGO S.A.</t>
  </si>
  <si>
    <t>BCP03/2025/00517</t>
  </si>
  <si>
    <t>GANESHA AGROFARMA</t>
  </si>
  <si>
    <t>BCP03/2025/00515</t>
  </si>
  <si>
    <t>BCP02/2025/02356</t>
  </si>
  <si>
    <t>STICHTING ANIMAL HEALTH MISSION SURINAME (S.A.H.M.S)</t>
  </si>
  <si>
    <t>PAPANT/2025/07168 (F F15-00000333)</t>
  </si>
  <si>
    <t>PAPANT/2025/07168</t>
  </si>
  <si>
    <t>ISV - INSUMOS Y SANIDAD VETERINARIA SRL</t>
  </si>
  <si>
    <t>Pago de cliente $ 45,381.50 - ISV - INSUMOS Y SANIDAD VETERINARIA SRL - 20/02/2026</t>
  </si>
  <si>
    <t>F F15-00000333</t>
  </si>
  <si>
    <t>CAMBI/2026/02/0813</t>
  </si>
  <si>
    <t>CAMBI/2026/02/0812</t>
  </si>
  <si>
    <t>CAMBI/2026/02/0811</t>
  </si>
  <si>
    <t>CAMBI/2026/02/0810</t>
  </si>
  <si>
    <t>BCP03/2025/00495</t>
  </si>
  <si>
    <t>BCP03/2025/00489</t>
  </si>
  <si>
    <t>A150401</t>
  </si>
  <si>
    <t>BCP03/2025/00482</t>
  </si>
  <si>
    <t>BCP03/2025/00480</t>
  </si>
  <si>
    <t>SALDO A AFAVOR</t>
  </si>
  <si>
    <t>BCP03/2025/00476</t>
  </si>
  <si>
    <t>QUALITY CO. FOR VET.MED. TRADE</t>
  </si>
  <si>
    <t>BCP03/2025/00464</t>
  </si>
  <si>
    <t>BCP03/2025/00462</t>
  </si>
  <si>
    <t>MINH HUNG AGRICULTURAL MATERIALS TRADING AND SERVICE CO., LTD.</t>
  </si>
  <si>
    <t>BCP03/2025/00461</t>
  </si>
  <si>
    <t>BCP03/2025/00468</t>
  </si>
  <si>
    <t>AL MASEELA PHARMACEUTICAL COMPANY W.L.L.</t>
  </si>
  <si>
    <t>BCP03/2025/00466</t>
  </si>
  <si>
    <t>PAPANT/2025/06526 (F F15-00000321)</t>
  </si>
  <si>
    <t>PAPANT/2025/06526</t>
  </si>
  <si>
    <t>Pago de cliente $ 54,956.36 - ISV - INSUMOS Y SANIDAD VETERINARIA SRL - 22/01/2026</t>
  </si>
  <si>
    <t>F F15-00000321</t>
  </si>
  <si>
    <t>CAMBI/2026/01/0711</t>
  </si>
  <si>
    <t>CAMBI/2026/01/0710</t>
  </si>
  <si>
    <t>CAMBI/2026/01/0709</t>
  </si>
  <si>
    <t>CAMBI/2026/01/0708</t>
  </si>
  <si>
    <t>CAMBI/2026/01/0707</t>
  </si>
  <si>
    <t>BCP03/2025/00509</t>
  </si>
  <si>
    <t>BCP03/2025/00447</t>
  </si>
  <si>
    <t>BCP03/2025/00438</t>
  </si>
  <si>
    <t>BCP03/2025/00436</t>
  </si>
  <si>
    <t>Incoming payment From 8217725021, I.S.V. INSUMOS Y SANIDAD VETERINAR+ Reference 2026011400320299</t>
  </si>
  <si>
    <t>BCP02/2025/02041</t>
  </si>
  <si>
    <t>DUGGAN VETERINARY</t>
  </si>
  <si>
    <t>PAPANT/2025/06393 (F F15-00000295)</t>
  </si>
  <si>
    <t>PAPANT/2025/06393</t>
  </si>
  <si>
    <t>ARMSTRONG HEALTH CARE INC.</t>
  </si>
  <si>
    <t>Pago de cliente $ 47,562.04 - ARMSTRONG HEALTH CARE INC. - 30/12/2025</t>
  </si>
  <si>
    <t>F F15-00000295</t>
  </si>
  <si>
    <t>CAMBI/2025/12/2043</t>
  </si>
  <si>
    <t>CAMBI/2025/12/2042</t>
  </si>
  <si>
    <t>CAMBI/2025/12/2041</t>
  </si>
  <si>
    <t>BCP03/2025/00434</t>
  </si>
  <si>
    <t>saldo a favor final al 13.01.26</t>
  </si>
  <si>
    <t>BCP02/2025/01941</t>
  </si>
  <si>
    <t>AL FIAFY FOR VETERINARY CARE</t>
  </si>
  <si>
    <t>saldo a favor al dia 13.01</t>
  </si>
  <si>
    <t>PAPANT/2025/05847 (F F15-00000270)</t>
  </si>
  <si>
    <t>PAPANT/2025/05847</t>
  </si>
  <si>
    <t>Pago de cliente $ 102,175.92 - GANESHA AGROFARMA - 23/12/2025</t>
  </si>
  <si>
    <t>F F15-00000270</t>
  </si>
  <si>
    <t>CAMBI/2025/12/0807</t>
  </si>
  <si>
    <t>CAMBI/2025/12/0806</t>
  </si>
  <si>
    <t>CAMBI/2025/12/0805</t>
  </si>
  <si>
    <t>CAMBI/2025/12/0804</t>
  </si>
  <si>
    <t>CAMBI/2025/12/0803</t>
  </si>
  <si>
    <t>SCT02/2025/00923</t>
  </si>
  <si>
    <t>VETERMEX ANIMAL HEALTH HONDURAS SA</t>
  </si>
  <si>
    <t>BCP03/2025/00424</t>
  </si>
  <si>
    <t>PAPANT/2025/05593 (F D15-00000034)</t>
  </si>
  <si>
    <t>PAPANT/2025/05593</t>
  </si>
  <si>
    <t>Pago de cliente $ 750.00 - STICHTING ANIMAL HEALTH MISSION SURINAME (S.A.H.M.S) - 16/12/2025</t>
  </si>
  <si>
    <t>F D15-00000034</t>
  </si>
  <si>
    <t>PAPANT/2025/05592 (F F15-00000261)</t>
  </si>
  <si>
    <t>PAPANT/2025/05592</t>
  </si>
  <si>
    <t>Pago de cliente $ 15,844.51 - STICHTING ANIMAL HEALTH MISSION SURINAME (S.A.H.M.S) - 16/12/2025</t>
  </si>
  <si>
    <t>F F15-00000261</t>
  </si>
  <si>
    <t>CAMBI/2025/12/0532</t>
  </si>
  <si>
    <t>CAMBI/2025/12/0531</t>
  </si>
  <si>
    <t>CAMBI/2025/12/0530</t>
  </si>
  <si>
    <t>BCP02/2025/01841</t>
  </si>
  <si>
    <t>PAPANT/2025/05504 (F F15-00000256)</t>
  </si>
  <si>
    <t>PAPANT/2025/05504</t>
  </si>
  <si>
    <t>Pago de cliente $ 46,406.75 - GANESHA AGROFARMA - 11/12/2025</t>
  </si>
  <si>
    <t>F F15-00000256</t>
  </si>
  <si>
    <t>CAMBI/2025/12/0378</t>
  </si>
  <si>
    <t>CAMBI/2025/12/0377</t>
  </si>
  <si>
    <t>CAMBI/2025/12/0376</t>
  </si>
  <si>
    <t>BCP03/2025/00408</t>
  </si>
  <si>
    <t>BCP03/2025/00397</t>
  </si>
  <si>
    <t>BCP03/2025/00386</t>
  </si>
  <si>
    <t>PAPANT/2025/05065 (F F15-00000199)</t>
  </si>
  <si>
    <t>PAPANT/2025/05065</t>
  </si>
  <si>
    <t>Pago de cliente $ 5.00 - ISV - INSUMOS Y SANIDAD VETERINARIA SRL - 07/11/2025</t>
  </si>
  <si>
    <t>F F15-00000199</t>
  </si>
  <si>
    <t>PAPANT/2025/05064 (F F15-00000208)</t>
  </si>
  <si>
    <t>PAPANT/2025/05064</t>
  </si>
  <si>
    <t>Pago de cliente $ 60.00 - ISV - INSUMOS Y SANIDAD VETERINARIA SRL - 07/11/2025</t>
  </si>
  <si>
    <t>F F15-00000208</t>
  </si>
  <si>
    <t>CAMBI/2025/11/0739</t>
  </si>
  <si>
    <t>BCP03/2025/00364</t>
  </si>
  <si>
    <t>BCP02/2025/01571</t>
  </si>
  <si>
    <t>AL SALWA GOLD PROJECTS JOINT PARTNERSHIP</t>
  </si>
  <si>
    <t>PAPANT/2025/04750 (F F15-00000209)</t>
  </si>
  <si>
    <t>PAPANT/2025/04750</t>
  </si>
  <si>
    <t>Pago de cliente $ 80,942.19 - QUALITY CO. FOR VET.MED. TRADE - 16/10/2025</t>
  </si>
  <si>
    <t>F F15-00000209</t>
  </si>
  <si>
    <t>CAMBI/2025/10/1220</t>
  </si>
  <si>
    <t>PAPANT/2025/04530 (F F15-00000200)</t>
  </si>
  <si>
    <t>PAPANT/2025/04530</t>
  </si>
  <si>
    <t>Pago de cliente $ 44,119.14 - ARMSTRONG HEALTH CARE INC. - 10/10/2025</t>
  </si>
  <si>
    <t>F F15-00000200</t>
  </si>
  <si>
    <t>CAMBI/2025/10/0634</t>
  </si>
  <si>
    <t>CAMBI/2025/10/0633</t>
  </si>
  <si>
    <t>PAPANT/2025/07945 (F F15-00000348)</t>
  </si>
  <si>
    <t>PAPANT/2025/07945</t>
  </si>
  <si>
    <t>BAROVET CO., LTD.</t>
  </si>
  <si>
    <t>Pago de cliente $ 30,164.40 - BAROVET CO., LTD. - 19/03/2026</t>
  </si>
  <si>
    <t>F F15-00000348</t>
  </si>
  <si>
    <t>A142946</t>
  </si>
  <si>
    <t>CAMBI/2026/03/0632</t>
  </si>
  <si>
    <t>CAMBI/2026/03/0631</t>
  </si>
  <si>
    <t>CAMBI/2026/03/0630</t>
  </si>
  <si>
    <t>BCP03/2025/00519</t>
  </si>
  <si>
    <t>BCP03/2025/00428</t>
  </si>
  <si>
    <t>BCP03/2025/00378</t>
  </si>
  <si>
    <t>BCP03/2025/00267</t>
  </si>
  <si>
    <t>Saldo a FAVOR</t>
  </si>
  <si>
    <t>BCP03/2025/00252</t>
  </si>
  <si>
    <t>MULTIPLE CHOICE FOR GENERAL TRADING</t>
  </si>
  <si>
    <t>Saldo a Favor</t>
  </si>
  <si>
    <t>BCP03/2025/00245</t>
  </si>
  <si>
    <t>BCP02/2025/01308</t>
  </si>
  <si>
    <t>BCP03/2025/00234</t>
  </si>
  <si>
    <t>PAPANT/2025/03922 (F F15-00000156)</t>
  </si>
  <si>
    <t>PAPANT/2025/03922</t>
  </si>
  <si>
    <t>Pago de cliente $ 43,776.00 - GANESHA AGROFARMA - 01/09/2025</t>
  </si>
  <si>
    <t>F F15-00000156</t>
  </si>
  <si>
    <t>CAMBI/2025/09/0144</t>
  </si>
  <si>
    <t>CAMBI/2025/09/0143</t>
  </si>
  <si>
    <t>CAMBI/2025/09/0142</t>
  </si>
  <si>
    <t>BCP03/2025/00201</t>
  </si>
  <si>
    <t>Saldo a favor Ganesha</t>
  </si>
  <si>
    <t>BCP03/2025/00192</t>
  </si>
  <si>
    <t>PAPANT/2025/03520 (F F15-00000137)</t>
  </si>
  <si>
    <t>PAPANT/2025/03520</t>
  </si>
  <si>
    <t>Pago de cliente $ 42,944.94 - GANESHA AGROFARMA - 20/08/2025</t>
  </si>
  <si>
    <t>F F15-00000137</t>
  </si>
  <si>
    <t>CAMBI/2025/08/0602</t>
  </si>
  <si>
    <t>CAMBI/2025/08/0601</t>
  </si>
  <si>
    <t>CAMBI/2025/08/0600</t>
  </si>
  <si>
    <t>BCP03/2025/00186</t>
  </si>
  <si>
    <t>BCP03/2025/00179</t>
  </si>
  <si>
    <t>Saldo a Favor S05602</t>
  </si>
  <si>
    <t>BCP03/2025/00164</t>
  </si>
  <si>
    <t>BCP03/2025/00155</t>
  </si>
  <si>
    <t>Saldo a favor de Ganesha enviada por Brama</t>
  </si>
  <si>
    <t>BCP03/2025/00107</t>
  </si>
  <si>
    <t>PAPANT/2025/02123 (F F15-00000039)</t>
  </si>
  <si>
    <t>PAPANT/2025/02123</t>
  </si>
  <si>
    <t>Pago de cliente $ 37,224.04 - GANESHA AGROFARMA - 16/05/2025</t>
  </si>
  <si>
    <t>F F15-00000039</t>
  </si>
  <si>
    <t>CAMBI/2025/05/0361</t>
  </si>
  <si>
    <t>CAMBI/2025/05/0360</t>
  </si>
  <si>
    <t>CAMBI/2025/05/0359</t>
  </si>
  <si>
    <t>BCP03/2025/00091</t>
  </si>
  <si>
    <t>Saldo a favor del cliente para su prox pedido</t>
  </si>
  <si>
    <t>PAPANT/2025/02357 (F D15-00000012)</t>
  </si>
  <si>
    <t>PAPANT/2025/02357</t>
  </si>
  <si>
    <t>Pago de cliente $ 500.00 - ARMSTRONG HEALTH CARE INC. - 06/05/2025</t>
  </si>
  <si>
    <t>F D15-00000012</t>
  </si>
  <si>
    <t>PAPANT/2025/02356 (F F15-00000034)</t>
  </si>
  <si>
    <t>PAPANT/2025/02356</t>
  </si>
  <si>
    <t>Pago de cliente $ 15,144.42 - ARMSTRONG HEALTH CARE INC. - 06/05/2025</t>
  </si>
  <si>
    <t>F F15-00000034</t>
  </si>
  <si>
    <t>CAMBI/2025/05/0653</t>
  </si>
  <si>
    <t>CAMBI/2025/05/0652</t>
  </si>
  <si>
    <t>BCP03/2025/00087</t>
  </si>
  <si>
    <t>SALDO A FAVOR DEL CLIENTE</t>
  </si>
  <si>
    <t>BCP03/2025/00039</t>
  </si>
  <si>
    <t>Pago PF XX</t>
  </si>
  <si>
    <t>BCP03/2025/00031</t>
  </si>
  <si>
    <t>PAPANT/2025/00023 (E001-158)</t>
  </si>
  <si>
    <t>PAPANT/2025/00023</t>
  </si>
  <si>
    <t>Pago de cliente $ 9,423.05 - GANESHA AGROFARMA - 09/01/2025</t>
  </si>
  <si>
    <t>E001-158</t>
  </si>
  <si>
    <t>CAMBI/2025/01/0141</t>
  </si>
  <si>
    <t>CAMBI/2025/01/0140</t>
  </si>
  <si>
    <t>BCP03/2025/00008</t>
  </si>
  <si>
    <t>Abono PF 2025</t>
  </si>
  <si>
    <t>BCP03/2025/00006</t>
  </si>
  <si>
    <t>Abono PF 258 - 2024</t>
  </si>
  <si>
    <t>DAP/2025/01/0004 (SALDOS INICIALES)</t>
  </si>
  <si>
    <t>DAP/2025/01/0004</t>
  </si>
  <si>
    <t>PF 226 - 2024</t>
  </si>
  <si>
    <t>THREE STAR LIMITED</t>
  </si>
  <si>
    <t>PF 006 - 2021 ?</t>
  </si>
  <si>
    <t>SPIROCO S.A.R.L (PHARMACY BIKFAYA)</t>
  </si>
  <si>
    <t>CANCELACIÓN PROF. 058-2016 - SPIROCO</t>
  </si>
  <si>
    <t>ANICHEM PHARMACY</t>
  </si>
  <si>
    <t>ANT - PF 146 -2019 ANICHEM</t>
  </si>
  <si>
    <t>DISTRIBUIDORA REGIONAL SALVADOREÑA S.A. DE C.V.</t>
  </si>
  <si>
    <t>PF - 061-2020</t>
  </si>
  <si>
    <t>INNOVACIONES PECUARIAS S.A. DE C.V.</t>
  </si>
  <si>
    <t>PF 007-2024</t>
  </si>
  <si>
    <t>CORPORACION FESA S.A.</t>
  </si>
  <si>
    <t>PF - 059 -2020</t>
  </si>
  <si>
    <t>SUPERIORVET, INC.</t>
  </si>
  <si>
    <t>ANT 1 - PF 126 - 2019</t>
  </si>
  <si>
    <t>ANIMAL HOSPITAL</t>
  </si>
  <si>
    <t>ANTICIPO PF</t>
  </si>
  <si>
    <t>IRELAND BLYTH LIMITED(HEALTHACTIV)</t>
  </si>
  <si>
    <t>ANT PROF 007-2014 HEALTACTIVE ZC746795</t>
  </si>
  <si>
    <t>ANTICIPO PF 084-2019</t>
  </si>
  <si>
    <t>SARAH AL SHARQ AL ASRIYA COMPANY</t>
  </si>
  <si>
    <t>PF 101-2018</t>
  </si>
  <si>
    <t>PETLINE ANIMALCARE LTD.</t>
  </si>
  <si>
    <t>ANTICIPO PF 007-19 1er pago</t>
  </si>
  <si>
    <t>AZVET</t>
  </si>
  <si>
    <t>PF - 011 - 2021</t>
  </si>
  <si>
    <t>1220004 ANTICIPOS VENTA DE DEPARTAMENTO PROY SB (173)</t>
  </si>
  <si>
    <t>BBVA1/2025/05050</t>
  </si>
  <si>
    <t>SB</t>
  </si>
  <si>
    <t>BBVA1/2025/05048</t>
  </si>
  <si>
    <t>BBVA1/2025/04988</t>
  </si>
  <si>
    <t>BBVA1/2025/04868</t>
  </si>
  <si>
    <t>BBVA1/2025/04866</t>
  </si>
  <si>
    <t>PAPANT/2025/07036 (B B01-00006585)</t>
  </si>
  <si>
    <t>PAPANT/2025/07036</t>
  </si>
  <si>
    <t>Pago de cliente S/ 1,327.35 - MARROQUIN CARBAJAL, ALEJANDRA - 20/02/2026</t>
  </si>
  <si>
    <t>B B01-00006585</t>
  </si>
  <si>
    <t>A126210</t>
  </si>
  <si>
    <t>PAPANT/2025/07035 (B B01-00006584)</t>
  </si>
  <si>
    <t>PAPANT/2025/07035</t>
  </si>
  <si>
    <t>Pago de cliente S/ 1,889.53 - DEXTRE BAZALAR, RICARDO - 20/02/2026</t>
  </si>
  <si>
    <t>B B01-00006584</t>
  </si>
  <si>
    <t>PAPANT/2025/07034 (B B01-00006583)</t>
  </si>
  <si>
    <t>PAPANT/2025/07034</t>
  </si>
  <si>
    <t>Pago de cliente S/ 1,815.29 - MARROQUIN CARBAJAL, ALEJANDRA - 20/02/2026</t>
  </si>
  <si>
    <t>B B01-00006583</t>
  </si>
  <si>
    <t>PAPANT/2025/07033 (B B01-00006581)</t>
  </si>
  <si>
    <t>PAPANT/2025/07033</t>
  </si>
  <si>
    <t>Pago de cliente S/ 1,327.38 - MARROQUIN CARBAJAL, ALEJANDRA - 20/02/2026</t>
  </si>
  <si>
    <t>B B01-00006581</t>
  </si>
  <si>
    <t>PAPANT/2025/07032 (B B01-00006580)</t>
  </si>
  <si>
    <t>PAPANT/2025/07032</t>
  </si>
  <si>
    <t>Pago de cliente S/ 972.91 - MARROQUIN CARBAJAL, ALEJANDRA - 20/02/2026</t>
  </si>
  <si>
    <t>B B01-00006580</t>
  </si>
  <si>
    <t>PAPANT/2025/07031 (B B01-00006575)</t>
  </si>
  <si>
    <t>PAPANT/2025/07031</t>
  </si>
  <si>
    <t>Pago de cliente S/ 3,268.29 - MARROQUIN CARBAJAL, ALEJANDRA - 20/02/2026</t>
  </si>
  <si>
    <t>B B01-00006575</t>
  </si>
  <si>
    <t>PAPANT/2025/07030 (B B01-00006573)</t>
  </si>
  <si>
    <t>PAPANT/2025/07030</t>
  </si>
  <si>
    <t>REYES LOPEZ, GIANIRA GLADYS DEL CARMEN</t>
  </si>
  <si>
    <t>Pago de cliente S/ 1,327.38 - REYES LOPEZ, GIANIRA GLADYS DEL CARMEN - 20/02/2026</t>
  </si>
  <si>
    <t>B B01-00006573</t>
  </si>
  <si>
    <t>PAPANT/2025/07029 (B B01-00006576)</t>
  </si>
  <si>
    <t>PAPANT/2025/07029</t>
  </si>
  <si>
    <t>Pago de cliente S/ 5,325.62 - MARROQUIN CARBAJAL, ALEJANDRA - 20/02/2026</t>
  </si>
  <si>
    <t>B B01-00006576</t>
  </si>
  <si>
    <t>PAPANT/2025/07028 (B B01-00006574)</t>
  </si>
  <si>
    <t>PAPANT/2025/07028</t>
  </si>
  <si>
    <t>Pago de cliente S/ 3,204.67 - MARROQUIN CARBAJAL, ALEJANDRA - 20/02/2026</t>
  </si>
  <si>
    <t>B B01-00006574</t>
  </si>
  <si>
    <t>PAPANT/2025/07027 (B B01-00006582)</t>
  </si>
  <si>
    <t>PAPANT/2025/07027</t>
  </si>
  <si>
    <t>AYULO CRIBILLERO, CESAR KELVIN</t>
  </si>
  <si>
    <t>Pago de cliente S/ 1,929.11 - AYULO CRIBILLERO, CESAR KELVIN - 20/02/2026</t>
  </si>
  <si>
    <t>B B01-00006582</t>
  </si>
  <si>
    <t>PAPANT/2025/07026 (B B01-00006577)</t>
  </si>
  <si>
    <t>PAPANT/2025/07026</t>
  </si>
  <si>
    <t>Pago de cliente S/ 3,032.98 - MARROQUIN CARBAJAL, ALEJANDRA - 20/02/2026</t>
  </si>
  <si>
    <t>B B01-00006577</t>
  </si>
  <si>
    <t>PAPANT/2025/07025 (B B01-00006579)</t>
  </si>
  <si>
    <t>PAPANT/2025/07025</t>
  </si>
  <si>
    <t>Pago de cliente S/ 1,777.36 - MARROQUIN CARBAJAL, ALEJANDRA - 20/02/2026</t>
  </si>
  <si>
    <t>B B01-00006579</t>
  </si>
  <si>
    <t>PAPANT/2025/07024 (B B01-00006578)</t>
  </si>
  <si>
    <t>PAPANT/2025/07024</t>
  </si>
  <si>
    <t>Pago de cliente S/ 1,754.62 - MARROQUIN CARBAJAL, ALEJANDRA - 20/02/2026</t>
  </si>
  <si>
    <t>B B01-00006578</t>
  </si>
  <si>
    <t>PAPANT/2025/07023 (B B01-00006572)</t>
  </si>
  <si>
    <t>PAPANT/2025/07023</t>
  </si>
  <si>
    <t>Pago de cliente S/ 1,815.30 - MARROQUIN CARBAJAL, ALEJANDRA - 20/02/2026</t>
  </si>
  <si>
    <t>B B01-00006572</t>
  </si>
  <si>
    <t>PAPANT/2025/07022 (B B01-00006620)</t>
  </si>
  <si>
    <t>PAPANT/2025/07022</t>
  </si>
  <si>
    <t>Pago de cliente S/ 1,224.72 - MARROQUIN CARBAJAL, ALEJANDRA - 20/02/2026</t>
  </si>
  <si>
    <t>B B01-00006620</t>
  </si>
  <si>
    <t>PAPANT/2025/07021 (B B01-00006621)</t>
  </si>
  <si>
    <t>PAPANT/2025/07021</t>
  </si>
  <si>
    <t>Pago de cliente S/ 1,927.47 - MARROQUIN CARBAJAL, ALEJANDRA - 20/02/2026</t>
  </si>
  <si>
    <t>B B01-00006621</t>
  </si>
  <si>
    <t>PAPANT/2025/07020 (B B01-00006619)</t>
  </si>
  <si>
    <t>PAPANT/2025/07020</t>
  </si>
  <si>
    <t>Pago de cliente S/ 1,070.66 - MARROQUIN CARBAJAL, ALEJANDRA - 20/02/2026</t>
  </si>
  <si>
    <t>B B01-00006619</t>
  </si>
  <si>
    <t>PAPANT/2025/07019 (B B01-00006622)</t>
  </si>
  <si>
    <t>PAPANT/2025/07019</t>
  </si>
  <si>
    <t>Pago de cliente S/ 1,528.50 - MARROQUIN CARBAJAL, ALEJANDRA - 20/02/2026</t>
  </si>
  <si>
    <t>B B01-00006622</t>
  </si>
  <si>
    <t>PAPANT/2025/07018 (B B01-00006618)</t>
  </si>
  <si>
    <t>PAPANT/2025/07018</t>
  </si>
  <si>
    <t>Pago de cliente S/ 5,720.80 - MARROQUIN CARBAJAL, ALEJANDRA - 20/02/2026</t>
  </si>
  <si>
    <t>B B01-00006618</t>
  </si>
  <si>
    <t>PAPANT/2025/07017 (B B01-00006636)</t>
  </si>
  <si>
    <t>PAPANT/2025/07017</t>
  </si>
  <si>
    <t>Pago de cliente S/ 1,327.36 - MARROQUIN CARBAJAL, ALEJANDRA - 20/02/2026</t>
  </si>
  <si>
    <t>B B01-00006636</t>
  </si>
  <si>
    <t>PAPANT/2025/07016 (B B01-00006635)</t>
  </si>
  <si>
    <t>PAPANT/2025/07016</t>
  </si>
  <si>
    <t>Pago de cliente S/ 972.92 - MARROQUIN CARBAJAL, ALEJANDRA - 20/02/2026</t>
  </si>
  <si>
    <t>B B01-00006635</t>
  </si>
  <si>
    <t>PAPANT/2025/07015 (B B01-00006632)</t>
  </si>
  <si>
    <t>PAPANT/2025/07015</t>
  </si>
  <si>
    <t>Pago de cliente S/ 1,815.28 - MARROQUIN CARBAJAL, ALEJANDRA - 20/02/2026</t>
  </si>
  <si>
    <t>B B01-00006632</t>
  </si>
  <si>
    <t>PAPANT/2025/07014 (B B01-00006634)</t>
  </si>
  <si>
    <t>PAPANT/2025/07014</t>
  </si>
  <si>
    <t>B B01-00006634</t>
  </si>
  <si>
    <t>PAPANT/2025/07013 (B B01-00006631)</t>
  </si>
  <si>
    <t>PAPANT/2025/07013</t>
  </si>
  <si>
    <t>Pago de cliente S/ 1,528.52 - MARROQUIN CARBAJAL, ALEJANDRA - 20/02/2026</t>
  </si>
  <si>
    <t>B B01-00006631</t>
  </si>
  <si>
    <t>PAPANT/2025/07012 (B B01-00006633)</t>
  </si>
  <si>
    <t>PAPANT/2025/07012</t>
  </si>
  <si>
    <t>TELLES GONZALES, CLAUDIA GABRIELA</t>
  </si>
  <si>
    <t>Pago de cliente S/ 3,204.69 - TELLES GONZALES, CLAUDIA GABRIELA - 20/02/2026</t>
  </si>
  <si>
    <t>B B01-00006633</t>
  </si>
  <si>
    <t>PAPANT/2025/07011 (B B01-00006630)</t>
  </si>
  <si>
    <t>PAPANT/2025/07011</t>
  </si>
  <si>
    <t>Pago de cliente S/ 1,441.80 - MARROQUIN CARBAJAL, ALEJANDRA - 20/02/2026</t>
  </si>
  <si>
    <t>B B01-00006630</t>
  </si>
  <si>
    <t>PAPANT/2025/07010 (B B01-00006629)</t>
  </si>
  <si>
    <t>PAPANT/2025/07010</t>
  </si>
  <si>
    <t>Pago de cliente S/ 972.93 - MARROQUIN CARBAJAL, ALEJANDRA - 20/02/2026</t>
  </si>
  <si>
    <t>B B01-00006629</t>
  </si>
  <si>
    <t>PAPANT/2025/07009 (B B01-00006628)</t>
  </si>
  <si>
    <t>PAPANT/2025/07009</t>
  </si>
  <si>
    <t>Pago de cliente S/ 1,185.12 - MARROQUIN CARBAJAL, ALEJANDRA - 20/02/2026</t>
  </si>
  <si>
    <t>B B01-00006628</t>
  </si>
  <si>
    <t>PAPANT/2025/07008 (B B01-00006627)</t>
  </si>
  <si>
    <t>PAPANT/2025/07008</t>
  </si>
  <si>
    <t>Pago de cliente S/ 469.29 - MARROQUIN CARBAJAL, ALEJANDRA - 20/02/2026</t>
  </si>
  <si>
    <t>B B01-00006627</t>
  </si>
  <si>
    <t>PAPANT/2025/07007 (B B01-00006626)</t>
  </si>
  <si>
    <t>PAPANT/2025/07007</t>
  </si>
  <si>
    <t>Pago de cliente S/ 2,806.34 - MARROQUIN CARBAJAL, ALEJANDRA - 20/02/2026</t>
  </si>
  <si>
    <t>B B01-00006626</t>
  </si>
  <si>
    <t>PAPANT/2025/07006 (B B01-00006623)</t>
  </si>
  <si>
    <t>PAPANT/2025/07006</t>
  </si>
  <si>
    <t>Pago de cliente S/ 3,032.99 - MARROQUIN CARBAJAL, ALEJANDRA - 20/02/2026</t>
  </si>
  <si>
    <t>B B01-00006623</t>
  </si>
  <si>
    <t>PAPANT/2025/07005 (B B01-00006624)</t>
  </si>
  <si>
    <t>PAPANT/2025/07005</t>
  </si>
  <si>
    <t>Pago de cliente S/ 1,156.84 - MARROQUIN CARBAJAL, ALEJANDRA - 20/02/2026</t>
  </si>
  <si>
    <t>B B01-00006624</t>
  </si>
  <si>
    <t>PAPANT/2025/07004 (B B01-00006625)</t>
  </si>
  <si>
    <t>PAPANT/2025/07004</t>
  </si>
  <si>
    <t>B B01-00006625</t>
  </si>
  <si>
    <t>PAPANT/2025/07003 (B B01-00006637)</t>
  </si>
  <si>
    <t>PAPANT/2025/07003</t>
  </si>
  <si>
    <t>PINEDA REATEGUI, DOMINICK JOAQUIN</t>
  </si>
  <si>
    <t>Pago de cliente S/ 1,070.66 - PINEDA REATEGUI, DOMINICK JOAQUIN - 20/02/2026</t>
  </si>
  <si>
    <t>B B01-00006637</t>
  </si>
  <si>
    <t>BBVA1/2025/04865</t>
  </si>
  <si>
    <t>BBVA1/2025/04916</t>
  </si>
  <si>
    <t>BBVA1/2025/04915</t>
  </si>
  <si>
    <t>BBVA1/2025/04831</t>
  </si>
  <si>
    <t>BBVA1/2025/04829</t>
  </si>
  <si>
    <t>BBVA1/2025/04826</t>
  </si>
  <si>
    <t>BBVA1/2025/04803</t>
  </si>
  <si>
    <t>BBVA1/2025/04761</t>
  </si>
  <si>
    <t>BBVA1/2025/04752</t>
  </si>
  <si>
    <t>BBVA1/2025/04751</t>
  </si>
  <si>
    <t>BBVA1/2025/04726</t>
  </si>
  <si>
    <t>BBVA1/2025/04694</t>
  </si>
  <si>
    <t>BBVA1/2025/04656</t>
  </si>
  <si>
    <t>BBVA1/2025/04616</t>
  </si>
  <si>
    <t>BBVA1/2025/04613</t>
  </si>
  <si>
    <t>ABONO INMEDIATO 922 LOCALPA</t>
  </si>
  <si>
    <t>BBVA1/2025/04609</t>
  </si>
  <si>
    <t>BBVA1/2025/04518</t>
  </si>
  <si>
    <t>BBVA1/2025/04496</t>
  </si>
  <si>
    <t>BBVA1/2025/04479</t>
  </si>
  <si>
    <t>BBVA1/2025/04429</t>
  </si>
  <si>
    <t>BBVA1/2025/04450</t>
  </si>
  <si>
    <t>BBVA1/2025/04448</t>
  </si>
  <si>
    <t>BBVA1/2025/04361</t>
  </si>
  <si>
    <t>BBVA1/2025/04318</t>
  </si>
  <si>
    <t>BBVA1/2025/04315</t>
  </si>
  <si>
    <t>BBVA1/2025/04296</t>
  </si>
  <si>
    <t>BBVA1/2025/04248</t>
  </si>
  <si>
    <t>BBVA1/2025/04210</t>
  </si>
  <si>
    <t>BBVA1/2025/04208</t>
  </si>
  <si>
    <t>BBVA1/2025/04140</t>
  </si>
  <si>
    <t>BBVA1/2025/04112</t>
  </si>
  <si>
    <t>BBVA1/2025/03891</t>
  </si>
  <si>
    <t>BBVA1/2025/03889</t>
  </si>
  <si>
    <t>PAPANT/2025/02275 (B B01-00001822)</t>
  </si>
  <si>
    <t>PAPANT/2025/02275</t>
  </si>
  <si>
    <t>Pago de cliente S/ 1,708.40 - MARROQUIN CARBAJAL, ALEJANDRA - 29/05/2025</t>
  </si>
  <si>
    <t>B B01-00001822</t>
  </si>
  <si>
    <t>A31591</t>
  </si>
  <si>
    <t>PAPANT/2025/02274 (B B01-00001818)</t>
  </si>
  <si>
    <t>PAPANT/2025/02274</t>
  </si>
  <si>
    <t>Pago de cliente S/ 862.50 - MARROQUIN CARBAJAL, ALEJANDRA - 29/05/2025</t>
  </si>
  <si>
    <t>B B01-00001818</t>
  </si>
  <si>
    <t>PAPANT/2025/02290 (B B01-00001812)</t>
  </si>
  <si>
    <t>PAPANT/2025/02290</t>
  </si>
  <si>
    <t>DELFIN BEIZAGA, ALAN GABRIEL DARIO</t>
  </si>
  <si>
    <t>Pago de cliente S/ 1,277.51 - DELFIN BEIZAGA, ALAN GABRIEL DARIO - 28/05/2025</t>
  </si>
  <si>
    <t>B B01-00001812</t>
  </si>
  <si>
    <t>A57839</t>
  </si>
  <si>
    <t>PAPANT/2025/02289 (B B01-00001832)</t>
  </si>
  <si>
    <t>PAPANT/2025/02289</t>
  </si>
  <si>
    <t>LIMACO GARCIA, ASTRID KAROLYN</t>
  </si>
  <si>
    <t>Pago de cliente S/ 1,362.25 - LIMACO GARCIA, ASTRID KAROLYN - 28/05/2025</t>
  </si>
  <si>
    <t>B B01-00001832</t>
  </si>
  <si>
    <t>A31623</t>
  </si>
  <si>
    <t>PAPANT/2025/02288 (B B01-00001851)</t>
  </si>
  <si>
    <t>PAPANT/2025/02288</t>
  </si>
  <si>
    <t>VARGAS RUIZ, DAVID RICARDO NICOLAS</t>
  </si>
  <si>
    <t>Pago de cliente S/ 1,326.02 - VARGAS RUIZ, DAVID RICARDO NICOLAS - 28/05/2025</t>
  </si>
  <si>
    <t>B B01-00001851</t>
  </si>
  <si>
    <t>PAPANT/2025/02286 (B B01-00001852)</t>
  </si>
  <si>
    <t>PAPANT/2025/02286</t>
  </si>
  <si>
    <t>VILLACORTA PASTOR, ALESSIA</t>
  </si>
  <si>
    <t>Pago de cliente S/ 2,131.02 - VILLACORTA PASTOR, ALESSIA - 28/05/2025</t>
  </si>
  <si>
    <t>B B01-00001852</t>
  </si>
  <si>
    <t>A31609</t>
  </si>
  <si>
    <t>PAPANT/2025/02285 (B B01-00001853)</t>
  </si>
  <si>
    <t>PAPANT/2025/02285</t>
  </si>
  <si>
    <t>CABRERA RIVERO, JOSE LUIS</t>
  </si>
  <si>
    <t>Pago de cliente S/ 3,971.00 - CABRERA RIVERO, JOSE LUIS - 28/05/2025</t>
  </si>
  <si>
    <t>B B01-00001853</t>
  </si>
  <si>
    <t>A31607</t>
  </si>
  <si>
    <t>PAPANT/2025/02284 (B B01-00001814)</t>
  </si>
  <si>
    <t>PAPANT/2025/02284</t>
  </si>
  <si>
    <t>Pago de cliente S/ 1,737.50 - MARROQUIN CARBAJAL, ALEJANDRA - 28/05/2025</t>
  </si>
  <si>
    <t>B B01-00001814</t>
  </si>
  <si>
    <t>A31605</t>
  </si>
  <si>
    <t>PAPANT/2025/02283 (B B01-00001820)</t>
  </si>
  <si>
    <t>PAPANT/2025/02283</t>
  </si>
  <si>
    <t>Pago de cliente S/ 1,708.40 - MARROQUIN CARBAJAL, ALEJANDRA - 28/05/2025</t>
  </si>
  <si>
    <t>B B01-00001820</t>
  </si>
  <si>
    <t>PAPANT/2025/02282 (B B01-00001821)</t>
  </si>
  <si>
    <t>PAPANT/2025/02282</t>
  </si>
  <si>
    <t>ESPINOZA MUÑOZ, RINA MAGALY</t>
  </si>
  <si>
    <t>Pago de cliente S/ 1,651.60 - ESPINOZA MUÑOZ, RINA MAGALY - 28/05/2025</t>
  </si>
  <si>
    <t>B B01-00001821</t>
  </si>
  <si>
    <t>A31602</t>
  </si>
  <si>
    <t>PAPANT/2025/02281 (B B01-00001816)</t>
  </si>
  <si>
    <t>PAPANT/2025/02281</t>
  </si>
  <si>
    <t>Pago de cliente S/ 862.50 - MARROQUIN CARBAJAL, ALEJANDRA - 28/05/2025</t>
  </si>
  <si>
    <t>B B01-00001816</t>
  </si>
  <si>
    <t>A31600</t>
  </si>
  <si>
    <t>PAPANT/2025/02280 (B B01-00001811)</t>
  </si>
  <si>
    <t>PAPANT/2025/02280</t>
  </si>
  <si>
    <t>EUGENIO SARMIENTO, LEYLA GERALDINE</t>
  </si>
  <si>
    <t>Pago de cliente S/ 1,967.50 - EUGENIO SARMIENTO, LEYLA GERALDINE - 28/05/2025</t>
  </si>
  <si>
    <t>B B01-00001811</t>
  </si>
  <si>
    <t>PAPANT/2025/02278 (B B01-00001855)</t>
  </si>
  <si>
    <t>PAPANT/2025/02278</t>
  </si>
  <si>
    <t>SOTELO BUENO, GLADIS TEO</t>
  </si>
  <si>
    <t>Pago de cliente S/ 1,939.09 - SOTELO BUENO, GLADIS TEO - 28/05/2025</t>
  </si>
  <si>
    <t>B B01-00001855</t>
  </si>
  <si>
    <t>A31594</t>
  </si>
  <si>
    <t>PAPANT/2025/02277 (B B01-00001859)</t>
  </si>
  <si>
    <t>PAPANT/2025/02277</t>
  </si>
  <si>
    <t>Pago de cliente S/ 1,450.00 - MARROQUIN CARBAJAL, ALEJANDRA - 28/05/2025</t>
  </si>
  <si>
    <t>B B01-00001859</t>
  </si>
  <si>
    <t>PAPANT/2025/02276 (B B01-00001823)</t>
  </si>
  <si>
    <t>PAPANT/2025/02276</t>
  </si>
  <si>
    <t>BECERRA STOCK, YANIRA DEL ROCIO</t>
  </si>
  <si>
    <t>Pago de cliente S/ 2,226.60 - BECERRA STOCK, YANIRA DEL ROCIO - 28/05/2025</t>
  </si>
  <si>
    <t>B B01-00001823</t>
  </si>
  <si>
    <t>PAPANT/2025/02273 (B B01-00001854)</t>
  </si>
  <si>
    <t>PAPANT/2025/02273</t>
  </si>
  <si>
    <t>PORTURAS INGUNZA, MARIA DEL ROSARIO</t>
  </si>
  <si>
    <t>Pago de cliente S/ 2,591.01 - PORTURAS INGUNZA, MARIA DEL ROSARIO - 28/05/2025</t>
  </si>
  <si>
    <t>B B01-00001854</t>
  </si>
  <si>
    <t>A31587</t>
  </si>
  <si>
    <t>PAPANT/2025/02272 (B B01-00001857)</t>
  </si>
  <si>
    <t>PAPANT/2025/02272</t>
  </si>
  <si>
    <t>Pago de cliente S/ 3,625.99 - MARROQUIN CARBAJAL, ALEJANDRA - 28/05/2025</t>
  </si>
  <si>
    <t>B B01-00001857</t>
  </si>
  <si>
    <t>A31585</t>
  </si>
  <si>
    <t>PAPANT/2025/02271 (B B01-00001849)</t>
  </si>
  <si>
    <t>PAPANT/2025/02271</t>
  </si>
  <si>
    <t>OSORIO ISHIKAWA, KIOMI MERCEDES</t>
  </si>
  <si>
    <t>Pago de cliente S/ 3,261.59 - OSORIO ISHIKAWA, KIOMI MERCEDES - 28/05/2025</t>
  </si>
  <si>
    <t>B B01-00001849</t>
  </si>
  <si>
    <t>A31583</t>
  </si>
  <si>
    <t>PAPANT/2025/02270 (B B01-00001843)</t>
  </si>
  <si>
    <t>PAPANT/2025/02270</t>
  </si>
  <si>
    <t>MARQUINA TORRES, PIERINA ELVA</t>
  </si>
  <si>
    <t>Pago de cliente S/ 2,936.00 - MARQUINA TORRES, PIERINA ELVA - 28/05/2025</t>
  </si>
  <si>
    <t>B B01-00001843</t>
  </si>
  <si>
    <t>A31581</t>
  </si>
  <si>
    <t>PAPANT/2025/02269 (B B01-00001845)</t>
  </si>
  <si>
    <t>PAPANT/2025/02269</t>
  </si>
  <si>
    <t>LEON CACHAY, YSMAEL ANTONIO</t>
  </si>
  <si>
    <t>Pago de cliente S/ 2,361.00 - LEON CACHAY, YSMAEL ANTONIO - 28/05/2025</t>
  </si>
  <si>
    <t>B B01-00001845</t>
  </si>
  <si>
    <t>A31579</t>
  </si>
  <si>
    <t>PAPANT/2025/02266 (B B01-00001834)</t>
  </si>
  <si>
    <t>PAPANT/2025/02266</t>
  </si>
  <si>
    <t>PINILLOS RUIZ, FRANCISCO JOSE</t>
  </si>
  <si>
    <t>Pago de cliente S/ 2,303.50 - PINILLOS RUIZ, FRANCISCO JOSE - 28/05/2025</t>
  </si>
  <si>
    <t>B B01-00001834</t>
  </si>
  <si>
    <t>A31574</t>
  </si>
  <si>
    <t>PAPANT/2025/02265 (B B01-00001817)</t>
  </si>
  <si>
    <t>PAPANT/2025/02265</t>
  </si>
  <si>
    <t>ARIAS CABRERA, VICTOR JAIME</t>
  </si>
  <si>
    <t>Pago de cliente S/ 1,943.51 - ARIAS CABRERA, VICTOR JAIME - 28/05/2025</t>
  </si>
  <si>
    <t>B B01-00001817</t>
  </si>
  <si>
    <t>A31569</t>
  </si>
  <si>
    <t>PAPANT/2025/02264 (B B01-00001837)</t>
  </si>
  <si>
    <t>PAPANT/2025/02264</t>
  </si>
  <si>
    <t>PRIETO ABASOLO, LUIS FERNANDO</t>
  </si>
  <si>
    <t>Pago de cliente S/ 1,737.52 - PRIETO ABASOLO, LUIS FERNANDO - 28/05/2025</t>
  </si>
  <si>
    <t>B B01-00001837</t>
  </si>
  <si>
    <t>A31545</t>
  </si>
  <si>
    <t>PAPANT/2025/02262 (B B01-00001825)</t>
  </si>
  <si>
    <t>PAPANT/2025/02262</t>
  </si>
  <si>
    <t>CERVANTES PERALTA, JOHANN SEBASTHIAN</t>
  </si>
  <si>
    <t>Pago de cliente S/ 1,671.00 - CERVANTES PERALTA, JOHANN SEBASTHIAN - 28/05/2025</t>
  </si>
  <si>
    <t>B B01-00001825</t>
  </si>
  <si>
    <t>A31520</t>
  </si>
  <si>
    <t>PAPANT/2025/02261 (B B01-00001846)</t>
  </si>
  <si>
    <t>PAPANT/2025/02261</t>
  </si>
  <si>
    <t>RAMIREZ GUTIERREZ, JORGE ENRIQUE</t>
  </si>
  <si>
    <t>Pago de cliente S/ 1,651.60 - RAMIREZ GUTIERREZ, JORGE ENRIQUE - 28/05/2025</t>
  </si>
  <si>
    <t>B B01-00001846</t>
  </si>
  <si>
    <t>A31518</t>
  </si>
  <si>
    <t>PAPANT/2025/02260 (B B01-00001841)</t>
  </si>
  <si>
    <t>PAPANT/2025/02260</t>
  </si>
  <si>
    <t>RETAMOSO PALOMINO, INGRID STEPHANY</t>
  </si>
  <si>
    <t>Pago de cliente S/ 1,622.51 - RETAMOSO PALOMINO, INGRID STEPHANY - 28/05/2025</t>
  </si>
  <si>
    <t>B B01-00001841</t>
  </si>
  <si>
    <t>A31515</t>
  </si>
  <si>
    <t>PAPANT/2025/02259 (B B01-00001840)</t>
  </si>
  <si>
    <t>PAPANT/2025/02259</t>
  </si>
  <si>
    <t>RABANAL DIAZ, SHARON</t>
  </si>
  <si>
    <t>Pago de cliente S/ 1,622.50 - RABANAL DIAZ, SHARON - 28/05/2025</t>
  </si>
  <si>
    <t>B B01-00001840</t>
  </si>
  <si>
    <t>A31513</t>
  </si>
  <si>
    <t>PAPANT/2025/02258 (B B01-00001835)</t>
  </si>
  <si>
    <t>PAPANT/2025/02258</t>
  </si>
  <si>
    <t>FLORES CARDENAS, VALERIA BLANCA</t>
  </si>
  <si>
    <t>Pago de cliente S/ 1,622.50 - FLORES CARDENAS, VALERIA BLANCA - 28/05/2025</t>
  </si>
  <si>
    <t>B B01-00001835</t>
  </si>
  <si>
    <t>A31511</t>
  </si>
  <si>
    <t>PAPANT/2025/02257 (B B01-00001831)</t>
  </si>
  <si>
    <t>PAPANT/2025/02257</t>
  </si>
  <si>
    <t>VELASQUEZ ALIAGA, JUAN DIEGO</t>
  </si>
  <si>
    <t>Pago de cliente S/ 1,534.75 - VELASQUEZ ALIAGA, JUAN DIEGO - 28/05/2025</t>
  </si>
  <si>
    <t>B B01-00001831</t>
  </si>
  <si>
    <t>A31509</t>
  </si>
  <si>
    <t>PAPANT/2025/02256 (B B01-00001858)</t>
  </si>
  <si>
    <t>PAPANT/2025/02256</t>
  </si>
  <si>
    <t>Pago de cliente S/ 1,507.49 - MARROQUIN CARBAJAL, ALEJANDRA - 28/05/2025</t>
  </si>
  <si>
    <t>B B01-00001858</t>
  </si>
  <si>
    <t>A31507</t>
  </si>
  <si>
    <t>PAPANT/2025/02255 (B B01-00001828)</t>
  </si>
  <si>
    <t>PAPANT/2025/02255</t>
  </si>
  <si>
    <t>MAURY CHAVEZ, FERNANDO JAVIER</t>
  </si>
  <si>
    <t>Pago de cliente S/ 1,478.40 - MAURY CHAVEZ, FERNANDO JAVIER - 28/05/2025</t>
  </si>
  <si>
    <t>B B01-00001828</t>
  </si>
  <si>
    <t>A31502</t>
  </si>
  <si>
    <t>PAPANT/2025/02254 (B B01-00001829)</t>
  </si>
  <si>
    <t>PAPANT/2025/02254</t>
  </si>
  <si>
    <t>PAREDES CALDERON, MILAGRO SECIL</t>
  </si>
  <si>
    <t>Pago de cliente S/ 1,420.90 - PAREDES CALDERON, MILAGRO SECIL - 28/05/2025</t>
  </si>
  <si>
    <t>B B01-00001829</t>
  </si>
  <si>
    <t>A31500</t>
  </si>
  <si>
    <t>PAPANT/2025/02253 (B B01-00001836)</t>
  </si>
  <si>
    <t>PAPANT/2025/02253</t>
  </si>
  <si>
    <t>VALDIVIA MARCOS, JOSE ANTONIO</t>
  </si>
  <si>
    <t>Pago de cliente S/ 1,392.50 - VALDIVIA MARCOS, JOSE ANTONIO - 28/05/2025</t>
  </si>
  <si>
    <t>B B01-00001836</t>
  </si>
  <si>
    <t>A31498</t>
  </si>
  <si>
    <t>PAPANT/2025/02252 (B B01-00001848)</t>
  </si>
  <si>
    <t>PAPANT/2025/02252</t>
  </si>
  <si>
    <t>VILLANUEVA AREVALO, FIORELA IVETTE</t>
  </si>
  <si>
    <t>Pago de cliente S/ 1,369.49 - VILLANUEVA AREVALO, FIORELA IVETTE - 28/05/2025</t>
  </si>
  <si>
    <t>B B01-00001848</t>
  </si>
  <si>
    <t>A31496</t>
  </si>
  <si>
    <t>PAPANT/2025/02251 (B B01-00001819)</t>
  </si>
  <si>
    <t>PAPANT/2025/02251</t>
  </si>
  <si>
    <t>CONSTANTINI SALAZAR, CARLO ANDREE</t>
  </si>
  <si>
    <t>Pago de cliente S/ 1,311.02 - CONSTANTINI SALAZAR, CARLO ANDREE - 28/05/2025</t>
  </si>
  <si>
    <t>B B01-00001819</t>
  </si>
  <si>
    <t>A31491</t>
  </si>
  <si>
    <t>PAPANT/2025/02250 (B B01-00001850)</t>
  </si>
  <si>
    <t>PAPANT/2025/02250</t>
  </si>
  <si>
    <t>GAMARRA VIVANCO, KARLA</t>
  </si>
  <si>
    <t>Pago de cliente S/ 1,277.50 - GAMARRA VIVANCO, KARLA - 28/05/2025</t>
  </si>
  <si>
    <t>B B01-00001850</t>
  </si>
  <si>
    <t>A31489</t>
  </si>
  <si>
    <t>PAPANT/2025/02249 (B B01-00001815)</t>
  </si>
  <si>
    <t>PAPANT/2025/02249</t>
  </si>
  <si>
    <t>ODAR SAMPE, MIGUEL ALFREDO</t>
  </si>
  <si>
    <t>Pago de cliente S/ 966.00 - ODAR SAMPE, MIGUEL ALFREDO - 28/05/2025</t>
  </si>
  <si>
    <t>B B01-00001815</t>
  </si>
  <si>
    <t>A31486</t>
  </si>
  <si>
    <t>PAPANT/2025/02248 (B B01-00001813)</t>
  </si>
  <si>
    <t>PAPANT/2025/02248</t>
  </si>
  <si>
    <t>ESCOBAR KÄSTNER, ANALUCIA</t>
  </si>
  <si>
    <t>Pago de cliente S/ 862.50 - ESCOBAR KÄSTNER, ANALUCIA - 28/05/2025</t>
  </si>
  <si>
    <t>B B01-00001813</t>
  </si>
  <si>
    <t>A31483</t>
  </si>
  <si>
    <t>PAPANT/2025/02247 (B B01-00001847)</t>
  </si>
  <si>
    <t>PAPANT/2025/02247</t>
  </si>
  <si>
    <t>PORTAL ZARABIA, ALEJANDRO SEGUNDO</t>
  </si>
  <si>
    <t>Pago de cliente S/ 748.50 - PORTAL ZARABIA, ALEJANDRO SEGUNDO - 28/05/2025</t>
  </si>
  <si>
    <t>B B01-00001847</t>
  </si>
  <si>
    <t>A31477</t>
  </si>
  <si>
    <t>MISC/2025/05/0250</t>
  </si>
  <si>
    <t>BBVA1/2025/01238</t>
  </si>
  <si>
    <t>BBVA1/2025/01055</t>
  </si>
  <si>
    <t>BBVA1/2025/00983</t>
  </si>
  <si>
    <t>BBVA1/2025/00914</t>
  </si>
  <si>
    <t>BBVA1/2025/00848</t>
  </si>
  <si>
    <t>BBVA1/2025/00745</t>
  </si>
  <si>
    <t>BBVA1/2025/00744</t>
  </si>
  <si>
    <t>BBVA1/2025/00681</t>
  </si>
  <si>
    <t>BBVA1/2025/00680</t>
  </si>
  <si>
    <t>BBVA1/2025/00679</t>
  </si>
  <si>
    <t>BBVA1/2025/00621</t>
  </si>
  <si>
    <t>BBVA1/2025/00603</t>
  </si>
  <si>
    <t>BBVA1/2025/00583</t>
  </si>
  <si>
    <t>BBVA1/2025/00550</t>
  </si>
  <si>
    <t>BBVA1/2025/00537</t>
  </si>
  <si>
    <t>BBVA1/2025/00498</t>
  </si>
  <si>
    <t>BBVA1/2025/00497</t>
  </si>
  <si>
    <t>BBVA1/2025/00441</t>
  </si>
  <si>
    <t>BBVA1/2025/00423</t>
  </si>
  <si>
    <t>DIF. 4,787.91 ( en el excel) Maria revisando</t>
  </si>
  <si>
    <t>BBVA1/2025/00422</t>
  </si>
  <si>
    <t>BBVA1/2025/00409</t>
  </si>
  <si>
    <t>ABONO SAN BARTOLO</t>
  </si>
  <si>
    <t>BBVA1/2025/00408</t>
  </si>
  <si>
    <t>BBVA1/2025/00397</t>
  </si>
  <si>
    <t>BBVA1/2025/00374</t>
  </si>
  <si>
    <t>BBVA1/2025/00368</t>
  </si>
  <si>
    <t>BBVA1/2025/00350</t>
  </si>
  <si>
    <t>BBVA1/2025/00319</t>
  </si>
  <si>
    <t>BBVA1/2025/00283</t>
  </si>
  <si>
    <t>BBVA1/2025/00273</t>
  </si>
  <si>
    <t>BBVA1/2025/00268</t>
  </si>
  <si>
    <t>BBVA1/2025/00233</t>
  </si>
  <si>
    <t>BBVA1/2025/00210</t>
  </si>
  <si>
    <t>BBVA1/2025/00209</t>
  </si>
  <si>
    <t>BBVA1/2025/00200</t>
  </si>
  <si>
    <t>BBVA1/2025/00176</t>
  </si>
  <si>
    <t>BBVA1/2025/00154</t>
  </si>
  <si>
    <t>BBVA1/2025/00138</t>
  </si>
  <si>
    <t>BBVA1/2025/00137</t>
  </si>
  <si>
    <t>BBVA1/2025/00136</t>
  </si>
  <si>
    <t>BBVA1/2025/00135</t>
  </si>
  <si>
    <t>BBVA1/2025/00093</t>
  </si>
  <si>
    <t>BBVA1/2025/00081</t>
  </si>
  <si>
    <t>BBVA1/2025/00080</t>
  </si>
  <si>
    <t>BBVA1/2025/00079</t>
  </si>
  <si>
    <t>BBVA1/2025/00063</t>
  </si>
  <si>
    <t>BBVA1/2025/00051</t>
  </si>
  <si>
    <t>BBVA1/2025/00028</t>
  </si>
  <si>
    <t>SB - TIN007 CITIBANK EUROPE PLC</t>
  </si>
  <si>
    <t>BBVA1/2025/00026</t>
  </si>
  <si>
    <t>TIN007 CITIBANK EUROPE PLC</t>
  </si>
  <si>
    <t>BBVA1/2025/00009</t>
  </si>
  <si>
    <t>SB TIN007 CITIBANK EUROPE PLC</t>
  </si>
  <si>
    <t>BBVA1/2025/00008</t>
  </si>
  <si>
    <t>BBVA1/2025/00007</t>
  </si>
  <si>
    <t>SB IMPUESTO</t>
  </si>
  <si>
    <t>1220005 ANTICIPOS VENTA - MARKETPLACE (962)</t>
  </si>
  <si>
    <t>SCT01/2025/02561</t>
  </si>
  <si>
    <t>INTERCORP</t>
  </si>
  <si>
    <t>SCT01/2025/02558</t>
  </si>
  <si>
    <t>MERCADO PAGO</t>
  </si>
  <si>
    <t>SCT01/2025/02533</t>
  </si>
  <si>
    <t>SCT01/2025/02509</t>
  </si>
  <si>
    <t>RIPLEY</t>
  </si>
  <si>
    <t>SCT01/2025/02489</t>
  </si>
  <si>
    <t>SCT01/2025/02456</t>
  </si>
  <si>
    <t>JUNTOZ</t>
  </si>
  <si>
    <t>SCT01/2025/02431</t>
  </si>
  <si>
    <t>SCT01/2025/02366</t>
  </si>
  <si>
    <t>SCT01/2025/02393</t>
  </si>
  <si>
    <t>SCT01/2025/02355</t>
  </si>
  <si>
    <t>SCT01/2025/02311</t>
  </si>
  <si>
    <t>SCT01/2025/02325</t>
  </si>
  <si>
    <t>SCT01/2025/02310</t>
  </si>
  <si>
    <t>SCT01/2025/02264</t>
  </si>
  <si>
    <t>SCT01/2025/02259</t>
  </si>
  <si>
    <t>INERCORP</t>
  </si>
  <si>
    <t>SCT01/2025/02232</t>
  </si>
  <si>
    <t>SCT01/2025/02235</t>
  </si>
  <si>
    <t>SCT01/2025/02223</t>
  </si>
  <si>
    <t>SCT01/2025/02222</t>
  </si>
  <si>
    <t>SCT01/2025/02201</t>
  </si>
  <si>
    <t>SCT01/2025/02187</t>
  </si>
  <si>
    <t>SCT01/2025/02150</t>
  </si>
  <si>
    <t>INETRCORP</t>
  </si>
  <si>
    <t>SCT01/2025/02118</t>
  </si>
  <si>
    <t>SCT01/2025/02077</t>
  </si>
  <si>
    <t>SCT01/2025/02075</t>
  </si>
  <si>
    <t>SCT01/2025/02048</t>
  </si>
  <si>
    <t>SCT01/2025/02042</t>
  </si>
  <si>
    <t>PAPANT/2025/08345 (B B01-00005949)</t>
  </si>
  <si>
    <t>PAPANT/2025/08345</t>
  </si>
  <si>
    <t>Pago de cliente S/ 112.27 - PINO, MAXIMO - 08/01/2026</t>
  </si>
  <si>
    <t>B B01-00005949</t>
  </si>
  <si>
    <t>PAPANT/2025/08344 (B B01-00005896)</t>
  </si>
  <si>
    <t>PAPANT/2025/08344</t>
  </si>
  <si>
    <t>YANCE ECHEGARAY, MIGUEL ANGEL</t>
  </si>
  <si>
    <t>Pago de cliente S/ 413.72 - YANCE ECHEGARAY, MIGUEL ANGEL - 08/01/2026</t>
  </si>
  <si>
    <t>B B01-00005896</t>
  </si>
  <si>
    <t>PAPANT/2025/08343 (B B01-00005897)</t>
  </si>
  <si>
    <t>PAPANT/2025/08343</t>
  </si>
  <si>
    <t>GARCIA NOLI, YILAM ROXANA</t>
  </si>
  <si>
    <t>Pago de cliente S/ 304.64 - GARCIA NOLI, YILAM ROXANA - 08/01/2026</t>
  </si>
  <si>
    <t>B B01-00005897</t>
  </si>
  <si>
    <t>PAPANT/2025/08342 (B B01-00005918)</t>
  </si>
  <si>
    <t>PAPANT/2025/08342</t>
  </si>
  <si>
    <t>AVALOS SARAS, LUCIA MAGALY</t>
  </si>
  <si>
    <t>Pago de cliente S/ 238.99 - AVALOS SARAS, LUCIA MAGALY - 08/01/2026</t>
  </si>
  <si>
    <t>B B01-00005918</t>
  </si>
  <si>
    <t>PAPANT/2025/08341 (B B01-00005919)</t>
  </si>
  <si>
    <t>PAPANT/2025/08341</t>
  </si>
  <si>
    <t>Pago de cliente S/ 178.92 - BAZALAR CHAVARRIA, MARCIA MIRELLA - 08/01/2026</t>
  </si>
  <si>
    <t>B B01-00005919</t>
  </si>
  <si>
    <t>PAPANT/2025/08340 (B B01-00005923)</t>
  </si>
  <si>
    <t>PAPANT/2025/08340</t>
  </si>
  <si>
    <t>FRANCISCO FIGUEROA, CHRISTIAN FRANCO</t>
  </si>
  <si>
    <t>Pago de cliente S/ 35.99 - FRANCISCO FIGUEROA, CHRISTIAN FRANCO - 08/01/2026</t>
  </si>
  <si>
    <t>B B01-00005923</t>
  </si>
  <si>
    <t>PAPANT/2025/08338 (B B01-00005715)</t>
  </si>
  <si>
    <t>PAPANT/2025/08338</t>
  </si>
  <si>
    <t>BALDEON REYES, CHRISTIAN JESUS</t>
  </si>
  <si>
    <t>Pago de cliente S/ 99.90 - BALDEON REYES, CHRISTIAN JESUS - 08/01/2026</t>
  </si>
  <si>
    <t>B B01-00005715</t>
  </si>
  <si>
    <t>PAPANT/2025/08336 (B B01-00005777)</t>
  </si>
  <si>
    <t>PAPANT/2025/08336</t>
  </si>
  <si>
    <t>PLASENCIA CAVERO, GRECIA LORENA</t>
  </si>
  <si>
    <t>Pago de cliente S/ 137.20 - PLASENCIA CAVERO, GRECIA LORENA - 08/01/2026</t>
  </si>
  <si>
    <t>B B01-00005777</t>
  </si>
  <si>
    <t>PAPANT/2025/08335 (F F01-00003963)</t>
  </si>
  <si>
    <t>PAPANT/2025/08335</t>
  </si>
  <si>
    <t>COORPORACION LA GRANJA SOCIEDAD ANONIMA CERRADA</t>
  </si>
  <si>
    <t>Pago de cliente S/ 209.40 - COORPORACION LA GRANJA SOCIEDAD ANONIMA CERRADA - 08/01/2026</t>
  </si>
  <si>
    <t>F F01-00003963</t>
  </si>
  <si>
    <t>SCT01/2025/02010</t>
  </si>
  <si>
    <t>PAPANT/2025/08339 (B B01-00005709)</t>
  </si>
  <si>
    <t>PAPANT/2025/08339</t>
  </si>
  <si>
    <t>SALAZAR BALBIN, IRWIN FRANK</t>
  </si>
  <si>
    <t>Pago de cliente S/ 104.50 - SALAZAR BALBIN, IRWIN FRANK - 01/01/2026</t>
  </si>
  <si>
    <t>B B01-00005709</t>
  </si>
  <si>
    <t>PAPANT/2025/08334 (B B01-00005876)</t>
  </si>
  <si>
    <t>PAPANT/2025/08334</t>
  </si>
  <si>
    <t>MACHADO CASTRO, GLORIA ANDREA</t>
  </si>
  <si>
    <t>Pago de cliente S/ 191.20 - MACHADO CASTRO, GLORIA ANDREA - 01/01/2026</t>
  </si>
  <si>
    <t>B B01-00005876</t>
  </si>
  <si>
    <t>PAPANT/2025/08333 (B B01-00005850)</t>
  </si>
  <si>
    <t>PAPANT/2025/08333</t>
  </si>
  <si>
    <t>GUZMAN BIANCHI, CONSUELO CECILIA</t>
  </si>
  <si>
    <t>Pago de cliente S/ 98.83 - GUZMAN BIANCHI, CONSUELO CECILIA - 01/01/2026</t>
  </si>
  <si>
    <t>B B01-00005850</t>
  </si>
  <si>
    <t>PAPANT/2025/08332 (B B01-00005711)</t>
  </si>
  <si>
    <t>PAPANT/2025/08332</t>
  </si>
  <si>
    <t>Pago de cliente S/ 149.73 - SALAZAR VERGARA, KATHERINE MILAGROS - 01/01/2026</t>
  </si>
  <si>
    <t>B B01-00005711</t>
  </si>
  <si>
    <t>PAPANT/2025/08331 (B B01-00005714)</t>
  </si>
  <si>
    <t>PAPANT/2025/08331</t>
  </si>
  <si>
    <t>TOMAS MAMANI, SALVADOR ISAI</t>
  </si>
  <si>
    <t>Pago de cliente S/ 140.49 - TOMAS MAMANI, SALVADOR ISAI - 01/01/2026</t>
  </si>
  <si>
    <t>B B01-00005714</t>
  </si>
  <si>
    <t>PAPANT/2025/08330 (B B01-00005755)</t>
  </si>
  <si>
    <t>PAPANT/2025/08330</t>
  </si>
  <si>
    <t>VASQUEZ PEÑA, JAKELINNE ANGELICA</t>
  </si>
  <si>
    <t>Pago de cliente S/ 274.40 - VASQUEZ PEÑA, JAKELINNE ANGELICA - 01/01/2026</t>
  </si>
  <si>
    <t>B B01-00005755</t>
  </si>
  <si>
    <t>PAPANT/2025/08329 (F F01-00003892)</t>
  </si>
  <si>
    <t>PAPANT/2025/08329</t>
  </si>
  <si>
    <t>DIABERT SALUD EMPRESA INDIVIDUAL DE RESPONSABILIDAD LIMITADA</t>
  </si>
  <si>
    <t>Pago de cliente S/ 232.57 - DIABERT SALUD EMPRESA INDIVIDUAL DE RESPONSABILIDAD LIMITADA - 01/01/2026</t>
  </si>
  <si>
    <t>F F01-00003892</t>
  </si>
  <si>
    <t>PAPANT/2025/08328 (B B01-00005497)</t>
  </si>
  <si>
    <t>PAPANT/2025/08328</t>
  </si>
  <si>
    <t>DIAZ PASQUALIC, CINTYA LOURDES</t>
  </si>
  <si>
    <t>Pago de cliente S/ 95.12 - DIAZ PASQUALIC, CINTYA LOURDES - 01/01/2026</t>
  </si>
  <si>
    <t>B B01-00005497</t>
  </si>
  <si>
    <t>PAPANT/2025/08327 (B B01-00005447)</t>
  </si>
  <si>
    <t>PAPANT/2025/08327</t>
  </si>
  <si>
    <t>BENITO AVILA, MIRIAM INES</t>
  </si>
  <si>
    <t>Pago de cliente S/ 382.42 - BENITO AVILA, MIRIAM INES - 01/01/2026</t>
  </si>
  <si>
    <t>B B01-00005447</t>
  </si>
  <si>
    <t>PAPANT/2025/08326 (B B01-00005448)</t>
  </si>
  <si>
    <t>PAPANT/2025/08326</t>
  </si>
  <si>
    <t>Pago de cliente S/ 137.95 - CERVANTES YRIGOYEN, FABRICIO - 01/01/2026</t>
  </si>
  <si>
    <t>B B01-00005448</t>
  </si>
  <si>
    <t>PAPANT/2025/08325 (F F01-00003788)</t>
  </si>
  <si>
    <t>PAPANT/2025/08325</t>
  </si>
  <si>
    <t>Pago de cliente S/ 90.81 - DIABERT SALUD EMPRESA INDIVIDUAL DE RESPONSABILIDAD LIMITADA - 01/01/2026</t>
  </si>
  <si>
    <t>F F01-00003788</t>
  </si>
  <si>
    <t>PAPANT/2025/08324 (B B01-00005359)</t>
  </si>
  <si>
    <t>PAPANT/2025/08324</t>
  </si>
  <si>
    <t>RIVAS LOAIZA, CONNY</t>
  </si>
  <si>
    <t>Pago de cliente S/ 66.50 - RIVAS LOAIZA, CONNY - 01/01/2026</t>
  </si>
  <si>
    <t>B B01-00005359</t>
  </si>
  <si>
    <t>PAPANT/2025/08323 (B B01-00005363)</t>
  </si>
  <si>
    <t>PAPANT/2025/08323</t>
  </si>
  <si>
    <t>ANGULO ANGULO, LISSETH</t>
  </si>
  <si>
    <t>Pago de cliente S/ 162.50 - ANGULO ANGULO, LISSETH - 01/01/2026</t>
  </si>
  <si>
    <t>B B01-00005363</t>
  </si>
  <si>
    <t>PAPANT/2025/08322 (B B01-00005371)</t>
  </si>
  <si>
    <t>PAPANT/2025/08322</t>
  </si>
  <si>
    <t>SILVA ALCARRAZ, VICTOR HUGO</t>
  </si>
  <si>
    <t>Pago de cliente S/ 128.24 - SILVA ALCARRAZ, VICTOR HUGO - 01/01/2026</t>
  </si>
  <si>
    <t>B B01-00005371</t>
  </si>
  <si>
    <t>PAPANT/2025/08321 (B B01-00005323)</t>
  </si>
  <si>
    <t>PAPANT/2025/08321</t>
  </si>
  <si>
    <t>Pago de cliente S/ 104.90 - YANA MOTTA, DAFNY MARGOTH - 01/01/2026</t>
  </si>
  <si>
    <t>B B01-00005323</t>
  </si>
  <si>
    <t>PAPANT/2025/08320 (B B01-00005324)</t>
  </si>
  <si>
    <t>PAPANT/2025/08320</t>
  </si>
  <si>
    <t>RAMIREZ ZERPA ROXANA</t>
  </si>
  <si>
    <t>Pago de cliente S/ 51.00 - RAMIREZ ZERPA ROXANA - 01/01/2026</t>
  </si>
  <si>
    <t>B B01-00005324</t>
  </si>
  <si>
    <t>PAPANT/2025/08319 (B B01-00005337)</t>
  </si>
  <si>
    <t>PAPANT/2025/08319</t>
  </si>
  <si>
    <t>CUADROS AMAO, KAROLAY LIZETH</t>
  </si>
  <si>
    <t>Pago de cliente S/ 76.90 - CUADROS AMAO, KAROLAY LIZETH - 01/01/2026</t>
  </si>
  <si>
    <t>B B01-00005337</t>
  </si>
  <si>
    <t>PAPANT/2025/08318 (F F01-00003691)</t>
  </si>
  <si>
    <t>PAPANT/2025/08318</t>
  </si>
  <si>
    <t>ASESORIA AMBIENTAL Y MANEJO DE RESIDUOS S.A.C. - ASAMRE S.A.C.</t>
  </si>
  <si>
    <t>Pago de cliente S/ 308.39 - ASESORIA AMBIENTAL Y MANEJO DE RESIDUOS S.A.C. - ASAMRE S.A.C. - 01/01/2026</t>
  </si>
  <si>
    <t>F F01-00003691</t>
  </si>
  <si>
    <t>PAPANT/2025/08317 (B B01-00005295)</t>
  </si>
  <si>
    <t>PAPANT/2025/08317</t>
  </si>
  <si>
    <t>RONDON MOLINA, CHRISTAL ADRIANA</t>
  </si>
  <si>
    <t>Pago de cliente S/ 110.16 - RONDON MOLINA, CHRISTAL ADRIANA - 01/01/2026</t>
  </si>
  <si>
    <t>B B01-00005295</t>
  </si>
  <si>
    <t>PAPANT/2025/08316 (B B01-00005304)</t>
  </si>
  <si>
    <t>PAPANT/2025/08316</t>
  </si>
  <si>
    <t>RUIZ SALAZAR, MONICA JACKELIN</t>
  </si>
  <si>
    <t>Pago de cliente S/ 111.08 - RUIZ SALAZAR, MONICA JACKELIN - 01/01/2026</t>
  </si>
  <si>
    <t>B B01-00005304</t>
  </si>
  <si>
    <t>PAPANT/2025/08315 (B B01-00005306)</t>
  </si>
  <si>
    <t>PAPANT/2025/08315</t>
  </si>
  <si>
    <t>ORTIZ TUESTA, ERIKA</t>
  </si>
  <si>
    <t>Pago de cliente S/ 73.87 - ORTIZ TUESTA, ERIKA - 01/01/2026</t>
  </si>
  <si>
    <t>B B01-00005306</t>
  </si>
  <si>
    <t>PAPANT/2025/08314 (B B01-00005307)</t>
  </si>
  <si>
    <t>PAPANT/2025/08314</t>
  </si>
  <si>
    <t>MORENO AYALA, BRYAN YEISON</t>
  </si>
  <si>
    <t>Pago de cliente S/ 27.48 - MORENO AYALA, BRYAN YEISON - 01/01/2026</t>
  </si>
  <si>
    <t>B B01-00005307</t>
  </si>
  <si>
    <t>PAPANT/2025/08313 (B B01-00005308)</t>
  </si>
  <si>
    <t>PAPANT/2025/08313</t>
  </si>
  <si>
    <t>Pago de cliente S/ 178.94 - BAZALAR CHAVARRIA, MARCIA MIRELLA - 01/01/2026</t>
  </si>
  <si>
    <t>B B01-00005308</t>
  </si>
  <si>
    <t>PAPANT/2025/08312 (B B01-00005315)</t>
  </si>
  <si>
    <t>PAPANT/2025/08312</t>
  </si>
  <si>
    <t>CRUZ SARAVIA, ANGIE LORENA</t>
  </si>
  <si>
    <t>Pago de cliente S/ 166.05 - CRUZ SARAVIA, ANGIE LORENA - 01/01/2026</t>
  </si>
  <si>
    <t>B B01-00005315</t>
  </si>
  <si>
    <t>PAPANT/2025/08311 (B B01-00005258)</t>
  </si>
  <si>
    <t>PAPANT/2025/08311</t>
  </si>
  <si>
    <t>ALARCON ZAVALA, ESMERALDA YAQUELIN</t>
  </si>
  <si>
    <t>Pago de cliente S/ 437.30 - ALARCON ZAVALA, ESMERALDA YAQUELIN - 01/01/2026</t>
  </si>
  <si>
    <t>B B01-00005258</t>
  </si>
  <si>
    <t>PAPANT/2025/08310 (B B01-00005288)</t>
  </si>
  <si>
    <t>PAPANT/2025/08310</t>
  </si>
  <si>
    <t>LOJA ARROYO, LISBETH ANGELICA</t>
  </si>
  <si>
    <t>Pago de cliente S/ 122.05 - LOJA ARROYO, LISBETH ANGELICA - 01/01/2026</t>
  </si>
  <si>
    <t>B B01-00005288</t>
  </si>
  <si>
    <t>PAPANT/2025/08309 (B B01-00005136)</t>
  </si>
  <si>
    <t>PAPANT/2025/08309</t>
  </si>
  <si>
    <t>MINAYA MEZA, DANIELA ALEXANDRA</t>
  </si>
  <si>
    <t>Pago de cliente S/ 59.40 - MINAYA MEZA, DANIELA ALEXANDRA - 01/01/2026</t>
  </si>
  <si>
    <t>B B01-00005136</t>
  </si>
  <si>
    <t>PAPANT/2025/08308 (B B01-00004984)</t>
  </si>
  <si>
    <t>PAPANT/2025/08308</t>
  </si>
  <si>
    <t>Pago de cliente S/ 137.04 - SALAZAR VERGARA, KATHERINE MILAGROS - 01/01/2026</t>
  </si>
  <si>
    <t>B B01-00004984</t>
  </si>
  <si>
    <t>PAPANT/2025/08307 (B B01-00004720)</t>
  </si>
  <si>
    <t>PAPANT/2025/08307</t>
  </si>
  <si>
    <t>Pago de cliente S/ 103.90 - DIAZ PASQUALIC, CINTYA LOURDES - 01/01/2026</t>
  </si>
  <si>
    <t>B B01-00004720</t>
  </si>
  <si>
    <t>PAPANT/2025/08306 (B B01-00004721)</t>
  </si>
  <si>
    <t>PAPANT/2025/08306</t>
  </si>
  <si>
    <t>YEP CHANG, LUCIA</t>
  </si>
  <si>
    <t>Pago de cliente S/ 252.09 - YEP CHANG, LUCIA - 01/01/2026</t>
  </si>
  <si>
    <t>B B01-00004721</t>
  </si>
  <si>
    <t>PAPANT/2025/08305 (B B01-00004724)</t>
  </si>
  <si>
    <t>PAPANT/2025/08305</t>
  </si>
  <si>
    <t>BURGA OLIVERA, FERNANDO ANTONIO</t>
  </si>
  <si>
    <t>Pago de cliente S/ 108.00 - BURGA OLIVERA, FERNANDO ANTONIO - 01/01/2026</t>
  </si>
  <si>
    <t>B B01-00004724</t>
  </si>
  <si>
    <t>PAPANT/2025/08304 (B B01-00004750)</t>
  </si>
  <si>
    <t>PAPANT/2025/08304</t>
  </si>
  <si>
    <t>MONT BENAVIDES, GRACIA PAZ</t>
  </si>
  <si>
    <t>Pago de cliente S/ 48.00 - MONT BENAVIDES, GRACIA PAZ - 01/01/2026</t>
  </si>
  <si>
    <t>B B01-00004750</t>
  </si>
  <si>
    <t>PAPANT/2025/08303 (B B01-00004751)</t>
  </si>
  <si>
    <t>PAPANT/2025/08303</t>
  </si>
  <si>
    <t>ARRIOLA VELARDE, JHONATTAN NEMECIO</t>
  </si>
  <si>
    <t>Pago de cliente S/ 157.21 - ARRIOLA VELARDE, JHONATTAN NEMECIO - 01/01/2026</t>
  </si>
  <si>
    <t>B B01-00004751</t>
  </si>
  <si>
    <t>PAPANT/2025/08302 (B B01-00004673)</t>
  </si>
  <si>
    <t>PAPANT/2025/08302</t>
  </si>
  <si>
    <t>CANALES NAVARRO, CLAUDIA ANDREA</t>
  </si>
  <si>
    <t>Pago de cliente S/ 70.58 - CANALES NAVARRO, CLAUDIA ANDREA - 01/01/2026</t>
  </si>
  <si>
    <t>B B01-00004673</t>
  </si>
  <si>
    <t>PAPANT/2025/08301 (B B01-00004674)</t>
  </si>
  <si>
    <t>PAPANT/2025/08301</t>
  </si>
  <si>
    <t>MURO INFANTE, ANTONIO ALEZANDRO</t>
  </si>
  <si>
    <t>Pago de cliente S/ 89.51 - MURO INFANTE, ANTONIO ALEZANDRO - 01/01/2026</t>
  </si>
  <si>
    <t>B B01-00004674</t>
  </si>
  <si>
    <t>PAPANT/2025/08300 (B B01-00004703)</t>
  </si>
  <si>
    <t>PAPANT/2025/08300</t>
  </si>
  <si>
    <t>ESPINOSA QUASS, BETSY GRETA</t>
  </si>
  <si>
    <t>Pago de cliente S/ 144.66 - ESPINOSA QUASS, BETSY GRETA - 01/01/2026</t>
  </si>
  <si>
    <t>B B01-00004703</t>
  </si>
  <si>
    <t>PAPANT/2025/08299 (B B01-00004705)</t>
  </si>
  <si>
    <t>PAPANT/2025/08299</t>
  </si>
  <si>
    <t>TATAJE SANCHEZ, ROCIO ISABEL</t>
  </si>
  <si>
    <t>Pago de cliente S/ 75.46 - TATAJE SANCHEZ, ROCIO ISABEL - 01/01/2026</t>
  </si>
  <si>
    <t>B B01-00004705</t>
  </si>
  <si>
    <t>PAPANT/2025/08298 (B B01-00004706)</t>
  </si>
  <si>
    <t>PAPANT/2025/08298</t>
  </si>
  <si>
    <t>Pago de cliente S/ 215.01 - ROJAS LOAYZA, NARDA MARCELA - 01/01/2026</t>
  </si>
  <si>
    <t>B B01-00004706</t>
  </si>
  <si>
    <t>PAPANT/2025/08297 (B B01-00004707)</t>
  </si>
  <si>
    <t>PAPANT/2025/08297</t>
  </si>
  <si>
    <t>Pago de cliente S/ 108.01 - ROMAN GODOY, MARISOL GAVINA - 01/01/2026</t>
  </si>
  <si>
    <t>B B01-00004707</t>
  </si>
  <si>
    <t>PAPANT/2025/08296 (B B01-00004659)</t>
  </si>
  <si>
    <t>PAPANT/2025/08296</t>
  </si>
  <si>
    <t>ROJAS QUIROZ, JEAN FRANCO</t>
  </si>
  <si>
    <t>Pago de cliente S/ 89.29 - ROJAS QUIROZ, JEAN FRANCO - 01/01/2026</t>
  </si>
  <si>
    <t>B B01-00004659</t>
  </si>
  <si>
    <t>PAPANT/2025/08295 (B B01-00004660)</t>
  </si>
  <si>
    <t>PAPANT/2025/08295</t>
  </si>
  <si>
    <t>Pago de cliente S/ 67.12 - CALDERON ROJAS, ROSA IRENE - 01/01/2026</t>
  </si>
  <si>
    <t>B B01-00004660</t>
  </si>
  <si>
    <t>PAPANT/2025/08294 (B B01-00004665)</t>
  </si>
  <si>
    <t>PAPANT/2025/08294</t>
  </si>
  <si>
    <t>Pago de cliente S/ 567.04 - RAMIREZ RODRIGUEZ, CLAUDIA JULISSA - 01/01/2026</t>
  </si>
  <si>
    <t>B B01-00004665</t>
  </si>
  <si>
    <t>PAPANT/2025/08293 (B B01-00004667)</t>
  </si>
  <si>
    <t>PAPANT/2025/08293</t>
  </si>
  <si>
    <t>CABANILLAS SARABIA, CRISTIAN GONZALO</t>
  </si>
  <si>
    <t>Pago de cliente S/ 92.17 - CABANILLAS SARABIA, CRISTIAN GONZALO - 01/01/2026</t>
  </si>
  <si>
    <t>B B01-00004667</t>
  </si>
  <si>
    <t>PAPANT/2025/08292 (B B01-00004670)</t>
  </si>
  <si>
    <t>PAPANT/2025/08292</t>
  </si>
  <si>
    <t>Pago de cliente S/ 279.17 - GUZMAN DOMINGUEZ, PEDRO ARTURO - 01/01/2026</t>
  </si>
  <si>
    <t>B B01-00004670</t>
  </si>
  <si>
    <t>PAPANT/2025/08291 (B B01-00004654)</t>
  </si>
  <si>
    <t>PAPANT/2025/08291</t>
  </si>
  <si>
    <t>JAIMES CAJAHUARINGA, TATIANA BRIGGITE</t>
  </si>
  <si>
    <t>Pago de cliente S/ 56.15 - JAIMES CAJAHUARINGA, TATIANA BRIGGITE - 01/01/2026</t>
  </si>
  <si>
    <t>B B01-00004654</t>
  </si>
  <si>
    <t>PAPANT/2025/08290 (B B01-00004620)</t>
  </si>
  <si>
    <t>PAPANT/2025/08290</t>
  </si>
  <si>
    <t>INOCENTE VARA, NIVARDO HILDER</t>
  </si>
  <si>
    <t>Pago de cliente S/ 287.10 - INOCENTE VARA, NIVARDO HILDER - 01/01/2026</t>
  </si>
  <si>
    <t>B B01-00004620</t>
  </si>
  <si>
    <t>PAPANT/2025/08289 (F F01-00003089)</t>
  </si>
  <si>
    <t>PAPANT/2025/08289</t>
  </si>
  <si>
    <t>SERVICIOS TURISTICOS CHONTABAMBA S.A.C.</t>
  </si>
  <si>
    <t>Pago de cliente S/ 228.25 - SERVICIOS TURISTICOS CHONTABAMBA S.A.C. - 01/01/2026</t>
  </si>
  <si>
    <t>F F01-00003089</t>
  </si>
  <si>
    <t>PAPANT/2025/08288 (B B01-00004580)</t>
  </si>
  <si>
    <t>PAPANT/2025/08288</t>
  </si>
  <si>
    <t>KUSUNOKI FUERO, LOURDES ENEIDA</t>
  </si>
  <si>
    <t>Pago de cliente S/ 669.05 - KUSUNOKI FUERO, LOURDES ENEIDA - 01/01/2026</t>
  </si>
  <si>
    <t>B B01-00004580</t>
  </si>
  <si>
    <t>PAPANT/2025/08287 (B B01-00004581)</t>
  </si>
  <si>
    <t>PAPANT/2025/08287</t>
  </si>
  <si>
    <t>Pago de cliente S/ 121.18 - PANTIGOSO ROSAS, JASSON ABRAHAM - 01/01/2026</t>
  </si>
  <si>
    <t>B B01-00004581</t>
  </si>
  <si>
    <t>PAPANT/2025/08286 (B B01-00004590)</t>
  </si>
  <si>
    <t>PAPANT/2025/08286</t>
  </si>
  <si>
    <t>Pago de cliente S/ 64.00 - MIRANDA VASQUEZ, KARINA ELENA - 01/01/2026</t>
  </si>
  <si>
    <t>B B01-00004590</t>
  </si>
  <si>
    <t>PAPANT/2025/08285 (B B01-00004607)</t>
  </si>
  <si>
    <t>PAPANT/2025/08285</t>
  </si>
  <si>
    <t>SOPLA MAS, BELSON</t>
  </si>
  <si>
    <t>Pago de cliente S/ 135.35 - SOPLA MAS, BELSON - 01/01/2026</t>
  </si>
  <si>
    <t>B B01-00004607</t>
  </si>
  <si>
    <t>PAPANT/2025/08284 (B B01-00004573)</t>
  </si>
  <si>
    <t>PAPANT/2025/08284</t>
  </si>
  <si>
    <t>CORTEZ ORTEGA, MARTHA MARIANELLA</t>
  </si>
  <si>
    <t>Pago de cliente S/ 127.97 - CORTEZ ORTEGA, MARTHA MARIANELLA - 01/01/2026</t>
  </si>
  <si>
    <t>B B01-00004573</t>
  </si>
  <si>
    <t>PAPANT/2025/08283 (B B01-00004550)</t>
  </si>
  <si>
    <t>PAPANT/2025/08283</t>
  </si>
  <si>
    <t>BRINGAS BOCANEGRA, CECILIA GIOVANNA</t>
  </si>
  <si>
    <t>Pago de cliente S/ 204.92 - BRINGAS BOCANEGRA, CECILIA GIOVANNA - 01/01/2026</t>
  </si>
  <si>
    <t>B B01-00004550</t>
  </si>
  <si>
    <t>PAPANT/2025/08282 (B B01-00004563)</t>
  </si>
  <si>
    <t>PAPANT/2025/08282</t>
  </si>
  <si>
    <t>ALDANA CHUNGA, ANA LUISA</t>
  </si>
  <si>
    <t>Pago de cliente S/ 126.25 - ALDANA CHUNGA, ANA LUISA - 01/01/2026</t>
  </si>
  <si>
    <t>B B01-00004563</t>
  </si>
  <si>
    <t>PAPANT/2025/08281 (B B01-00004566)</t>
  </si>
  <si>
    <t>PAPANT/2025/08281</t>
  </si>
  <si>
    <t>PORTILLO CARRERO ALBA ESTEFANIA</t>
  </si>
  <si>
    <t>Pago de cliente S/ 211.76 - PORTILLO CARRERO ALBA ESTEFANIA - 01/01/2026</t>
  </si>
  <si>
    <t>B B01-00004566</t>
  </si>
  <si>
    <t>PAPANT/2025/08280 (B B01-00004499)</t>
  </si>
  <si>
    <t>PAPANT/2025/08280</t>
  </si>
  <si>
    <t>GONZALES RIVERA, ARLITA ISABEL</t>
  </si>
  <si>
    <t>Pago de cliente S/ 109.20 - GONZALES RIVERA, ARLITA ISABEL - 01/01/2026</t>
  </si>
  <si>
    <t>B B01-00004499</t>
  </si>
  <si>
    <t>PAPANT/2025/08279 (B B01-00004526)</t>
  </si>
  <si>
    <t>PAPANT/2025/08279</t>
  </si>
  <si>
    <t>RODRIGUEZ ROSALES, MARIA LAURA</t>
  </si>
  <si>
    <t>Pago de cliente S/ 53.99 - RODRIGUEZ ROSALES, MARIA LAURA - 01/01/2026</t>
  </si>
  <si>
    <t>B B01-00004526</t>
  </si>
  <si>
    <t>PAPANT/2025/08278 (B B01-00004530)</t>
  </si>
  <si>
    <t>PAPANT/2025/08278</t>
  </si>
  <si>
    <t>VILLANUEVA YSHUIZA, DANIEL</t>
  </si>
  <si>
    <t>Pago de cliente S/ 39.25 - VILLANUEVA YSHUIZA, DANIEL - 01/01/2026</t>
  </si>
  <si>
    <t>B B01-00004530</t>
  </si>
  <si>
    <t>PAPANT/2025/08277 (B B01-00004532)</t>
  </si>
  <si>
    <t>PAPANT/2025/08277</t>
  </si>
  <si>
    <t>MARTINEZ CARO, EVELYN VANESSA</t>
  </si>
  <si>
    <t>Pago de cliente S/ 63.70 - MARTINEZ CARO, EVELYN VANESSA - 01/01/2026</t>
  </si>
  <si>
    <t>B B01-00004532</t>
  </si>
  <si>
    <t>PAPANT/2025/08276 (B B01-00004482)</t>
  </si>
  <si>
    <t>PAPANT/2025/08276</t>
  </si>
  <si>
    <t>TELLO CASTILLO, PAVEL</t>
  </si>
  <si>
    <t>Pago de cliente S/ 191.24 - TELLO CASTILLO, PAVEL - 01/01/2026</t>
  </si>
  <si>
    <t>B B01-00004482</t>
  </si>
  <si>
    <t>PAPANT/2025/08275 (B B01-00004469)</t>
  </si>
  <si>
    <t>PAPANT/2025/08275</t>
  </si>
  <si>
    <t>AGURTO CASTILLA, IVAN ISRAEL</t>
  </si>
  <si>
    <t>Pago de cliente S/ 249.81 - AGURTO CASTILLA, IVAN ISRAEL - 01/01/2026</t>
  </si>
  <si>
    <t>B B01-00004469</t>
  </si>
  <si>
    <t>PAPANT/2025/08274 (B B01-00004470)</t>
  </si>
  <si>
    <t>PAPANT/2025/08274</t>
  </si>
  <si>
    <t>DELGADO VEGA, LESLIE ABIGAIL</t>
  </si>
  <si>
    <t>Pago de cliente S/ 91.05 - DELGADO VEGA, LESLIE ABIGAIL - 01/01/2026</t>
  </si>
  <si>
    <t>B B01-00004470</t>
  </si>
  <si>
    <t>PAPANT/2025/08272 (B B01-00004475)</t>
  </si>
  <si>
    <t>PAPANT/2025/08272</t>
  </si>
  <si>
    <t>CASTRO PEREIRA, LUCIA ALEXANDRA</t>
  </si>
  <si>
    <t>Pago de cliente S/ 56.25 - CASTRO PEREIRA, LUCIA ALEXANDRA - 01/01/2026</t>
  </si>
  <si>
    <t>B B01-00004475</t>
  </si>
  <si>
    <t>PAPANT/2025/08271 (B B01-00004411)</t>
  </si>
  <si>
    <t>PAPANT/2025/08271</t>
  </si>
  <si>
    <t>SALDARRIAGA MIMBELA, FABIAN PABLO</t>
  </si>
  <si>
    <t>Pago de cliente S/ 85.00 - SALDARRIAGA MIMBELA, FABIAN PABLO - 01/01/2026</t>
  </si>
  <si>
    <t>B B01-00004411</t>
  </si>
  <si>
    <t>PAPANT/2025/08270 (B B01-00004421)</t>
  </si>
  <si>
    <t>PAPANT/2025/08270</t>
  </si>
  <si>
    <t>VARGAS RUIZ, SHEYLA YESSENIA</t>
  </si>
  <si>
    <t>Pago de cliente S/ 328.08 - VARGAS RUIZ, SHEYLA YESSENIA - 01/01/2026</t>
  </si>
  <si>
    <t>B B01-00004421</t>
  </si>
  <si>
    <t>PAPANT/2025/08269 (B B01-00004424)</t>
  </si>
  <si>
    <t>PAPANT/2025/08269</t>
  </si>
  <si>
    <t>Pago de cliente S/ 524.70 - VEGA LAZARO, MARY CARMEN - 01/01/2026</t>
  </si>
  <si>
    <t>B B01-00004424</t>
  </si>
  <si>
    <t>PAPANT/2025/08268 (B B01-00004427)</t>
  </si>
  <si>
    <t>PAPANT/2025/08268</t>
  </si>
  <si>
    <t>OYARCE SAENZ, MARISELLA LIZETH</t>
  </si>
  <si>
    <t>Pago de cliente S/ 676.01 - OYARCE SAENZ, MARISELLA LIZETH - 01/01/2026</t>
  </si>
  <si>
    <t>B B01-00004427</t>
  </si>
  <si>
    <t>PAPANT/2025/08267 (B B01-00004384)</t>
  </si>
  <si>
    <t>PAPANT/2025/08267</t>
  </si>
  <si>
    <t>MILLA CHAVEZ, EMILIO MELQUIADES</t>
  </si>
  <si>
    <t>Pago de cliente S/ 148.50 - MILLA CHAVEZ, EMILIO MELQUIADES - 01/01/2026</t>
  </si>
  <si>
    <t>B B01-00004384</t>
  </si>
  <si>
    <t>PAPANT/2025/08266 (B B01-00004390)</t>
  </si>
  <si>
    <t>PAPANT/2025/08266</t>
  </si>
  <si>
    <t>VERGARA CASTAÑEDA, ANGEL ADRIAN</t>
  </si>
  <si>
    <t>Pago de cliente S/ 211.50 - VERGARA CASTAÑEDA, ANGEL ADRIAN - 01/01/2026</t>
  </si>
  <si>
    <t>B B01-00004390</t>
  </si>
  <si>
    <t>PAPANT/2025/08265 (B B01-00004399)</t>
  </si>
  <si>
    <t>PAPANT/2025/08265</t>
  </si>
  <si>
    <t>CUADROS AGUIRRE, LILIANA LORENZA</t>
  </si>
  <si>
    <t>Pago de cliente S/ 61.01 - CUADROS AGUIRRE, LILIANA LORENZA - 01/01/2026</t>
  </si>
  <si>
    <t>B B01-00004399</t>
  </si>
  <si>
    <t>PAPANT/2025/08264 (F F01-00002958)</t>
  </si>
  <si>
    <t>PAPANT/2025/08264</t>
  </si>
  <si>
    <t>PALACIN VEGA ELVIS UBALDO</t>
  </si>
  <si>
    <t>Pago de cliente S/ 131.04 - PALACIN VEGA ELVIS UBALDO - 01/01/2026</t>
  </si>
  <si>
    <t>F F01-00002958</t>
  </si>
  <si>
    <t>PAPANT/2025/08263 (B B01-00004366)</t>
  </si>
  <si>
    <t>PAPANT/2025/08263</t>
  </si>
  <si>
    <t>Pago de cliente S/ 81.50 - YANA MOTTA, DAFNY MARGOTH - 01/01/2026</t>
  </si>
  <si>
    <t>B B01-00004366</t>
  </si>
  <si>
    <t>PAPANT/2025/08262 (B B01-00004313)</t>
  </si>
  <si>
    <t>PAPANT/2025/08262</t>
  </si>
  <si>
    <t>B B01-00004313</t>
  </si>
  <si>
    <t>PAPANT/2025/08261 (B B01-00004323)</t>
  </si>
  <si>
    <t>PAPANT/2025/08261</t>
  </si>
  <si>
    <t>Pago de cliente S/ 170.25 - NOYA BAO, URSULA PATRICIA - 01/01/2026</t>
  </si>
  <si>
    <t>B B01-00004323</t>
  </si>
  <si>
    <t>PAPANT/2025/08260 (B B01-00004324)</t>
  </si>
  <si>
    <t>PAPANT/2025/08260</t>
  </si>
  <si>
    <t>LOPEZ RUMICHE, MELANIE SARITA</t>
  </si>
  <si>
    <t>Pago de cliente S/ 52.90 - LOPEZ RUMICHE, MELANIE SARITA - 01/01/2026</t>
  </si>
  <si>
    <t>B B01-00004324</t>
  </si>
  <si>
    <t>PAPANT/2025/08259 (B B01-00004325)</t>
  </si>
  <si>
    <t>PAPANT/2025/08259</t>
  </si>
  <si>
    <t>DAVIES ALBAN, GRELIA MARIA</t>
  </si>
  <si>
    <t>Pago de cliente S/ 220.25 - DAVIES ALBAN, GRELIA MARIA - 01/01/2026</t>
  </si>
  <si>
    <t>B B01-00004325</t>
  </si>
  <si>
    <t>PAPANT/2025/08258 (B B01-00004326)</t>
  </si>
  <si>
    <t>PAPANT/2025/08258</t>
  </si>
  <si>
    <t>PARDO HUANILO, MARIBEL VALERIA</t>
  </si>
  <si>
    <t>Pago de cliente S/ 94.33 - PARDO HUANILO, MARIBEL VALERIA - 01/01/2026</t>
  </si>
  <si>
    <t>B B01-00004326</t>
  </si>
  <si>
    <t>PAPANT/2025/08257 (B B01-00004350)</t>
  </si>
  <si>
    <t>PAPANT/2025/08257</t>
  </si>
  <si>
    <t>LLATAS GARCIA, SANDRA STEPHANI</t>
  </si>
  <si>
    <t>Pago de cliente S/ 80.65 - LLATAS GARCIA, SANDRA STEPHANI - 01/01/2026</t>
  </si>
  <si>
    <t>B B01-00004350</t>
  </si>
  <si>
    <t>PAPANT/2025/08256 (F F01-00002897)</t>
  </si>
  <si>
    <t>PAPANT/2025/08256</t>
  </si>
  <si>
    <t>GRUPO SERVICIOS MEDICOS INTEGRALES SAC</t>
  </si>
  <si>
    <t>Pago de cliente S/ 110.65 - GRUPO SERVICIOS MEDICOS INTEGRALES SAC - 01/01/2026</t>
  </si>
  <si>
    <t>F F01-00002897</t>
  </si>
  <si>
    <t>PAPANT/2025/08255 (F F01-00002899)</t>
  </si>
  <si>
    <t>PAPANT/2025/08255</t>
  </si>
  <si>
    <t>Pago de cliente S/ 56.25 - GRUPO SERVICIOS MEDICOS INTEGRALES SAC - 01/01/2026</t>
  </si>
  <si>
    <t>F F01-00002899</t>
  </si>
  <si>
    <t>PAPANT/2025/08254 (B B01-00004303)</t>
  </si>
  <si>
    <t>PAPANT/2025/08254</t>
  </si>
  <si>
    <t>PEREZ VASQUEZ, KEVIN ANTHONY</t>
  </si>
  <si>
    <t>Pago de cliente S/ 61.01 - PEREZ VASQUEZ, KEVIN ANTHONY - 01/01/2026</t>
  </si>
  <si>
    <t>B B01-00004303</t>
  </si>
  <si>
    <t>PAPANT/2025/08253 (B B01-00004304)</t>
  </si>
  <si>
    <t>PAPANT/2025/08253</t>
  </si>
  <si>
    <t>Pago de cliente S/ 92.64 - AVENDAÑO DELGADO, ENRIQUE MARTIN - 01/01/2026</t>
  </si>
  <si>
    <t>B B01-00004304</t>
  </si>
  <si>
    <t>PAPANT/2025/08252 (B B01-00004308)</t>
  </si>
  <si>
    <t>PAPANT/2025/08252</t>
  </si>
  <si>
    <t>MIO GUEVARA, VICKY YISELA</t>
  </si>
  <si>
    <t>Pago de cliente S/ 114.00 - MIO GUEVARA, VICKY YISELA - 01/01/2026</t>
  </si>
  <si>
    <t>B B01-00004308</t>
  </si>
  <si>
    <t>PAPANT/2025/08251 (B B01-00004309)</t>
  </si>
  <si>
    <t>PAPANT/2025/08251</t>
  </si>
  <si>
    <t>PRINCIPE ARREDONDO, SARA ASUNCION</t>
  </si>
  <si>
    <t>Pago de cliente S/ 141.75 - PRINCIPE ARREDONDO, SARA ASUNCION - 01/01/2026</t>
  </si>
  <si>
    <t>B B01-00004309</t>
  </si>
  <si>
    <t>PAPANT/2025/08250 (B B01-00004251)</t>
  </si>
  <si>
    <t>PAPANT/2025/08250</t>
  </si>
  <si>
    <t>SOTELO ROJAS, TANIA GIANNINA</t>
  </si>
  <si>
    <t>Pago de cliente S/ 128.96 - SOTELO ROJAS, TANIA GIANNINA - 01/01/2026</t>
  </si>
  <si>
    <t>B B01-00004251</t>
  </si>
  <si>
    <t>PAPANT/2025/08249 (B B01-00004215)</t>
  </si>
  <si>
    <t>PAPANT/2025/08249</t>
  </si>
  <si>
    <t>MARQUEZ PEREZ, KARLA LUCIANA MERCEDES</t>
  </si>
  <si>
    <t>Pago de cliente S/ 142.74 - MARQUEZ PEREZ, KARLA LUCIANA MERCEDES - 01/01/2026</t>
  </si>
  <si>
    <t>B B01-00004215</t>
  </si>
  <si>
    <t>PAPANT/2025/08248 (B B01-00004197)</t>
  </si>
  <si>
    <t>PAPANT/2025/08248</t>
  </si>
  <si>
    <t>UGARTE ÑAÑEZ, DANIEL FERNANDO</t>
  </si>
  <si>
    <t>Pago de cliente S/ 81.26 - UGARTE ÑAÑEZ, DANIEL FERNANDO - 01/01/2026</t>
  </si>
  <si>
    <t>B B01-00004197</t>
  </si>
  <si>
    <t>PAPANT/2025/08247 (B B01-00004198)</t>
  </si>
  <si>
    <t>PAPANT/2025/08247</t>
  </si>
  <si>
    <t>OBANDO PLASENCIA, KEVIN JEAN PIER</t>
  </si>
  <si>
    <t>Pago de cliente S/ 1,671.81 - OBANDO PLASENCIA, KEVIN JEAN PIER - 01/01/2026</t>
  </si>
  <si>
    <t>B B01-00004198</t>
  </si>
  <si>
    <t>PAPANT/2025/08246 (B B01-00004201)</t>
  </si>
  <si>
    <t>PAPANT/2025/08246</t>
  </si>
  <si>
    <t>HUISA ESCUDERO, CARLA PATRICIA</t>
  </si>
  <si>
    <t>Pago de cliente S/ 81.50 - HUISA ESCUDERO, CARLA PATRICIA - 01/01/2026</t>
  </si>
  <si>
    <t>B B01-00004201</t>
  </si>
  <si>
    <t>PAPANT/2025/08245 (B B01-00004205)</t>
  </si>
  <si>
    <t>PAPANT/2025/08245</t>
  </si>
  <si>
    <t>TURRIATE TOVAR, PATRICIA RENATA</t>
  </si>
  <si>
    <t>Pago de cliente S/ 81.50 - TURRIATE TOVAR, PATRICIA RENATA - 01/01/2026</t>
  </si>
  <si>
    <t>B B01-00004205</t>
  </si>
  <si>
    <t>PAPANT/2025/08244 (B B01-00004207)</t>
  </si>
  <si>
    <t>PAPANT/2025/08244</t>
  </si>
  <si>
    <t>Pago de cliente S/ 140.00 - LA ROSA BONIFACIO, JULIAN TONY - 01/01/2026</t>
  </si>
  <si>
    <t>B B01-00004207</t>
  </si>
  <si>
    <t>PAPANT/2025/08243 (B B01-00004208)</t>
  </si>
  <si>
    <t>PAPANT/2025/08243</t>
  </si>
  <si>
    <t>VIRHUEZ LEIVA, JUAN URBANO</t>
  </si>
  <si>
    <t>Pago de cliente S/ 128.01 - VIRHUEZ LEIVA, JUAN URBANO - 01/01/2026</t>
  </si>
  <si>
    <t>B B01-00004208</t>
  </si>
  <si>
    <t>PAPANT/2025/08242 (F F01-00002822)</t>
  </si>
  <si>
    <t>PAPANT/2025/08242</t>
  </si>
  <si>
    <t>LUMAX RECURSOS HUMANOS Y OTROS EMPRESA INDIVIDUAL DE RESPONSABILIDAD LIMITADA</t>
  </si>
  <si>
    <t>Pago de cliente S/ 96.45 - LUMAX RECURSOS HUMANOS Y OTROS EMPRESA INDIVIDUAL DE RESPONSABILIDAD LIMITADA - 01/01/2026</t>
  </si>
  <si>
    <t>F F01-00002822</t>
  </si>
  <si>
    <t>PAPANT/2025/08241 (B B01-00004189)</t>
  </si>
  <si>
    <t>PAPANT/2025/08241</t>
  </si>
  <si>
    <t>Pago de cliente S/ 131.41 - RODRIGUEZ RAMOS, CRISTIAN SAUL - 01/01/2026</t>
  </si>
  <si>
    <t>B B01-00004189</t>
  </si>
  <si>
    <t>PAPANT/2025/08240 (B B01-00004152)</t>
  </si>
  <si>
    <t>PAPANT/2025/08240</t>
  </si>
  <si>
    <t>RICRA RUIZ, MARIA ELENA</t>
  </si>
  <si>
    <t>Pago de cliente S/ 59.00 - RICRA RUIZ, MARIA ELENA - 01/01/2026</t>
  </si>
  <si>
    <t>B B01-00004152</t>
  </si>
  <si>
    <t>PAPANT/2025/08239 (B B01-00004153)</t>
  </si>
  <si>
    <t>PAPANT/2025/08239</t>
  </si>
  <si>
    <t>LOPEZ SANTISTEVAN, ELIMER</t>
  </si>
  <si>
    <t>Pago de cliente S/ 318.52 - LOPEZ SANTISTEVAN, ELIMER - 01/01/2026</t>
  </si>
  <si>
    <t>B B01-00004153</t>
  </si>
  <si>
    <t>PAPANT/2025/08238 (B B01-00004102)</t>
  </si>
  <si>
    <t>PAPANT/2025/08238</t>
  </si>
  <si>
    <t>RICHARTTI SUAREZ, LIZETH STEFANIA</t>
  </si>
  <si>
    <t>Pago de cliente S/ 138.39 - RICHARTTI SUAREZ, LIZETH STEFANIA - 01/01/2026</t>
  </si>
  <si>
    <t>B B01-00004102</t>
  </si>
  <si>
    <t>PAPANT/2025/08237 (B B01-00004103)</t>
  </si>
  <si>
    <t>PAPANT/2025/08237</t>
  </si>
  <si>
    <t>Pago de cliente S/ 194.94 - CERVANTES YRIGOYEN, FABRICIO - 01/01/2026</t>
  </si>
  <si>
    <t>B B01-00004103</t>
  </si>
  <si>
    <t>PAPANT/2025/08236 (B B01-00004118)</t>
  </si>
  <si>
    <t>PAPANT/2025/08236</t>
  </si>
  <si>
    <t>SILVA ROMERO, ROLANDO ANGELO</t>
  </si>
  <si>
    <t>Pago de cliente S/ 140.59 - SILVA ROMERO, ROLANDO ANGELO - 01/01/2026</t>
  </si>
  <si>
    <t>B B01-00004118</t>
  </si>
  <si>
    <t>PAPANT/2025/08235 (B B01-00004073)</t>
  </si>
  <si>
    <t>PAPANT/2025/08235</t>
  </si>
  <si>
    <t>Pago de cliente S/ 757.45 - CHU SION RODRIGUEZ, CINTHIA LAURA - 01/01/2026</t>
  </si>
  <si>
    <t>B B01-00004073</t>
  </si>
  <si>
    <t>PAPANT/2025/08234 (B B01-00004077)</t>
  </si>
  <si>
    <t>PAPANT/2025/08234</t>
  </si>
  <si>
    <t>PEÑA YLASACA, AIDA ROXANA</t>
  </si>
  <si>
    <t>Pago de cliente S/ 112.40 - PEÑA YLASACA, AIDA ROXANA - 01/01/2026</t>
  </si>
  <si>
    <t>B B01-00004077</t>
  </si>
  <si>
    <t>PAPANT/2025/08233 (B B01-00004080)</t>
  </si>
  <si>
    <t>PAPANT/2025/08233</t>
  </si>
  <si>
    <t>Pago de cliente S/ 253.40 - AGURTO CASTILLA, IVAN ISRAEL - 01/01/2026</t>
  </si>
  <si>
    <t>B B01-00004080</t>
  </si>
  <si>
    <t>PAPANT/2025/08232 (B B01-00004091)</t>
  </si>
  <si>
    <t>PAPANT/2025/08232</t>
  </si>
  <si>
    <t>SANDOVAL BENITO, ANDREA MILAGROS</t>
  </si>
  <si>
    <t>Pago de cliente S/ 70.23 - SANDOVAL BENITO, ANDREA MILAGROS - 01/01/2026</t>
  </si>
  <si>
    <t>B B01-00004091</t>
  </si>
  <si>
    <t>PAPANT/2025/08231 (B B01-00004097)</t>
  </si>
  <si>
    <t>PAPANT/2025/08231</t>
  </si>
  <si>
    <t>MEZA ALARCON, ANDREA ALEXANDRA</t>
  </si>
  <si>
    <t>Pago de cliente S/ 204.75 - MEZA ALARCON, ANDREA ALEXANDRA - 01/01/2026</t>
  </si>
  <si>
    <t>B B01-00004097</t>
  </si>
  <si>
    <t>PAPANT/2025/08230 (B B01-00004057)</t>
  </si>
  <si>
    <t>PAPANT/2025/08230</t>
  </si>
  <si>
    <t>ORE VILLEGAS, DINA</t>
  </si>
  <si>
    <t>Pago de cliente S/ 207.45 - ORE VILLEGAS, DINA - 01/01/2026</t>
  </si>
  <si>
    <t>B B01-00004057</t>
  </si>
  <si>
    <t>PAPANT/2025/08213 (B B01-00004059)</t>
  </si>
  <si>
    <t>PAPANT/2025/08213</t>
  </si>
  <si>
    <t>Pago de cliente S/ 377.84 - BENITO AVILA, MIRIAM INES - 01/01/2026</t>
  </si>
  <si>
    <t>B B01-00004059</t>
  </si>
  <si>
    <t>PAPANT/2025/08212 (B B01-00003947)</t>
  </si>
  <si>
    <t>PAPANT/2025/08212</t>
  </si>
  <si>
    <t>MENDOZA ROCA, VANIA ANDREA</t>
  </si>
  <si>
    <t>Pago de cliente S/ 66.00 - MENDOZA ROCA, VANIA ANDREA - 01/01/2026</t>
  </si>
  <si>
    <t>B B01-00003947</t>
  </si>
  <si>
    <t>PAPANT/2025/08211 (B B01-00003948)</t>
  </si>
  <si>
    <t>PAPANT/2025/08211</t>
  </si>
  <si>
    <t>CHAVEZ MENDOZA, MITCHELL LAURENT</t>
  </si>
  <si>
    <t>Pago de cliente S/ 99.00 - CHAVEZ MENDOZA, MITCHELL LAURENT - 01/01/2026</t>
  </si>
  <si>
    <t>B B01-00003948</t>
  </si>
  <si>
    <t>PAPANT/2025/08210 (B B01-00003949)</t>
  </si>
  <si>
    <t>PAPANT/2025/08210</t>
  </si>
  <si>
    <t>SÁNCHEZ HURTADO, RENZO ANDRÉ</t>
  </si>
  <si>
    <t>Pago de cliente S/ 81.10 - SÁNCHEZ HURTADO, RENZO ANDRÉ - 01/01/2026</t>
  </si>
  <si>
    <t>B B01-00003949</t>
  </si>
  <si>
    <t>PAPANT/2025/08209 (B B01-00003987)</t>
  </si>
  <si>
    <t>PAPANT/2025/08209</t>
  </si>
  <si>
    <t>CRAPESI LEIVA, FRANCESCA LYANA</t>
  </si>
  <si>
    <t>Pago de cliente S/ 99.01 - CRAPESI LEIVA, FRANCESCA LYANA - 01/01/2026</t>
  </si>
  <si>
    <t>B B01-00003987</t>
  </si>
  <si>
    <t>PAPANT/2025/08208 (B B01-00003909)</t>
  </si>
  <si>
    <t>PAPANT/2025/08208</t>
  </si>
  <si>
    <t>ALJOVIN RODRIGO, INES MARIA ISABELLA</t>
  </si>
  <si>
    <t>Pago de cliente S/ 187.85 - ALJOVIN RODRIGO, INES MARIA ISABELLA - 01/01/2026</t>
  </si>
  <si>
    <t>B B01-00003909</t>
  </si>
  <si>
    <t>PAPANT/2025/08207 (B B01-00003915)</t>
  </si>
  <si>
    <t>PAPANT/2025/08207</t>
  </si>
  <si>
    <t>CARRILLO SALAZAR, DANIEL FERNANDO</t>
  </si>
  <si>
    <t>Pago de cliente S/ 195.20 - CARRILLO SALAZAR, DANIEL FERNANDO - 01/01/2026</t>
  </si>
  <si>
    <t>B B01-00003915</t>
  </si>
  <si>
    <t>PAPANT/2025/08206 (B B01-00003901)</t>
  </si>
  <si>
    <t>PAPANT/2025/08206</t>
  </si>
  <si>
    <t>MASLUCAN CHICANA, RITA ESTHER</t>
  </si>
  <si>
    <t>Pago de cliente S/ 77.41 - MASLUCAN CHICANA, RITA ESTHER - 01/01/2026</t>
  </si>
  <si>
    <t>B B01-00003901</t>
  </si>
  <si>
    <t>PAPANT/2025/08205 (B B01-00003902)</t>
  </si>
  <si>
    <t>PAPANT/2025/08205</t>
  </si>
  <si>
    <t>ITURRI DE ORBEGOSO, MAURICIO</t>
  </si>
  <si>
    <t>Pago de cliente S/ 402.65 - ITURRI DE ORBEGOSO, MAURICIO - 01/01/2026</t>
  </si>
  <si>
    <t>B B01-00003902</t>
  </si>
  <si>
    <t>PAPANT/2025/08204 (B B01-00003859)</t>
  </si>
  <si>
    <t>PAPANT/2025/08204</t>
  </si>
  <si>
    <t>SUAREZ PEREZ, YESENIA YESABELLA</t>
  </si>
  <si>
    <t>Pago de cliente S/ 175.68 - SUAREZ PEREZ, YESENIA YESABELLA - 01/01/2026</t>
  </si>
  <si>
    <t>B B01-00003859</t>
  </si>
  <si>
    <t>PAPANT/2025/08203 (B B01-00003862)</t>
  </si>
  <si>
    <t>PAPANT/2025/08203</t>
  </si>
  <si>
    <t>Pago de cliente S/ 257.40 - SOPLA RODRIGUEZ, CRISTIAN MARCELO - 01/01/2026</t>
  </si>
  <si>
    <t>B B01-00003862</t>
  </si>
  <si>
    <t>PAPANT/2025/08202 (B B01-00003878)</t>
  </si>
  <si>
    <t>PAPANT/2025/08202</t>
  </si>
  <si>
    <t>CALLAÑAUPA FLORES, RODRIGO MANUEL</t>
  </si>
  <si>
    <t>Pago de cliente S/ 305.81 - CALLAÑAUPA FLORES, RODRIGO MANUEL - 01/01/2026</t>
  </si>
  <si>
    <t>B B01-00003878</t>
  </si>
  <si>
    <t>PAPANT/2025/08201 (B B01-00003791)</t>
  </si>
  <si>
    <t>PAPANT/2025/08201</t>
  </si>
  <si>
    <t>SARMIENTO ZAGAL, CARMEN ALEJANDRA</t>
  </si>
  <si>
    <t>Pago de cliente S/ 190.00 - SARMIENTO ZAGAL, CARMEN ALEJANDRA - 01/01/2026</t>
  </si>
  <si>
    <t>B B01-00003791</t>
  </si>
  <si>
    <t>PAPANT/2025/08199 (B B01-00003683)</t>
  </si>
  <si>
    <t>PAPANT/2025/08199</t>
  </si>
  <si>
    <t>CASAVERDE CHALCO, ABIGAIL JESSENIA</t>
  </si>
  <si>
    <t>Pago de cliente S/ 182.70 - CASAVERDE CHALCO, ABIGAIL JESSENIA - 01/01/2026</t>
  </si>
  <si>
    <t>B B01-00003683</t>
  </si>
  <si>
    <t>PAPANT/2025/08198 (B B01-00003684)</t>
  </si>
  <si>
    <t>PAPANT/2025/08198</t>
  </si>
  <si>
    <t>Pago de cliente S/ 147.16 - YEP CHANG, LUCIA - 01/01/2026</t>
  </si>
  <si>
    <t>B B01-00003684</t>
  </si>
  <si>
    <t>PAPANT/2025/08197 (B B01-00003688)</t>
  </si>
  <si>
    <t>PAPANT/2025/08197</t>
  </si>
  <si>
    <t>AGUAYO SALAZAR, ANGELA JANET</t>
  </si>
  <si>
    <t>Pago de cliente S/ 113.00 - AGUAYO SALAZAR, ANGELA JANET - 01/01/2026</t>
  </si>
  <si>
    <t>B B01-00003688</t>
  </si>
  <si>
    <t>PAPANT/2025/08196 (B B01-00003648)</t>
  </si>
  <si>
    <t>PAPANT/2025/08196</t>
  </si>
  <si>
    <t>FIGUEROA MUÑOZ, FLAVIA DE BELEN</t>
  </si>
  <si>
    <t>Pago de cliente S/ 401.00 - FIGUEROA MUÑOZ, FLAVIA DE BELEN - 01/01/2026</t>
  </si>
  <si>
    <t>B B01-00003648</t>
  </si>
  <si>
    <t>PAPANT/2025/08195 (B B01-00003641)</t>
  </si>
  <si>
    <t>PAPANT/2025/08195</t>
  </si>
  <si>
    <t>CACERES VELIZ, SOFIA EUNICE</t>
  </si>
  <si>
    <t>Pago de cliente S/ 104.10 - CACERES VELIZ, SOFIA EUNICE - 01/01/2026</t>
  </si>
  <si>
    <t>B B01-00003641</t>
  </si>
  <si>
    <t>PAPANT/2025/08194 (B B01-00003642)</t>
  </si>
  <si>
    <t>PAPANT/2025/08194</t>
  </si>
  <si>
    <t>AGUILAR IPARRAGUIRRE, CLAUDIA DEL CARMEN</t>
  </si>
  <si>
    <t>Pago de cliente S/ 106.30 - AGUILAR IPARRAGUIRRE, CLAUDIA DEL CARMEN - 01/01/2026</t>
  </si>
  <si>
    <t>B B01-00003642</t>
  </si>
  <si>
    <t>PAPANT/2025/08193 (B B01-00003613)</t>
  </si>
  <si>
    <t>PAPANT/2025/08193</t>
  </si>
  <si>
    <t>Pago de cliente S/ 166.60 - BAZALAR CHAVARRIA, MARCIA MIRELLA - 01/01/2026</t>
  </si>
  <si>
    <t>B B01-00003613</t>
  </si>
  <si>
    <t>PAPANT/2025/08192 (B B01-00003632)</t>
  </si>
  <si>
    <t>PAPANT/2025/08192</t>
  </si>
  <si>
    <t>TRIANA MENA DIEGO FERNANDO</t>
  </si>
  <si>
    <t>Pago de cliente S/ 172.78 - TRIANA MENA DIEGO FERNANDO - 01/01/2026</t>
  </si>
  <si>
    <t>B B01-00003632</t>
  </si>
  <si>
    <t>PAPANT/2025/08191 (B B01-00003605)</t>
  </si>
  <si>
    <t>PAPANT/2025/08191</t>
  </si>
  <si>
    <t>DE LAS CASAS BATTIFORA, VALERIE DENISSE</t>
  </si>
  <si>
    <t>Pago de cliente S/ 22.00 - DE LAS CASAS BATTIFORA, VALERIE DENISSE - 01/01/2026</t>
  </si>
  <si>
    <t>B B01-00003605</t>
  </si>
  <si>
    <t>PAPANT/2025/08190 (B B01-00003587)</t>
  </si>
  <si>
    <t>PAPANT/2025/08190</t>
  </si>
  <si>
    <t>INFANTE CARPIO VEROBIA ELENA</t>
  </si>
  <si>
    <t>Pago de cliente S/ 253.80 - INFANTE CARPIO VEROBIA ELENA - 01/01/2026</t>
  </si>
  <si>
    <t>B B01-00003587</t>
  </si>
  <si>
    <t>PAPANT/2025/08189 (B B01-00003545)</t>
  </si>
  <si>
    <t>PAPANT/2025/08189</t>
  </si>
  <si>
    <t>RUIZ MENDOZA, JACKELINE</t>
  </si>
  <si>
    <t>Pago de cliente S/ 39.60 - RUIZ MENDOZA, JACKELINE - 01/01/2026</t>
  </si>
  <si>
    <t>B B01-00003545</t>
  </si>
  <si>
    <t>PAPANT/2025/08188 (B B01-00003546)</t>
  </si>
  <si>
    <t>PAPANT/2025/08188</t>
  </si>
  <si>
    <t>Pago de cliente S/ 56.24 - WROBEL KOENIG, ASTRID KATHERINE - 01/01/2026</t>
  </si>
  <si>
    <t>B B01-00003546</t>
  </si>
  <si>
    <t>PAPANT/2025/08187 (B B01-00003547)</t>
  </si>
  <si>
    <t>PAPANT/2025/08187</t>
  </si>
  <si>
    <t>FAJARDO BORJAS, NICOLE MERCEDES</t>
  </si>
  <si>
    <t>Pago de cliente S/ 81.46 - FAJARDO BORJAS, NICOLE MERCEDES - 01/01/2026</t>
  </si>
  <si>
    <t>B B01-00003547</t>
  </si>
  <si>
    <t>PAPANT/2025/08186 (B B01-00003564)</t>
  </si>
  <si>
    <t>PAPANT/2025/08186</t>
  </si>
  <si>
    <t>NIEVES NECIOSUPE, JONATHAN MICHEL</t>
  </si>
  <si>
    <t>Pago de cliente S/ 180.63 - NIEVES NECIOSUPE, JONATHAN MICHEL - 01/01/2026</t>
  </si>
  <si>
    <t>B B01-00003564</t>
  </si>
  <si>
    <t>PAPANT/2025/08185 (B B01-00003566)</t>
  </si>
  <si>
    <t>PAPANT/2025/08185</t>
  </si>
  <si>
    <t>WONG PAAN, EDUARDO RAFAEL</t>
  </si>
  <si>
    <t>Pago de cliente S/ 869.75 - WONG PAAN, EDUARDO RAFAEL - 01/01/2026</t>
  </si>
  <si>
    <t>B B01-00003566</t>
  </si>
  <si>
    <t>PAPANT/2025/08184 (B B01-00003567)</t>
  </si>
  <si>
    <t>PAPANT/2025/08184</t>
  </si>
  <si>
    <t>MOSQUERA PALOMINO, KARISSA TATIANA</t>
  </si>
  <si>
    <t>Pago de cliente S/ 80.56 - MOSQUERA PALOMINO, KARISSA TATIANA - 01/01/2026</t>
  </si>
  <si>
    <t>B B01-00003567</t>
  </si>
  <si>
    <t>PAPANT/2025/08183 (B B01-00003570)</t>
  </si>
  <si>
    <t>PAPANT/2025/08183</t>
  </si>
  <si>
    <t>MONARD SOTERO, MAURICIO</t>
  </si>
  <si>
    <t>Pago de cliente S/ 34.25 - MONARD SOTERO, MAURICIO - 01/01/2026</t>
  </si>
  <si>
    <t>B B01-00003570</t>
  </si>
  <si>
    <t>PAPANT/2025/08182 (B B01-00003519)</t>
  </si>
  <si>
    <t>PAPANT/2025/08182</t>
  </si>
  <si>
    <t>CASTRO QUILCAT, HENRY JOEL</t>
  </si>
  <si>
    <t>Pago de cliente S/ 274.20 - CASTRO QUILCAT, HENRY JOEL - 01/01/2026</t>
  </si>
  <si>
    <t>B B01-00003519</t>
  </si>
  <si>
    <t>PAPANT/2025/08181 (B B01-00003522)</t>
  </si>
  <si>
    <t>PAPANT/2025/08181</t>
  </si>
  <si>
    <t>B B01-00003522</t>
  </si>
  <si>
    <t>PAPANT/2025/08180 (B B01-00003524)</t>
  </si>
  <si>
    <t>PAPANT/2025/08180</t>
  </si>
  <si>
    <t>ZEVILLANOS ARZE, PAULA LORENA</t>
  </si>
  <si>
    <t>Pago de cliente S/ 39.61 - ZEVILLANOS ARZE, PAULA LORENA - 01/01/2026</t>
  </si>
  <si>
    <t>B B01-00003524</t>
  </si>
  <si>
    <t>PAPANT/2025/08179 (B B01-00003526)</t>
  </si>
  <si>
    <t>PAPANT/2025/08179</t>
  </si>
  <si>
    <t>RODRIGUEZ RUIZ, ROMER</t>
  </si>
  <si>
    <t>Pago de cliente S/ 52.65 - RODRIGUEZ RUIZ, ROMER - 01/01/2026</t>
  </si>
  <si>
    <t>B B01-00003526</t>
  </si>
  <si>
    <t>PAPANT/2025/08178 (F F01-00002342)</t>
  </si>
  <si>
    <t>PAPANT/2025/08178</t>
  </si>
  <si>
    <t>WOLF INSTITUTE S.A.C.</t>
  </si>
  <si>
    <t>Pago de cliente S/ 92.71 - WOLF INSTITUTE S.A.C. - 01/01/2026</t>
  </si>
  <si>
    <t>F F01-00002342</t>
  </si>
  <si>
    <t>PAPANT/2025/08177 (B B01-00003474)</t>
  </si>
  <si>
    <t>PAPANT/2025/08177</t>
  </si>
  <si>
    <t>GARCIA CAYSAHUANA, SANDRA BETSABE</t>
  </si>
  <si>
    <t>Pago de cliente S/ 386.71 - GARCIA CAYSAHUANA, SANDRA BETSABE - 01/01/2026</t>
  </si>
  <si>
    <t>B B01-00003474</t>
  </si>
  <si>
    <t>PAPANT/2025/08176 (F F01-00002336)</t>
  </si>
  <si>
    <t>PAPANT/2025/08176</t>
  </si>
  <si>
    <t>CASTRO RAMIREZ GIANCARLO JOHAN</t>
  </si>
  <si>
    <t>Pago de cliente S/ 104.21 - CASTRO RAMIREZ GIANCARLO JOHAN - 01/01/2026</t>
  </si>
  <si>
    <t>F F01-00002336</t>
  </si>
  <si>
    <t>PAPANT/2025/08175 (B B01-00003441)</t>
  </si>
  <si>
    <t>PAPANT/2025/08175</t>
  </si>
  <si>
    <t>HERNANDEZ QUIROZ, FATIMA FABIOLA</t>
  </si>
  <si>
    <t>Pago de cliente S/ 95.05 - HERNANDEZ QUIROZ, FATIMA FABIOLA - 01/01/2026</t>
  </si>
  <si>
    <t>B B01-00003441</t>
  </si>
  <si>
    <t>PAPANT/2025/08174 (B B01-00003442)</t>
  </si>
  <si>
    <t>PAPANT/2025/08174</t>
  </si>
  <si>
    <t>Pago de cliente S/ 81.90 - ROMAN GODOY, MARISOL GAVINA - 01/01/2026</t>
  </si>
  <si>
    <t>B B01-00003442</t>
  </si>
  <si>
    <t>PAPANT/2025/08173 (B B01-00003445)</t>
  </si>
  <si>
    <t>PAPANT/2025/08173</t>
  </si>
  <si>
    <t>SOTOMAYOR VALDIVIA, YTALA CLAUDIA</t>
  </si>
  <si>
    <t>Pago de cliente S/ 451.45 - SOTOMAYOR VALDIVIA, YTALA CLAUDIA - 01/01/2026</t>
  </si>
  <si>
    <t>B B01-00003445</t>
  </si>
  <si>
    <t>PAPANT/2025/08172 (B B01-00003446)</t>
  </si>
  <si>
    <t>PAPANT/2025/08172</t>
  </si>
  <si>
    <t>Pago de cliente S/ 165.93 - CAMPOS VALENCIA, MARIA TERESA - 01/01/2026</t>
  </si>
  <si>
    <t>B B01-00003446</t>
  </si>
  <si>
    <t>PAPANT/2025/08171 (B B01-00003449)</t>
  </si>
  <si>
    <t>PAPANT/2025/08171</t>
  </si>
  <si>
    <t>CASTAÑEDA SANCHEZ, DANNA SILVANA</t>
  </si>
  <si>
    <t>Pago de cliente S/ 58.50 - CASTAÑEDA SANCHEZ, DANNA SILVANA - 01/01/2026</t>
  </si>
  <si>
    <t>B B01-00003449</t>
  </si>
  <si>
    <t>PAPANT/2025/08170 (B B01-00003451)</t>
  </si>
  <si>
    <t>PAPANT/2025/08170</t>
  </si>
  <si>
    <t>CELI RAMIREZ DIEGO ARMANDO</t>
  </si>
  <si>
    <t>Pago de cliente S/ 229.20 - CELI RAMIREZ DIEGO ARMANDO - 01/01/2026</t>
  </si>
  <si>
    <t>B B01-00003451</t>
  </si>
  <si>
    <t>PAPANT/2025/08169 (B B01-00003452)</t>
  </si>
  <si>
    <t>PAPANT/2025/08169</t>
  </si>
  <si>
    <t>ROMERO PINTO, MARIA FERNANDA</t>
  </si>
  <si>
    <t>Pago de cliente S/ 139.82 - ROMERO PINTO, MARIA FERNANDA - 01/01/2026</t>
  </si>
  <si>
    <t>B B01-00003452</t>
  </si>
  <si>
    <t>PAPANT/2025/08168 (B B01-00003460)</t>
  </si>
  <si>
    <t>PAPANT/2025/08168</t>
  </si>
  <si>
    <t>TAFUR HUAMAN, EUSTORGIO MARTIN</t>
  </si>
  <si>
    <t>Pago de cliente S/ 258.00 - TAFUR HUAMAN, EUSTORGIO MARTIN - 01/01/2026</t>
  </si>
  <si>
    <t>B B01-00003460</t>
  </si>
  <si>
    <t>PAPANT/2025/08167 (B B01-00003461)</t>
  </si>
  <si>
    <t>PAPANT/2025/08167</t>
  </si>
  <si>
    <t>Pago de cliente S/ 257.25 - TELLO CASTILLO, PAVEL - 01/01/2026</t>
  </si>
  <si>
    <t>B B01-00003461</t>
  </si>
  <si>
    <t>PAPANT/2025/08166 (B B01-00003397)</t>
  </si>
  <si>
    <t>PAPANT/2025/08166</t>
  </si>
  <si>
    <t>Pago de cliente S/ 43.20 - INFANTE CARPIO VEROBIA ELENA - 01/01/2026</t>
  </si>
  <si>
    <t>B B01-00003397</t>
  </si>
  <si>
    <t>PAPANT/2025/08165 (B B01-00003403)</t>
  </si>
  <si>
    <t>PAPANT/2025/08165</t>
  </si>
  <si>
    <t>CALLA HUANCA, MARIZOL YOBANA</t>
  </si>
  <si>
    <t>Pago de cliente S/ 370.98 - CALLA HUANCA, MARIZOL YOBANA - 01/01/2026</t>
  </si>
  <si>
    <t>B B01-00003403</t>
  </si>
  <si>
    <t>PAPANT/2025/08164 (F F01-00002290)</t>
  </si>
  <si>
    <t>PAPANT/2025/08164</t>
  </si>
  <si>
    <t>MERINO LUCAR ARTURO JOSE</t>
  </si>
  <si>
    <t>Pago de cliente S/ 79.21 - MERINO LUCAR ARTURO JOSE - 01/01/2026</t>
  </si>
  <si>
    <t>F F01-00002290</t>
  </si>
  <si>
    <t>PAPANT/2025/08163 (B B01-00003351)</t>
  </si>
  <si>
    <t>PAPANT/2025/08163</t>
  </si>
  <si>
    <t>HERRERA RAMIREZ, ANGEL EDUARDO</t>
  </si>
  <si>
    <t>Pago de cliente S/ 211.83 - HERRERA RAMIREZ, ANGEL EDUARDO - 01/01/2026</t>
  </si>
  <si>
    <t>B B01-00003351</t>
  </si>
  <si>
    <t>PAPANT/2025/08162 (B B01-00003352)</t>
  </si>
  <si>
    <t>PAPANT/2025/08162</t>
  </si>
  <si>
    <t>HUAPAYA ACUÑA, ALDO ALEJANDRO</t>
  </si>
  <si>
    <t>Pago de cliente S/ 122.95 - HUAPAYA ACUÑA, ALDO ALEJANDRO - 01/01/2026</t>
  </si>
  <si>
    <t>B B01-00003352</t>
  </si>
  <si>
    <t>PAPANT/2025/08161 (B B01-00003356)</t>
  </si>
  <si>
    <t>PAPANT/2025/08161</t>
  </si>
  <si>
    <t>MARQUINA MORAN, ANDREA</t>
  </si>
  <si>
    <t>Pago de cliente S/ 201.58 - MARQUINA MORAN, ANDREA - 01/01/2026</t>
  </si>
  <si>
    <t>B B01-00003356</t>
  </si>
  <si>
    <t>PAPANT/2025/08160 (B B01-00003357)</t>
  </si>
  <si>
    <t>PAPANT/2025/08160</t>
  </si>
  <si>
    <t>VILLALOBOS POGGI, ANA BEATRIZ</t>
  </si>
  <si>
    <t>Pago de cliente S/ 33.21 - VILLALOBOS POGGI, ANA BEATRIZ - 01/01/2026</t>
  </si>
  <si>
    <t>B B01-00003357</t>
  </si>
  <si>
    <t>PAPANT/2025/08159 (B B01-00003270)</t>
  </si>
  <si>
    <t>PAPANT/2025/08159</t>
  </si>
  <si>
    <t>ORMEÑO GARCIA, SANDRA</t>
  </si>
  <si>
    <t>Pago de cliente S/ 67.50 - ORMEÑO GARCIA, SANDRA - 01/01/2026</t>
  </si>
  <si>
    <t>B B01-00003270</t>
  </si>
  <si>
    <t>PAPANT/2025/08158 (B B01-00003271)</t>
  </si>
  <si>
    <t>PAPANT/2025/08158</t>
  </si>
  <si>
    <t>ARAGON PORTUGAL, ANA LUCIA</t>
  </si>
  <si>
    <t>Pago de cliente S/ 149.12 - ARAGON PORTUGAL, ANA LUCIA - 01/01/2026</t>
  </si>
  <si>
    <t>B B01-00003271</t>
  </si>
  <si>
    <t>PAPANT/2025/08157 (B B01-00003273)</t>
  </si>
  <si>
    <t>PAPANT/2025/08157</t>
  </si>
  <si>
    <t>ABAD AMERI, DEISY YANINA</t>
  </si>
  <si>
    <t>Pago de cliente S/ 39.25 - ABAD AMERI, DEISY YANINA - 01/01/2026</t>
  </si>
  <si>
    <t>B B01-00003273</t>
  </si>
  <si>
    <t>PAPANT/2025/08156 (B B01-00003281)</t>
  </si>
  <si>
    <t>PAPANT/2025/08156</t>
  </si>
  <si>
    <t>Pago de cliente S/ 49.50 - ROSAS LUNA, INGRID CAROLINA - 01/01/2026</t>
  </si>
  <si>
    <t>B B01-00003281</t>
  </si>
  <si>
    <t>PAPANT/2025/08155 (B B01-00003282)</t>
  </si>
  <si>
    <t>PAPANT/2025/08155</t>
  </si>
  <si>
    <t>RIZO PATRON SILES, MARCELO MARTIN</t>
  </si>
  <si>
    <t>Pago de cliente S/ 111.25 - RIZO PATRON SILES, MARCELO MARTIN - 01/01/2026</t>
  </si>
  <si>
    <t>B B01-00003282</t>
  </si>
  <si>
    <t>PAPANT/2025/08154 (B B01-00003283)</t>
  </si>
  <si>
    <t>PAPANT/2025/08154</t>
  </si>
  <si>
    <t>MENA DIAZ, MARIANA GLENDA</t>
  </si>
  <si>
    <t>Pago de cliente S/ 95.80 - MENA DIAZ, MARIANA GLENDA - 01/01/2026</t>
  </si>
  <si>
    <t>B B01-00003283</t>
  </si>
  <si>
    <t>PAPANT/2025/08153 (B B01-00003288)</t>
  </si>
  <si>
    <t>PAPANT/2025/08153</t>
  </si>
  <si>
    <t>ESPINOZA PENAS, SONIA SOFIA</t>
  </si>
  <si>
    <t>Pago de cliente S/ 145.09 - ESPINOZA PENAS, SONIA SOFIA - 01/01/2026</t>
  </si>
  <si>
    <t>B B01-00003288</t>
  </si>
  <si>
    <t>PAPANT/2025/08152 (B B01-00003290)</t>
  </si>
  <si>
    <t>PAPANT/2025/08152</t>
  </si>
  <si>
    <t>Pago de cliente S/ 163.85 - ALBA GONZALEZ, ANDREA FRANCES - 01/01/2026</t>
  </si>
  <si>
    <t>B B01-00003290</t>
  </si>
  <si>
    <t>PAPANT/2025/08151 (B B01-00003293)</t>
  </si>
  <si>
    <t>PAPANT/2025/08151</t>
  </si>
  <si>
    <t>YAVAR CHOQUE, PERCY JAVIER</t>
  </si>
  <si>
    <t>Pago de cliente S/ 44.01 - YAVAR CHOQUE, PERCY JAVIER - 01/01/2026</t>
  </si>
  <si>
    <t>B B01-00003293</t>
  </si>
  <si>
    <t>PAPANT/2025/08150 (B B01-00003304)</t>
  </si>
  <si>
    <t>PAPANT/2025/08150</t>
  </si>
  <si>
    <t>BAZAN CHIESA, MARIA JOSE</t>
  </si>
  <si>
    <t>Pago de cliente S/ 40.50 - BAZAN CHIESA, MARIA JOSE - 01/01/2026</t>
  </si>
  <si>
    <t>B B01-00003304</t>
  </si>
  <si>
    <t>PAPANT/2025/08149 (B B01-00003249)</t>
  </si>
  <si>
    <t>PAPANT/2025/08149</t>
  </si>
  <si>
    <t>Pago de cliente S/ 132.99 - PANTIGOSO ROSAS, JASSON ABRAHAM - 01/01/2026</t>
  </si>
  <si>
    <t>B B01-00003249</t>
  </si>
  <si>
    <t>PAPANT/2025/08148 (B B01-00003254)</t>
  </si>
  <si>
    <t>PAPANT/2025/08148</t>
  </si>
  <si>
    <t>LEON LOPEZ LUZ GABRIELA</t>
  </si>
  <si>
    <t>Pago de cliente S/ 229.32 - LEON LOPEZ LUZ GABRIELA - 01/01/2026</t>
  </si>
  <si>
    <t>B B01-00003254</t>
  </si>
  <si>
    <t>PAPANT/2025/08147 (B B01-00003255)</t>
  </si>
  <si>
    <t>PAPANT/2025/08147</t>
  </si>
  <si>
    <t>Pago de cliente S/ 197.01 - MANCO MATOS, VICTOR CHRISTIAN - 01/01/2026</t>
  </si>
  <si>
    <t>B B01-00003255</t>
  </si>
  <si>
    <t>PAPANT/2025/08146 (B B01-00003230)</t>
  </si>
  <si>
    <t>PAPANT/2025/08146</t>
  </si>
  <si>
    <t>DONAYRE LEON, CLAUDIA SHIRLEY</t>
  </si>
  <si>
    <t>Pago de cliente S/ 123.00 - DONAYRE LEON, CLAUDIA SHIRLEY - 01/01/2026</t>
  </si>
  <si>
    <t>B B01-00003230</t>
  </si>
  <si>
    <t>PAPANT/2025/08145 (B B01-00003236)</t>
  </si>
  <si>
    <t>PAPANT/2025/08145</t>
  </si>
  <si>
    <t>Pago de cliente S/ 34.25 - YAVAR CHOQUE, PERCY JAVIER - 01/01/2026</t>
  </si>
  <si>
    <t>B B01-00003236</t>
  </si>
  <si>
    <t>PAPANT/2025/08144 (B B01-00003214)</t>
  </si>
  <si>
    <t>PAPANT/2025/08144</t>
  </si>
  <si>
    <t>Pago de cliente S/ 81.55 - YANA MOTTA, DAFNY MARGOTH - 01/01/2026</t>
  </si>
  <si>
    <t>B B01-00003214</t>
  </si>
  <si>
    <t>PAPANT/2025/08143 (B B01-00003202)</t>
  </si>
  <si>
    <t>PAPANT/2025/08143</t>
  </si>
  <si>
    <t>HERNANDEZ URIARTE, CARLOS ANDREZ</t>
  </si>
  <si>
    <t>Pago de cliente S/ 184.00 - HERNANDEZ URIARTE, CARLOS ANDREZ - 01/01/2026</t>
  </si>
  <si>
    <t>B B01-00003202</t>
  </si>
  <si>
    <t>PAPANT/2025/08142 (B B01-00003204)</t>
  </si>
  <si>
    <t>PAPANT/2025/08142</t>
  </si>
  <si>
    <t>VALER BEJARANO, JHERSY</t>
  </si>
  <si>
    <t>Pago de cliente S/ 40.50 - VALER BEJARANO, JHERSY - 01/01/2026</t>
  </si>
  <si>
    <t>B B01-00003204</t>
  </si>
  <si>
    <t>PAPANT/2025/08141 (B B01-00003206)</t>
  </si>
  <si>
    <t>PAPANT/2025/08141</t>
  </si>
  <si>
    <t>ROSELL GUEVARA, EMILY JOHANNA</t>
  </si>
  <si>
    <t>Pago de cliente S/ 101.69 - ROSELL GUEVARA, EMILY JOHANNA - 01/01/2026</t>
  </si>
  <si>
    <t>B B01-00003206</t>
  </si>
  <si>
    <t>PAPANT/2025/08140 (B B01-00003155)</t>
  </si>
  <si>
    <t>PAPANT/2025/08140</t>
  </si>
  <si>
    <t>ZAVALA CASTILLO, JOSE ANTONIO</t>
  </si>
  <si>
    <t>Pago de cliente S/ 107.05 - ZAVALA CASTILLO, JOSE ANTONIO - 01/01/2026</t>
  </si>
  <si>
    <t>B B01-00003155</t>
  </si>
  <si>
    <t>PAPANT/2025/08139 (B B01-00003157)</t>
  </si>
  <si>
    <t>PAPANT/2025/08139</t>
  </si>
  <si>
    <t>CUEVA VILLEGAS, SARITA MAGALY</t>
  </si>
  <si>
    <t>Pago de cliente S/ 49.15 - CUEVA VILLEGAS, SARITA MAGALY - 01/01/2026</t>
  </si>
  <si>
    <t>B B01-00003157</t>
  </si>
  <si>
    <t>PAPANT/2025/08138 (B B01-00003159)</t>
  </si>
  <si>
    <t>PAPANT/2025/08138</t>
  </si>
  <si>
    <t>CORDOVA MORALES, JAVIER</t>
  </si>
  <si>
    <t>Pago de cliente S/ 70.20 - CORDOVA MORALES, JAVIER - 01/01/2026</t>
  </si>
  <si>
    <t>B B01-00003159</t>
  </si>
  <si>
    <t>PAPANT/2025/08137 (B B01-00003166)</t>
  </si>
  <si>
    <t>PAPANT/2025/08137</t>
  </si>
  <si>
    <t>CHOY LANGUASCO, MARIANA</t>
  </si>
  <si>
    <t>Pago de cliente S/ 84.18 - CHOY LANGUASCO, MARIANA - 01/01/2026</t>
  </si>
  <si>
    <t>B B01-00003166</t>
  </si>
  <si>
    <t>PAPANT/2025/08136 (B B01-00003174)</t>
  </si>
  <si>
    <t>PAPANT/2025/08136</t>
  </si>
  <si>
    <t>TAFUR YBAÑEZ, LUCCIANA ITAI</t>
  </si>
  <si>
    <t>Pago de cliente S/ 22.00 - TAFUR YBAÑEZ, LUCCIANA ITAI - 01/01/2026</t>
  </si>
  <si>
    <t>B B01-00003174</t>
  </si>
  <si>
    <t>PAPANT/2025/08135 (B B01-00003175)</t>
  </si>
  <si>
    <t>PAPANT/2025/08135</t>
  </si>
  <si>
    <t>MURO MURGUIA, GABRIELA AURORA</t>
  </si>
  <si>
    <t>Pago de cliente S/ 224.30 - MURO MURGUIA, GABRIELA AURORA - 01/01/2026</t>
  </si>
  <si>
    <t>B B01-00003175</t>
  </si>
  <si>
    <t>PAPANT/2025/08134 (B B01-00003176)</t>
  </si>
  <si>
    <t>PAPANT/2025/08134</t>
  </si>
  <si>
    <t>Pago de cliente S/ 99.00 - RODRIGUEZ ROSALES, MARIA LAURA - 01/01/2026</t>
  </si>
  <si>
    <t>B B01-00003176</t>
  </si>
  <si>
    <t>PAPANT/2025/08133 (B B01-00003177)</t>
  </si>
  <si>
    <t>PAPANT/2025/08133</t>
  </si>
  <si>
    <t>MENDOZA RIMACHE, JESUS ALEJANDRO</t>
  </si>
  <si>
    <t>Pago de cliente S/ 61.19 - MENDOZA RIMACHE, JESUS ALEJANDRO - 01/01/2026</t>
  </si>
  <si>
    <t>B B01-00003177</t>
  </si>
  <si>
    <t>PAPANT/2025/08132 (B B01-00003178)</t>
  </si>
  <si>
    <t>PAPANT/2025/08132</t>
  </si>
  <si>
    <t>Pago de cliente S/ 356.58 - DE LA PEÑA DE LA CRUZ ABRIL - 01/01/2026</t>
  </si>
  <si>
    <t>B B01-00003178</t>
  </si>
  <si>
    <t>PAPANT/2025/08131 (B B01-00003179)</t>
  </si>
  <si>
    <t>PAPANT/2025/08131</t>
  </si>
  <si>
    <t>OLAECHEA BENITES, ANTUANET ALEJANDRINA</t>
  </si>
  <si>
    <t>Pago de cliente S/ 74.70 - OLAECHEA BENITES, ANTUANET ALEJANDRINA - 01/01/2026</t>
  </si>
  <si>
    <t>B B01-00003179</t>
  </si>
  <si>
    <t>PAPANT/2025/08130 (B B01-00003183)</t>
  </si>
  <si>
    <t>PAPANT/2025/08130</t>
  </si>
  <si>
    <t>ALVAREZ THORNDIKE, CARMEN ALICIA</t>
  </si>
  <si>
    <t>Pago de cliente S/ 551.80 - ALVAREZ THORNDIKE, CARMEN ALICIA - 01/01/2026</t>
  </si>
  <si>
    <t>B B01-00003183</t>
  </si>
  <si>
    <t>PAPANT/2025/08129 (B B01-00003188)</t>
  </si>
  <si>
    <t>PAPANT/2025/08129</t>
  </si>
  <si>
    <t>RODRIGUEZ PRIETO, CLAUDIA KATHERINE</t>
  </si>
  <si>
    <t>Pago de cliente S/ 92.00 - RODRIGUEZ PRIETO, CLAUDIA KATHERINE - 01/01/2026</t>
  </si>
  <si>
    <t>B B01-00003188</t>
  </si>
  <si>
    <t>PAPANT/2025/08128 (B B01-00003190)</t>
  </si>
  <si>
    <t>PAPANT/2025/08128</t>
  </si>
  <si>
    <t>GARCIA CORDOVA, LUCIA</t>
  </si>
  <si>
    <t>Pago de cliente S/ 244.79 - GARCIA CORDOVA, LUCIA - 01/01/2026</t>
  </si>
  <si>
    <t>B B01-00003190</t>
  </si>
  <si>
    <t>PAPANT/2025/08127 (B B01-00003143)</t>
  </si>
  <si>
    <t>PAPANT/2025/08127</t>
  </si>
  <si>
    <t>OBANDO CASTILLO, ULISES BENEDICTO</t>
  </si>
  <si>
    <t>Pago de cliente S/ 493.75 - OBANDO CASTILLO, ULISES BENEDICTO - 01/01/2026</t>
  </si>
  <si>
    <t>B B01-00003143</t>
  </si>
  <si>
    <t>PAPANT/2025/08126 (B B01-00003145)</t>
  </si>
  <si>
    <t>PAPANT/2025/08126</t>
  </si>
  <si>
    <t>Pago de cliente S/ 65.92 - CAMPOS VALENCIA, MARIA TERESA - 01/01/2026</t>
  </si>
  <si>
    <t>B B01-00003145</t>
  </si>
  <si>
    <t>PAPANT/2025/08125 (B B01-00003148)</t>
  </si>
  <si>
    <t>PAPANT/2025/08125</t>
  </si>
  <si>
    <t>ROSALES MINAYA, LUCCIANA</t>
  </si>
  <si>
    <t>Pago de cliente S/ 27.54 - ROSALES MINAYA, LUCCIANA - 01/01/2026</t>
  </si>
  <si>
    <t>B B01-00003148</t>
  </si>
  <si>
    <t>PAPANT/2025/08124 (B B01-00003121)</t>
  </si>
  <si>
    <t>PAPANT/2025/08124</t>
  </si>
  <si>
    <t>TENGUAN TSUKAYAMA, JOSE AUGUSTO</t>
  </si>
  <si>
    <t>Pago de cliente S/ 220.32 - TENGUAN TSUKAYAMA, JOSE AUGUSTO - 01/01/2026</t>
  </si>
  <si>
    <t>B B01-00003121</t>
  </si>
  <si>
    <t>PAPANT/2025/08123 (B B01-00003122)</t>
  </si>
  <si>
    <t>PAPANT/2025/08123</t>
  </si>
  <si>
    <t>AYERVE ROMERO, ATENAS ADRIANA</t>
  </si>
  <si>
    <t>Pago de cliente S/ 71.92 - AYERVE ROMERO, ATENAS ADRIANA - 01/01/2026</t>
  </si>
  <si>
    <t>B B01-00003122</t>
  </si>
  <si>
    <t>PAPANT/2025/08122 (B B01-00003127)</t>
  </si>
  <si>
    <t>PAPANT/2025/08122</t>
  </si>
  <si>
    <t>GUTIERREZ CHOCHOCA, JORGE ALVARO</t>
  </si>
  <si>
    <t>Pago de cliente S/ 58.50 - GUTIERREZ CHOCHOCA, JORGE ALVARO - 01/01/2026</t>
  </si>
  <si>
    <t>B B01-00003127</t>
  </si>
  <si>
    <t>PAPANT/2025/08121 (B B01-00003129)</t>
  </si>
  <si>
    <t>PAPANT/2025/08121</t>
  </si>
  <si>
    <t>O'HIGGINS YCHIYANAGUI, MARCO ANTONIO</t>
  </si>
  <si>
    <t>Pago de cliente S/ 106.74 - O'HIGGINS YCHIYANAGUI, MARCO ANTONIO - 01/01/2026</t>
  </si>
  <si>
    <t>B B01-00003129</t>
  </si>
  <si>
    <t>PAPANT/2025/08120 (B B01-00003130)</t>
  </si>
  <si>
    <t>PAPANT/2025/08120</t>
  </si>
  <si>
    <t>BURGOS VILLANUEVA, ANA</t>
  </si>
  <si>
    <t>Pago de cliente S/ 456.89 - BURGOS VILLANUEVA, ANA - 01/01/2026</t>
  </si>
  <si>
    <t>B B01-00003130</t>
  </si>
  <si>
    <t>PAPANT/2025/08119 (B B01-00003131)</t>
  </si>
  <si>
    <t>PAPANT/2025/08119</t>
  </si>
  <si>
    <t>LOPEZ LEON, VANESSA ROXANA</t>
  </si>
  <si>
    <t>Pago de cliente S/ 39.97 - LOPEZ LEON, VANESSA ROXANA - 01/01/2026</t>
  </si>
  <si>
    <t>B B01-00003131</t>
  </si>
  <si>
    <t>PAPANT/2025/08118 (B B01-00003132)</t>
  </si>
  <si>
    <t>PAPANT/2025/08118</t>
  </si>
  <si>
    <t>GONZALEZ DEL RIEGO GARCIA, MELISSA CATHERINE</t>
  </si>
  <si>
    <t>Pago de cliente S/ 98.91 - GONZALEZ DEL RIEGO GARCIA, MELISSA CATHERINE - 01/01/2026</t>
  </si>
  <si>
    <t>B B01-00003132</t>
  </si>
  <si>
    <t>PAPANT/2025/08117 (B B01-00003118)</t>
  </si>
  <si>
    <t>PAPANT/2025/08117</t>
  </si>
  <si>
    <t>Pago de cliente S/ 326.70 - BAZALAR CHAVARRIA, MARCIA MIRELLA - 01/01/2026</t>
  </si>
  <si>
    <t>B B01-00003118</t>
  </si>
  <si>
    <t>PAPANT/2025/08116 (F F01-00002144)</t>
  </si>
  <si>
    <t>PAPANT/2025/08116</t>
  </si>
  <si>
    <t>ECO RAPAZ E.I.R.L.</t>
  </si>
  <si>
    <t>Pago de cliente S/ 89.91 - ECO RAPAZ E.I.R.L. - 01/01/2026</t>
  </si>
  <si>
    <t>F F01-00002144</t>
  </si>
  <si>
    <t>PAPANT/2025/08115 (B B01-00003082)</t>
  </si>
  <si>
    <t>PAPANT/2025/08115</t>
  </si>
  <si>
    <t>FLORIAN LOZANO, JESSICA MARIA</t>
  </si>
  <si>
    <t>Pago de cliente S/ 136.21 - FLORIAN LOZANO, JESSICA MARIA - 01/01/2026</t>
  </si>
  <si>
    <t>B B01-00003082</t>
  </si>
  <si>
    <t>PAPANT/2025/08114 (B B01-00003101)</t>
  </si>
  <si>
    <t>PAPANT/2025/08114</t>
  </si>
  <si>
    <t>Pago de cliente S/ 54.01 - BUSTAMANTE SOLANO, JAVIER ALVARO - 01/01/2026</t>
  </si>
  <si>
    <t>B B01-00003101</t>
  </si>
  <si>
    <t>PAPANT/2025/08113 (B B01-00003102)</t>
  </si>
  <si>
    <t>PAPANT/2025/08113</t>
  </si>
  <si>
    <t>NIGHTINGALE ALFARO, ALICIA</t>
  </si>
  <si>
    <t>Pago de cliente S/ 97.45 - NIGHTINGALE ALFARO, ALICIA - 01/01/2026</t>
  </si>
  <si>
    <t>B B01-00003102</t>
  </si>
  <si>
    <t>PAPANT/2025/08112 (B B01-00003071)</t>
  </si>
  <si>
    <t>PAPANT/2025/08112</t>
  </si>
  <si>
    <t>ASPAJO LAVALLE, NELLA FERNANDA</t>
  </si>
  <si>
    <t>Pago de cliente S/ 68.13 - ASPAJO LAVALLE, NELLA FERNANDA - 01/01/2026</t>
  </si>
  <si>
    <t>B B01-00003071</t>
  </si>
  <si>
    <t>PAPANT/2025/08111 (B B01-00003072)</t>
  </si>
  <si>
    <t>PAPANT/2025/08111</t>
  </si>
  <si>
    <t>SMITH ALVAREZ, JESSICA ESTEFANIA</t>
  </si>
  <si>
    <t>Pago de cliente S/ 66.52 - SMITH ALVAREZ, JESSICA ESTEFANIA - 01/01/2026</t>
  </si>
  <si>
    <t>B B01-00003072</t>
  </si>
  <si>
    <t>PAPANT/2025/08110 (B B01-00003076)</t>
  </si>
  <si>
    <t>PAPANT/2025/08110</t>
  </si>
  <si>
    <t>Pago de cliente S/ 148.60 - ZAMORA BEYK, HERCY GABRIELA - 01/01/2026</t>
  </si>
  <si>
    <t>B B01-00003076</t>
  </si>
  <si>
    <t>PAPANT/2025/08109 (B B01-00003078)</t>
  </si>
  <si>
    <t>PAPANT/2025/08109</t>
  </si>
  <si>
    <t>CARPIO GARCIA, ARIANA IVONNE</t>
  </si>
  <si>
    <t>Pago de cliente S/ 56.24 - CARPIO GARCIA, ARIANA IVONNE - 01/01/2026</t>
  </si>
  <si>
    <t>B B01-00003078</t>
  </si>
  <si>
    <t>PAPANT/2025/08108 (B B01-00003049)</t>
  </si>
  <si>
    <t>PAPANT/2025/08108</t>
  </si>
  <si>
    <t>MONTAÑO CHAVEZ, MARCO ALONSO</t>
  </si>
  <si>
    <t>Pago de cliente S/ 121.52 - MONTAÑO CHAVEZ, MARCO ALONSO - 01/01/2026</t>
  </si>
  <si>
    <t>B B01-00003049</t>
  </si>
  <si>
    <t>PAPANT/2025/08107 (B B01-00003038)</t>
  </si>
  <si>
    <t>PAPANT/2025/08107</t>
  </si>
  <si>
    <t>MORA PANCORBO, SERGIO MARTIN</t>
  </si>
  <si>
    <t>Pago de cliente S/ 40.51 - MORA PANCORBO, SERGIO MARTIN - 01/01/2026</t>
  </si>
  <si>
    <t>B B01-00003038</t>
  </si>
  <si>
    <t>PAPANT/2025/08106 (B B01-00003035)</t>
  </si>
  <si>
    <t>PAPANT/2025/08106</t>
  </si>
  <si>
    <t>ALVAREZ TIBURCIO, KAREN MISHELL</t>
  </si>
  <si>
    <t>Pago de cliente S/ 174.25 - ALVAREZ TIBURCIO, KAREN MISHELL - 01/01/2026</t>
  </si>
  <si>
    <t>B B01-00003035</t>
  </si>
  <si>
    <t>PAPANT/2025/08105 (B B01-00003015)</t>
  </si>
  <si>
    <t>PAPANT/2025/08105</t>
  </si>
  <si>
    <t>Pago de cliente S/ 297.00 - CELI RAMIREZ DIEGO ARMANDO - 01/01/2026</t>
  </si>
  <si>
    <t>B B01-00003015</t>
  </si>
  <si>
    <t>PAPANT/2025/08104 (B B01-00003016)</t>
  </si>
  <si>
    <t>PAPANT/2025/08104</t>
  </si>
  <si>
    <t>CHONG TAVARA, CAMILA XIMENA</t>
  </si>
  <si>
    <t>Pago de cliente S/ 338.09 - CHONG TAVARA, CAMILA XIMENA - 01/01/2026</t>
  </si>
  <si>
    <t>B B01-00003016</t>
  </si>
  <si>
    <t>PAPANT/2025/08103 (B B01-00003020)</t>
  </si>
  <si>
    <t>PAPANT/2025/08103</t>
  </si>
  <si>
    <t>GAGO TINEO, MARTHA MAGDALENA</t>
  </si>
  <si>
    <t>Pago de cliente S/ 65.70 - GAGO TINEO, MARTHA MAGDALENA - 01/01/2026</t>
  </si>
  <si>
    <t>B B01-00003020</t>
  </si>
  <si>
    <t>PAPANT/2025/08102 (B B01-00003024)</t>
  </si>
  <si>
    <t>PAPANT/2025/08102</t>
  </si>
  <si>
    <t>Pago de cliente S/ 390.60 - VALER BEJARANO, JHERSY - 01/01/2026</t>
  </si>
  <si>
    <t>B B01-00003024</t>
  </si>
  <si>
    <t>PAPANT/2025/08101 (B B01-00003004)</t>
  </si>
  <si>
    <t>PAPANT/2025/08101</t>
  </si>
  <si>
    <t>PUMA TORRES, DIANA GABRIELA</t>
  </si>
  <si>
    <t>Pago de cliente S/ 167.77 - PUMA TORRES, DIANA GABRIELA - 01/01/2026</t>
  </si>
  <si>
    <t>B B01-00003004</t>
  </si>
  <si>
    <t>PAPANT/2025/08100 (B B01-00003009)</t>
  </si>
  <si>
    <t>PAPANT/2025/08100</t>
  </si>
  <si>
    <t>COTRINA CANCHO, ANA CRISTINA</t>
  </si>
  <si>
    <t>Pago de cliente S/ 34.25 - COTRINA CANCHO, ANA CRISTINA - 01/01/2026</t>
  </si>
  <si>
    <t>B B01-00003009</t>
  </si>
  <si>
    <t>PAPANT/2025/08099 (B B01-00002974)</t>
  </si>
  <si>
    <t>PAPANT/2025/08099</t>
  </si>
  <si>
    <t>QUIROZ SANCHEZ, JANET MILAGROS</t>
  </si>
  <si>
    <t>Pago de cliente S/ 20.00 - QUIROZ SANCHEZ, JANET MILAGROS - 01/01/2026</t>
  </si>
  <si>
    <t>B B01-00002974</t>
  </si>
  <si>
    <t>PAPANT/2025/08098 (B B01-00002975)</t>
  </si>
  <si>
    <t>PAPANT/2025/08098</t>
  </si>
  <si>
    <t>Pago de cliente S/ 79.30 - PANTIGOSO ROSAS, JASSON ABRAHAM - 01/01/2026</t>
  </si>
  <si>
    <t>B B01-00002975</t>
  </si>
  <si>
    <t>PAPANT/2025/08097 (B B01-00002976)</t>
  </si>
  <si>
    <t>PAPANT/2025/08097</t>
  </si>
  <si>
    <t>Pago de cliente S/ 52.20 - MENDOZA ROCA, VANIA ANDREA - 01/01/2026</t>
  </si>
  <si>
    <t>B B01-00002976</t>
  </si>
  <si>
    <t>PAPANT/2025/08096 (B B01-00002986)</t>
  </si>
  <si>
    <t>PAPANT/2025/08096</t>
  </si>
  <si>
    <t>RIVAS QUISPE, JHONATHAN JESUS</t>
  </si>
  <si>
    <t>Pago de cliente S/ 89.00 - RIVAS QUISPE, JHONATHAN JESUS - 01/01/2026</t>
  </si>
  <si>
    <t>B B01-00002986</t>
  </si>
  <si>
    <t>PAPANT/2025/08095 (B B01-00002991)</t>
  </si>
  <si>
    <t>PAPANT/2025/08095</t>
  </si>
  <si>
    <t>SCHREIER RECK, ANNEMARIE EVA</t>
  </si>
  <si>
    <t>Pago de cliente S/ 159.85 - SCHREIER RECK, ANNEMARIE EVA - 01/01/2026</t>
  </si>
  <si>
    <t>B B01-00002991</t>
  </si>
  <si>
    <t>PAPANT/2025/08094 (B B01-00002993)</t>
  </si>
  <si>
    <t>PAPANT/2025/08094</t>
  </si>
  <si>
    <t>Pago de cliente S/ 236.41 - RIOS SOLAR, MICAELA VICTORIA - 01/01/2026</t>
  </si>
  <si>
    <t>B B01-00002993</t>
  </si>
  <si>
    <t>PAPANT/2025/08093 (B B01-00002999)</t>
  </si>
  <si>
    <t>PAPANT/2025/08093</t>
  </si>
  <si>
    <t>CHAVARRI VARGAS, KARLA ANTUANE</t>
  </si>
  <si>
    <t>Pago de cliente S/ 129.01 - CHAVARRI VARGAS, KARLA ANTUANE - 01/01/2026</t>
  </si>
  <si>
    <t>B B01-00002999</t>
  </si>
  <si>
    <t>PAPANT/2025/08092 (B B01-00003001)</t>
  </si>
  <si>
    <t>PAPANT/2025/08092</t>
  </si>
  <si>
    <t>TALANCHA PALACIOS, JUAN CARLOS</t>
  </si>
  <si>
    <t>Pago de cliente S/ 163.71 - TALANCHA PALACIOS, JUAN CARLOS - 01/01/2026</t>
  </si>
  <si>
    <t>B B01-00003001</t>
  </si>
  <si>
    <t>PAPANT/2025/08091 (B B01-00002852)</t>
  </si>
  <si>
    <t>PAPANT/2025/08091</t>
  </si>
  <si>
    <t>CONTRERAS ERAZO, LISSETH JAQUELINE</t>
  </si>
  <si>
    <t>Pago de cliente S/ 432.64 - CONTRERAS ERAZO, LISSETH JAQUELINE - 01/01/2026</t>
  </si>
  <si>
    <t>B B01-00002852</t>
  </si>
  <si>
    <t>PAPANT/2025/08090 (B B01-00002841)</t>
  </si>
  <si>
    <t>PAPANT/2025/08090</t>
  </si>
  <si>
    <t>Pago de cliente S/ 199.52 - CERVANTES YRIGOYEN, FABRICIO - 01/01/2026</t>
  </si>
  <si>
    <t>B B01-00002841</t>
  </si>
  <si>
    <t>PAPANT/2025/08089 (B B01-00002843)</t>
  </si>
  <si>
    <t>PAPANT/2025/08089</t>
  </si>
  <si>
    <t>LAZO QUISPE, MICHAEL STEEV</t>
  </si>
  <si>
    <t>Pago de cliente S/ 143.10 - LAZO QUISPE, MICHAEL STEEV - 01/01/2026</t>
  </si>
  <si>
    <t>B B01-00002843</t>
  </si>
  <si>
    <t>PAPANT/2025/08088 (B B01-00002844)</t>
  </si>
  <si>
    <t>PAPANT/2025/08088</t>
  </si>
  <si>
    <t>OSCCO PONCE, GABRIELA</t>
  </si>
  <si>
    <t>Pago de cliente S/ 121.86 - OSCCO PONCE, GABRIELA - 01/01/2026</t>
  </si>
  <si>
    <t>B B01-00002844</t>
  </si>
  <si>
    <t>PAPANT/2025/08087 (B B01-00002845)</t>
  </si>
  <si>
    <t>PAPANT/2025/08087</t>
  </si>
  <si>
    <t>B B01-00002845</t>
  </si>
  <si>
    <t>PAPANT/2025/08086 (B B01-00002847)</t>
  </si>
  <si>
    <t>PAPANT/2025/08086</t>
  </si>
  <si>
    <t>Pago de cliente S/ 247.20 - PEREZ GAMBINI, MIGUEL HUMBERTO - 01/01/2026</t>
  </si>
  <si>
    <t>B B01-00002847</t>
  </si>
  <si>
    <t>PAPANT/2025/08085 (B B01-00002848)</t>
  </si>
  <si>
    <t>PAPANT/2025/08085</t>
  </si>
  <si>
    <t>DE LA CRUZ LOPEZ, ABIGAIL ELVIRA</t>
  </si>
  <si>
    <t>Pago de cliente S/ 215.57 - DE LA CRUZ LOPEZ, ABIGAIL ELVIRA - 01/01/2026</t>
  </si>
  <si>
    <t>B B01-00002848</t>
  </si>
  <si>
    <t>PAPANT/2025/08084 (B B01-00002851)</t>
  </si>
  <si>
    <t>PAPANT/2025/08084</t>
  </si>
  <si>
    <t>LARCO MADUEÑO, JIMMY ALFREDO</t>
  </si>
  <si>
    <t>Pago de cliente S/ 341.65 - LARCO MADUEÑO, JIMMY ALFREDO - 01/01/2026</t>
  </si>
  <si>
    <t>B B01-00002851</t>
  </si>
  <si>
    <t>PAPANT/2025/08083 (B B01-00002837)</t>
  </si>
  <si>
    <t>PAPANT/2025/08083</t>
  </si>
  <si>
    <t>ZEVALLOS MAMANI, YETTY</t>
  </si>
  <si>
    <t>Pago de cliente S/ 152.38 - ZEVALLOS MAMANI, YETTY - 01/01/2026</t>
  </si>
  <si>
    <t>B B01-00002837</t>
  </si>
  <si>
    <t>PAPANT/2025/08082 (B B01-00002839)</t>
  </si>
  <si>
    <t>PAPANT/2025/08082</t>
  </si>
  <si>
    <t>VILLARREAL CCAHUATA, CLAUDIA</t>
  </si>
  <si>
    <t>Pago de cliente S/ 77.06 - VILLARREAL CCAHUATA, CLAUDIA - 01/01/2026</t>
  </si>
  <si>
    <t>B B01-00002839</t>
  </si>
  <si>
    <t>PAPANT/2025/08081 (B B01-00002817)</t>
  </si>
  <si>
    <t>PAPANT/2025/08081</t>
  </si>
  <si>
    <t>GOMEZ MAC PHERSON, MELISSA YAZZMIN</t>
  </si>
  <si>
    <t>Pago de cliente S/ 31.00 - GOMEZ MAC PHERSON, MELISSA YAZZMIN - 01/01/2026</t>
  </si>
  <si>
    <t>B B01-00002817</t>
  </si>
  <si>
    <t>PAPANT/2025/08080 (B B01-00002820)</t>
  </si>
  <si>
    <t>PAPANT/2025/08080</t>
  </si>
  <si>
    <t>CAPARACHIN APARICIO, SAMUEL RENATO</t>
  </si>
  <si>
    <t>Pago de cliente S/ 208.89 - CAPARACHIN APARICIO, SAMUEL RENATO - 01/01/2026</t>
  </si>
  <si>
    <t>B B01-00002820</t>
  </si>
  <si>
    <t>PAPANT/2025/08079 (B B01-00002821)</t>
  </si>
  <si>
    <t>PAPANT/2025/08079</t>
  </si>
  <si>
    <t>MAGALLANES MALDONADO, DANNY RONALD</t>
  </si>
  <si>
    <t>Pago de cliente S/ 304.20 - MAGALLANES MALDONADO, DANNY RONALD - 01/01/2026</t>
  </si>
  <si>
    <t>B B01-00002821</t>
  </si>
  <si>
    <t>PAPANT/2025/08078 (B B01-00002823)</t>
  </si>
  <si>
    <t>PAPANT/2025/08078</t>
  </si>
  <si>
    <t>Pago de cliente S/ 72.55 - ORTIZ TUESTA, ERIKA - 01/01/2026</t>
  </si>
  <si>
    <t>B B01-00002823</t>
  </si>
  <si>
    <t>PAPANT/2025/08077 (B B01-00002783)</t>
  </si>
  <si>
    <t>PAPANT/2025/08077</t>
  </si>
  <si>
    <t>LIMONCHI BONILLA, ONELIA NATALIA</t>
  </si>
  <si>
    <t>Pago de cliente S/ 249.02 - LIMONCHI BONILLA, ONELIA NATALIA - 01/01/2026</t>
  </si>
  <si>
    <t>B B01-00002783</t>
  </si>
  <si>
    <t>PAPANT/2025/08076 (B B01-00002788)</t>
  </si>
  <si>
    <t>PAPANT/2025/08076</t>
  </si>
  <si>
    <t>PANDURO PALAZUELOS, HEBER</t>
  </si>
  <si>
    <t>Pago de cliente S/ 193.67 - PANDURO PALAZUELOS, HEBER - 01/01/2026</t>
  </si>
  <si>
    <t>B B01-00002788</t>
  </si>
  <si>
    <t>PAPANT/2025/08075 (B B01-00002789)</t>
  </si>
  <si>
    <t>PAPANT/2025/08075</t>
  </si>
  <si>
    <t>GUEVARA CALDERON, KAROL HAYLEN</t>
  </si>
  <si>
    <t>Pago de cliente S/ 91.80 - GUEVARA CALDERON, KAROL HAYLEN - 01/01/2026</t>
  </si>
  <si>
    <t>B B01-00002789</t>
  </si>
  <si>
    <t>PAPANT/2025/08074 (B B01-00002799)</t>
  </si>
  <si>
    <t>PAPANT/2025/08074</t>
  </si>
  <si>
    <t>FANO ALMERCO, ROSALIA PEGGI</t>
  </si>
  <si>
    <t>Pago de cliente S/ 99.00 - FANO ALMERCO, ROSALIA PEGGI - 01/01/2026</t>
  </si>
  <si>
    <t>B B01-00002799</t>
  </si>
  <si>
    <t>PAPANT/2025/08073 (B B01-00002802)</t>
  </si>
  <si>
    <t>PAPANT/2025/08073</t>
  </si>
  <si>
    <t>Pago de cliente S/ 74.70 - HINOSTROZA DIAZ, DORIS RAQUEL - 01/01/2026</t>
  </si>
  <si>
    <t>B B01-00002802</t>
  </si>
  <si>
    <t>PAPANT/2025/08072 (B B01-00002805)</t>
  </si>
  <si>
    <t>PAPANT/2025/08072</t>
  </si>
  <si>
    <t>MONTAÑO SULLCA, MAYUMI YASBEL</t>
  </si>
  <si>
    <t>Pago de cliente S/ 97.45 - MONTAÑO SULLCA, MAYUMI YASBEL - 01/01/2026</t>
  </si>
  <si>
    <t>B B01-00002805</t>
  </si>
  <si>
    <t>PAPANT/2025/08071 (B B01-00002806)</t>
  </si>
  <si>
    <t>PAPANT/2025/08071</t>
  </si>
  <si>
    <t>Pago de cliente S/ 122.40 - VILLARREAL CCAHUATA, CLAUDIA - 01/01/2026</t>
  </si>
  <si>
    <t>B B01-00002806</t>
  </si>
  <si>
    <t>PAPANT/2025/08070 (B B01-00002769)</t>
  </si>
  <si>
    <t>PAPANT/2025/08070</t>
  </si>
  <si>
    <t>ROSAS IZAGUIRRE, XIMENA PAOLA</t>
  </si>
  <si>
    <t>Pago de cliente S/ 248.05 - ROSAS IZAGUIRRE, XIMENA PAOLA - 01/01/2026</t>
  </si>
  <si>
    <t>B B01-00002769</t>
  </si>
  <si>
    <t>PAPANT/2025/08069 (B B01-00002771)</t>
  </si>
  <si>
    <t>PAPANT/2025/08069</t>
  </si>
  <si>
    <t>Pago de cliente S/ 393.92 - BRINGAS BOCANEGRA, CECILIA GIOVANNA - 01/01/2026</t>
  </si>
  <si>
    <t>B B01-00002771</t>
  </si>
  <si>
    <t>PAPANT/2025/08068 (B B01-00002772)</t>
  </si>
  <si>
    <t>PAPANT/2025/08068</t>
  </si>
  <si>
    <t>Pago de cliente S/ 253.80 - CALLAÑAUPA FLORES, RODRIGO MANUEL - 01/01/2026</t>
  </si>
  <si>
    <t>B B01-00002772</t>
  </si>
  <si>
    <t>PAPANT/2025/08067 (B B01-00002745)</t>
  </si>
  <si>
    <t>PAPANT/2025/08067</t>
  </si>
  <si>
    <t>Pago de cliente S/ 103.05 - HUISA ESCUDERO, CARLA PATRICIA - 01/01/2026</t>
  </si>
  <si>
    <t>B B01-00002745</t>
  </si>
  <si>
    <t>PAPANT/2025/08066 (B B01-00002747)</t>
  </si>
  <si>
    <t>PAPANT/2025/08066</t>
  </si>
  <si>
    <t>Pago de cliente S/ 82.72 - NUÑEZ SALINAS, JOSE FELIPE - 01/01/2026</t>
  </si>
  <si>
    <t>B B01-00002747</t>
  </si>
  <si>
    <t>PAPANT/2025/08065 (B B01-00002748)</t>
  </si>
  <si>
    <t>PAPANT/2025/08065</t>
  </si>
  <si>
    <t>RAMOS BALABARCA, CHRISTIAN</t>
  </si>
  <si>
    <t>Pago de cliente S/ 320.43 - RAMOS BALABARCA, CHRISTIAN - 01/01/2026</t>
  </si>
  <si>
    <t>B B01-00002748</t>
  </si>
  <si>
    <t>PAPANT/2025/08064 (B B01-00002763)</t>
  </si>
  <si>
    <t>PAPANT/2025/08064</t>
  </si>
  <si>
    <t>BENITES IRIARTE, JOHANA MARISSA</t>
  </si>
  <si>
    <t>Pago de cliente S/ 111.08 - BENITES IRIARTE, JOHANA MARISSA - 01/01/2026</t>
  </si>
  <si>
    <t>B B01-00002763</t>
  </si>
  <si>
    <t>PAPANT/2025/08063 (B B01-00002731)</t>
  </si>
  <si>
    <t>PAPANT/2025/08063</t>
  </si>
  <si>
    <t>Pago de cliente S/ 86.40 - MASLUCAN CHICANA, RITA ESTHER - 01/01/2026</t>
  </si>
  <si>
    <t>B B01-00002731</t>
  </si>
  <si>
    <t>PAPANT/2025/08062 (B B01-00002733)</t>
  </si>
  <si>
    <t>PAPANT/2025/08062</t>
  </si>
  <si>
    <t>SANTA CRUZ RONCEROS, MARTHA JOSABEL</t>
  </si>
  <si>
    <t>Pago de cliente S/ 111.25 - SANTA CRUZ RONCEROS, MARTHA JOSABEL - 01/01/2026</t>
  </si>
  <si>
    <t>B B01-00002733</t>
  </si>
  <si>
    <t>PAPANT/2025/08061 (B B01-00002734)</t>
  </si>
  <si>
    <t>PAPANT/2025/08061</t>
  </si>
  <si>
    <t>AVALOS ESPINOZA, LORENA</t>
  </si>
  <si>
    <t>Pago de cliente S/ 129.60 - AVALOS ESPINOZA, LORENA - 01/01/2026</t>
  </si>
  <si>
    <t>B B01-00002734</t>
  </si>
  <si>
    <t>PAPANT/2025/08060 (B B01-00002737)</t>
  </si>
  <si>
    <t>PAPANT/2025/08060</t>
  </si>
  <si>
    <t>GUZMAN CUADROS, PAMELA ALESSANDRA</t>
  </si>
  <si>
    <t>Pago de cliente S/ 74.70 - GUZMAN CUADROS, PAMELA ALESSANDRA - 01/01/2026</t>
  </si>
  <si>
    <t>B B01-00002737</t>
  </si>
  <si>
    <t>PAPANT/2025/08059 (B B01-00002740)</t>
  </si>
  <si>
    <t>PAPANT/2025/08059</t>
  </si>
  <si>
    <t>MENDOZA RAMOS, ADRIANA DE JESUS</t>
  </si>
  <si>
    <t>Pago de cliente S/ 125.28 - MENDOZA RAMOS, ADRIANA DE JESUS - 01/01/2026</t>
  </si>
  <si>
    <t>B B01-00002740</t>
  </si>
  <si>
    <t>PAPANT/2025/08058 (B B01-00002741)</t>
  </si>
  <si>
    <t>PAPANT/2025/08058</t>
  </si>
  <si>
    <t>LUNA GUTIERREZ, DIONNA CAMILA</t>
  </si>
  <si>
    <t>Pago de cliente S/ 34.25 - LUNA GUTIERREZ, DIONNA CAMILA - 01/01/2026</t>
  </si>
  <si>
    <t>B B01-00002741</t>
  </si>
  <si>
    <t>PAPANT/2025/08023 (B B01-00002743)</t>
  </si>
  <si>
    <t>PAPANT/2025/08023</t>
  </si>
  <si>
    <t>BRIONES TORRES, PAOLA MILAGROS</t>
  </si>
  <si>
    <t>Pago de cliente S/ 176.95 - BRIONES TORRES, PAOLA MILAGROS - 01/01/2026</t>
  </si>
  <si>
    <t>B B01-00002743</t>
  </si>
  <si>
    <t>PAPANT/2025/08022 (B B01-00002710)</t>
  </si>
  <si>
    <t>PAPANT/2025/08022</t>
  </si>
  <si>
    <t>Pago de cliente S/ 156.06 - BAZALAR CHAVARRIA, MARCIA MIRELLA - 01/01/2026</t>
  </si>
  <si>
    <t>B B01-00002710</t>
  </si>
  <si>
    <t>PAPANT/2025/08021 (B B01-00002711)</t>
  </si>
  <si>
    <t>PAPANT/2025/08021</t>
  </si>
  <si>
    <t>ESQUIVEL CRUZ, ADA LUZ</t>
  </si>
  <si>
    <t>Pago de cliente S/ 74.70 - ESQUIVEL CRUZ, ADA LUZ - 01/01/2026</t>
  </si>
  <si>
    <t>B B01-00002711</t>
  </si>
  <si>
    <t>PAPANT/2025/08020 (B B01-00002712)</t>
  </si>
  <si>
    <t>PAPANT/2025/08020</t>
  </si>
  <si>
    <t>DEL SOLAR BETTOCCHI, CLAUDIA MARIA</t>
  </si>
  <si>
    <t>Pago de cliente S/ 174.87 - DEL SOLAR BETTOCCHI, CLAUDIA MARIA - 01/01/2026</t>
  </si>
  <si>
    <t>B B01-00002712</t>
  </si>
  <si>
    <t>PAPANT/2025/08019 (B B01-00002714)</t>
  </si>
  <si>
    <t>PAPANT/2025/08019</t>
  </si>
  <si>
    <t>Pago de cliente S/ 137.25 - DEL SOLAR BETTOCCHI, CLAUDIA MARIA - 01/01/2026</t>
  </si>
  <si>
    <t>B B01-00002714</t>
  </si>
  <si>
    <t>PAPANT/2025/08018 (B B01-00002715)</t>
  </si>
  <si>
    <t>PAPANT/2025/08018</t>
  </si>
  <si>
    <t>Pago de cliente S/ 122.40 - SIFUENTES RODRIGUEZ, GUILLERMO DAVID - 01/01/2026</t>
  </si>
  <si>
    <t>B B01-00002715</t>
  </si>
  <si>
    <t>PAPANT/2025/08017 (B B01-00002716)</t>
  </si>
  <si>
    <t>PAPANT/2025/08017</t>
  </si>
  <si>
    <t>MONTES DE OCA CASTILLO, MARIA JUDITH</t>
  </si>
  <si>
    <t>Pago de cliente S/ 59.23 - MONTES DE OCA CASTILLO, MARIA JUDITH - 01/01/2026</t>
  </si>
  <si>
    <t>B B01-00002716</t>
  </si>
  <si>
    <t>PAPANT/2025/08016 (B B01-00002717)</t>
  </si>
  <si>
    <t>PAPANT/2025/08016</t>
  </si>
  <si>
    <t>Pago de cliente S/ 158.95 - VENEGAS GUERRERO, ADOLFO GABRIEL - 01/01/2026</t>
  </si>
  <si>
    <t>B B01-00002717</t>
  </si>
  <si>
    <t>PAPANT/2025/08015 (B B01-00002718)</t>
  </si>
  <si>
    <t>PAPANT/2025/08015</t>
  </si>
  <si>
    <t>SUYON BRAVO, JEAN PIEER</t>
  </si>
  <si>
    <t>Pago de cliente S/ 159.00 - SUYON BRAVO, JEAN PIEER - 01/01/2026</t>
  </si>
  <si>
    <t>B B01-00002718</t>
  </si>
  <si>
    <t>PAPANT/2025/08014 (B B01-00002720)</t>
  </si>
  <si>
    <t>PAPANT/2025/08014</t>
  </si>
  <si>
    <t>ERREA LEON, MARIA FE</t>
  </si>
  <si>
    <t>Pago de cliente S/ 177.85 - ERREA LEON, MARIA FE - 01/01/2026</t>
  </si>
  <si>
    <t>B B01-00002720</t>
  </si>
  <si>
    <t>PAPANT/2025/08013 (B B01-00002721)</t>
  </si>
  <si>
    <t>PAPANT/2025/08013</t>
  </si>
  <si>
    <t>Pago de cliente S/ 509.05 - CHU SION RODRIGUEZ, CINTHIA LAURA - 01/01/2026</t>
  </si>
  <si>
    <t>B B01-00002721</t>
  </si>
  <si>
    <t>PAPANT/2025/08012 (B B01-00002722)</t>
  </si>
  <si>
    <t>PAPANT/2025/08012</t>
  </si>
  <si>
    <t>LAVADO CAJAHUANCA, GERSON EDU</t>
  </si>
  <si>
    <t>Pago de cliente S/ 257.40 - LAVADO CAJAHUANCA, GERSON EDU - 01/01/2026</t>
  </si>
  <si>
    <t>B B01-00002722</t>
  </si>
  <si>
    <t>PAPANT/2025/08011 (B B01-00002724)</t>
  </si>
  <si>
    <t>PAPANT/2025/08011</t>
  </si>
  <si>
    <t>CHUNQUI CHAVEZ, ANA LIZET</t>
  </si>
  <si>
    <t>Pago de cliente S/ 449.78 - CHUNQUI CHAVEZ, ANA LIZET - 01/01/2026</t>
  </si>
  <si>
    <t>B B01-00002724</t>
  </si>
  <si>
    <t>PAPANT/2025/08010 (B B01-00002725)</t>
  </si>
  <si>
    <t>PAPANT/2025/08010</t>
  </si>
  <si>
    <t>PESCHIERA FORT, CLAUDIA MARIA</t>
  </si>
  <si>
    <t>Pago de cliente S/ 105.85 - PESCHIERA FORT, CLAUDIA MARIA - 01/01/2026</t>
  </si>
  <si>
    <t>B B01-00002725</t>
  </si>
  <si>
    <t>PAPANT/2025/08009 (F F01-00001868)</t>
  </si>
  <si>
    <t>PAPANT/2025/08009</t>
  </si>
  <si>
    <t>Pago de cliente S/ 113.05 - GRUPO SERVICIOS MEDICOS INTEGRALES SAC - 01/01/2026</t>
  </si>
  <si>
    <t>F F01-00001868</t>
  </si>
  <si>
    <t>PAPANT/2025/08008 (B B01-00002687)</t>
  </si>
  <si>
    <t>PAPANT/2025/08008</t>
  </si>
  <si>
    <t>OSTERLING GARIBOTTO, SEBASTIAN</t>
  </si>
  <si>
    <t>Pago de cliente S/ 140.06 - OSTERLING GARIBOTTO, SEBASTIAN - 01/01/2026</t>
  </si>
  <si>
    <t>B B01-00002687</t>
  </si>
  <si>
    <t>PAPANT/2025/08007 (B B01-00002689)</t>
  </si>
  <si>
    <t>PAPANT/2025/08007</t>
  </si>
  <si>
    <t>Pago de cliente S/ 206.45 - CRESTANI MARTINEZ, CLAUDIO - 01/01/2026</t>
  </si>
  <si>
    <t>B B01-00002689</t>
  </si>
  <si>
    <t>PAPANT/2025/08006 (B B01-00002690)</t>
  </si>
  <si>
    <t>PAPANT/2025/08006</t>
  </si>
  <si>
    <t>Pago de cliente S/ 50.41 - ROJAS QUIROZ, JEAN FRANCO - 01/01/2026</t>
  </si>
  <si>
    <t>B B01-00002690</t>
  </si>
  <si>
    <t>PAPANT/2025/08005 (B B01-00002691)</t>
  </si>
  <si>
    <t>PAPANT/2025/08005</t>
  </si>
  <si>
    <t>OLIVOS MIMBELA, KIMBERLY VALERIA</t>
  </si>
  <si>
    <t>Pago de cliente S/ 74.70 - OLIVOS MIMBELA, KIMBERLY VALERIA - 01/01/2026</t>
  </si>
  <si>
    <t>B B01-00002691</t>
  </si>
  <si>
    <t>PAPANT/2025/08004 (B B01-00002694)</t>
  </si>
  <si>
    <t>PAPANT/2025/08004</t>
  </si>
  <si>
    <t>QUISTAN RAMOS, GERARDO</t>
  </si>
  <si>
    <t>Pago de cliente S/ 247.05 - QUISTAN RAMOS, GERARDO - 01/01/2026</t>
  </si>
  <si>
    <t>B B01-00002694</t>
  </si>
  <si>
    <t>PAPANT/2025/08003 (F F01-00001863)</t>
  </si>
  <si>
    <t>PAPANT/2025/08003</t>
  </si>
  <si>
    <t>LAO SIU JOSE BERNARDO ENRIQUE</t>
  </si>
  <si>
    <t>Pago de cliente S/ 119.39 - LAO SIU JOSE BERNARDO ENRIQUE - 01/01/2026</t>
  </si>
  <si>
    <t>F F01-00001863</t>
  </si>
  <si>
    <t>PAPANT/2025/08002 (F F01-00001865)</t>
  </si>
  <si>
    <t>PAPANT/2025/08002</t>
  </si>
  <si>
    <t>ROGUISH S.A.C.</t>
  </si>
  <si>
    <t>Pago de cliente S/ 61.56 - ROGUISH S.A.C. - 01/01/2026</t>
  </si>
  <si>
    <t>F F01-00001865</t>
  </si>
  <si>
    <t>PAPANT/2025/08001 (B B01-00002560)</t>
  </si>
  <si>
    <t>PAPANT/2025/08001</t>
  </si>
  <si>
    <t>Pago de cliente S/ 177.85 - VUCETICH LA TORRE, GERMAN - 01/01/2026</t>
  </si>
  <si>
    <t>B B01-00002560</t>
  </si>
  <si>
    <t>PAPANT/2025/08000 (B B01-00002428)</t>
  </si>
  <si>
    <t>PAPANT/2025/08000</t>
  </si>
  <si>
    <t>RUIZ CABALLERO, DIANA CECILIA</t>
  </si>
  <si>
    <t>Pago de cliente S/ 341.54 - RUIZ CABALLERO, DIANA CECILIA - 01/01/2026</t>
  </si>
  <si>
    <t>B B01-00002428</t>
  </si>
  <si>
    <t>PAPANT/2025/07999 (B B01-00002208)</t>
  </si>
  <si>
    <t>PAPANT/2025/07999</t>
  </si>
  <si>
    <t>Pago de cliente S/ 65.70 - RUBIO MARTINEZ, CAMILA ALEXANDRA - 01/01/2026</t>
  </si>
  <si>
    <t>B B01-00002208</t>
  </si>
  <si>
    <t>PAPANT/2025/07998 (B B01-00002025)</t>
  </si>
  <si>
    <t>PAPANT/2025/07998</t>
  </si>
  <si>
    <t>CARHUAS JUAREZ, CAMILA ALEXANDRA</t>
  </si>
  <si>
    <t>Pago de cliente S/ 49.50 - CARHUAS JUAREZ, CAMILA ALEXANDRA - 01/01/2026</t>
  </si>
  <si>
    <t>B B01-00002025</t>
  </si>
  <si>
    <t>PAPANT/2025/07997 (B B01-00002041)</t>
  </si>
  <si>
    <t>PAPANT/2025/07997</t>
  </si>
  <si>
    <t>VERGARAY ARBIETO, JULIA ISMELDA</t>
  </si>
  <si>
    <t>Pago de cliente S/ 94.87 - VERGARAY ARBIETO, JULIA ISMELDA - 01/01/2026</t>
  </si>
  <si>
    <t>B B01-00002041</t>
  </si>
  <si>
    <t>PAPANT/2025/07996 (B B01-00002047)</t>
  </si>
  <si>
    <t>PAPANT/2025/07996</t>
  </si>
  <si>
    <t>SANTANA PARDO, ANTONIO MIGUEL</t>
  </si>
  <si>
    <t>Pago de cliente S/ 162.00 - SANTANA PARDO, ANTONIO MIGUEL - 01/01/2026</t>
  </si>
  <si>
    <t>B B01-00002047</t>
  </si>
  <si>
    <t>PAPANT/2025/07995 (B B01-00001893)</t>
  </si>
  <si>
    <t>PAPANT/2025/07995</t>
  </si>
  <si>
    <t>Pago de cliente S/ 132.63 - SILVA ALCARRAZ, VICTOR HUGO - 01/01/2026</t>
  </si>
  <si>
    <t>B B01-00001893</t>
  </si>
  <si>
    <t>PAPANT/2025/07981 (B010-00021124)</t>
  </si>
  <si>
    <t>PAPANT/2025/07981</t>
  </si>
  <si>
    <t>ARMAZA ROMERO, VALERIA LUCIANA</t>
  </si>
  <si>
    <t>Pago de cliente S/ 85.85 - ARMAZA ROMERO, VALERIA LUCIANA - 01/01/2026</t>
  </si>
  <si>
    <t>B010-00021124</t>
  </si>
  <si>
    <t>PAPANT/2025/07980 (B010-00021271)</t>
  </si>
  <si>
    <t>PAPANT/2025/07980</t>
  </si>
  <si>
    <t>PALACIOS OBLITAS,KATHERINE ELIZABETH</t>
  </si>
  <si>
    <t>Pago de cliente S/ 40.50 - PALACIOS OBLITAS,KATHERINE ELIZABETH - 01/01/2026</t>
  </si>
  <si>
    <t>B010-00021271</t>
  </si>
  <si>
    <t>PAPANT/2025/07979 (B010-00021439)</t>
  </si>
  <si>
    <t>PAPANT/2025/07979</t>
  </si>
  <si>
    <t>FARRO PEREZ,JILL ROXANA</t>
  </si>
  <si>
    <t>Pago de cliente S/ 82.80 - FARRO PEREZ,JILL ROXANA - 01/01/2026</t>
  </si>
  <si>
    <t>B010-00021439</t>
  </si>
  <si>
    <t>PAPANT/2025/07978 (B010-00021501)</t>
  </si>
  <si>
    <t>PAPANT/2025/07978</t>
  </si>
  <si>
    <t>RUA LIZARRAGA,ASTRID MONTSERRAT</t>
  </si>
  <si>
    <t>Pago de cliente S/ 155.11 - RUA LIZARRAGA,ASTRID MONTSERRAT - 01/01/2026</t>
  </si>
  <si>
    <t>B010-00021501</t>
  </si>
  <si>
    <t>PAPANT/2025/07977 (B010-00021536)</t>
  </si>
  <si>
    <t>PAPANT/2025/07977</t>
  </si>
  <si>
    <t>COTRINA ALANYA MARIBEL</t>
  </si>
  <si>
    <t>Pago de cliente S/ 51.31 - COTRINA ALANYA MARIBEL - 01/01/2026</t>
  </si>
  <si>
    <t>B010-00021536</t>
  </si>
  <si>
    <t>PAPANT/2025/07976 (B B01-00000979)</t>
  </si>
  <si>
    <t>PAPANT/2025/07976</t>
  </si>
  <si>
    <t>SUAREZ LEZAMA, GALY YULIANA</t>
  </si>
  <si>
    <t>Pago de cliente S/ 80.00 - SUAREZ LEZAMA, GALY YULIANA - 01/01/2026</t>
  </si>
  <si>
    <t>B B01-00000979</t>
  </si>
  <si>
    <t>PAPANT/2025/07843 (F F01-00001634)</t>
  </si>
  <si>
    <t>PAPANT/2025/07843</t>
  </si>
  <si>
    <t>CACERES ALHUAY ELIZABETH</t>
  </si>
  <si>
    <t>Pago de cliente S/ 360.00 - CACERES ALHUAY ELIZABETH - 01/01/2026</t>
  </si>
  <si>
    <t>F F01-00001634</t>
  </si>
  <si>
    <t>PAPANT/2025/07841 (B B01-00004351)</t>
  </si>
  <si>
    <t>PAPANT/2025/07841</t>
  </si>
  <si>
    <t>HUAMAN CORDOVA, SAMIRE ANDREA</t>
  </si>
  <si>
    <t>Pago de cliente S/ 55.58 - HUAMAN CORDOVA, SAMIRE ANDREA - 01/01/2026</t>
  </si>
  <si>
    <t>B B01-00004351</t>
  </si>
  <si>
    <t>PAPANT/2025/07840 (B B01-00003589)</t>
  </si>
  <si>
    <t>PAPANT/2025/07840</t>
  </si>
  <si>
    <t>B B01-00003589</t>
  </si>
  <si>
    <t>PAPANT/2025/07839 (B B01-00003084)</t>
  </si>
  <si>
    <t>PAPANT/2025/07839</t>
  </si>
  <si>
    <t>B B01-00003084</t>
  </si>
  <si>
    <t>PAPANT/2025/07838 (B B01-00002626)</t>
  </si>
  <si>
    <t>PAPANT/2025/07838</t>
  </si>
  <si>
    <t>Pago de cliente S/ 141.60 - BARRERA ROZAS, JONATHAN JAVIER - 01/01/2026</t>
  </si>
  <si>
    <t>B B01-00002626</t>
  </si>
  <si>
    <t>PAPANT/2025/07837 (B B01-00002160)</t>
  </si>
  <si>
    <t>PAPANT/2025/07837</t>
  </si>
  <si>
    <t>Pago de cliente S/ 140.19 - BARRERA ROZAS, JONATHAN JAVIER - 01/01/2026</t>
  </si>
  <si>
    <t>B B01-00002160</t>
  </si>
  <si>
    <t>PAPANT/2025/07826 (B B01-00002667)</t>
  </si>
  <si>
    <t>PAPANT/2025/07826</t>
  </si>
  <si>
    <t>CASAS PAITAN, PIERR JESUS</t>
  </si>
  <si>
    <t>Pago de cliente S/ 116.01 - CASAS PAITAN, PIERR JESUS - 01/01/2026</t>
  </si>
  <si>
    <t>B B01-00002667</t>
  </si>
  <si>
    <t>PAPANT/2025/07825 (B B01-00002671)</t>
  </si>
  <si>
    <t>PAPANT/2025/07825</t>
  </si>
  <si>
    <t>VIDAURRE NICHO, JUAN ALONSO</t>
  </si>
  <si>
    <t>Pago de cliente S/ 280.45 - VIDAURRE NICHO, JUAN ALONSO - 01/01/2026</t>
  </si>
  <si>
    <t>B B01-00002671</t>
  </si>
  <si>
    <t>PAPANT/2025/07824 (B B01-00002673)</t>
  </si>
  <si>
    <t>PAPANT/2025/07824</t>
  </si>
  <si>
    <t>CALLIRGOS PATRONI, MONICA CECILIA</t>
  </si>
  <si>
    <t>Pago de cliente S/ 109.01 - CALLIRGOS PATRONI, MONICA CECILIA - 01/01/2026</t>
  </si>
  <si>
    <t>B B01-00002673</t>
  </si>
  <si>
    <t>PAPANT/2025/07823 (B B01-00002674)</t>
  </si>
  <si>
    <t>PAPANT/2025/07823</t>
  </si>
  <si>
    <t>VARGAS FALCON, ALBERTINA JESSICA</t>
  </si>
  <si>
    <t>Pago de cliente S/ 105.00 - VARGAS FALCON, ALBERTINA JESSICA - 01/01/2026</t>
  </si>
  <si>
    <t>B B01-00002674</t>
  </si>
  <si>
    <t>PAPANT/2025/07822 (B B01-00002683)</t>
  </si>
  <si>
    <t>PAPANT/2025/07822</t>
  </si>
  <si>
    <t>Pago de cliente S/ 427.68 - SANTANA PARDO, ANTONIO MIGUEL - 01/01/2026</t>
  </si>
  <si>
    <t>B B01-00002683</t>
  </si>
  <si>
    <t>PAPANT/2025/07821 (B B01-00002637)</t>
  </si>
  <si>
    <t>PAPANT/2025/07821</t>
  </si>
  <si>
    <t>Pago de cliente S/ 542.42 - GUZMAN DOMINGUEZ, PEDRO ARTURO - 01/01/2026</t>
  </si>
  <si>
    <t>B B01-00002637</t>
  </si>
  <si>
    <t>PAPANT/2025/07820 (B B01-00002639)</t>
  </si>
  <si>
    <t>PAPANT/2025/07820</t>
  </si>
  <si>
    <t>VIVANCO LIÑAN, GIOVANNA JANET</t>
  </si>
  <si>
    <t>Pago de cliente S/ 20.00 - VIVANCO LIÑAN, GIOVANNA JANET - 01/01/2026</t>
  </si>
  <si>
    <t>B B01-00002639</t>
  </si>
  <si>
    <t>PAPANT/2025/07819 (B B01-00002651)</t>
  </si>
  <si>
    <t>PAPANT/2025/07819</t>
  </si>
  <si>
    <t>CORTEZ LOPEZ, STEPHANIE VANESSA</t>
  </si>
  <si>
    <t>Pago de cliente S/ 340.24 - CORTEZ LOPEZ, STEPHANIE VANESSA - 01/01/2026</t>
  </si>
  <si>
    <t>B B01-00002651</t>
  </si>
  <si>
    <t>PAPANT/2025/07818 (B B01-00002653)</t>
  </si>
  <si>
    <t>PAPANT/2025/07818</t>
  </si>
  <si>
    <t>ARIAS CASTRO, NELLY</t>
  </si>
  <si>
    <t>Pago de cliente S/ 33.00 - ARIAS CASTRO, NELLY - 01/01/2026</t>
  </si>
  <si>
    <t>B B01-00002653</t>
  </si>
  <si>
    <t>PAPANT/2025/07817 (B B01-00002654)</t>
  </si>
  <si>
    <t>PAPANT/2025/07817</t>
  </si>
  <si>
    <t>Pago de cliente S/ 244.71 - DIAZ PASQUALIC, CINTYA LOURDES - 01/01/2026</t>
  </si>
  <si>
    <t>B B01-00002654</t>
  </si>
  <si>
    <t>PAPANT/2025/07816 (B B01-00002656)</t>
  </si>
  <si>
    <t>PAPANT/2025/07816</t>
  </si>
  <si>
    <t>MARREROS CAJAHUANCA, YAMINT DENIS</t>
  </si>
  <si>
    <t>Pago de cliente S/ 301.00 - MARREROS CAJAHUANCA, YAMINT DENIS - 01/01/2026</t>
  </si>
  <si>
    <t>B B01-00002656</t>
  </si>
  <si>
    <t>PAPANT/2025/07815 (B B01-00002657)</t>
  </si>
  <si>
    <t>PAPANT/2025/07815</t>
  </si>
  <si>
    <t>LLERENA MATIENZO, LAURA STHEFANIE</t>
  </si>
  <si>
    <t>Pago de cliente S/ 208.98 - LLERENA MATIENZO, LAURA STHEFANIE - 01/01/2026</t>
  </si>
  <si>
    <t>B B01-00002657</t>
  </si>
  <si>
    <t>PAPANT/2025/07814 (B B01-00002661)</t>
  </si>
  <si>
    <t>PAPANT/2025/07814</t>
  </si>
  <si>
    <t>SALINAS GUTIERREZ, LUISA AMERICA</t>
  </si>
  <si>
    <t>Pago de cliente S/ 329.40 - SALINAS GUTIERREZ, LUISA AMERICA - 01/01/2026</t>
  </si>
  <si>
    <t>B B01-00002661</t>
  </si>
  <si>
    <t>PAPANT/2025/07813 (B B01-00002666)</t>
  </si>
  <si>
    <t>PAPANT/2025/07813</t>
  </si>
  <si>
    <t>GONZALES PACHECO, MONICA STEFANIE</t>
  </si>
  <si>
    <t>Pago de cliente S/ 190.26 - GONZALES PACHECO, MONICA STEFANIE - 01/01/2026</t>
  </si>
  <si>
    <t>B B01-00002666</t>
  </si>
  <si>
    <t>PAPANT/2025/07812 (B B01-00002615)</t>
  </si>
  <si>
    <t>PAPANT/2025/07812</t>
  </si>
  <si>
    <t>GADEA EYZAGUIRRE, ROXANA RAQUEL</t>
  </si>
  <si>
    <t>Pago de cliente S/ 116.64 - GADEA EYZAGUIRRE, ROXANA RAQUEL - 01/01/2026</t>
  </si>
  <si>
    <t>B B01-00002615</t>
  </si>
  <si>
    <t>PAPANT/2025/07811 (B B01-00002621)</t>
  </si>
  <si>
    <t>PAPANT/2025/07811</t>
  </si>
  <si>
    <t>Pago de cliente S/ 177.85 - HERNANDEZ URIARTE, CARLOS ANDREZ - 01/01/2026</t>
  </si>
  <si>
    <t>B B01-00002621</t>
  </si>
  <si>
    <t>PAPANT/2025/07810 (B B01-00002622)</t>
  </si>
  <si>
    <t>PAPANT/2025/07810</t>
  </si>
  <si>
    <t>SEGURA VASQUEZ DE VIZCARRA, SILVIA ROSARIO</t>
  </si>
  <si>
    <t>Pago de cliente S/ 200.35 - SEGURA VASQUEZ DE VIZCARRA, SILVIA ROSARIO - 01/01/2026</t>
  </si>
  <si>
    <t>B B01-00002622</t>
  </si>
  <si>
    <t>PAPANT/2025/07809 (B B01-00002634)</t>
  </si>
  <si>
    <t>PAPANT/2025/07809</t>
  </si>
  <si>
    <t>TICONA MAMANI, SANDRA NOHELY</t>
  </si>
  <si>
    <t>Pago de cliente S/ 222.08 - TICONA MAMANI, SANDRA NOHELY - 01/01/2026</t>
  </si>
  <si>
    <t>B B01-00002634</t>
  </si>
  <si>
    <t>PAPANT/2025/07808 (B B01-00002603)</t>
  </si>
  <si>
    <t>PAPANT/2025/07808</t>
  </si>
  <si>
    <t>GUTIERREZ RAMIREZ, CARLA PATRICIA</t>
  </si>
  <si>
    <t>Pago de cliente S/ 136.99 - GUTIERREZ RAMIREZ, CARLA PATRICIA - 01/01/2026</t>
  </si>
  <si>
    <t>B B01-00002603</t>
  </si>
  <si>
    <t>PAPANT/2025/07807 (B B01-00002604)</t>
  </si>
  <si>
    <t>PAPANT/2025/07807</t>
  </si>
  <si>
    <t>CAMARENA GAMARRA, SHEYLA YANETH</t>
  </si>
  <si>
    <t>Pago de cliente S/ 81.90 - CAMARENA GAMARRA, SHEYLA YANETH - 01/01/2026</t>
  </si>
  <si>
    <t>B B01-00002604</t>
  </si>
  <si>
    <t>PAPANT/2025/07806 (B B01-00002606)</t>
  </si>
  <si>
    <t>PAPANT/2025/07806</t>
  </si>
  <si>
    <t>Pago de cliente S/ 292.51 - BENITO AVILA, MIRIAM INES - 01/01/2026</t>
  </si>
  <si>
    <t>B B01-00002606</t>
  </si>
  <si>
    <t>PAPANT/2025/07805 (B B01-00002609)</t>
  </si>
  <si>
    <t>PAPANT/2025/07805</t>
  </si>
  <si>
    <t>Pago de cliente S/ 65.70 - SANCHEZ ARAGON, ROCIO VERONICA - 01/01/2026</t>
  </si>
  <si>
    <t>B B01-00002609</t>
  </si>
  <si>
    <t>PAPANT/2025/07804 (F F01-00001773)</t>
  </si>
  <si>
    <t>PAPANT/2025/07804</t>
  </si>
  <si>
    <t>EMPRESAS JOAQUIN &amp; CALMET SOCIEDAD ANONIMA CERRADA - EMJOCAL S.A.C.</t>
  </si>
  <si>
    <t>Pago de cliente S/ 90.90 - EMPRESAS JOAQUIN &amp; CALMET SOCIEDAD ANONIMA CERRADA - EMJOCAL S.A.C. - 01/01/2026</t>
  </si>
  <si>
    <t>F F01-00001773</t>
  </si>
  <si>
    <t>PAPANT/2025/07803 (B B01-00002585)</t>
  </si>
  <si>
    <t>PAPANT/2025/07803</t>
  </si>
  <si>
    <t>Pago de cliente S/ 246.24 - DAVIES ALBAN, GRELIA MARIA - 01/01/2026</t>
  </si>
  <si>
    <t>B B01-00002585</t>
  </si>
  <si>
    <t>PAPANT/2025/07802 (B B01-00002586)</t>
  </si>
  <si>
    <t>PAPANT/2025/07802</t>
  </si>
  <si>
    <t>MATOS VICUÑA, JUAN DAVID</t>
  </si>
  <si>
    <t>Pago de cliente S/ 131.27 - MATOS VICUÑA, JUAN DAVID - 01/01/2026</t>
  </si>
  <si>
    <t>B B01-00002586</t>
  </si>
  <si>
    <t>PAPANT/2025/07801 (B B01-00002551)</t>
  </si>
  <si>
    <t>PAPANT/2025/07801</t>
  </si>
  <si>
    <t>Pago de cliente S/ 178.32 - PANTIGOSO ROSAS, JASSON ABRAHAM - 01/01/2026</t>
  </si>
  <si>
    <t>B B01-00002551</t>
  </si>
  <si>
    <t>PAPANT/2025/07800 (B B01-00002561)</t>
  </si>
  <si>
    <t>PAPANT/2025/07800</t>
  </si>
  <si>
    <t>Pago de cliente S/ 267.85 - MARQUINA MORAN, ANDREA - 01/01/2026</t>
  </si>
  <si>
    <t>B B01-00002561</t>
  </si>
  <si>
    <t>PAPANT/2025/07799 (B B01-00002562)</t>
  </si>
  <si>
    <t>PAPANT/2025/07799</t>
  </si>
  <si>
    <t>MARTINEZ ZEVALLOS, JOSE ANTONIO</t>
  </si>
  <si>
    <t>Pago de cliente S/ 196.90 - MARTINEZ ZEVALLOS, JOSE ANTONIO - 01/01/2026</t>
  </si>
  <si>
    <t>B B01-00002562</t>
  </si>
  <si>
    <t>PAPANT/2025/07798 (B B01-00002532)</t>
  </si>
  <si>
    <t>PAPANT/2025/07798</t>
  </si>
  <si>
    <t>HERRERA ESPINOZA, ESTEFANY BEATRIZ</t>
  </si>
  <si>
    <t>Pago de cliente S/ 76.13 - HERRERA ESPINOZA, ESTEFANY BEATRIZ - 01/01/2026</t>
  </si>
  <si>
    <t>B B01-00002532</t>
  </si>
  <si>
    <t>PAPANT/2025/07797 (B B01-00002534)</t>
  </si>
  <si>
    <t>PAPANT/2025/07797</t>
  </si>
  <si>
    <t>HERNANDEZ PLACENCIA, HELLEN MARLENE</t>
  </si>
  <si>
    <t>Pago de cliente S/ 74.52 - HERNANDEZ PLACENCIA, HELLEN MARLENE - 01/01/2026</t>
  </si>
  <si>
    <t>B B01-00002534</t>
  </si>
  <si>
    <t>PAPANT/2025/07796 (B B01-00002542)</t>
  </si>
  <si>
    <t>PAPANT/2025/07796</t>
  </si>
  <si>
    <t>Pago de cliente S/ 121.64 - SILVA ALCARRAZ, VICTOR HUGO - 01/01/2026</t>
  </si>
  <si>
    <t>B B01-00002542</t>
  </si>
  <si>
    <t>PAPANT/2025/07795 (B B01-00002546)</t>
  </si>
  <si>
    <t>PAPANT/2025/07795</t>
  </si>
  <si>
    <t>B B01-00002546</t>
  </si>
  <si>
    <t>PAPANT/2025/07794 (B B01-00002520)</t>
  </si>
  <si>
    <t>PAPANT/2025/07794</t>
  </si>
  <si>
    <t>Pago de cliente S/ 208.27 - SIFUENTES RODRIGUEZ, GUILLERMO DAVID - 01/01/2026</t>
  </si>
  <si>
    <t>B B01-00002520</t>
  </si>
  <si>
    <t>PAPANT/2025/07793 (B B01-00002491)</t>
  </si>
  <si>
    <t>PAPANT/2025/07793</t>
  </si>
  <si>
    <t>Pago de cliente S/ 122.05 - ALBA GONZALEZ, ANDREA FRANCES - 01/01/2026</t>
  </si>
  <si>
    <t>B B01-00002491</t>
  </si>
  <si>
    <t>PAPANT/2025/07792 (B B01-00002496)</t>
  </si>
  <si>
    <t>PAPANT/2025/07792</t>
  </si>
  <si>
    <t>Pago de cliente S/ 63.07 - VELA OYOLA, ANTUANNETE IRENE - 01/01/2026</t>
  </si>
  <si>
    <t>B B01-00002496</t>
  </si>
  <si>
    <t>PAPANT/2025/07791 (B B01-00002497)</t>
  </si>
  <si>
    <t>PAPANT/2025/07791</t>
  </si>
  <si>
    <t>CHAVARRI VARGAS, PAMELA ALEXANDRA</t>
  </si>
  <si>
    <t>Pago de cliente S/ 105.00 - CHAVARRI VARGAS, PAMELA ALEXANDRA - 01/01/2026</t>
  </si>
  <si>
    <t>B B01-00002497</t>
  </si>
  <si>
    <t>PAPANT/2025/07790 (B B01-00002503)</t>
  </si>
  <si>
    <t>PAPANT/2025/07790</t>
  </si>
  <si>
    <t>BALABARCA DEPAZ, ROSARIO FLOR</t>
  </si>
  <si>
    <t>Pago de cliente S/ 224.12 - BALABARCA DEPAZ, ROSARIO FLOR - 01/01/2026</t>
  </si>
  <si>
    <t>B B01-00002503</t>
  </si>
  <si>
    <t>PAPANT/2025/07789 (B B01-00002505)</t>
  </si>
  <si>
    <t>PAPANT/2025/07789</t>
  </si>
  <si>
    <t>Pago de cliente S/ 54.27 - SILVA AGUILAR, KAROL LILY - 01/01/2026</t>
  </si>
  <si>
    <t>B B01-00002505</t>
  </si>
  <si>
    <t>PAPANT/2025/07788 (B B01-00002506)</t>
  </si>
  <si>
    <t>PAPANT/2025/07788</t>
  </si>
  <si>
    <t>AYBAR VARGAS, SELENE GERALDINE JOSEFINA</t>
  </si>
  <si>
    <t>Pago de cliente S/ 75.33 - AYBAR VARGAS, SELENE GERALDINE JOSEFINA - 01/01/2026</t>
  </si>
  <si>
    <t>B B01-00002506</t>
  </si>
  <si>
    <t>PAPANT/2025/07787 (B B01-00002509)</t>
  </si>
  <si>
    <t>PAPANT/2025/07787</t>
  </si>
  <si>
    <t>DIONICIO GAMARRA, ZOILA MARGARITA</t>
  </si>
  <si>
    <t>Pago de cliente S/ 189.91 - DIONICIO GAMARRA, ZOILA MARGARITA - 01/01/2026</t>
  </si>
  <si>
    <t>B B01-00002509</t>
  </si>
  <si>
    <t>PAPANT/2025/07786 (B B01-00002476)</t>
  </si>
  <si>
    <t>PAPANT/2025/07786</t>
  </si>
  <si>
    <t>TAFUR DELGADO, YAHAIRA ISABEL</t>
  </si>
  <si>
    <t>Pago de cliente S/ 547.56 - TAFUR DELGADO, YAHAIRA ISABEL - 01/01/2026</t>
  </si>
  <si>
    <t>B B01-00002476</t>
  </si>
  <si>
    <t>PAPANT/2025/07785 (B B01-00002479)</t>
  </si>
  <si>
    <t>PAPANT/2025/07785</t>
  </si>
  <si>
    <t>NOVOA CARPIO, MARIA FERNANDA</t>
  </si>
  <si>
    <t>Pago de cliente S/ 190.26 - NOVOA CARPIO, MARIA FERNANDA - 01/01/2026</t>
  </si>
  <si>
    <t>B B01-00002479</t>
  </si>
  <si>
    <t>PAPANT/2025/07784 (B B01-00002480)</t>
  </si>
  <si>
    <t>PAPANT/2025/07784</t>
  </si>
  <si>
    <t>B B01-00002480</t>
  </si>
  <si>
    <t>PAPANT/2025/07783 (B B01-00002451)</t>
  </si>
  <si>
    <t>PAPANT/2025/07783</t>
  </si>
  <si>
    <t>PIEROLA CHAVARRIA, LESLY ANGELICA</t>
  </si>
  <si>
    <t>Pago de cliente S/ 108.55 - PIEROLA CHAVARRIA, LESLY ANGELICA - 01/01/2026</t>
  </si>
  <si>
    <t>B B01-00002451</t>
  </si>
  <si>
    <t>PAPANT/2025/07782 (B B01-00002453)</t>
  </si>
  <si>
    <t>PAPANT/2025/07782</t>
  </si>
  <si>
    <t>TICONA INGUIL, ANGELA ROSALING</t>
  </si>
  <si>
    <t>Pago de cliente S/ 31.59 - TICONA INGUIL, ANGELA ROSALING - 01/01/2026</t>
  </si>
  <si>
    <t>B B01-00002453</t>
  </si>
  <si>
    <t>PAPANT/2025/07781 (B B01-00002454)</t>
  </si>
  <si>
    <t>PAPANT/2025/07781</t>
  </si>
  <si>
    <t>Pago de cliente S/ 99.90 - CALLAÑAUPA FLORES, RODRIGO MANUEL - 01/01/2026</t>
  </si>
  <si>
    <t>B B01-00002454</t>
  </si>
  <si>
    <t>PAPANT/2025/07780 (B B01-00002456)</t>
  </si>
  <si>
    <t>PAPANT/2025/07780</t>
  </si>
  <si>
    <t>RODRIGUEZ YOSHIMOTO, FABIOLA</t>
  </si>
  <si>
    <t>Pago de cliente S/ 78.67 - RODRIGUEZ YOSHIMOTO, FABIOLA - 01/01/2026</t>
  </si>
  <si>
    <t>B B01-00002456</t>
  </si>
  <si>
    <t>PAPANT/2025/07779 (B B01-00002457)</t>
  </si>
  <si>
    <t>PAPANT/2025/07779</t>
  </si>
  <si>
    <t>Pago de cliente S/ 171.71 - ROMAN GODOY, MARISOL GAVINA - 01/01/2026</t>
  </si>
  <si>
    <t>B B01-00002457</t>
  </si>
  <si>
    <t>PAPANT/2025/07778 (B B01-00002471)</t>
  </si>
  <si>
    <t>PAPANT/2025/07778</t>
  </si>
  <si>
    <t>Pago de cliente S/ 97.21 - LAVADO CAJAHUANCA, GERSON EDU - 01/01/2026</t>
  </si>
  <si>
    <t>B B01-00002471</t>
  </si>
  <si>
    <t>PAPANT/2025/07777 (B B01-00002432)</t>
  </si>
  <si>
    <t>PAPANT/2025/07777</t>
  </si>
  <si>
    <t>MENDIOLA GIRALDO, EDUARDO JAVIER</t>
  </si>
  <si>
    <t>Pago de cliente S/ 35.65 - MENDIOLA GIRALDO, EDUARDO JAVIER - 01/01/2026</t>
  </si>
  <si>
    <t>B B01-00002432</t>
  </si>
  <si>
    <t>PAPANT/2025/07776 (B B01-00002433)</t>
  </si>
  <si>
    <t>PAPANT/2025/07776</t>
  </si>
  <si>
    <t>Pago de cliente S/ 144.99 - CALLIRGOS PATRONI, MONICA CECILIA - 01/01/2026</t>
  </si>
  <si>
    <t>B B01-00002433</t>
  </si>
  <si>
    <t>PAPANT/2025/07775 (B B01-00002405)</t>
  </si>
  <si>
    <t>PAPANT/2025/07775</t>
  </si>
  <si>
    <t>MARGARITO GONZALES, LAURA ANAIS</t>
  </si>
  <si>
    <t>Pago de cliente S/ 72.00 - MARGARITO GONZALES, LAURA ANAIS - 01/01/2026</t>
  </si>
  <si>
    <t>B B01-00002405</t>
  </si>
  <si>
    <t>PAPANT/2025/07774 (B B01-00002406)</t>
  </si>
  <si>
    <t>PAPANT/2025/07774</t>
  </si>
  <si>
    <t>Pago de cliente S/ 54.01 - CUADROS AGUIRRE, LILIANA LORENZA - 01/01/2026</t>
  </si>
  <si>
    <t>B B01-00002406</t>
  </si>
  <si>
    <t>PAPANT/2025/07773 (B B01-00002412)</t>
  </si>
  <si>
    <t>PAPANT/2025/07773</t>
  </si>
  <si>
    <t>HUAMAN SERRANO, LUIS</t>
  </si>
  <si>
    <t>Pago de cliente S/ 142.55 - HUAMAN SERRANO, LUIS - 01/01/2026</t>
  </si>
  <si>
    <t>B B01-00002412</t>
  </si>
  <si>
    <t>PAPANT/2025/07772 (B B01-00002415)</t>
  </si>
  <si>
    <t>PAPANT/2025/07772</t>
  </si>
  <si>
    <t>HUAYTA CCORAHUA, HILLARY VICTORIA</t>
  </si>
  <si>
    <t>Pago de cliente S/ 27.00 - HUAYTA CCORAHUA, HILLARY VICTORIA - 01/01/2026</t>
  </si>
  <si>
    <t>B B01-00002415</t>
  </si>
  <si>
    <t>PAPANT/2025/07771 (B B01-00002419)</t>
  </si>
  <si>
    <t>PAPANT/2025/07771</t>
  </si>
  <si>
    <t>Pago de cliente S/ 64.45 - MIRANDA VASQUEZ, KARINA ELENA - 01/01/2026</t>
  </si>
  <si>
    <t>B B01-00002419</t>
  </si>
  <si>
    <t>PAPANT/2025/07770 (B B01-00002420)</t>
  </si>
  <si>
    <t>PAPANT/2025/07770</t>
  </si>
  <si>
    <t>NAPA ALVA, ROSARIO DEL PILAR</t>
  </si>
  <si>
    <t>Pago de cliente S/ 61.25 - NAPA ALVA, ROSARIO DEL PILAR - 01/01/2026</t>
  </si>
  <si>
    <t>B B01-00002420</t>
  </si>
  <si>
    <t>PAPANT/2025/07769 (B B01-00002422)</t>
  </si>
  <si>
    <t>PAPANT/2025/07769</t>
  </si>
  <si>
    <t>CORDOVA UGARTE, ANGELA ARIANA</t>
  </si>
  <si>
    <t>Pago de cliente S/ 99.55 - CORDOVA UGARTE, ANGELA ARIANA - 01/01/2026</t>
  </si>
  <si>
    <t>B B01-00002422</t>
  </si>
  <si>
    <t>PAPANT/2025/07768 (B B01-00002399)</t>
  </si>
  <si>
    <t>PAPANT/2025/07768</t>
  </si>
  <si>
    <t>CASTILLO DEVOTO, RICARDO JOSE</t>
  </si>
  <si>
    <t>Pago de cliente S/ 202.59 - CASTILLO DEVOTO, RICARDO JOSE - 01/01/2026</t>
  </si>
  <si>
    <t>B B01-00002399</t>
  </si>
  <si>
    <t>PAPANT/2025/07767 (B B01-00002403)</t>
  </si>
  <si>
    <t>PAPANT/2025/07767</t>
  </si>
  <si>
    <t>PINILLOS BROU, JORGE JAVIER</t>
  </si>
  <si>
    <t>Pago de cliente S/ 82.72 - PINILLOS BROU, JORGE JAVIER - 01/01/2026</t>
  </si>
  <si>
    <t>B B01-00002403</t>
  </si>
  <si>
    <t>PAPANT/2025/07766 (B B01-00002353)</t>
  </si>
  <si>
    <t>PAPANT/2025/07766</t>
  </si>
  <si>
    <t>MUJICA WINCHONLONG, CHRISTOPHER XAVIER</t>
  </si>
  <si>
    <t>Pago de cliente S/ 78.56 - MUJICA WINCHONLONG, CHRISTOPHER XAVIER - 01/01/2026</t>
  </si>
  <si>
    <t>B B01-00002353</t>
  </si>
  <si>
    <t>PAPANT/2025/07765 (B B01-00002360)</t>
  </si>
  <si>
    <t>PAPANT/2025/07765</t>
  </si>
  <si>
    <t>MARENGO SANDOVAL, KAROL ZUGEY</t>
  </si>
  <si>
    <t>Pago de cliente S/ 272.26 - MARENGO SANDOVAL, KAROL ZUGEY - 01/01/2026</t>
  </si>
  <si>
    <t>B B01-00002360</t>
  </si>
  <si>
    <t>PAPANT/2025/07764 (B B01-00002361)</t>
  </si>
  <si>
    <t>PAPANT/2025/07764</t>
  </si>
  <si>
    <t>Pago de cliente S/ 82.72 - CASTILLO DEVOTO, RICARDO JOSE - 01/01/2026</t>
  </si>
  <si>
    <t>B B01-00002361</t>
  </si>
  <si>
    <t>PAPANT/2025/07763 (B B01-00002386)</t>
  </si>
  <si>
    <t>PAPANT/2025/07763</t>
  </si>
  <si>
    <t>Pago de cliente S/ 378.36 - PACHECO CHIONG, NELLY CRISTINA - 01/01/2026</t>
  </si>
  <si>
    <t>B B01-00002386</t>
  </si>
  <si>
    <t>PAPANT/2025/07762 (B B01-00002319)</t>
  </si>
  <si>
    <t>PAPANT/2025/07762</t>
  </si>
  <si>
    <t>SAENZ HUAMAN, MARCO</t>
  </si>
  <si>
    <t>Pago de cliente S/ 76.00 - SAENZ HUAMAN, MARCO - 01/01/2026</t>
  </si>
  <si>
    <t>B B01-00002319</t>
  </si>
  <si>
    <t>PAPANT/2025/07761 (B B01-00002327)</t>
  </si>
  <si>
    <t>PAPANT/2025/07761</t>
  </si>
  <si>
    <t>VALDIVIA ROJAS, YOLANDA ROSALYN</t>
  </si>
  <si>
    <t>Pago de cliente S/ 154.25 - VALDIVIA ROJAS, YOLANDA ROSALYN - 01/01/2026</t>
  </si>
  <si>
    <t>B B01-00002327</t>
  </si>
  <si>
    <t>PAPANT/2025/07760 (B B01-00002328)</t>
  </si>
  <si>
    <t>PAPANT/2025/07760</t>
  </si>
  <si>
    <t>Pago de cliente S/ 290.89 - RAMIREZ RODRIGUEZ, CLAUDIA JULISSA - 01/01/2026</t>
  </si>
  <si>
    <t>B B01-00002328</t>
  </si>
  <si>
    <t>PAPANT/2025/07759 (B B01-00002329)</t>
  </si>
  <si>
    <t>PAPANT/2025/07759</t>
  </si>
  <si>
    <t>PAREDES TAYPE, CARMEN ROSARIO</t>
  </si>
  <si>
    <t>Pago de cliente S/ 155.79 - PAREDES TAYPE, CARMEN ROSARIO - 01/01/2026</t>
  </si>
  <si>
    <t>B B01-00002329</t>
  </si>
  <si>
    <t>PAPANT/2025/07758 (B B01-00002330)</t>
  </si>
  <si>
    <t>PAPANT/2025/07758</t>
  </si>
  <si>
    <t>SALAZAR SOLANO, CESAR JOAO</t>
  </si>
  <si>
    <t>Pago de cliente S/ 74.70 - SALAZAR SOLANO, CESAR JOAO - 01/01/2026</t>
  </si>
  <si>
    <t>B B01-00002330</t>
  </si>
  <si>
    <t>PAPANT/2025/07757 (B B01-00002331)</t>
  </si>
  <si>
    <t>PAPANT/2025/07757</t>
  </si>
  <si>
    <t>CONDOR CASTILLO, EDGARD HAROLD</t>
  </si>
  <si>
    <t>Pago de cliente S/ 230.95 - CONDOR CASTILLO, EDGARD HAROLD - 01/01/2026</t>
  </si>
  <si>
    <t>B B01-00002331</t>
  </si>
  <si>
    <t>PAPANT/2025/07756 (B B01-00002332)</t>
  </si>
  <si>
    <t>PAPANT/2025/07756</t>
  </si>
  <si>
    <t>B B01-00002332</t>
  </si>
  <si>
    <t>PAPANT/2025/07755 (F F01-00001618)</t>
  </si>
  <si>
    <t>PAPANT/2025/07755</t>
  </si>
  <si>
    <t>TRIPUL HERNANDEZ CHRISTIAMS EMMANUEL FRANCISCO</t>
  </si>
  <si>
    <t>Pago de cliente S/ 148.53 - TRIPUL HERNANDEZ CHRISTIAMS EMMANUEL FRANCISCO - 01/01/2026</t>
  </si>
  <si>
    <t>F F01-00001618</t>
  </si>
  <si>
    <t>PAPANT/2025/07754 (B B01-00002311)</t>
  </si>
  <si>
    <t>PAPANT/2025/07754</t>
  </si>
  <si>
    <t>ARISTA GRANDEZ, HANDLER</t>
  </si>
  <si>
    <t>Pago de cliente S/ 82.05 - ARISTA GRANDEZ, HANDLER - 01/01/2026</t>
  </si>
  <si>
    <t>B B01-00002311</t>
  </si>
  <si>
    <t>PAPANT/2025/07753 (B B01-00002300)</t>
  </si>
  <si>
    <t>PAPANT/2025/07753</t>
  </si>
  <si>
    <t>B B01-00002300</t>
  </si>
  <si>
    <t>PAPANT/2025/07752 (B B01-00002304)</t>
  </si>
  <si>
    <t>PAPANT/2025/07752</t>
  </si>
  <si>
    <t>BURGA HINOSTROZA, ROBERTO ANTONIO</t>
  </si>
  <si>
    <t>Pago de cliente S/ 73.80 - BURGA HINOSTROZA, ROBERTO ANTONIO - 01/01/2026</t>
  </si>
  <si>
    <t>B B01-00002304</t>
  </si>
  <si>
    <t>PAPANT/2025/07751 (B B01-00002276)</t>
  </si>
  <si>
    <t>PAPANT/2025/07751</t>
  </si>
  <si>
    <t>ALVA NAVARRO, ARANTZA DANIELA</t>
  </si>
  <si>
    <t>Pago de cliente S/ 98.83 - ALVA NAVARRO, ARANTZA DANIELA - 01/01/2026</t>
  </si>
  <si>
    <t>B B01-00002276</t>
  </si>
  <si>
    <t>PAPANT/2025/07750 (B B01-00002280)</t>
  </si>
  <si>
    <t>PAPANT/2025/07750</t>
  </si>
  <si>
    <t>LOPEZ SERRA, ANDREA CRISTINA</t>
  </si>
  <si>
    <t>Pago de cliente S/ 298.80 - LOPEZ SERRA, ANDREA CRISTINA - 01/01/2026</t>
  </si>
  <si>
    <t>B B01-00002280</t>
  </si>
  <si>
    <t>PAPANT/2025/07749 (B B01-00002282)</t>
  </si>
  <si>
    <t>PAPANT/2025/07749</t>
  </si>
  <si>
    <t>Pago de cliente S/ 42.02 - GOMEZ MAC PHERSON, MELISSA YAZZMIN - 01/01/2026</t>
  </si>
  <si>
    <t>B B01-00002282</t>
  </si>
  <si>
    <t>PAPANT/2025/07748 (B B01-00002286)</t>
  </si>
  <si>
    <t>PAPANT/2025/07748</t>
  </si>
  <si>
    <t>Pago de cliente S/ 271.80 - MARREROS CAJAHUANCA, YAMINT DENIS - 01/01/2026</t>
  </si>
  <si>
    <t>B B01-00002286</t>
  </si>
  <si>
    <t>PAPANT/2025/07747 (B B01-00002289)</t>
  </si>
  <si>
    <t>PAPANT/2025/07747</t>
  </si>
  <si>
    <t>GUERRERO CHOQUE, MAIRE PATRICIA</t>
  </si>
  <si>
    <t>Pago de cliente S/ 144.00 - GUERRERO CHOQUE, MAIRE PATRICIA - 01/01/2026</t>
  </si>
  <si>
    <t>B B01-00002289</t>
  </si>
  <si>
    <t>PAPANT/2025/07746 (B B01-00002290)</t>
  </si>
  <si>
    <t>PAPANT/2025/07746</t>
  </si>
  <si>
    <t>CANLLA MAS, SHELLZY MARY PAZ</t>
  </si>
  <si>
    <t>Pago de cliente S/ 143.46 - CANLLA MAS, SHELLZY MARY PAZ - 01/01/2026</t>
  </si>
  <si>
    <t>B B01-00002290</t>
  </si>
  <si>
    <t>PAPANT/2025/07745 (B B01-00002291)</t>
  </si>
  <si>
    <t>PAPANT/2025/07745</t>
  </si>
  <si>
    <t>VALDEZ ABANTO, LUIS FELIPE</t>
  </si>
  <si>
    <t>Pago de cliente S/ 78.26 - VALDEZ ABANTO, LUIS FELIPE - 01/01/2026</t>
  </si>
  <si>
    <t>B B01-00002291</t>
  </si>
  <si>
    <t>PAPANT/2025/07744 (B B01-00002293)</t>
  </si>
  <si>
    <t>PAPANT/2025/07744</t>
  </si>
  <si>
    <t>Pago de cliente S/ 78.00 - CRAPESI LEIVA, FRANCESCA LYANA - 01/01/2026</t>
  </si>
  <si>
    <t>B B01-00002293</t>
  </si>
  <si>
    <t>PAPANT/2025/07743 (B B01-00002242)</t>
  </si>
  <si>
    <t>PAPANT/2025/07743</t>
  </si>
  <si>
    <t>Pago de cliente S/ 62.36 - TURRIATE TOVAR, PATRICIA RENATA - 01/01/2026</t>
  </si>
  <si>
    <t>B B01-00002242</t>
  </si>
  <si>
    <t>PAPANT/2025/07742 (B B01-00002243)</t>
  </si>
  <si>
    <t>PAPANT/2025/07742</t>
  </si>
  <si>
    <t>Pago de cliente S/ 78.01 - CUADROS AGUIRRE, LILIANA LORENZA - 01/01/2026</t>
  </si>
  <si>
    <t>B B01-00002243</t>
  </si>
  <si>
    <t>PAPANT/2025/07741 (B B01-00002246)</t>
  </si>
  <si>
    <t>PAPANT/2025/07741</t>
  </si>
  <si>
    <t>CASSARO CASTILLO, GUILLERMO MIGUEL</t>
  </si>
  <si>
    <t>Pago de cliente S/ 57.61 - CASSARO CASTILLO, GUILLERMO MIGUEL - 01/01/2026</t>
  </si>
  <si>
    <t>B B01-00002246</t>
  </si>
  <si>
    <t>PAPANT/2025/07740 (B B01-00002248)</t>
  </si>
  <si>
    <t>PAPANT/2025/07740</t>
  </si>
  <si>
    <t>OBREGON MENDEZ, GRECIA NICOL</t>
  </si>
  <si>
    <t>Pago de cliente S/ 166.05 - OBREGON MENDEZ, GRECIA NICOL - 01/01/2026</t>
  </si>
  <si>
    <t>B B01-00002248</t>
  </si>
  <si>
    <t>PAPANT/2025/07739 (B B01-00002249)</t>
  </si>
  <si>
    <t>PAPANT/2025/07739</t>
  </si>
  <si>
    <t>CHONG TAVARA, VALERIA PATRICIA</t>
  </si>
  <si>
    <t>Pago de cliente S/ 184.00 - CHONG TAVARA, VALERIA PATRICIA - 01/01/2026</t>
  </si>
  <si>
    <t>B B01-00002249</t>
  </si>
  <si>
    <t>PAPANT/2025/07738 (B B01-00002255)</t>
  </si>
  <si>
    <t>PAPANT/2025/07738</t>
  </si>
  <si>
    <t>WEISSON PAREDES SAMANTHA MICHELLE</t>
  </si>
  <si>
    <t>Pago de cliente S/ 112.68 - WEISSON PAREDES SAMANTHA MICHELLE - 01/01/2026</t>
  </si>
  <si>
    <t>B B01-00002255</t>
  </si>
  <si>
    <t>PAPANT/2025/07737 (B B01-00002271)</t>
  </si>
  <si>
    <t>PAPANT/2025/07737</t>
  </si>
  <si>
    <t>Pago de cliente S/ 59.00 - CALLIRGOS PATRONI, MONICA CECILIA - 01/01/2026</t>
  </si>
  <si>
    <t>B B01-00002271</t>
  </si>
  <si>
    <t>PAPANT/2025/07736 (B B01-00002272)</t>
  </si>
  <si>
    <t>PAPANT/2025/07736</t>
  </si>
  <si>
    <t>Pago de cliente S/ 81.00 - CHAVARRI VARGAS, PAMELA ALEXANDRA - 01/01/2026</t>
  </si>
  <si>
    <t>B B01-00002272</t>
  </si>
  <si>
    <t>PAPANT/2025/07735 (F F01-00001551)</t>
  </si>
  <si>
    <t>PAPANT/2025/07735</t>
  </si>
  <si>
    <t>BELLIDO FLORES BRESSIA KAROLA</t>
  </si>
  <si>
    <t>Pago de cliente S/ 105.25 - BELLIDO FLORES BRESSIA KAROLA - 01/01/2026</t>
  </si>
  <si>
    <t>F F01-00001551</t>
  </si>
  <si>
    <t>PAPANT/2025/07734 (B B01-00002219)</t>
  </si>
  <si>
    <t>PAPANT/2025/07734</t>
  </si>
  <si>
    <t>TABOADA ESPINOZA, KATHERINE MILAGROS</t>
  </si>
  <si>
    <t>Pago de cliente S/ 52.65 - TABOADA ESPINOZA, KATHERINE MILAGROS - 01/01/2026</t>
  </si>
  <si>
    <t>B B01-00002219</t>
  </si>
  <si>
    <t>PAPANT/2025/07733 (B B01-00002224)</t>
  </si>
  <si>
    <t>PAPANT/2025/07733</t>
  </si>
  <si>
    <t>FOLLEGATI BENAVENTE, ANDREA</t>
  </si>
  <si>
    <t>Pago de cliente S/ 76.15 - FOLLEGATI BENAVENTE, ANDREA - 01/01/2026</t>
  </si>
  <si>
    <t>B B01-00002224</t>
  </si>
  <si>
    <t>PAPANT/2025/07732 (B B01-00002227)</t>
  </si>
  <si>
    <t>PAPANT/2025/07732</t>
  </si>
  <si>
    <t>CARDENAS PARIONA, ALEXIA NINOSKA</t>
  </si>
  <si>
    <t>Pago de cliente S/ 178.00 - CARDENAS PARIONA, ALEXIA NINOSKA - 01/01/2026</t>
  </si>
  <si>
    <t>B B01-00002227</t>
  </si>
  <si>
    <t>PAPANT/2025/07730 (B B01-00002212)</t>
  </si>
  <si>
    <t>PAPANT/2025/07730</t>
  </si>
  <si>
    <t>Pago de cliente S/ 190.26 - CRESTANI MARTINEZ, CLAUDIO - 01/01/2026</t>
  </si>
  <si>
    <t>B B01-00002212</t>
  </si>
  <si>
    <t>PAPANT/2025/07729 (B B01-00002213)</t>
  </si>
  <si>
    <t>PAPANT/2025/07729</t>
  </si>
  <si>
    <t>NÚÑEZ MORALES, NICOLÁS ANDRÉS</t>
  </si>
  <si>
    <t>Pago de cliente S/ 29.70 - NÚÑEZ MORALES, NICOLÁS ANDRÉS - 01/01/2026</t>
  </si>
  <si>
    <t>B B01-00002213</t>
  </si>
  <si>
    <t>PAPANT/2025/07728 (B B01-00002201)</t>
  </si>
  <si>
    <t>PAPANT/2025/07728</t>
  </si>
  <si>
    <t>Pago de cliente S/ 116.27 - RODRIGUEZ RAMOS, CRISTIAN SAUL - 01/01/2026</t>
  </si>
  <si>
    <t>B B01-00002201</t>
  </si>
  <si>
    <t>PAPANT/2025/07727 (B B01-00002204)</t>
  </si>
  <si>
    <t>PAPANT/2025/07727</t>
  </si>
  <si>
    <t>CORDOVA LOPEZ, PABLO EUGENIO</t>
  </si>
  <si>
    <t>Pago de cliente S/ 179.82 - CORDOVA LOPEZ, PABLO EUGENIO - 01/01/2026</t>
  </si>
  <si>
    <t>B B01-00002204</t>
  </si>
  <si>
    <t>PAPANT/2025/07726 (B B01-00002195)</t>
  </si>
  <si>
    <t>PAPANT/2025/07726</t>
  </si>
  <si>
    <t>ORELLANA ATALA, GABRIELA LAURA</t>
  </si>
  <si>
    <t>Pago de cliente S/ 76.15 - ORELLANA ATALA, GABRIELA LAURA - 01/01/2026</t>
  </si>
  <si>
    <t>B B01-00002195</t>
  </si>
  <si>
    <t>PAPANT/2025/07725 (B B01-00002196)</t>
  </si>
  <si>
    <t>PAPANT/2025/07725</t>
  </si>
  <si>
    <t>SANCHEZ GONZALES, DANIEL</t>
  </si>
  <si>
    <t>Pago de cliente S/ 194.91 - SANCHEZ GONZALES, DANIEL - 01/01/2026</t>
  </si>
  <si>
    <t>B B01-00002196</t>
  </si>
  <si>
    <t>PAPANT/2025/07724 (B B01-00002197)</t>
  </si>
  <si>
    <t>PAPANT/2025/07724</t>
  </si>
  <si>
    <t>TORRES BERNAOLA, JORGE ARMANDO</t>
  </si>
  <si>
    <t>Pago de cliente S/ 21.61 - TORRES BERNAOLA, JORGE ARMANDO - 01/01/2026</t>
  </si>
  <si>
    <t>B B01-00002197</t>
  </si>
  <si>
    <t>PAPANT/2025/07723 (B B01-00002181)</t>
  </si>
  <si>
    <t>PAPANT/2025/07723</t>
  </si>
  <si>
    <t>ANGULO GONZALES, SILVANA DE JESUS</t>
  </si>
  <si>
    <t>Pago de cliente S/ 102.60 - ANGULO GONZALES, SILVANA DE JESUS - 01/01/2026</t>
  </si>
  <si>
    <t>B B01-00002181</t>
  </si>
  <si>
    <t>PAPANT/2025/07722 (B B01-00002182)</t>
  </si>
  <si>
    <t>PAPANT/2025/07722</t>
  </si>
  <si>
    <t>ALVA VIDAL, BRITHNEY SHAROLL</t>
  </si>
  <si>
    <t>Pago de cliente S/ 90.81 - ALVA VIDAL, BRITHNEY SHAROLL - 01/01/2026</t>
  </si>
  <si>
    <t>B B01-00002182</t>
  </si>
  <si>
    <t>PAPANT/2025/07721 (B B01-00002184)</t>
  </si>
  <si>
    <t>PAPANT/2025/07721</t>
  </si>
  <si>
    <t>PEÑA APAZA, BETSY</t>
  </si>
  <si>
    <t>Pago de cliente S/ 343.45 - PEÑA APAZA, BETSY - 01/01/2026</t>
  </si>
  <si>
    <t>B B01-00002184</t>
  </si>
  <si>
    <t>PAPANT/2025/07720 (B B01-00002185)</t>
  </si>
  <si>
    <t>PAPANT/2025/07720</t>
  </si>
  <si>
    <t>CASTILLO FLORES, KAREN ADELAYDA</t>
  </si>
  <si>
    <t>Pago de cliente S/ 29.70 - CASTILLO FLORES, KAREN ADELAYDA - 01/01/2026</t>
  </si>
  <si>
    <t>B B01-00002185</t>
  </si>
  <si>
    <t>PAPANT/2025/07719 (F F01-00001462)</t>
  </si>
  <si>
    <t>PAPANT/2025/07719</t>
  </si>
  <si>
    <t>DATANET SYSTEMS S.A.C.</t>
  </si>
  <si>
    <t>Pago de cliente S/ 72.55 - DATANET SYSTEMS S.A.C. - 01/01/2026</t>
  </si>
  <si>
    <t>F F01-00001462</t>
  </si>
  <si>
    <t>PAPANT/2025/07718 (B B01-00002167)</t>
  </si>
  <si>
    <t>PAPANT/2025/07718</t>
  </si>
  <si>
    <t>PUCUHUAYLA PAUCAR, DANITZA</t>
  </si>
  <si>
    <t>Pago de cliente S/ 179.96 - PUCUHUAYLA PAUCAR, DANITZA - 01/01/2026</t>
  </si>
  <si>
    <t>B B01-00002167</t>
  </si>
  <si>
    <t>PAPANT/2025/07717 (B B01-00002170)</t>
  </si>
  <si>
    <t>PAPANT/2025/07717</t>
  </si>
  <si>
    <t>Pago de cliente S/ 184.00 - RONDON MOLINA, CHRISTAL ADRIANA - 01/01/2026</t>
  </si>
  <si>
    <t>B B01-00002170</t>
  </si>
  <si>
    <t>PAPANT/2025/07716 (F F01-00001441)</t>
  </si>
  <si>
    <t>PAPANT/2025/07716</t>
  </si>
  <si>
    <t>ONLY PAWS S.R.L.</t>
  </si>
  <si>
    <t>Pago de cliente S/ 40.50 - ONLY PAWS S.R.L. - 01/01/2026</t>
  </si>
  <si>
    <t>F F01-00001441</t>
  </si>
  <si>
    <t>PAPANT/2025/07715 (B B01-00002155)</t>
  </si>
  <si>
    <t>PAPANT/2025/07715</t>
  </si>
  <si>
    <t>JIHUALLANCA FLORES, ORLANDO LUCIO</t>
  </si>
  <si>
    <t>Pago de cliente S/ 71.70 - JIHUALLANCA FLORES, ORLANDO LUCIO - 01/01/2026</t>
  </si>
  <si>
    <t>B B01-00002155</t>
  </si>
  <si>
    <t>PAPANT/2025/07714 (B B01-00002158)</t>
  </si>
  <si>
    <t>PAPANT/2025/07714</t>
  </si>
  <si>
    <t>Pago de cliente S/ 194.70 - LA ROSA BONIFACIO, JULIAN TONY - 01/01/2026</t>
  </si>
  <si>
    <t>B B01-00002158</t>
  </si>
  <si>
    <t>PAPANT/2025/07713 (B B01-00002159)</t>
  </si>
  <si>
    <t>PAPANT/2025/07713</t>
  </si>
  <si>
    <t>PALOMINO ROJAS, ANGHELA ROSARIO</t>
  </si>
  <si>
    <t>Pago de cliente S/ 21.61 - PALOMINO ROJAS, ANGHELA ROSARIO - 01/01/2026</t>
  </si>
  <si>
    <t>B B01-00002159</t>
  </si>
  <si>
    <t>PAPANT/2025/07712 (B B01-00002164)</t>
  </si>
  <si>
    <t>PAPANT/2025/07712</t>
  </si>
  <si>
    <t>MENDOZA ALVA DE DIEZ CANSECO, ROSA DOLORES</t>
  </si>
  <si>
    <t>Pago de cliente S/ 503.10 - MENDOZA ALVA DE DIEZ CANSECO, ROSA DOLORES - 01/01/2026</t>
  </si>
  <si>
    <t>B B01-00002164</t>
  </si>
  <si>
    <t>PAPANT/2025/07711 (B B01-00002140)</t>
  </si>
  <si>
    <t>PAPANT/2025/07711</t>
  </si>
  <si>
    <t>BUENO RIOS, MARIA ALEJANDRA</t>
  </si>
  <si>
    <t>Pago de cliente S/ 176.67 - BUENO RIOS, MARIA ALEJANDRA - 01/01/2026</t>
  </si>
  <si>
    <t>B B01-00002140</t>
  </si>
  <si>
    <t>PAPANT/2025/07710 (B B01-00002142)</t>
  </si>
  <si>
    <t>PAPANT/2025/07710</t>
  </si>
  <si>
    <t>SANDOVAL VIDAURRE, JHENY JHOVANI</t>
  </si>
  <si>
    <t>Pago de cliente S/ 33.84 - SANDOVAL VIDAURRE, JHENY JHOVANI - 01/01/2026</t>
  </si>
  <si>
    <t>B B01-00002142</t>
  </si>
  <si>
    <t>PAPANT/2025/07709 (B B01-00002145)</t>
  </si>
  <si>
    <t>PAPANT/2025/07709</t>
  </si>
  <si>
    <t>BLANCO MARTINEZ, JULIO PABLO</t>
  </si>
  <si>
    <t>Pago de cliente S/ 33.00 - BLANCO MARTINEZ, JULIO PABLO - 01/01/2026</t>
  </si>
  <si>
    <t>B B01-00002145</t>
  </si>
  <si>
    <t>PAPANT/2025/07708 (B B01-00002150)</t>
  </si>
  <si>
    <t>PAPANT/2025/07708</t>
  </si>
  <si>
    <t>MENESES TUTAYA, DIANA SISA</t>
  </si>
  <si>
    <t>Pago de cliente S/ 194.05 - MENESES TUTAYA, DIANA SISA - 01/01/2026</t>
  </si>
  <si>
    <t>B B01-00002150</t>
  </si>
  <si>
    <t>PAPANT/2025/07707 (B B01-00002102)</t>
  </si>
  <si>
    <t>PAPANT/2025/07707</t>
  </si>
  <si>
    <t>B B01-00002102</t>
  </si>
  <si>
    <t>PAPANT/2025/07706 (B B01-00002103)</t>
  </si>
  <si>
    <t>PAPANT/2025/07706</t>
  </si>
  <si>
    <t>MENDOZA SALAZAR, JIMMY ALONSO</t>
  </si>
  <si>
    <t>Pago de cliente S/ 154.35 - MENDOZA SALAZAR, JIMMY ALONSO - 01/01/2026</t>
  </si>
  <si>
    <t>B B01-00002103</t>
  </si>
  <si>
    <t>PAPANT/2025/07705 (B B01-00002106)</t>
  </si>
  <si>
    <t>PAPANT/2025/07705</t>
  </si>
  <si>
    <t>B B01-00002106</t>
  </si>
  <si>
    <t>PAPANT/2025/07704 (B B01-00002109)</t>
  </si>
  <si>
    <t>PAPANT/2025/07704</t>
  </si>
  <si>
    <t>CARRERA NAMUCHE, RICHAR ALEXANDER</t>
  </si>
  <si>
    <t>Pago de cliente S/ 314.34 - CARRERA NAMUCHE, RICHAR ALEXANDER - 01/01/2026</t>
  </si>
  <si>
    <t>B B01-00002109</t>
  </si>
  <si>
    <t>PAPANT/2025/07703 (B B01-00002112)</t>
  </si>
  <si>
    <t>PAPANT/2025/07703</t>
  </si>
  <si>
    <t>Pago de cliente S/ 61.21 - RICHARTTI SUAREZ, LIZETH STEFANIA - 01/01/2026</t>
  </si>
  <si>
    <t>B B01-00002112</t>
  </si>
  <si>
    <t>PAPANT/2025/07702 (B B01-00002126)</t>
  </si>
  <si>
    <t>PAPANT/2025/07702</t>
  </si>
  <si>
    <t>FLORES QUINTANA, LUIS ANGEL</t>
  </si>
  <si>
    <t>Pago de cliente S/ 98.83 - FLORES QUINTANA, LUIS ANGEL - 01/01/2026</t>
  </si>
  <si>
    <t>B B01-00002126</t>
  </si>
  <si>
    <t>PAPANT/2025/07701 (B B01-00002127)</t>
  </si>
  <si>
    <t>PAPANT/2025/07701</t>
  </si>
  <si>
    <t>Pago de cliente S/ 195.15 - MENDOZA SALAZAR, JIMMY ALONSO - 01/01/2026</t>
  </si>
  <si>
    <t>B B01-00002127</t>
  </si>
  <si>
    <t>PAPANT/2025/07700 (B B01-00002128)</t>
  </si>
  <si>
    <t>PAPANT/2025/07700</t>
  </si>
  <si>
    <t>PAREDES YAURI, LEONARDO ANTONIO</t>
  </si>
  <si>
    <t>Pago de cliente S/ 297.07 - PAREDES YAURI, LEONARDO ANTONIO - 01/01/2026</t>
  </si>
  <si>
    <t>B B01-00002128</t>
  </si>
  <si>
    <t>PAPANT/2025/07699 (B B01-00002137)</t>
  </si>
  <si>
    <t>PAPANT/2025/07699</t>
  </si>
  <si>
    <t>BERNAOLA MELGAREJO, JUAN PERFECTO</t>
  </si>
  <si>
    <t>Pago de cliente S/ 206.10 - BERNAOLA MELGAREJO, JUAN PERFECTO - 01/01/2026</t>
  </si>
  <si>
    <t>B B01-00002137</t>
  </si>
  <si>
    <t>PAPANT/2025/07698 (B B01-00002095)</t>
  </si>
  <si>
    <t>PAPANT/2025/07698</t>
  </si>
  <si>
    <t>ZUMAETA ROJAS, ROSSINI HAYLE</t>
  </si>
  <si>
    <t>Pago de cliente S/ 279.00 - ZUMAETA ROJAS, ROSSINI HAYLE - 01/01/2026</t>
  </si>
  <si>
    <t>B B01-00002095</t>
  </si>
  <si>
    <t>PAPANT/2025/07697 (B B01-00002098)</t>
  </si>
  <si>
    <t>PAPANT/2025/07697</t>
  </si>
  <si>
    <t>Pago de cliente S/ 74.61 - LLATAS GARCIA, SANDRA STEPHANI - 01/01/2026</t>
  </si>
  <si>
    <t>B B01-00002098</t>
  </si>
  <si>
    <t>PAPANT/2025/07696 (B B01-00002101)</t>
  </si>
  <si>
    <t>PAPANT/2025/07696</t>
  </si>
  <si>
    <t>CACHO DURANTE, CARMEN MARIANA</t>
  </si>
  <si>
    <t>Pago de cliente S/ 57.26 - CACHO DURANTE, CARMEN MARIANA - 01/01/2026</t>
  </si>
  <si>
    <t>B B01-00002101</t>
  </si>
  <si>
    <t>PAPANT/2025/07695 (B B01-00002074)</t>
  </si>
  <si>
    <t>PAPANT/2025/07695</t>
  </si>
  <si>
    <t>ZUÑIGA CAMINO, JAVIER FRANCISCO</t>
  </si>
  <si>
    <t>Pago de cliente S/ 112.68 - ZUÑIGA CAMINO, JAVIER FRANCISCO - 01/01/2026</t>
  </si>
  <si>
    <t>B B01-00002074</t>
  </si>
  <si>
    <t>PAPANT/2025/07694 (B B01-00002061)</t>
  </si>
  <si>
    <t>PAPANT/2025/07694</t>
  </si>
  <si>
    <t>ESCOBEDO PAREDES, CRISTHIAN RAFAEL</t>
  </si>
  <si>
    <t>Pago de cliente S/ 271.89 - ESCOBEDO PAREDES, CRISTHIAN RAFAEL - 01/01/2026</t>
  </si>
  <si>
    <t>B B01-00002061</t>
  </si>
  <si>
    <t>PAPANT/2025/07693 (B B01-00002068)</t>
  </si>
  <si>
    <t>PAPANT/2025/07693</t>
  </si>
  <si>
    <t>Pago de cliente S/ 74.61 - YANA MOTTA, DAFNY MARGOTH - 01/01/2026</t>
  </si>
  <si>
    <t>B B01-00002068</t>
  </si>
  <si>
    <t>PAPANT/2025/07692 (B B01-00002021)</t>
  </si>
  <si>
    <t>PAPANT/2025/07692</t>
  </si>
  <si>
    <t>PFLUCKER VON LIGNAU, URSULA</t>
  </si>
  <si>
    <t>Pago de cliente S/ 72.90 - PFLUCKER VON LIGNAU, URSULA - 01/01/2026</t>
  </si>
  <si>
    <t>B B01-00002021</t>
  </si>
  <si>
    <t>PAPANT/2025/07691 (B B01-00002024)</t>
  </si>
  <si>
    <t>PAPANT/2025/07691</t>
  </si>
  <si>
    <t>B B01-00002024</t>
  </si>
  <si>
    <t>PAPANT/2025/07682 (B B01-00002026)</t>
  </si>
  <si>
    <t>PAPANT/2025/07682</t>
  </si>
  <si>
    <t>Pago de cliente S/ 49.51 - CRAPESI LEIVA, FRANCESCA LYANA - 01/01/2026</t>
  </si>
  <si>
    <t>B B01-00002026</t>
  </si>
  <si>
    <t>PAPANT/2025/07681 (B B01-00002027)</t>
  </si>
  <si>
    <t>PAPANT/2025/07681</t>
  </si>
  <si>
    <t>PEREZ RAGONE ALVARO JAVIER DOMINGO</t>
  </si>
  <si>
    <t>Pago de cliente S/ 57.00 - PEREZ RAGONE ALVARO JAVIER DOMINGO - 01/01/2026</t>
  </si>
  <si>
    <t>B B01-00002027</t>
  </si>
  <si>
    <t>PAPANT/2025/07680 (B B01-00002028)</t>
  </si>
  <si>
    <t>PAPANT/2025/07680</t>
  </si>
  <si>
    <t>HIGA MIYASHIRO, GUILIANA MICHELLE</t>
  </si>
  <si>
    <t>Pago de cliente S/ 126.00 - HIGA MIYASHIRO, GUILIANA MICHELLE - 01/01/2026</t>
  </si>
  <si>
    <t>B B01-00002028</t>
  </si>
  <si>
    <t>PAPANT/2025/07679 (B B01-00002032)</t>
  </si>
  <si>
    <t>PAPANT/2025/07679</t>
  </si>
  <si>
    <t>LENGUA SALCINE, FABRIZIO SEBASTIAN</t>
  </si>
  <si>
    <t>Pago de cliente S/ 166.32 - LENGUA SALCINE, FABRIZIO SEBASTIAN - 01/01/2026</t>
  </si>
  <si>
    <t>B B01-00002032</t>
  </si>
  <si>
    <t>PAPANT/2025/07678 (B B01-00002039)</t>
  </si>
  <si>
    <t>PAPANT/2025/07678</t>
  </si>
  <si>
    <t>SANCHEZ CORONADO, ELIZABETH MILAGROS</t>
  </si>
  <si>
    <t>Pago de cliente S/ 81.81 - SANCHEZ CORONADO, ELIZABETH MILAGROS - 01/01/2026</t>
  </si>
  <si>
    <t>B B01-00002039</t>
  </si>
  <si>
    <t>PAPANT/2025/07677 (B B01-00002040)</t>
  </si>
  <si>
    <t>PAPANT/2025/07677</t>
  </si>
  <si>
    <t>B B01-00002040</t>
  </si>
  <si>
    <t>PAPANT/2025/07676 (B B01-00002044)</t>
  </si>
  <si>
    <t>PAPANT/2025/07676</t>
  </si>
  <si>
    <t>RAVINES PALOMINO, JOSUE</t>
  </si>
  <si>
    <t>Pago de cliente S/ 457.87 - RAVINES PALOMINO, JOSUE - 01/01/2026</t>
  </si>
  <si>
    <t>B B01-00002044</t>
  </si>
  <si>
    <t>PAPANT/2025/07675 (B B01-00002046)</t>
  </si>
  <si>
    <t>PAPANT/2025/07675</t>
  </si>
  <si>
    <t>B B01-00002046</t>
  </si>
  <si>
    <t>PAPANT/2025/07674 (B B01-00002048)</t>
  </si>
  <si>
    <t>PAPANT/2025/07674</t>
  </si>
  <si>
    <t>Pago de cliente S/ 33.00 - CUADROS AGUIRRE, LILIANA LORENZA - 01/01/2026</t>
  </si>
  <si>
    <t>B B01-00002048</t>
  </si>
  <si>
    <t>PAPANT/2025/07673 (B B01-00002050)</t>
  </si>
  <si>
    <t>PAPANT/2025/07673</t>
  </si>
  <si>
    <t>Pago de cliente S/ 80.20 - MUJICA WINCHONLONG, CHRISTOPHER XAVIER - 01/01/2026</t>
  </si>
  <si>
    <t>B B01-00002050</t>
  </si>
  <si>
    <t>PAPANT/2025/07672 (B B01-00002051)</t>
  </si>
  <si>
    <t>PAPANT/2025/07672</t>
  </si>
  <si>
    <t>Pago de cliente S/ 96.49 - PESCHIERA FORT, CLAUDIA MARIA - 01/01/2026</t>
  </si>
  <si>
    <t>B B01-00002051</t>
  </si>
  <si>
    <t>PAPANT/2025/07671 (B B01-00002053)</t>
  </si>
  <si>
    <t>PAPANT/2025/07671</t>
  </si>
  <si>
    <t>Pago de cliente S/ 59.00 - ZUMAETA ROJAS, ROSSINI HAYLE - 01/01/2026</t>
  </si>
  <si>
    <t>B B01-00002053</t>
  </si>
  <si>
    <t>PAPANT/2025/07670 (B B01-00002057)</t>
  </si>
  <si>
    <t>PAPANT/2025/07670</t>
  </si>
  <si>
    <t>ZEA PINTO, CHRISTOPHER STUART</t>
  </si>
  <si>
    <t>Pago de cliente S/ 177.00 - ZEA PINTO, CHRISTOPHER STUART - 01/01/2026</t>
  </si>
  <si>
    <t>B B01-00002057</t>
  </si>
  <si>
    <t>PAPANT/2025/07669 (F F01-00001350)</t>
  </si>
  <si>
    <t>PAPANT/2025/07669</t>
  </si>
  <si>
    <t>SALUD EN TU CASA E.I.R.L.</t>
  </si>
  <si>
    <t>Pago de cliente S/ 112.50 - SALUD EN TU CASA E.I.R.L. - 01/01/2026</t>
  </si>
  <si>
    <t>F F01-00001350</t>
  </si>
  <si>
    <t>PAPANT/2025/07668 (B B01-00002012)</t>
  </si>
  <si>
    <t>PAPANT/2025/07668</t>
  </si>
  <si>
    <t>CAYETANO TERRAZAS, SOFIA JOCELYN</t>
  </si>
  <si>
    <t>Pago de cliente S/ 47.79 - CAYETANO TERRAZAS, SOFIA JOCELYN - 01/01/2026</t>
  </si>
  <si>
    <t>B B01-00002012</t>
  </si>
  <si>
    <t>PAPANT/2025/07667 (B B01-00002000)</t>
  </si>
  <si>
    <t>PAPANT/2025/07667</t>
  </si>
  <si>
    <t>Pago de cliente S/ 20.00 - CHAVARRI VARGAS, PAMELA ALEXANDRA - 01/01/2026</t>
  </si>
  <si>
    <t>B B01-00002000</t>
  </si>
  <si>
    <t>PAPANT/2025/07666 (B B01-00002001)</t>
  </si>
  <si>
    <t>PAPANT/2025/07666</t>
  </si>
  <si>
    <t>RODRIGUEZ FUENTES, ROSA MARÍA</t>
  </si>
  <si>
    <t>Pago de cliente S/ 234.18 - RODRIGUEZ FUENTES, ROSA MARÍA - 01/01/2026</t>
  </si>
  <si>
    <t>B B01-00002001</t>
  </si>
  <si>
    <t>PAPANT/2025/07665 (B B01-00002006)</t>
  </si>
  <si>
    <t>PAPANT/2025/07665</t>
  </si>
  <si>
    <t>TRELLES GARCIA, GABRIELA</t>
  </si>
  <si>
    <t>Pago de cliente S/ 59.00 - TRELLES GARCIA, GABRIELA - 01/01/2026</t>
  </si>
  <si>
    <t>B B01-00002006</t>
  </si>
  <si>
    <t>PAPANT/2025/07664 (B B01-00002007)</t>
  </si>
  <si>
    <t>PAPANT/2025/07664</t>
  </si>
  <si>
    <t>Pago de cliente S/ 356.55 - CORDOVA LOPEZ, PABLO EUGENIO - 01/01/2026</t>
  </si>
  <si>
    <t>B B01-00002007</t>
  </si>
  <si>
    <t>PAPANT/2025/07663 (B B01-00001970)</t>
  </si>
  <si>
    <t>PAPANT/2025/07663</t>
  </si>
  <si>
    <t>Pago de cliente S/ 174.87 - DIAZ PASQUALIC, CINTYA LOURDES - 01/01/2026</t>
  </si>
  <si>
    <t>B B01-00001970</t>
  </si>
  <si>
    <t>PAPANT/2025/07662 (B B01-00001971)</t>
  </si>
  <si>
    <t>PAPANT/2025/07662</t>
  </si>
  <si>
    <t>CRESPO ROJAS, LUIS OSCAR</t>
  </si>
  <si>
    <t>Pago de cliente S/ 57.00 - CRESPO ROJAS, LUIS OSCAR - 01/01/2026</t>
  </si>
  <si>
    <t>B B01-00001971</t>
  </si>
  <si>
    <t>PAPANT/2025/07661 (B B01-00001982)</t>
  </si>
  <si>
    <t>PAPANT/2025/07661</t>
  </si>
  <si>
    <t>ESTRELLA MORENO, MERY LAURA</t>
  </si>
  <si>
    <t>Pago de cliente S/ 165.00 - ESTRELLA MORENO, MERY LAURA - 01/01/2026</t>
  </si>
  <si>
    <t>B B01-00001982</t>
  </si>
  <si>
    <t>PAPANT/2025/07660 (B B01-00001983)</t>
  </si>
  <si>
    <t>PAPANT/2025/07660</t>
  </si>
  <si>
    <t>B B01-00001983</t>
  </si>
  <si>
    <t>PAPANT/2025/07659 (B B01-00001988)</t>
  </si>
  <si>
    <t>PAPANT/2025/07659</t>
  </si>
  <si>
    <t>ENCISO PUGA, PATRICIA CLEMENTINA</t>
  </si>
  <si>
    <t>Pago de cliente S/ 172.47 - ENCISO PUGA, PATRICIA CLEMENTINA - 01/01/2026</t>
  </si>
  <si>
    <t>B B01-00001988</t>
  </si>
  <si>
    <t>PAPANT/2025/07658 (B B01-00001946)</t>
  </si>
  <si>
    <t>PAPANT/2025/07658</t>
  </si>
  <si>
    <t>Pago de cliente S/ 144.90 - CALLAÑAUPA FLORES, RODRIGO MANUEL - 01/01/2026</t>
  </si>
  <si>
    <t>B B01-00001946</t>
  </si>
  <si>
    <t>PAPANT/2025/07657 (B B01-00001947)</t>
  </si>
  <si>
    <t>PAPANT/2025/07657</t>
  </si>
  <si>
    <t>CAYCHO HIDALGO, TERESA ESTEFANIA</t>
  </si>
  <si>
    <t>Pago de cliente S/ 172.80 - CAYCHO HIDALGO, TERESA ESTEFANIA - 01/01/2026</t>
  </si>
  <si>
    <t>B B01-00001947</t>
  </si>
  <si>
    <t>PAPANT/2025/07656 (B B01-00001948)</t>
  </si>
  <si>
    <t>PAPANT/2025/07656</t>
  </si>
  <si>
    <t>GUERRERO VARGAS, MARIA GRAZIA</t>
  </si>
  <si>
    <t>Pago de cliente S/ 221.90 - GUERRERO VARGAS, MARIA GRAZIA - 01/01/2026</t>
  </si>
  <si>
    <t>B B01-00001948</t>
  </si>
  <si>
    <t>PAPANT/2025/07655 (B B01-00001949)</t>
  </si>
  <si>
    <t>PAPANT/2025/07655</t>
  </si>
  <si>
    <t>B B01-00001949</t>
  </si>
  <si>
    <t>PAPANT/2025/07654 (B B01-00001960)</t>
  </si>
  <si>
    <t>PAPANT/2025/07654</t>
  </si>
  <si>
    <t>Pago de cliente S/ 202.82 - VALER BEJARANO, JHERSY - 01/01/2026</t>
  </si>
  <si>
    <t>B B01-00001960</t>
  </si>
  <si>
    <t>PAPANT/2025/07653 (B B01-00001965)</t>
  </si>
  <si>
    <t>PAPANT/2025/07653</t>
  </si>
  <si>
    <t>ALVA SILVA, MELINA MALIWA</t>
  </si>
  <si>
    <t>Pago de cliente S/ 117.00 - ALVA SILVA, MELINA MALIWA - 01/01/2026</t>
  </si>
  <si>
    <t>B B01-00001965</t>
  </si>
  <si>
    <t>PAPANT/2025/07652 (B B01-00001933)</t>
  </si>
  <si>
    <t>PAPANT/2025/07652</t>
  </si>
  <si>
    <t>Pago de cliente S/ 70.57 - GONZALEZ GILDEMEISTER, JULIA MARGARITA - 01/01/2026</t>
  </si>
  <si>
    <t>B B01-00001933</t>
  </si>
  <si>
    <t>PAPANT/2025/07651 (B B01-00001935)</t>
  </si>
  <si>
    <t>PAPANT/2025/07651</t>
  </si>
  <si>
    <t>RUIZ ASPAJO, LESTER</t>
  </si>
  <si>
    <t>Pago de cliente S/ 67.50 - RUIZ ASPAJO, LESTER - 01/01/2026</t>
  </si>
  <si>
    <t>B B01-00001935</t>
  </si>
  <si>
    <t>PAPANT/2025/07650 (B B01-00001936)</t>
  </si>
  <si>
    <t>PAPANT/2025/07650</t>
  </si>
  <si>
    <t>Pago de cliente S/ 308.71 - SALINAS GUTIERREZ, LUISA AMERICA - 01/01/2026</t>
  </si>
  <si>
    <t>B B01-00001936</t>
  </si>
  <si>
    <t>PAPANT/2025/07649 (B B01-00001937)</t>
  </si>
  <si>
    <t>PAPANT/2025/07649</t>
  </si>
  <si>
    <t>SOSA UCEDA, MILUSKA MEDALYTH</t>
  </si>
  <si>
    <t>Pago de cliente S/ 164.95 - SOSA UCEDA, MILUSKA MEDALYTH - 01/01/2026</t>
  </si>
  <si>
    <t>B B01-00001937</t>
  </si>
  <si>
    <t>PAPANT/2025/07648 (B B01-00001938)</t>
  </si>
  <si>
    <t>PAPANT/2025/07648</t>
  </si>
  <si>
    <t>CHANG BERNAL, ERIKA MEYLIN</t>
  </si>
  <si>
    <t>Pago de cliente S/ 225.07 - CHANG BERNAL, ERIKA MEYLIN - 01/01/2026</t>
  </si>
  <si>
    <t>B B01-00001938</t>
  </si>
  <si>
    <t>PAPANT/2025/07647 (B B01-00001942)</t>
  </si>
  <si>
    <t>PAPANT/2025/07647</t>
  </si>
  <si>
    <t>LOPEZ ESCOBEDO, ROMINA ALEJANDRA</t>
  </si>
  <si>
    <t>Pago de cliente S/ 54.00 - LOPEZ ESCOBEDO, ROMINA ALEJANDRA - 01/01/2026</t>
  </si>
  <si>
    <t>B B01-00001942</t>
  </si>
  <si>
    <t>PAPANT/2025/07646 (B B01-00001943)</t>
  </si>
  <si>
    <t>PAPANT/2025/07646</t>
  </si>
  <si>
    <t>FERIA PLAZA, PATRICIA SOFIA</t>
  </si>
  <si>
    <t>Pago de cliente S/ 77.40 - FERIA PLAZA, PATRICIA SOFIA - 01/01/2026</t>
  </si>
  <si>
    <t>B B01-00001943</t>
  </si>
  <si>
    <t>PAPANT/2025/07645 (B B01-00001896)</t>
  </si>
  <si>
    <t>PAPANT/2025/07645</t>
  </si>
  <si>
    <t>DANIEL GUILLEN, CARLOS</t>
  </si>
  <si>
    <t>Pago de cliente S/ 109.05 - DANIEL GUILLEN, CARLOS - 01/01/2026</t>
  </si>
  <si>
    <t>B B01-00001896</t>
  </si>
  <si>
    <t>PAPANT/2025/07644 (B B01-00001899)</t>
  </si>
  <si>
    <t>PAPANT/2025/07644</t>
  </si>
  <si>
    <t>LAZO RONDON, FRANZ ANTONI</t>
  </si>
  <si>
    <t>Pago de cliente S/ 478.45 - LAZO RONDON, FRANZ ANTONI - 01/01/2026</t>
  </si>
  <si>
    <t>B B01-00001899</t>
  </si>
  <si>
    <t>PAPANT/2025/07643 (B B01-00001900)</t>
  </si>
  <si>
    <t>PAPANT/2025/07643</t>
  </si>
  <si>
    <t>VERTIZ ASQUI, EMPERATRIZ MARITZA</t>
  </si>
  <si>
    <t>Pago de cliente S/ 83.25 - VERTIZ ASQUI, EMPERATRIZ MARITZA - 01/01/2026</t>
  </si>
  <si>
    <t>B B01-00001900</t>
  </si>
  <si>
    <t>PAPANT/2025/07642 (B B01-00001907)</t>
  </si>
  <si>
    <t>PAPANT/2025/07642</t>
  </si>
  <si>
    <t>Pago de cliente S/ 203.95 - TINOCO REYNOSO, ROSA KATERIN - 01/01/2026</t>
  </si>
  <si>
    <t>B B01-00001907</t>
  </si>
  <si>
    <t>PAPANT/2025/07641 (B B01-00001912)</t>
  </si>
  <si>
    <t>PAPANT/2025/07641</t>
  </si>
  <si>
    <t>Pago de cliente S/ 165.00 - LOPEZ SERRA, ANDREA CRISTINA - 01/01/2026</t>
  </si>
  <si>
    <t>B B01-00001912</t>
  </si>
  <si>
    <t>PAPANT/2025/07640 (B B01-00001881)</t>
  </si>
  <si>
    <t>PAPANT/2025/07640</t>
  </si>
  <si>
    <t>QUISPE MATICORENA, SANDRA GISSELA</t>
  </si>
  <si>
    <t>Pago de cliente S/ 167.95 - QUISPE MATICORENA, SANDRA GISSELA - 01/01/2026</t>
  </si>
  <si>
    <t>B B01-00001881</t>
  </si>
  <si>
    <t>PAPANT/2025/07639 (B B01-00001890)</t>
  </si>
  <si>
    <t>PAPANT/2025/07639</t>
  </si>
  <si>
    <t>BOLO SUASNABAR, ROCIO</t>
  </si>
  <si>
    <t>Pago de cliente S/ 121.15 - BOLO SUASNABAR, ROCIO - 01/01/2026</t>
  </si>
  <si>
    <t>B B01-00001890</t>
  </si>
  <si>
    <t>PAPANT/2025/07638 (B B01-00001891)</t>
  </si>
  <si>
    <t>PAPANT/2025/07638</t>
  </si>
  <si>
    <t>TUESTA HERRERA MIJHAEL</t>
  </si>
  <si>
    <t>Pago de cliente S/ 162.01 - TUESTA HERRERA MIJHAEL - 01/01/2026</t>
  </si>
  <si>
    <t>B B01-00001891</t>
  </si>
  <si>
    <t>PAPANT/2025/07637 (B B01-00001892)</t>
  </si>
  <si>
    <t>PAPANT/2025/07637</t>
  </si>
  <si>
    <t>CORTEZ NICHO, EDUARDO JESUS</t>
  </si>
  <si>
    <t>Pago de cliente S/ 36.00 - CORTEZ NICHO, EDUARDO JESUS - 01/01/2026</t>
  </si>
  <si>
    <t>B B01-00001892</t>
  </si>
  <si>
    <t>PAPANT/2025/07636 (B B01-00001895)</t>
  </si>
  <si>
    <t>PAPANT/2025/07636</t>
  </si>
  <si>
    <t>VELASQUEZ CHIPANA, JANET EVELYN</t>
  </si>
  <si>
    <t>Pago de cliente S/ 90.55 - VELASQUEZ CHIPANA, JANET EVELYN - 01/01/2026</t>
  </si>
  <si>
    <t>B B01-00001895</t>
  </si>
  <si>
    <t>PAPANT/2025/07635 (B B01-00001862)</t>
  </si>
  <si>
    <t>PAPANT/2025/07635</t>
  </si>
  <si>
    <t>BARTON WOLL, BERENICE</t>
  </si>
  <si>
    <t>Pago de cliente S/ 196.25 - BARTON WOLL, BERENICE - 01/01/2026</t>
  </si>
  <si>
    <t>B B01-00001862</t>
  </si>
  <si>
    <t>PAPANT/2025/07634 (B B01-00001868)</t>
  </si>
  <si>
    <t>PAPANT/2025/07634</t>
  </si>
  <si>
    <t>CAMPOS GUTIERREZ, SHIRLEY PAOLA</t>
  </si>
  <si>
    <t>Pago de cliente S/ 207.38 - CAMPOS GUTIERREZ, SHIRLEY PAOLA - 01/01/2026</t>
  </si>
  <si>
    <t>B B01-00001868</t>
  </si>
  <si>
    <t>PAPANT/2025/07633 (B B01-00001749)</t>
  </si>
  <si>
    <t>PAPANT/2025/07633</t>
  </si>
  <si>
    <t>Pago de cliente S/ 66.00 - NOYA BAO, URSULA PATRICIA - 01/01/2026</t>
  </si>
  <si>
    <t>B B01-00001749</t>
  </si>
  <si>
    <t>PAPANT/2025/07632 (B B01-00001625)</t>
  </si>
  <si>
    <t>PAPANT/2025/07632</t>
  </si>
  <si>
    <t>Pago de cliente S/ 115.02 - GONZALES RIVERA, ARLITA ISABEL - 01/01/2026</t>
  </si>
  <si>
    <t>B B01-00001625</t>
  </si>
  <si>
    <t>PAPANT/2025/07596 (B B01-00005336)</t>
  </si>
  <si>
    <t>PAPANT/2025/07596</t>
  </si>
  <si>
    <t>MENDOZA ANCAJIMA, FLAVIA ROSA</t>
  </si>
  <si>
    <t>Pago de cliente S/ 94.80 - MENDOZA ANCAJIMA, FLAVIA ROSA - 01/01/2026</t>
  </si>
  <si>
    <t>B B01-00005336</t>
  </si>
  <si>
    <t>PAPANT/2025/07595 (B B01-00005305)</t>
  </si>
  <si>
    <t>PAPANT/2025/07595</t>
  </si>
  <si>
    <t>Pago de cliente S/ 193.98 - ZAKIMI NAKASONE, ERICA MIDORI - 01/01/2026</t>
  </si>
  <si>
    <t>B B01-00005305</t>
  </si>
  <si>
    <t>PAPANT/2025/07594 (B B01-00004979)</t>
  </si>
  <si>
    <t>PAPANT/2025/07594</t>
  </si>
  <si>
    <t>Pago de cliente S/ 82.48 - URCIA RUIZ, CARLOS FERNANDO - 01/01/2026</t>
  </si>
  <si>
    <t>B B01-00004979</t>
  </si>
  <si>
    <t>PAPANT/2025/07593 (B B01-00004719)</t>
  </si>
  <si>
    <t>PAPANT/2025/07593</t>
  </si>
  <si>
    <t>LARRAURI CERRUTTI, EVELIN JENNIFER</t>
  </si>
  <si>
    <t>Pago de cliente S/ 221.24 - LARRAURI CERRUTTI, EVELIN JENNIFER - 01/01/2026</t>
  </si>
  <si>
    <t>B B01-00004719</t>
  </si>
  <si>
    <t>PAPANT/2025/07592 (B B01-00004676)</t>
  </si>
  <si>
    <t>PAPANT/2025/07592</t>
  </si>
  <si>
    <t>CARRASCO JAVIER</t>
  </si>
  <si>
    <t>Pago de cliente S/ 248.00 - CARRASCO JAVIER - 01/01/2026</t>
  </si>
  <si>
    <t>B B01-00004676</t>
  </si>
  <si>
    <t>PAPANT/2025/07591 (B B01-00004561)</t>
  </si>
  <si>
    <t>PAPANT/2025/07591</t>
  </si>
  <si>
    <t>Pago de cliente S/ 861.99 - ESPINOZA HERRERA, GRACE ALLISON - 01/01/2026</t>
  </si>
  <si>
    <t>B B01-00004561</t>
  </si>
  <si>
    <t>PAPANT/2025/07590 (B B01-00004473)</t>
  </si>
  <si>
    <t>PAPANT/2025/07590</t>
  </si>
  <si>
    <t>Pago de cliente S/ 723.53 - SANTOS ARIAS, IVONNE GISELA - 01/01/2026</t>
  </si>
  <si>
    <t>B B01-00004473</t>
  </si>
  <si>
    <t>PAPANT/2025/07589 (B B01-00004367)</t>
  </si>
  <si>
    <t>PAPANT/2025/07589</t>
  </si>
  <si>
    <t>Pago de cliente S/ 366.00 - OLIVERA ANGELES, CINTHYA SOLEDAD - 01/01/2026</t>
  </si>
  <si>
    <t>B B01-00004367</t>
  </si>
  <si>
    <t>PAPANT/2025/07588 (B B01-00004372)</t>
  </si>
  <si>
    <t>PAPANT/2025/07588</t>
  </si>
  <si>
    <t>DELGADO MORE, ELIZABETH</t>
  </si>
  <si>
    <t>Pago de cliente S/ 422.41 - DELGADO MORE, ELIZABETH - 01/01/2026</t>
  </si>
  <si>
    <t>B B01-00004372</t>
  </si>
  <si>
    <t>PAPANT/2025/07587 (B B01-00003886)</t>
  </si>
  <si>
    <t>PAPANT/2025/07587</t>
  </si>
  <si>
    <t>WONG CORONADO, FERNANDO LENFON</t>
  </si>
  <si>
    <t>Pago de cliente S/ 241.00 - WONG CORONADO, FERNANDO LENFON - 01/01/2026</t>
  </si>
  <si>
    <t>B B01-00003886</t>
  </si>
  <si>
    <t>PAPANT/2025/07586 (B B01-00003687)</t>
  </si>
  <si>
    <t>PAPANT/2025/07586</t>
  </si>
  <si>
    <t>Pago de cliente S/ 254.43 - ZAKIMI NAKASONE, ERICA MIDORI - 01/01/2026</t>
  </si>
  <si>
    <t>B B01-00003687</t>
  </si>
  <si>
    <t>PAPANT/2025/07585 (B B01-00003603)</t>
  </si>
  <si>
    <t>PAPANT/2025/07585</t>
  </si>
  <si>
    <t>HUAIPARIMACHE CABRERA, JAHAIRA</t>
  </si>
  <si>
    <t>Pago de cliente S/ 40.01 - HUAIPARIMACHE CABRERA, JAHAIRA - 01/01/2026</t>
  </si>
  <si>
    <t>B B01-00003603</t>
  </si>
  <si>
    <t>PAPANT/2025/07584 (B B01-00003604)</t>
  </si>
  <si>
    <t>PAPANT/2025/07584</t>
  </si>
  <si>
    <t>Pago de cliente S/ 51.85 - URCIA RUIZ, CARLOS FERNANDO - 01/01/2026</t>
  </si>
  <si>
    <t>B B01-00003604</t>
  </si>
  <si>
    <t>PAPANT/2025/07583 (B B01-00003485)</t>
  </si>
  <si>
    <t>PAPANT/2025/07583</t>
  </si>
  <si>
    <t>AGUIRRE AVALOS, ANDREA KATHIANA</t>
  </si>
  <si>
    <t>Pago de cliente S/ 82.30 - AGUIRRE AVALOS, ANDREA KATHIANA - 01/01/2026</t>
  </si>
  <si>
    <t>B B01-00003485</t>
  </si>
  <si>
    <t>PAPANT/2025/07582 (B B01-00003487)</t>
  </si>
  <si>
    <t>PAPANT/2025/07582</t>
  </si>
  <si>
    <t>Pago de cliente S/ 330.00 - MENDOZA ANCAJIMA, FLAVIA ROSA - 01/01/2026</t>
  </si>
  <si>
    <t>B B01-00003487</t>
  </si>
  <si>
    <t>PAPANT/2025/07581 (B B01-00003470)</t>
  </si>
  <si>
    <t>PAPANT/2025/07581</t>
  </si>
  <si>
    <t>GUTIERREZ ORTEGANO, ANTONIO JOSE</t>
  </si>
  <si>
    <t>Pago de cliente S/ 38.01 - GUTIERREZ ORTEGANO, ANTONIO JOSE - 01/01/2026</t>
  </si>
  <si>
    <t>B B01-00003470</t>
  </si>
  <si>
    <t>PAPANT/2025/07580 (B B01-00003393)</t>
  </si>
  <si>
    <t>PAPANT/2025/07580</t>
  </si>
  <si>
    <t>BENITO PACHECO, MARIA</t>
  </si>
  <si>
    <t>Pago de cliente S/ 381.60 - BENITO PACHECO, MARIA - 01/01/2026</t>
  </si>
  <si>
    <t>B B01-00003393</t>
  </si>
  <si>
    <t>PAPANT/2025/07579 (B B01-00003301)</t>
  </si>
  <si>
    <t>PAPANT/2025/07579</t>
  </si>
  <si>
    <t>BELLIDO ARENAS, GONZALO JAVIER</t>
  </si>
  <si>
    <t>Pago de cliente S/ 115.01 - BELLIDO ARENAS, GONZALO JAVIER - 01/01/2026</t>
  </si>
  <si>
    <t>B B01-00003301</t>
  </si>
  <si>
    <t>PAPANT/2025/07578 (B B01-00003267)</t>
  </si>
  <si>
    <t>PAPANT/2025/07578</t>
  </si>
  <si>
    <t>ALZAMORA ALVARADO, JHON JAIRON</t>
  </si>
  <si>
    <t>Pago de cliente S/ 119.00 - ALZAMORA ALVARADO, JHON JAIRON - 01/01/2026</t>
  </si>
  <si>
    <t>B B01-00003267</t>
  </si>
  <si>
    <t>PAPANT/2025/07577 (B B01-00003172)</t>
  </si>
  <si>
    <t>PAPANT/2025/07577</t>
  </si>
  <si>
    <t>CRIADO CARRILLO, AMBAR IVETTE</t>
  </si>
  <si>
    <t>Pago de cliente S/ 278.21 - CRIADO CARRILLO, AMBAR IVETTE - 01/01/2026</t>
  </si>
  <si>
    <t>B B01-00003172</t>
  </si>
  <si>
    <t>PAPANT/2025/07576 (B B01-00003138)</t>
  </si>
  <si>
    <t>PAPANT/2025/07576</t>
  </si>
  <si>
    <t>NUÑEZ CHAVEZ, FIORELLA</t>
  </si>
  <si>
    <t>Pago de cliente S/ 234.40 - NUÑEZ CHAVEZ, FIORELLA - 01/01/2026</t>
  </si>
  <si>
    <t>B B01-00003138</t>
  </si>
  <si>
    <t>PAPANT/2025/07575 (B B01-00003046)</t>
  </si>
  <si>
    <t>PAPANT/2025/07575</t>
  </si>
  <si>
    <t>CORREA SALINAS, ROBERT HERBERT</t>
  </si>
  <si>
    <t>Pago de cliente S/ 134.00 - CORREA SALINAS, ROBERT HERBERT - 01/01/2026</t>
  </si>
  <si>
    <t>B B01-00003046</t>
  </si>
  <si>
    <t>PAPANT/2025/07574 (B B01-00003052)</t>
  </si>
  <si>
    <t>PAPANT/2025/07574</t>
  </si>
  <si>
    <t>MAUTINO CARBAJAL, GIANNINA MIA</t>
  </si>
  <si>
    <t>Pago de cliente S/ 99.00 - MAUTINO CARBAJAL, GIANNINA MIA - 01/01/2026</t>
  </si>
  <si>
    <t>B B01-00003052</t>
  </si>
  <si>
    <t>PAPANT/2025/07573 (F F01-00002051)</t>
  </si>
  <si>
    <t>PAPANT/2025/07573</t>
  </si>
  <si>
    <t>INDUSTRIAS Y SERVICIOS GENERALES AGROTEX P &amp; J DEL PERU E.I.R.L.</t>
  </si>
  <si>
    <t>Pago de cliente S/ 503.00 - INDUSTRIAS Y SERVICIOS GENERALES AGROTEX P &amp; J DEL PERU E.I.R.L. - 01/01/2026</t>
  </si>
  <si>
    <t>F F01-00002051</t>
  </si>
  <si>
    <t>PAPANT/2025/07572 (B B01-00003000)</t>
  </si>
  <si>
    <t>PAPANT/2025/07572</t>
  </si>
  <si>
    <t>B B01-00003000</t>
  </si>
  <si>
    <t>PAPANT/2025/07571 (B B01-00002958)</t>
  </si>
  <si>
    <t>PAPANT/2025/07571</t>
  </si>
  <si>
    <t>Pago de cliente S/ 552.26 - SANTOS ARIAS, IVONNE GISELA - 01/01/2026</t>
  </si>
  <si>
    <t>B B01-00002958</t>
  </si>
  <si>
    <t>PAPANT/2025/07570 (B B01-00002800)</t>
  </si>
  <si>
    <t>PAPANT/2025/07570</t>
  </si>
  <si>
    <t>Pago de cliente S/ 278.19 - CRIADO CARRILLO, AMBAR IVETTE - 01/01/2026</t>
  </si>
  <si>
    <t>B B01-00002800</t>
  </si>
  <si>
    <t>PAPANT/2025/07569 (B B01-00002766)</t>
  </si>
  <si>
    <t>PAPANT/2025/07569</t>
  </si>
  <si>
    <t>Pago de cliente S/ 186.84 - ZAKIMI NAKASONE, ERICA MIDORI - 01/01/2026</t>
  </si>
  <si>
    <t>B B01-00002766</t>
  </si>
  <si>
    <t>PAPANT/2025/07568 (B B01-00002755)</t>
  </si>
  <si>
    <t>PAPANT/2025/07568</t>
  </si>
  <si>
    <t>Pago de cliente S/ 56.25 - URCIA RUIZ, CARLOS FERNANDO - 01/01/2026</t>
  </si>
  <si>
    <t>B B01-00002755</t>
  </si>
  <si>
    <t>PAPANT/2025/07567 (B B01-00002685)</t>
  </si>
  <si>
    <t>PAPANT/2025/07567</t>
  </si>
  <si>
    <t>TARAZONA REYES, AMED YHORDAN</t>
  </si>
  <si>
    <t>Pago de cliente S/ 1,176.30 - TARAZONA REYES, AMED YHORDAN - 01/01/2026</t>
  </si>
  <si>
    <t>B B01-00002685</t>
  </si>
  <si>
    <t>PAPANT/2025/07566 (B B01-00002548)</t>
  </si>
  <si>
    <t>PAPANT/2025/07566</t>
  </si>
  <si>
    <t>CALMET DEL CASTILLO, INA PATRICIA</t>
  </si>
  <si>
    <t>Pago de cliente S/ 304.30 - CALMET DEL CASTILLO, INA PATRICIA - 01/01/2026</t>
  </si>
  <si>
    <t>B B01-00002548</t>
  </si>
  <si>
    <t>PAPANT/2025/07565 (B B01-00002570)</t>
  </si>
  <si>
    <t>PAPANT/2025/07565</t>
  </si>
  <si>
    <t>Pago de cliente S/ 292.60 - ZAPATA TOLENTINO, JOSE ANTONIO - 01/01/2026</t>
  </si>
  <si>
    <t>B B01-00002570</t>
  </si>
  <si>
    <t>PAPANT/2025/07564 (B B01-00002499)</t>
  </si>
  <si>
    <t>PAPANT/2025/07564</t>
  </si>
  <si>
    <t>Pago de cliente S/ 352.01 - PEDEMONTE CORDOVA, HILDE ALBERTH - 01/01/2026</t>
  </si>
  <si>
    <t>B B01-00002499</t>
  </si>
  <si>
    <t>PAPANT/2025/07563 (B B01-00002504)</t>
  </si>
  <si>
    <t>PAPANT/2025/07563</t>
  </si>
  <si>
    <t>Pago de cliente S/ 148.00 - MENDOZA ANCAJIMA, FLAVIA ROSA - 01/01/2026</t>
  </si>
  <si>
    <t>B B01-00002504</t>
  </si>
  <si>
    <t>PAPANT/2025/07562 (B B01-00002407)</t>
  </si>
  <si>
    <t>PAPANT/2025/07562</t>
  </si>
  <si>
    <t>YRIVARREN SUAREZ, JUAN LUIS EDUARDO</t>
  </si>
  <si>
    <t>Pago de cliente S/ 92.80 - YRIVARREN SUAREZ, JUAN LUIS EDUARDO - 01/01/2026</t>
  </si>
  <si>
    <t>B B01-00002407</t>
  </si>
  <si>
    <t>PAPANT/2025/07561 (B B01-00002350)</t>
  </si>
  <si>
    <t>PAPANT/2025/07561</t>
  </si>
  <si>
    <t>B B01-00002350</t>
  </si>
  <si>
    <t>PAPANT/2025/07560 (B B01-00002316)</t>
  </si>
  <si>
    <t>PAPANT/2025/07560</t>
  </si>
  <si>
    <t>CAÑOTE BARBARAN, ARTURO ALEXI</t>
  </si>
  <si>
    <t>Pago de cliente S/ 226.00 - CAÑOTE BARBARAN, ARTURO ALEXI - 01/01/2026</t>
  </si>
  <si>
    <t>B B01-00002316</t>
  </si>
  <si>
    <t>PAPANT/2025/07559 (B B01-00002294)</t>
  </si>
  <si>
    <t>PAPANT/2025/07559</t>
  </si>
  <si>
    <t>ESQUIVEL COURT, MERCEDES VERONICA</t>
  </si>
  <si>
    <t>Pago de cliente S/ 78.00 - ESQUIVEL COURT, MERCEDES VERONICA - 01/01/2026</t>
  </si>
  <si>
    <t>B B01-00002294</t>
  </si>
  <si>
    <t>PAPANT/2025/07558 (B B01-00002253)</t>
  </si>
  <si>
    <t>PAPANT/2025/07558</t>
  </si>
  <si>
    <t>Pago de cliente S/ 78.26 - URCIA RUIZ, CARLOS FERNANDO - 01/01/2026</t>
  </si>
  <si>
    <t>B B01-00002253</t>
  </si>
  <si>
    <t>PAPANT/2025/07557 (F F01-00001480)</t>
  </si>
  <si>
    <t>PAPANT/2025/07557</t>
  </si>
  <si>
    <t>AGRO INVERSIONES CAV E.I.R.L.</t>
  </si>
  <si>
    <t>Pago de cliente S/ 44.10 - AGRO INVERSIONES CAV E.I.R.L. - 01/01/2026</t>
  </si>
  <si>
    <t>F F01-00001480</t>
  </si>
  <si>
    <t>PAPANT/2025/07556 (B B01-00002192)</t>
  </si>
  <si>
    <t>PAPANT/2025/07556</t>
  </si>
  <si>
    <t>B B01-00002192</t>
  </si>
  <si>
    <t>PAPANT/2025/07555 (B B01-00002175)</t>
  </si>
  <si>
    <t>PAPANT/2025/07555</t>
  </si>
  <si>
    <t>MARIA CECILIA MONTECINOS FERNANDEZ</t>
  </si>
  <si>
    <t>Pago de cliente S/ 752.40 - MARIA CECILIA MONTECINOS FERNANDEZ - 01/01/2026</t>
  </si>
  <si>
    <t>B B01-00002175</t>
  </si>
  <si>
    <t>PAPANT/2025/07554 (B B01-00001870)</t>
  </si>
  <si>
    <t>PAPANT/2025/07554</t>
  </si>
  <si>
    <t>Pago de cliente S/ 273.00 - PEDEMONTE CORDOVA, HILDE ALBERTH - 01/01/2026</t>
  </si>
  <si>
    <t>B B01-00001870</t>
  </si>
  <si>
    <t>PAPANT/2025/07553 (B B01-00001372)</t>
  </si>
  <si>
    <t>PAPANT/2025/07553</t>
  </si>
  <si>
    <t>FERNANDEZ PACHECO, RENZO ANTONIO</t>
  </si>
  <si>
    <t>Pago de cliente S/ 69.01 - FERNANDEZ PACHECO, RENZO ANTONIO - 01/01/2026</t>
  </si>
  <si>
    <t>B B01-00001372</t>
  </si>
  <si>
    <t>PAPANT/2025/07552 (B B01-00001373)</t>
  </si>
  <si>
    <t>PAPANT/2025/07552</t>
  </si>
  <si>
    <t>VEGA ALVARADO, ANA LUCIA</t>
  </si>
  <si>
    <t>Pago de cliente S/ 67.00 - VEGA ALVARADO, ANA LUCIA - 01/01/2026</t>
  </si>
  <si>
    <t>B B01-00001373</t>
  </si>
  <si>
    <t>PAPANT/2025/07551 (B B01-00001374)</t>
  </si>
  <si>
    <t>PAPANT/2025/07551</t>
  </si>
  <si>
    <t>FLORES PIMENTEL, LEONARDO DAVID</t>
  </si>
  <si>
    <t>Pago de cliente S/ 39.00 - FLORES PIMENTEL, LEONARDO DAVID - 01/01/2026</t>
  </si>
  <si>
    <t>B B01-00001374</t>
  </si>
  <si>
    <t>PAPANT/2025/07550 (B B01-00005335)</t>
  </si>
  <si>
    <t>PAPANT/2025/07550</t>
  </si>
  <si>
    <t>LLONTOP CORZO, PEDRO ENRIQUE</t>
  </si>
  <si>
    <t>Pago de cliente S/ 99.90 - LLONTOP CORZO, PEDRO ENRIQUE - 01/01/2026</t>
  </si>
  <si>
    <t>B B01-00005335</t>
  </si>
  <si>
    <t>PAPANT/2025/07549 (B B01-00005299)</t>
  </si>
  <si>
    <t>PAPANT/2025/07549</t>
  </si>
  <si>
    <t>HERRERA RAMIREZ, EDUARDO RAFAEL</t>
  </si>
  <si>
    <t>Pago de cliente S/ 99.90 - HERRERA RAMIREZ, EDUARDO RAFAEL - 01/01/2026</t>
  </si>
  <si>
    <t>B B01-00005299</t>
  </si>
  <si>
    <t>PAPANT/2025/07548 (B B01-00005310)</t>
  </si>
  <si>
    <t>PAPANT/2025/07548</t>
  </si>
  <si>
    <t>BRAUL DOMINGUEZ, ROCIO VICTORIA</t>
  </si>
  <si>
    <t>Pago de cliente S/ 113.89 - BRAUL DOMINGUEZ, ROCIO VICTORIA - 01/01/2026</t>
  </si>
  <si>
    <t>B B01-00005310</t>
  </si>
  <si>
    <t>PAPANT/2025/07547 (B B01-00004925)</t>
  </si>
  <si>
    <t>PAPANT/2025/07547</t>
  </si>
  <si>
    <t>PEREZ CHIRINOS, MARKUS ADEMAR</t>
  </si>
  <si>
    <t>Pago de cliente S/ 171.50 - PEREZ CHIRINOS, MARKUS ADEMAR - 01/01/2026</t>
  </si>
  <si>
    <t>B B01-00004925</t>
  </si>
  <si>
    <t>PAPANT/2025/07546 (B B01-00004655)</t>
  </si>
  <si>
    <t>PAPANT/2025/07546</t>
  </si>
  <si>
    <t>BUSTILLO EURYMAR</t>
  </si>
  <si>
    <t>Pago de cliente S/ 204.45 - BUSTILLO EURYMAR - 01/01/2026</t>
  </si>
  <si>
    <t>B B01-00004655</t>
  </si>
  <si>
    <t>PAPANT/2025/07545 (B B01-00004626)</t>
  </si>
  <si>
    <t>PAPANT/2025/07545</t>
  </si>
  <si>
    <t>ESPINOZA SANJINEZ, JHOSEP JUNIOR</t>
  </si>
  <si>
    <t>Pago de cliente S/ 122.00 - ESPINOZA SANJINEZ, JHOSEP JUNIOR - 01/01/2026</t>
  </si>
  <si>
    <t>B B01-00004626</t>
  </si>
  <si>
    <t>PAPANT/2025/07544 (B B01-00004593)</t>
  </si>
  <si>
    <t>PAPANT/2025/07544</t>
  </si>
  <si>
    <t>CASANI GARCIA DE GUTIERREZ, PATRICIA BERTHA</t>
  </si>
  <si>
    <t>Pago de cliente S/ 53.74 - CASANI GARCIA DE GUTIERREZ, PATRICIA BERTHA - 01/01/2026</t>
  </si>
  <si>
    <t>B B01-00004593</t>
  </si>
  <si>
    <t>PAPANT/2025/07543 (B B01-00004602)</t>
  </si>
  <si>
    <t>PAPANT/2025/07543</t>
  </si>
  <si>
    <t>YZASIGA MEDER, DEBORAH LIZETH</t>
  </si>
  <si>
    <t>Pago de cliente S/ 89.99 - YZASIGA MEDER, DEBORAH LIZETH - 01/01/2026</t>
  </si>
  <si>
    <t>B B01-00004602</t>
  </si>
  <si>
    <t>PAPANT/2025/07542 (B B01-00004603)</t>
  </si>
  <si>
    <t>PAPANT/2025/07542</t>
  </si>
  <si>
    <t>GUIZADO VARGAS, PIERO GIOVANNI</t>
  </si>
  <si>
    <t>Pago de cliente S/ 86.43 - GUIZADO VARGAS, PIERO GIOVANNI - 01/01/2026</t>
  </si>
  <si>
    <t>B B01-00004603</t>
  </si>
  <si>
    <t>PAPANT/2025/07541 (B B01-00004605)</t>
  </si>
  <si>
    <t>PAPANT/2025/07541</t>
  </si>
  <si>
    <t>AYAMAMANI QUISPE, MAYRA ANDREA</t>
  </si>
  <si>
    <t>Pago de cliente S/ 58.01 - AYAMAMANI QUISPE, MAYRA ANDREA - 01/01/2026</t>
  </si>
  <si>
    <t>B B01-00004605</t>
  </si>
  <si>
    <t>PAPANT/2025/07540 (B B01-00004579)</t>
  </si>
  <si>
    <t>PAPANT/2025/07540</t>
  </si>
  <si>
    <t>YACTAYO ARANDA, NESTOR ROBERTO</t>
  </si>
  <si>
    <t>Pago de cliente S/ 64.15 - YACTAYO ARANDA, NESTOR ROBERTO - 01/01/2026</t>
  </si>
  <si>
    <t>B B01-00004579</t>
  </si>
  <si>
    <t>PAPANT/2025/07539 (B B01-00004553)</t>
  </si>
  <si>
    <t>PAPANT/2025/07539</t>
  </si>
  <si>
    <t>CENTURION GOMEZ, MICHEL JANCARLO</t>
  </si>
  <si>
    <t>Pago de cliente S/ 185.61 - CENTURION GOMEZ, MICHEL JANCARLO - 01/01/2026</t>
  </si>
  <si>
    <t>B B01-00004553</t>
  </si>
  <si>
    <t>PAPANT/2025/07538 (B B01-00004562)</t>
  </si>
  <si>
    <t>PAPANT/2025/07538</t>
  </si>
  <si>
    <t>ESPINOZA VENTURA, ANGGIE MAGGIE</t>
  </si>
  <si>
    <t>Pago de cliente S/ 86.43 - ESPINOZA VENTURA, ANGGIE MAGGIE - 01/01/2026</t>
  </si>
  <si>
    <t>B B01-00004562</t>
  </si>
  <si>
    <t>PAPANT/2025/07537 (B B01-00004567)</t>
  </si>
  <si>
    <t>PAPANT/2025/07537</t>
  </si>
  <si>
    <t>PISFIL ARAUJO, FIORELLA ALEXANDRA</t>
  </si>
  <si>
    <t>Pago de cliente S/ 86.43 - PISFIL ARAUJO, FIORELLA ALEXANDRA - 01/01/2026</t>
  </si>
  <si>
    <t>B B01-00004567</t>
  </si>
  <si>
    <t>PAPANT/2025/07536 (B B01-00004500)</t>
  </si>
  <si>
    <t>PAPANT/2025/07536</t>
  </si>
  <si>
    <t>ESPINOZA SAENZ, LIZBETH SHEILLA</t>
  </si>
  <si>
    <t>Pago de cliente S/ 156.40 - ESPINOZA SAENZ, LIZBETH SHEILLA - 01/01/2026</t>
  </si>
  <si>
    <t>B B01-00004500</t>
  </si>
  <si>
    <t>PAPANT/2025/07535 (B B01-00004514)</t>
  </si>
  <si>
    <t>PAPANT/2025/07535</t>
  </si>
  <si>
    <t>TANTALEAN BECERRA DE HUAMAN, ELITA</t>
  </si>
  <si>
    <t>Pago de cliente S/ 358.18 - TANTALEAN BECERRA DE HUAMAN, ELITA - 01/01/2026</t>
  </si>
  <si>
    <t>B B01-00004514</t>
  </si>
  <si>
    <t>PAPANT/2025/07534 (B B01-00004534)</t>
  </si>
  <si>
    <t>PAPANT/2025/07534</t>
  </si>
  <si>
    <t>BALCAZAR CARMELO, HUMBERTO</t>
  </si>
  <si>
    <t>Pago de cliente S/ 89.99 - BALCAZAR CARMELO, HUMBERTO - 01/01/2026</t>
  </si>
  <si>
    <t>B B01-00004534</t>
  </si>
  <si>
    <t>PAPANT/2025/07533 (B B01-00004440)</t>
  </si>
  <si>
    <t>PAPANT/2025/07533</t>
  </si>
  <si>
    <t>PANTOJA VASQUEZ, MARIA DEL PILAR</t>
  </si>
  <si>
    <t>Pago de cliente S/ 130.01 - PANTOJA VASQUEZ, MARIA DEL PILAR - 01/01/2026</t>
  </si>
  <si>
    <t>B B01-00004440</t>
  </si>
  <si>
    <t>PAPANT/2025/07532 (B B01-00004442)</t>
  </si>
  <si>
    <t>PAPANT/2025/07532</t>
  </si>
  <si>
    <t>FAJARDO ROLDAN, AYBY GAMILLE</t>
  </si>
  <si>
    <t>Pago de cliente S/ 194.00 - FAJARDO ROLDAN, AYBY GAMILLE - 01/01/2026</t>
  </si>
  <si>
    <t>B B01-00004442</t>
  </si>
  <si>
    <t>PAPANT/2025/07531 (B B01-00004446)</t>
  </si>
  <si>
    <t>PAPANT/2025/07531</t>
  </si>
  <si>
    <t>MENDOZA QUISO, PILAR ANALI</t>
  </si>
  <si>
    <t>Pago de cliente S/ 60.30 - MENDOZA QUISO, PILAR ANALI - 01/01/2026</t>
  </si>
  <si>
    <t>B B01-00004446</t>
  </si>
  <si>
    <t>PAPANT/2025/07530 (B B01-00004461)</t>
  </si>
  <si>
    <t>PAPANT/2025/07530</t>
  </si>
  <si>
    <t>ESPIRITU MONAGO, ALFREDO</t>
  </si>
  <si>
    <t>Pago de cliente S/ 173.00 - ESPIRITU MONAGO, ALFREDO - 01/01/2026</t>
  </si>
  <si>
    <t>B B01-00004461</t>
  </si>
  <si>
    <t>PAPANT/2025/07529 (B B01-00004420)</t>
  </si>
  <si>
    <t>PAPANT/2025/07529</t>
  </si>
  <si>
    <t>TINCO PALOMINO, CARMEN ROSA</t>
  </si>
  <si>
    <t>Pago de cliente S/ 46.00 - TINCO PALOMINO, CARMEN ROSA - 01/01/2026</t>
  </si>
  <si>
    <t>B B01-00004420</t>
  </si>
  <si>
    <t>PAPANT/2025/07528 (B B01-00004387)</t>
  </si>
  <si>
    <t>PAPANT/2025/07528</t>
  </si>
  <si>
    <t>ALAYO GUZMAN, DEYVIS ABELARDO</t>
  </si>
  <si>
    <t>Pago de cliente S/ 102.41 - ALAYO GUZMAN, DEYVIS ABELARDO - 01/01/2026</t>
  </si>
  <si>
    <t>B B01-00004387</t>
  </si>
  <si>
    <t>PAPANT/2025/07527 (B B01-00004388)</t>
  </si>
  <si>
    <t>PAPANT/2025/07527</t>
  </si>
  <si>
    <t>LEYTON DE LA CRUZ, VIOLETA SOFIA</t>
  </si>
  <si>
    <t>Pago de cliente S/ 102.41 - LEYTON DE LA CRUZ, VIOLETA SOFIA - 01/01/2026</t>
  </si>
  <si>
    <t>B B01-00004388</t>
  </si>
  <si>
    <t>PAPANT/2025/07526 (B B01-00004389)</t>
  </si>
  <si>
    <t>PAPANT/2025/07526</t>
  </si>
  <si>
    <t>RUIZ REYES, KIMBERLY PATRICIA</t>
  </si>
  <si>
    <t>Pago de cliente S/ 59.40 - RUIZ REYES, KIMBERLY PATRICIA - 01/01/2026</t>
  </si>
  <si>
    <t>B B01-00004389</t>
  </si>
  <si>
    <t>PAPANT/2025/07525 (B B01-00004362)</t>
  </si>
  <si>
    <t>PAPANT/2025/07525</t>
  </si>
  <si>
    <t>ROBLES CASTILLO, CRISTHIAN ALFREDO</t>
  </si>
  <si>
    <t>Pago de cliente S/ 52.19 - ROBLES CASTILLO, CRISTHIAN ALFREDO - 01/01/2026</t>
  </si>
  <si>
    <t>B B01-00004362</t>
  </si>
  <si>
    <t>PAPANT/2025/07524 (B B01-00004368)</t>
  </si>
  <si>
    <t>PAPANT/2025/07524</t>
  </si>
  <si>
    <t>AGUILAR SALAZAR, MARIA MILAGROS</t>
  </si>
  <si>
    <t>Pago de cliente S/ 117.00 - AGUILAR SALAZAR, MARIA MILAGROS - 01/01/2026</t>
  </si>
  <si>
    <t>B B01-00004368</t>
  </si>
  <si>
    <t>PAPANT/2025/07523 (B B01-00004375)</t>
  </si>
  <si>
    <t>PAPANT/2025/07523</t>
  </si>
  <si>
    <t>PALMER TORRES, JUSSARA INEZ ANAÍ</t>
  </si>
  <si>
    <t>Pago de cliente S/ 102.41 - PALMER TORRES, JUSSARA INEZ ANAÍ - 01/01/2026</t>
  </si>
  <si>
    <t>B B01-00004375</t>
  </si>
  <si>
    <t>PAPANT/2025/07522 (B B01-00004271)</t>
  </si>
  <si>
    <t>PAPANT/2025/07522</t>
  </si>
  <si>
    <t>LEYTON MOSTIGA, CLAUDIA CECILIA</t>
  </si>
  <si>
    <t>Pago de cliente S/ 87.30 - LEYTON MOSTIGA, CLAUDIA CECILIA - 01/01/2026</t>
  </si>
  <si>
    <t>B B01-00004271</t>
  </si>
  <si>
    <t>PAPANT/2025/07521 (B B01-00004272)</t>
  </si>
  <si>
    <t>PAPANT/2025/07521</t>
  </si>
  <si>
    <t>MUÑOZ ORTEGA, JORGE MIGUEL</t>
  </si>
  <si>
    <t>Pago de cliente S/ 118.00 - MUÑOZ ORTEGA, JORGE MIGUEL - 01/01/2026</t>
  </si>
  <si>
    <t>B B01-00004272</t>
  </si>
  <si>
    <t>PAPANT/2025/07520 (B B01-00004273)</t>
  </si>
  <si>
    <t>PAPANT/2025/07520</t>
  </si>
  <si>
    <t>SIFUENTES ÑIQUIN, VICTOR HUGO</t>
  </si>
  <si>
    <t>Pago de cliente S/ 60.00 - SIFUENTES ÑIQUIN, VICTOR HUGO - 01/01/2026</t>
  </si>
  <si>
    <t>B B01-00004273</t>
  </si>
  <si>
    <t>PAPANT/2025/07519 (B B01-00004257)</t>
  </si>
  <si>
    <t>PAPANT/2025/07519</t>
  </si>
  <si>
    <t>GAMBETTA VINCES, JESSICA ANTONELLA</t>
  </si>
  <si>
    <t>Pago de cliente S/ 55.80 - GAMBETTA VINCES, JESSICA ANTONELLA - 01/01/2026</t>
  </si>
  <si>
    <t>B B01-00004257</t>
  </si>
  <si>
    <t>PAPANT/2025/07518 (B B01-00004162)</t>
  </si>
  <si>
    <t>PAPANT/2025/07518</t>
  </si>
  <si>
    <t>NOMBERTO FUENTES, TERESA DEL PILAR</t>
  </si>
  <si>
    <t>Pago de cliente S/ 88.80 - NOMBERTO FUENTES, TERESA DEL PILAR - 01/01/2026</t>
  </si>
  <si>
    <t>B B01-00004162</t>
  </si>
  <si>
    <t>PAPANT/2025/07517 (B B01-00004163)</t>
  </si>
  <si>
    <t>PAPANT/2025/07517</t>
  </si>
  <si>
    <t>RODRIGUEZ LEON, MARJORY ARACY</t>
  </si>
  <si>
    <t>Pago de cliente S/ 121.00 - RODRIGUEZ LEON, MARJORY ARACY - 01/01/2026</t>
  </si>
  <si>
    <t>B B01-00004163</t>
  </si>
  <si>
    <t>PAPANT/2025/07516 (B B01-00004125)</t>
  </si>
  <si>
    <t>PAPANT/2025/07516</t>
  </si>
  <si>
    <t>FLORES CASAS, ALDO MARTIN</t>
  </si>
  <si>
    <t>Pago de cliente S/ 122.00 - FLORES CASAS, ALDO MARTIN - 01/01/2026</t>
  </si>
  <si>
    <t>B B01-00004125</t>
  </si>
  <si>
    <t>PAPANT/2025/07515 (B B01-00004040)</t>
  </si>
  <si>
    <t>PAPANT/2025/07515</t>
  </si>
  <si>
    <t>MORALES SANCHEZ, BRENDA BRIGITTE</t>
  </si>
  <si>
    <t>Pago de cliente S/ 102.41 - MORALES SANCHEZ, BRENDA BRIGITTE - 01/01/2026</t>
  </si>
  <si>
    <t>B B01-00004040</t>
  </si>
  <si>
    <t>PAPANT/2025/07514 (B B01-00004042)</t>
  </si>
  <si>
    <t>PAPANT/2025/07514</t>
  </si>
  <si>
    <t>MONTOYA LAVA, JEREMY CHRISTIAN</t>
  </si>
  <si>
    <t>Pago de cliente S/ 102.41 - MONTOYA LAVA, JEREMY CHRISTIAN - 01/01/2026</t>
  </si>
  <si>
    <t>B B01-00004042</t>
  </si>
  <si>
    <t>PAPANT/2025/07513 (B B01-00004003)</t>
  </si>
  <si>
    <t>PAPANT/2025/07513</t>
  </si>
  <si>
    <t>ARRIETA GAMBOA, STEFANY FIORELLA</t>
  </si>
  <si>
    <t>Pago de cliente S/ 82.25 - ARRIETA GAMBOA, STEFANY FIORELLA - 01/01/2026</t>
  </si>
  <si>
    <t>B B01-00004003</t>
  </si>
  <si>
    <t>PAPANT/2025/07512 (B B01-00003928)</t>
  </si>
  <si>
    <t>PAPANT/2025/07512</t>
  </si>
  <si>
    <t>CORDOVA FLORES, JOHN BRAYAN</t>
  </si>
  <si>
    <t>Pago de cliente S/ 380.00 - CORDOVA FLORES, JOHN BRAYAN - 01/01/2026</t>
  </si>
  <si>
    <t>B B01-00003928</t>
  </si>
  <si>
    <t>PAPANT/2025/07511 (B B01-00003938)</t>
  </si>
  <si>
    <t>PAPANT/2025/07511</t>
  </si>
  <si>
    <t>VASQUEZ FLORES, ANNIE GUADALUPE</t>
  </si>
  <si>
    <t>Pago de cliente S/ 58.00 - VASQUEZ FLORES, ANNIE GUADALUPE - 01/01/2026</t>
  </si>
  <si>
    <t>B B01-00003938</t>
  </si>
  <si>
    <t>PAPANT/2025/07510 (B B01-00003946)</t>
  </si>
  <si>
    <t>PAPANT/2025/07510</t>
  </si>
  <si>
    <t>TAFUR GALVEZ, RENATO CARLO</t>
  </si>
  <si>
    <t>Pago de cliente S/ 102.41 - TAFUR GALVEZ, RENATO CARLO - 01/01/2026</t>
  </si>
  <si>
    <t>B B01-00003946</t>
  </si>
  <si>
    <t>PAPANT/2025/07509 (B B01-00003907)</t>
  </si>
  <si>
    <t>PAPANT/2025/07509</t>
  </si>
  <si>
    <t>FLORES MELCHOR, ERNESTO ANDRE MARCELO</t>
  </si>
  <si>
    <t>Pago de cliente S/ 136.01 - FLORES MELCHOR, ERNESTO ANDRE MARCELO - 01/01/2026</t>
  </si>
  <si>
    <t>B B01-00003907</t>
  </si>
  <si>
    <t>PAPANT/2025/07508 (B B01-00003842)</t>
  </si>
  <si>
    <t>PAPANT/2025/07508</t>
  </si>
  <si>
    <t>VIRU LUQUE, MARIA FERNANDA FIORELLA</t>
  </si>
  <si>
    <t>Pago de cliente S/ 97.00 - VIRU LUQUE, MARIA FERNANDA FIORELLA - 01/01/2026</t>
  </si>
  <si>
    <t>B B01-00003842</t>
  </si>
  <si>
    <t>PAPANT/2025/07507 (B B01-00003848)</t>
  </si>
  <si>
    <t>PAPANT/2025/07507</t>
  </si>
  <si>
    <t>ARANGO ARONI, JEANETTE MARLENE</t>
  </si>
  <si>
    <t>Pago de cliente S/ 60.57 - ARANGO ARONI, JEANETTE MARLENE - 01/01/2026</t>
  </si>
  <si>
    <t>B B01-00003848</t>
  </si>
  <si>
    <t>PAPANT/2025/07506 (B B01-00003685)</t>
  </si>
  <si>
    <t>PAPANT/2025/07506</t>
  </si>
  <si>
    <t>KOHAGURA NAKAMURA, YESICA REGINA</t>
  </si>
  <si>
    <t>Pago de cliente S/ 136.00 - KOHAGURA NAKAMURA, YESICA REGINA - 01/01/2026</t>
  </si>
  <si>
    <t>B B01-00003685</t>
  </si>
  <si>
    <t>PAPANT/2025/07505 (B B01-00003686)</t>
  </si>
  <si>
    <t>PAPANT/2025/07505</t>
  </si>
  <si>
    <t>VELASQUEZ REYES, MELANIE ANDREA</t>
  </si>
  <si>
    <t>Pago de cliente S/ 82.00 - VELASQUEZ REYES, MELANIE ANDREA - 01/01/2026</t>
  </si>
  <si>
    <t>B B01-00003686</t>
  </si>
  <si>
    <t>PAPANT/2025/07504 (B B01-00003649)</t>
  </si>
  <si>
    <t>PAPANT/2025/07504</t>
  </si>
  <si>
    <t>CAMPOS QUIROZ, JACK ROBINSON</t>
  </si>
  <si>
    <t>Pago de cliente S/ 385.00 - CAMPOS QUIROZ, JACK ROBINSON - 01/01/2026</t>
  </si>
  <si>
    <t>B B01-00003649</t>
  </si>
  <si>
    <t>PAPANT/2025/07503 (B B01-00003651)</t>
  </si>
  <si>
    <t>PAPANT/2025/07503</t>
  </si>
  <si>
    <t>Pago de cliente S/ 177.59 - ESPINOZA SAMPERTEGUI, ARTURO - 01/01/2026</t>
  </si>
  <si>
    <t>B B01-00003651</t>
  </si>
  <si>
    <t>PAPANT/2025/07502 (B B01-00003542)</t>
  </si>
  <si>
    <t>PAPANT/2025/07502</t>
  </si>
  <si>
    <t>VEGA RAMIREZ, IVAN</t>
  </si>
  <si>
    <t>Pago de cliente S/ 82.25 - VEGA RAMIREZ, IVAN - 01/01/2026</t>
  </si>
  <si>
    <t>B B01-00003542</t>
  </si>
  <si>
    <t>PAPANT/2025/07501 (B B01-00003434)</t>
  </si>
  <si>
    <t>PAPANT/2025/07501</t>
  </si>
  <si>
    <t>LUNA TORRES, NUWA CLARA</t>
  </si>
  <si>
    <t>Pago de cliente S/ 204.44 - LUNA TORRES, NUWA CLARA - 01/01/2026</t>
  </si>
  <si>
    <t>B B01-00003434</t>
  </si>
  <si>
    <t>PAPANT/2025/07500 (B B01-00003437)</t>
  </si>
  <si>
    <t>PAPANT/2025/07500</t>
  </si>
  <si>
    <t>Pago de cliente S/ 177.60 - LA ROSA MASSA, GONZALO - 01/01/2026</t>
  </si>
  <si>
    <t>B B01-00003437</t>
  </si>
  <si>
    <t>PAPANT/2025/07499 (B B01-00003443)</t>
  </si>
  <si>
    <t>PAPANT/2025/07499</t>
  </si>
  <si>
    <t>Pago de cliente S/ 88.80 - SHEARAR LINDEN JAMES - 01/01/2026</t>
  </si>
  <si>
    <t>B B01-00003443</t>
  </si>
  <si>
    <t>PAPANT/2025/07498 (B B01-00003444)</t>
  </si>
  <si>
    <t>PAPANT/2025/07498</t>
  </si>
  <si>
    <t>VILLAVICENCIO VALENZUELA, NOEMI RUT</t>
  </si>
  <si>
    <t>Pago de cliente S/ 82.25 - VILLAVICENCIO VALENZUELA, NOEMI RUT - 01/01/2026</t>
  </si>
  <si>
    <t>B B01-00003444</t>
  </si>
  <si>
    <t>PAPANT/2025/07497 (B B01-00003447)</t>
  </si>
  <si>
    <t>PAPANT/2025/07497</t>
  </si>
  <si>
    <t>ZELADA GUEVARA, CESAR IRWIN</t>
  </si>
  <si>
    <t>Pago de cliente S/ 65.00 - ZELADA GUEVARA, CESAR IRWIN - 01/01/2026</t>
  </si>
  <si>
    <t>B B01-00003447</t>
  </si>
  <si>
    <t>PAPANT/2025/07496 (B B01-00003450)</t>
  </si>
  <si>
    <t>PAPANT/2025/07496</t>
  </si>
  <si>
    <t>VALDIVIA JARA, MAITE</t>
  </si>
  <si>
    <t>Pago de cliente S/ 130.00 - VALDIVIA JARA, MAITE - 01/01/2026</t>
  </si>
  <si>
    <t>B B01-00003450</t>
  </si>
  <si>
    <t>PAPANT/2025/07495 (B B01-00003391)</t>
  </si>
  <si>
    <t>PAPANT/2025/07495</t>
  </si>
  <si>
    <t>Pago de cliente S/ 120.00 - VASQUEZ SAAVEDRA, WILLFRIDO VINICIUS - 01/01/2026</t>
  </si>
  <si>
    <t>B B01-00003391</t>
  </si>
  <si>
    <t>PAPANT/2025/07494 (B B01-00003355)</t>
  </si>
  <si>
    <t>PAPANT/2025/07494</t>
  </si>
  <si>
    <t>RICAPA CLAVO, JONATHAN LUIS</t>
  </si>
  <si>
    <t>Pago de cliente S/ 103.70 - RICAPA CLAVO, JONATHAN LUIS - 01/01/2026</t>
  </si>
  <si>
    <t>B B01-00003355</t>
  </si>
  <si>
    <t>PAPANT/2025/07493 (B B01-00003317)</t>
  </si>
  <si>
    <t>PAPANT/2025/07493</t>
  </si>
  <si>
    <t>RAMIREZ QUISPE, FELICITAS</t>
  </si>
  <si>
    <t>Pago de cliente S/ 385.01 - RAMIREZ QUISPE, FELICITAS - 01/01/2026</t>
  </si>
  <si>
    <t>B B01-00003317</t>
  </si>
  <si>
    <t>PAPANT/2025/07492 (B B01-00003333)</t>
  </si>
  <si>
    <t>PAPANT/2025/07492</t>
  </si>
  <si>
    <t>CERNA CARRANZA, CARMEN LUCIANA</t>
  </si>
  <si>
    <t>Pago de cliente S/ 103.70 - CERNA CARRANZA, CARMEN LUCIANA - 01/01/2026</t>
  </si>
  <si>
    <t>B B01-00003333</t>
  </si>
  <si>
    <t>PAPANT/2025/07491 (B B01-00003285)</t>
  </si>
  <si>
    <t>PAPANT/2025/07491</t>
  </si>
  <si>
    <t>CANO SOLANO, LUIGGI ALDAIR</t>
  </si>
  <si>
    <t>Pago de cliente S/ 385.01 - CANO SOLANO, LUIGGI ALDAIR - 01/01/2026</t>
  </si>
  <si>
    <t>B B01-00003285</t>
  </si>
  <si>
    <t>PAPANT/2025/07490 (B B01-00003287)</t>
  </si>
  <si>
    <t>PAPANT/2025/07490</t>
  </si>
  <si>
    <t>GUARNIZ REYNA, EMILY SAMIRA</t>
  </si>
  <si>
    <t>Pago de cliente S/ 177.87 - GUARNIZ REYNA, EMILY SAMIRA - 01/01/2026</t>
  </si>
  <si>
    <t>B B01-00003287</t>
  </si>
  <si>
    <t>PAPANT/2025/07489 (B B01-00003296)</t>
  </si>
  <si>
    <t>PAPANT/2025/07489</t>
  </si>
  <si>
    <t>Pago de cliente S/ 150.96 - LA ROSA MASSA, GONZALO - 01/01/2026</t>
  </si>
  <si>
    <t>B B01-00003296</t>
  </si>
  <si>
    <t>PAPANT/2025/07488 (B B01-00003256)</t>
  </si>
  <si>
    <t>PAPANT/2025/07488</t>
  </si>
  <si>
    <t>LIU JINGMING</t>
  </si>
  <si>
    <t>Pago de cliente S/ 130.01 - LIU JINGMING - 01/01/2026</t>
  </si>
  <si>
    <t>B B01-00003256</t>
  </si>
  <si>
    <t>PAPANT/2025/07487 (B B01-00003217)</t>
  </si>
  <si>
    <t>PAPANT/2025/07487</t>
  </si>
  <si>
    <t>ANICETO BRAVO, JOE ANGEL</t>
  </si>
  <si>
    <t>Pago de cliente S/ 48.01 - ANICETO BRAVO, JOE ANGEL - 01/01/2026</t>
  </si>
  <si>
    <t>B B01-00003217</t>
  </si>
  <si>
    <t>PAPANT/2025/07486 (B B01-00003184)</t>
  </si>
  <si>
    <t>PAPANT/2025/07486</t>
  </si>
  <si>
    <t>PEZO NAVARRO, REYNA LUZ</t>
  </si>
  <si>
    <t>Pago de cliente S/ 280.00 - PEZO NAVARRO, REYNA LUZ - 01/01/2026</t>
  </si>
  <si>
    <t>B B01-00003184</t>
  </si>
  <si>
    <t>PAPANT/2025/07485 (B B01-00003186)</t>
  </si>
  <si>
    <t>PAPANT/2025/07485</t>
  </si>
  <si>
    <t>LOPEZ SALAZAR, BETSY MARLENE</t>
  </si>
  <si>
    <t>Pago de cliente S/ 62.53 - LOPEZ SALAZAR, BETSY MARLENE - 01/01/2026</t>
  </si>
  <si>
    <t>B B01-00003186</t>
  </si>
  <si>
    <t>PAPANT/2025/07484 (B B01-00003142)</t>
  </si>
  <si>
    <t>PAPANT/2025/07484</t>
  </si>
  <si>
    <t>MACHACA MAMANI, VIDAL ALEXANDER</t>
  </si>
  <si>
    <t>Pago de cliente S/ 85.80 - MACHACA MAMANI, VIDAL ALEXANDER - 01/01/2026</t>
  </si>
  <si>
    <t>B B01-00003142</t>
  </si>
  <si>
    <t>PAPANT/2025/07483 (B B01-00003123)</t>
  </si>
  <si>
    <t>PAPANT/2025/07483</t>
  </si>
  <si>
    <t>GALLEGOS PEÑA, ERIK</t>
  </si>
  <si>
    <t>Pago de cliente S/ 110.61 - GALLEGOS PEÑA, ERIK - 01/01/2026</t>
  </si>
  <si>
    <t>B B01-00003123</t>
  </si>
  <si>
    <t>PAPANT/2025/07482 (B B01-00003124)</t>
  </si>
  <si>
    <t>PAPANT/2025/07482</t>
  </si>
  <si>
    <t>LEON SANCHEZ, NICOLS MELISSA</t>
  </si>
  <si>
    <t>Pago de cliente S/ 135.20 - LEON SANCHEZ, NICOLS MELISSA - 01/01/2026</t>
  </si>
  <si>
    <t>B B01-00003124</t>
  </si>
  <si>
    <t>PAPANT/2025/07481 (B B01-00003099)</t>
  </si>
  <si>
    <t>PAPANT/2025/07481</t>
  </si>
  <si>
    <t>ANGEL NATALIA</t>
  </si>
  <si>
    <t>Pago de cliente S/ 110.61 - ANGEL NATALIA - 01/01/2026</t>
  </si>
  <si>
    <t>B B01-00003099</t>
  </si>
  <si>
    <t>PAPANT/2025/07480 (B B01-00003100)</t>
  </si>
  <si>
    <t>PAPANT/2025/07480</t>
  </si>
  <si>
    <t>Pago de cliente S/ 94.30 - ANGEL NATALIA - 01/01/2026</t>
  </si>
  <si>
    <t>B B01-00003100</t>
  </si>
  <si>
    <t>PAPANT/2025/07479 (B B01-00003051)</t>
  </si>
  <si>
    <t>PAPANT/2025/07479</t>
  </si>
  <si>
    <t>Pago de cliente S/ 58.00 - SHEARAR LINDEN JAMES - 01/01/2026</t>
  </si>
  <si>
    <t>B B01-00003051</t>
  </si>
  <si>
    <t>PAPANT/2025/07478 (B B01-00002985)</t>
  </si>
  <si>
    <t>PAPANT/2025/07478</t>
  </si>
  <si>
    <t>ALBURQUEQUE VASQUEZ, LUIS MIGUEL</t>
  </si>
  <si>
    <t>Pago de cliente S/ 99.70 - ALBURQUEQUE VASQUEZ, LUIS MIGUEL - 01/01/2026</t>
  </si>
  <si>
    <t>B B01-00002985</t>
  </si>
  <si>
    <t>PAPANT/2025/07477 (B B01-00002859)</t>
  </si>
  <si>
    <t>PAPANT/2025/07477</t>
  </si>
  <si>
    <t>QUISPE OSCCO, FRANK NILS</t>
  </si>
  <si>
    <t>Pago de cliente S/ 141.40 - QUISPE OSCCO, FRANK NILS - 01/01/2026</t>
  </si>
  <si>
    <t>B B01-00002859</t>
  </si>
  <si>
    <t>PAPANT/2025/07476 (B B01-00002836)</t>
  </si>
  <si>
    <t>PAPANT/2025/07476</t>
  </si>
  <si>
    <t>MEDINA MEDINA, GIANCARLO JONATHAN</t>
  </si>
  <si>
    <t>Pago de cliente S/ 34.20 - MEDINA MEDINA, GIANCARLO JONATHAN - 01/01/2026</t>
  </si>
  <si>
    <t>B B01-00002836</t>
  </si>
  <si>
    <t>PAPANT/2025/07475 (B B01-00002813)</t>
  </si>
  <si>
    <t>PAPANT/2025/07475</t>
  </si>
  <si>
    <t>FLORES SOTO, FRANK ERICSON</t>
  </si>
  <si>
    <t>Pago de cliente S/ 75.67 - FLORES SOTO, FRANK ERICSON - 01/01/2026</t>
  </si>
  <si>
    <t>B B01-00002813</t>
  </si>
  <si>
    <t>PAPANT/2025/07474 (B B01-00002786)</t>
  </si>
  <si>
    <t>PAPANT/2025/07474</t>
  </si>
  <si>
    <t>CHAVEZ SIFUENTES, ADRIANA ALEXANDRA</t>
  </si>
  <si>
    <t>Pago de cliente S/ 53.10 - CHAVEZ SIFUENTES, ADRIANA ALEXANDRA - 01/01/2026</t>
  </si>
  <si>
    <t>B B01-00002786</t>
  </si>
  <si>
    <t>PAPANT/2025/07473 (B B01-00002708)</t>
  </si>
  <si>
    <t>PAPANT/2025/07473</t>
  </si>
  <si>
    <t>ANGULO TRELLES, CHRISTIAN FERNANDO</t>
  </si>
  <si>
    <t>Pago de cliente S/ 105.30 - ANGULO TRELLES, CHRISTIAN FERNANDO - 01/01/2026</t>
  </si>
  <si>
    <t>B B01-00002708</t>
  </si>
  <si>
    <t>PAPANT/2025/07472 (B B01-00002727)</t>
  </si>
  <si>
    <t>PAPANT/2025/07472</t>
  </si>
  <si>
    <t>OSTOS TORIBIO, LIZBETH JUDITH</t>
  </si>
  <si>
    <t>Pago de cliente S/ 286.20 - OSTOS TORIBIO, LIZBETH JUDITH - 01/01/2026</t>
  </si>
  <si>
    <t>B B01-00002727</t>
  </si>
  <si>
    <t>PAPANT/2025/07471 (B B01-00002649)</t>
  </si>
  <si>
    <t>PAPANT/2025/07471</t>
  </si>
  <si>
    <t>PACHECO ZUÑIGA, ELIANA GABRIELA</t>
  </si>
  <si>
    <t>Pago de cliente S/ 68.50 - PACHECO ZUÑIGA, ELIANA GABRIELA - 01/01/2026</t>
  </si>
  <si>
    <t>B B01-00002649</t>
  </si>
  <si>
    <t>PAPANT/2025/07470 (B B01-00002614)</t>
  </si>
  <si>
    <t>PAPANT/2025/07470</t>
  </si>
  <si>
    <t>B B01-00002614</t>
  </si>
  <si>
    <t>PAPANT/2025/07469 (B B01-00002550)</t>
  </si>
  <si>
    <t>PAPANT/2025/07469</t>
  </si>
  <si>
    <t>ALVARADO MESTANZA, JESUS MARIA</t>
  </si>
  <si>
    <t>Pago de cliente S/ 60.30 - ALVARADO MESTANZA, JESUS MARIA - 01/01/2026</t>
  </si>
  <si>
    <t>B B01-00002550</t>
  </si>
  <si>
    <t>PAPANT/2025/07468 (B B01-00002535)</t>
  </si>
  <si>
    <t>PAPANT/2025/07468</t>
  </si>
  <si>
    <t>GUERRERO MERINO, EDWIN ROBERTO</t>
  </si>
  <si>
    <t>Pago de cliente S/ 400.00 - GUERRERO MERINO, EDWIN ROBERTO - 01/01/2026</t>
  </si>
  <si>
    <t>B B01-00002535</t>
  </si>
  <si>
    <t>PAPANT/2025/07467 (B B01-00002489)</t>
  </si>
  <si>
    <t>PAPANT/2025/07467</t>
  </si>
  <si>
    <t>RIECKHOF VERA TUDELA, PATRICIA CECILIA</t>
  </si>
  <si>
    <t>Pago de cliente S/ 345.00 - RIECKHOF VERA TUDELA, PATRICIA CECILIA - 01/01/2026</t>
  </si>
  <si>
    <t>B B01-00002489</t>
  </si>
  <si>
    <t>PAPANT/2025/07466 (B B01-00002494)</t>
  </si>
  <si>
    <t>PAPANT/2025/07466</t>
  </si>
  <si>
    <t>RAMOS DIAZ, CRISTIAN</t>
  </si>
  <si>
    <t>Pago de cliente S/ 440.01 - RAMOS DIAZ, CRISTIAN - 01/01/2026</t>
  </si>
  <si>
    <t>B B01-00002494</t>
  </si>
  <si>
    <t>PAPANT/2025/07465 (B B01-00002438)</t>
  </si>
  <si>
    <t>PAPANT/2025/07465</t>
  </si>
  <si>
    <t>ALMEYDA RIOJA, JHONATAN CRISTHOFER</t>
  </si>
  <si>
    <t>Pago de cliente S/ 102.00 - ALMEYDA RIOJA, JHONATAN CRISTHOFER - 01/01/2026</t>
  </si>
  <si>
    <t>B B01-00002438</t>
  </si>
  <si>
    <t>PAPANT/2025/07464 (B B01-00002455)</t>
  </si>
  <si>
    <t>PAPANT/2025/07464</t>
  </si>
  <si>
    <t>SANCHEZ MOZO, KAREN DAYANA</t>
  </si>
  <si>
    <t>Pago de cliente S/ 197.00 - SANCHEZ MOZO, KAREN DAYANA - 01/01/2026</t>
  </si>
  <si>
    <t>B B01-00002455</t>
  </si>
  <si>
    <t>PAPANT/2025/07463 (B B01-00002431)</t>
  </si>
  <si>
    <t>PAPANT/2025/07463</t>
  </si>
  <si>
    <t>ORE CAMACHO, JOSE ENRIQUE</t>
  </si>
  <si>
    <t>Pago de cliente S/ 178.00 - ORE CAMACHO, JOSE ENRIQUE - 01/01/2026</t>
  </si>
  <si>
    <t>B B01-00002431</t>
  </si>
  <si>
    <t>PAPANT/2025/07462 (B B01-00002402)</t>
  </si>
  <si>
    <t>PAPANT/2025/07462</t>
  </si>
  <si>
    <t>VILCAPOMA BALCAZAR, DIANA GABRIELA</t>
  </si>
  <si>
    <t>Pago de cliente S/ 72.00 - VILCAPOMA BALCAZAR, DIANA GABRIELA - 01/01/2026</t>
  </si>
  <si>
    <t>B B01-00002402</t>
  </si>
  <si>
    <t>PAPANT/2025/07461 (B B01-00002312)</t>
  </si>
  <si>
    <t>PAPANT/2025/07461</t>
  </si>
  <si>
    <t>NAVIDAD GOMERO, JOSE EDUARDO</t>
  </si>
  <si>
    <t>Pago de cliente S/ 101.00 - NAVIDAD GOMERO, JOSE EDUARDO - 01/01/2026</t>
  </si>
  <si>
    <t>B B01-00002312</t>
  </si>
  <si>
    <t>PAPANT/2025/07460 (B B01-00002301)</t>
  </si>
  <si>
    <t>PAPANT/2025/07460</t>
  </si>
  <si>
    <t>QUISPE RIVERA, ROGELIO</t>
  </si>
  <si>
    <t>Pago de cliente S/ 410.00 - QUISPE RIVERA, ROGELIO - 01/01/2026</t>
  </si>
  <si>
    <t>B B01-00002301</t>
  </si>
  <si>
    <t>PAPANT/2025/07459 (B B01-00002251)</t>
  </si>
  <si>
    <t>PAPANT/2025/07459</t>
  </si>
  <si>
    <t>ORTIZ ARAUJO, WILSON LEOVIGILDO</t>
  </si>
  <si>
    <t>Pago de cliente S/ 118.00 - ORTIZ ARAUJO, WILSON LEOVIGILDO - 01/01/2026</t>
  </si>
  <si>
    <t>B B01-00002251</t>
  </si>
  <si>
    <t>PAPANT/2025/07458 (B B01-00002229)</t>
  </si>
  <si>
    <t>PAPANT/2025/07458</t>
  </si>
  <si>
    <t>SAMANEZ OCHOA, ERIKA GIULIANA</t>
  </si>
  <si>
    <t>Pago de cliente S/ 419.40 - SAMANEZ OCHOA, ERIKA GIULIANA - 01/01/2026</t>
  </si>
  <si>
    <t>B B01-00002229</t>
  </si>
  <si>
    <t>PAPANT/2025/07457 (B B01-00002193)</t>
  </si>
  <si>
    <t>PAPANT/2025/07457</t>
  </si>
  <si>
    <t>CADENILLAS VALERA, JESUS OLIVER</t>
  </si>
  <si>
    <t>Pago de cliente S/ 162.80 - CADENILLAS VALERA, JESUS OLIVER - 01/01/2026</t>
  </si>
  <si>
    <t>B B01-00002193</t>
  </si>
  <si>
    <t>PAPANT/2025/07456 (B B01-00002162)</t>
  </si>
  <si>
    <t>PAPANT/2025/07456</t>
  </si>
  <si>
    <t>Pago de cliente S/ 159.00 - CALDERON GONZALES, FERNANDO MARTIN - 01/01/2026</t>
  </si>
  <si>
    <t>B B01-00002162</t>
  </si>
  <si>
    <t>PAPANT/2025/07455 (B B01-00002151)</t>
  </si>
  <si>
    <t>PAPANT/2025/07455</t>
  </si>
  <si>
    <t>ARAGON CASTRO, ISMAEL VALERIO</t>
  </si>
  <si>
    <t>Pago de cliente S/ 417.40 - ARAGON CASTRO, ISMAEL VALERIO - 01/01/2026</t>
  </si>
  <si>
    <t>B B01-00002151</t>
  </si>
  <si>
    <t>PAPANT/2025/07454 (B B01-00002138)</t>
  </si>
  <si>
    <t>PAPANT/2025/07454</t>
  </si>
  <si>
    <t>CRUZADO BARRIENTOS, SERGIO FRANCCESCO</t>
  </si>
  <si>
    <t>Pago de cliente S/ 88.00 - CRUZADO BARRIENTOS, SERGIO FRANCCESCO - 01/01/2026</t>
  </si>
  <si>
    <t>B B01-00002138</t>
  </si>
  <si>
    <t>PAPANT/2025/07453 (B B01-00001885)</t>
  </si>
  <si>
    <t>PAPANT/2025/07453</t>
  </si>
  <si>
    <t>OLIVERA ALIAGA, JOSE RODRIGO</t>
  </si>
  <si>
    <t>Pago de cliente S/ 25.13 - OLIVERA ALIAGA, JOSE RODRIGO - 01/01/2026</t>
  </si>
  <si>
    <t>B B01-00001885</t>
  </si>
  <si>
    <t>PAPANT/2025/07452 (B B01-00004322)</t>
  </si>
  <si>
    <t>PAPANT/2025/07452</t>
  </si>
  <si>
    <t>MANCHEGO VALDIVIA, JORGE NOE</t>
  </si>
  <si>
    <t>Pago de cliente S/ 50.00 - MANCHEGO VALDIVIA, JORGE NOE - 01/01/2026</t>
  </si>
  <si>
    <t>B B01-00004322</t>
  </si>
  <si>
    <t>PAPANT/2025/07451 (B B01-00005311)</t>
  </si>
  <si>
    <t>PAPANT/2025/07451</t>
  </si>
  <si>
    <t>QUISPE PABLO, LINDER EUSEBIO</t>
  </si>
  <si>
    <t>Pago de cliente S/ 127.50 - QUISPE PABLO, LINDER EUSEBIO - 01/01/2026</t>
  </si>
  <si>
    <t>B B01-00005311</t>
  </si>
  <si>
    <t>PAPANT/2025/07450 (B B01-00004859)</t>
  </si>
  <si>
    <t>PAPANT/2025/07450</t>
  </si>
  <si>
    <t>BARRIOS CALDERON, KIMBERLY JOHANA</t>
  </si>
  <si>
    <t>Pago de cliente S/ 142.50 - BARRIOS CALDERON, KIMBERLY JOHANA - 01/01/2026</t>
  </si>
  <si>
    <t>B B01-00004859</t>
  </si>
  <si>
    <t>PAPANT/2025/07449 (B B01-00004549)</t>
  </si>
  <si>
    <t>PAPANT/2025/07449</t>
  </si>
  <si>
    <t>CHANG REYNALDE, JUELYN SOFIA</t>
  </si>
  <si>
    <t>Pago de cliente S/ 79.00 - CHANG REYNALDE, JUELYN SOFIA - 01/01/2026</t>
  </si>
  <si>
    <t>B B01-00004549</t>
  </si>
  <si>
    <t>PAPANT/2025/07448 (F F01-00003026)</t>
  </si>
  <si>
    <t>PAPANT/2025/07448</t>
  </si>
  <si>
    <t>ALFONSO ARANA SA</t>
  </si>
  <si>
    <t>Pago de cliente S/ 99.30 - ALFONSO ARANA SA - 01/01/2026</t>
  </si>
  <si>
    <t>F F01-00003026</t>
  </si>
  <si>
    <t>PAPANT/2025/07447 (B B01-00004452)</t>
  </si>
  <si>
    <t>PAPANT/2025/07447</t>
  </si>
  <si>
    <t>MOZO FERNANDEZ DAVILA, DANIEL ISAAC</t>
  </si>
  <si>
    <t>Pago de cliente S/ 121.80 - MOZO FERNANDEZ DAVILA, DANIEL ISAAC - 01/01/2026</t>
  </si>
  <si>
    <t>B B01-00004452</t>
  </si>
  <si>
    <t>PAPANT/2025/07446 (B B01-00004148)</t>
  </si>
  <si>
    <t>PAPANT/2025/07446</t>
  </si>
  <si>
    <t>Pago de cliente S/ 131.80 - BARRIOS CALDERON, KIMBERLY JOHANA - 01/01/2026</t>
  </si>
  <si>
    <t>B B01-00004148</t>
  </si>
  <si>
    <t>PAPANT/2025/07445 (B B01-00003927)</t>
  </si>
  <si>
    <t>PAPANT/2025/07445</t>
  </si>
  <si>
    <t>ARCE CHIRINOS, PEDRO SAMUEL</t>
  </si>
  <si>
    <t>Pago de cliente S/ 225.90 - ARCE CHIRINOS, PEDRO SAMUEL - 01/01/2026</t>
  </si>
  <si>
    <t>B B01-00003927</t>
  </si>
  <si>
    <t>PAPANT/2025/07444 (B B01-00003939)</t>
  </si>
  <si>
    <t>PAPANT/2025/07444</t>
  </si>
  <si>
    <t>CONDEZO MARCOS, VIVIANA</t>
  </si>
  <si>
    <t>Pago de cliente S/ 54.01 - CONDEZO MARCOS, VIVIANA - 01/01/2026</t>
  </si>
  <si>
    <t>B B01-00003939</t>
  </si>
  <si>
    <t>PAPANT/2025/07443 (B B01-00003944)</t>
  </si>
  <si>
    <t>PAPANT/2025/07443</t>
  </si>
  <si>
    <t>QUISPE REATEGUI, DIEGO BRYAN</t>
  </si>
  <si>
    <t>Pago de cliente S/ 119.00 - QUISPE REATEGUI, DIEGO BRYAN - 01/01/2026</t>
  </si>
  <si>
    <t>B B01-00003944</t>
  </si>
  <si>
    <t>PAPANT/2025/07442 (B B01-00003985)</t>
  </si>
  <si>
    <t>PAPANT/2025/07442</t>
  </si>
  <si>
    <t>FUENTES ARTEAGA, MIRKO GUILLERMO</t>
  </si>
  <si>
    <t>Pago de cliente S/ 207.00 - FUENTES ARTEAGA, MIRKO GUILLERMO - 01/01/2026</t>
  </si>
  <si>
    <t>B B01-00003985</t>
  </si>
  <si>
    <t>PAPANT/2025/07441 (B B01-00003900)</t>
  </si>
  <si>
    <t>PAPANT/2025/07441</t>
  </si>
  <si>
    <t>RODRIGUEZ DIAZ, PEDRO IVAN</t>
  </si>
  <si>
    <t>Pago de cliente S/ 121.80 - RODRIGUEZ DIAZ, PEDRO IVAN - 01/01/2026</t>
  </si>
  <si>
    <t>B B01-00003900</t>
  </si>
  <si>
    <t>PAPANT/2025/07440 (B B01-00003844)</t>
  </si>
  <si>
    <t>PAPANT/2025/07440</t>
  </si>
  <si>
    <t>LOPEZ GOZAR, KATHERINE ANGELICA</t>
  </si>
  <si>
    <t>Pago de cliente S/ 68.00 - LOPEZ GOZAR, KATHERINE ANGELICA - 01/01/2026</t>
  </si>
  <si>
    <t>B B01-00003844</t>
  </si>
  <si>
    <t>PAPANT/2025/07439 (B B01-00003863)</t>
  </si>
  <si>
    <t>PAPANT/2025/07439</t>
  </si>
  <si>
    <t>VELARDE OTERO, ERICK ALVARO</t>
  </si>
  <si>
    <t>Pago de cliente S/ 102.00 - VELARDE OTERO, ERICK ALVARO - 01/01/2026</t>
  </si>
  <si>
    <t>B B01-00003863</t>
  </si>
  <si>
    <t>PAPANT/2025/07438 (B B01-00003815)</t>
  </si>
  <si>
    <t>PAPANT/2025/07438</t>
  </si>
  <si>
    <t>ARANDA CHUPA, AXEL ANDRE</t>
  </si>
  <si>
    <t>Pago de cliente S/ 44.00 - ARANDA CHUPA, AXEL ANDRE - 01/01/2026</t>
  </si>
  <si>
    <t>B B01-00003815</t>
  </si>
  <si>
    <t>PAPANT/2025/07437 (B B01-00003790)</t>
  </si>
  <si>
    <t>PAPANT/2025/07437</t>
  </si>
  <si>
    <t>RODRIGUEZ SANTILLAN, SAUBI SUSAN</t>
  </si>
  <si>
    <t>Pago de cliente S/ 44.00 - RODRIGUEZ SANTILLAN, SAUBI SUSAN - 01/01/2026</t>
  </si>
  <si>
    <t>B B01-00003790</t>
  </si>
  <si>
    <t>PAPANT/2025/07436 (B B01-00003654)</t>
  </si>
  <si>
    <t>PAPANT/2025/07436</t>
  </si>
  <si>
    <t>Pago de cliente S/ 119.00 - FANARRAGA PICHILINGUE, ROCIO JESUS - 01/01/2026</t>
  </si>
  <si>
    <t>B B01-00003654</t>
  </si>
  <si>
    <t>PAPANT/2025/07435 (B B01-00003602)</t>
  </si>
  <si>
    <t>PAPANT/2025/07435</t>
  </si>
  <si>
    <t>VALDIVIEZO ARELLANO, AMADO RAMON</t>
  </si>
  <si>
    <t>Pago de cliente S/ 90.50 - VALDIVIEZO ARELLANO, AMADO RAMON - 01/01/2026</t>
  </si>
  <si>
    <t>B B01-00003602</t>
  </si>
  <si>
    <t>PAPANT/2025/07434 (B B01-00003535)</t>
  </si>
  <si>
    <t>PAPANT/2025/07434</t>
  </si>
  <si>
    <t>CARDENAS CISNEROS, GABRIELA LUCIA</t>
  </si>
  <si>
    <t>Pago de cliente S/ 128.50 - CARDENAS CISNEROS, GABRIELA LUCIA - 01/01/2026</t>
  </si>
  <si>
    <t>B B01-00003535</t>
  </si>
  <si>
    <t>PAPANT/2025/07433 (B B01-00003499)</t>
  </si>
  <si>
    <t>PAPANT/2025/07433</t>
  </si>
  <si>
    <t>OLEA INGA, FANNY YESENIA</t>
  </si>
  <si>
    <t>Pago de cliente S/ 107.15 - OLEA INGA, FANNY YESENIA - 01/01/2026</t>
  </si>
  <si>
    <t>B B01-00003499</t>
  </si>
  <si>
    <t>PAPANT/2025/07432 (B B01-00003514)</t>
  </si>
  <si>
    <t>PAPANT/2025/07432</t>
  </si>
  <si>
    <t>ROJAS PISCONTI, PAOLA MELISSA</t>
  </si>
  <si>
    <t>Pago de cliente S/ 43.00 - ROJAS PISCONTI, PAOLA MELISSA - 01/01/2026</t>
  </si>
  <si>
    <t>B B01-00003514</t>
  </si>
  <si>
    <t>PAPANT/2025/07431 (B B01-00003480)</t>
  </si>
  <si>
    <t>PAPANT/2025/07431</t>
  </si>
  <si>
    <t>VALERO PEREZ, AARON FAVIO AURELIO</t>
  </si>
  <si>
    <t>Pago de cliente S/ 44.00 - VALERO PEREZ, AARON FAVIO AURELIO - 01/01/2026</t>
  </si>
  <si>
    <t>B B01-00003480</t>
  </si>
  <si>
    <t>PAPANT/2025/07430 (B B01-00003248)</t>
  </si>
  <si>
    <t>PAPANT/2025/07430</t>
  </si>
  <si>
    <t>PRIMO ISIDRO, SHEYLA BEATRIZ</t>
  </si>
  <si>
    <t>Pago de cliente S/ 110.30 - PRIMO ISIDRO, SHEYLA BEATRIZ - 01/01/2026</t>
  </si>
  <si>
    <t>B B01-00003248</t>
  </si>
  <si>
    <t>PAPANT/2025/07429 (B B01-00003207)</t>
  </si>
  <si>
    <t>PAPANT/2025/07429</t>
  </si>
  <si>
    <t>VALENCIA MORENO, JOAQUIN GONZALO</t>
  </si>
  <si>
    <t>Pago de cliente S/ 115.50 - VALENCIA MORENO, JOAQUIN GONZALO - 01/01/2026</t>
  </si>
  <si>
    <t>B B01-00003207</t>
  </si>
  <si>
    <t>PAPANT/2025/07428 (B B01-00003180)</t>
  </si>
  <si>
    <t>PAPANT/2025/07428</t>
  </si>
  <si>
    <t>TOCHE AVILEZ, MARJORIE ALLISON</t>
  </si>
  <si>
    <t>Pago de cliente S/ 147.90 - TOCHE AVILEZ, MARJORIE ALLISON - 01/01/2026</t>
  </si>
  <si>
    <t>B B01-00003180</t>
  </si>
  <si>
    <t>PAPANT/2025/07427 (B B01-00003068)</t>
  </si>
  <si>
    <t>PAPANT/2025/07427</t>
  </si>
  <si>
    <t>PONCE NARRO, JUAN DIEGO</t>
  </si>
  <si>
    <t>Pago de cliente S/ 42.49 - PONCE NARRO, JUAN DIEGO - 01/01/2026</t>
  </si>
  <si>
    <t>B B01-00003068</t>
  </si>
  <si>
    <t>PAPANT/2025/07426 (B B01-00002989)</t>
  </si>
  <si>
    <t>PAPANT/2025/07426</t>
  </si>
  <si>
    <t>PAZ SOLDAN GONZALES, MARITZA NORMA</t>
  </si>
  <si>
    <t>Pago de cliente S/ 68.70 - PAZ SOLDAN GONZALES, MARITZA NORMA - 01/01/2026</t>
  </si>
  <si>
    <t>B B01-00002989</t>
  </si>
  <si>
    <t>PAPANT/2025/07425 (B B01-00003008)</t>
  </si>
  <si>
    <t>PAPANT/2025/07425</t>
  </si>
  <si>
    <t>Pago de cliente S/ 52.70 - PAZ SOLDAN GONZALES, MARITZA NORMA - 01/01/2026</t>
  </si>
  <si>
    <t>B B01-00003008</t>
  </si>
  <si>
    <t>PAPANT/2025/07424 (B B01-00003027)</t>
  </si>
  <si>
    <t>PAPANT/2025/07424</t>
  </si>
  <si>
    <t>ARTETA MISPIRETA, GUSTAVO AUGUSTO</t>
  </si>
  <si>
    <t>Pago de cliente S/ 76.95 - ARTETA MISPIRETA, GUSTAVO AUGUSTO - 01/01/2026</t>
  </si>
  <si>
    <t>B B01-00003027</t>
  </si>
  <si>
    <t>PAPANT/2025/07423 (B B01-00003540)</t>
  </si>
  <si>
    <t>PAPANT/2025/07423</t>
  </si>
  <si>
    <t>ARANGO OTOYA, NAOMI SUE</t>
  </si>
  <si>
    <t>Pago de cliente S/ 11.10 - ARANGO OTOYA, NAOMI SUE - 01/01/2026</t>
  </si>
  <si>
    <t>B B01-00003540</t>
  </si>
  <si>
    <t>PAPANT/2025/07422 (B B01-00004243)</t>
  </si>
  <si>
    <t>PAPANT/2025/07422</t>
  </si>
  <si>
    <t>TAMAYO DURAN, CHRISTIAN JOSE</t>
  </si>
  <si>
    <t>Pago de cliente S/ 42.20 - TAMAYO DURAN, CHRISTIAN JOSE - 01/01/2026</t>
  </si>
  <si>
    <t>B B01-00004243</t>
  </si>
  <si>
    <t>PAPANT/2025/07421 (B B01-00005233)</t>
  </si>
  <si>
    <t>PAPANT/2025/07421</t>
  </si>
  <si>
    <t>Pago de cliente S/ 127.42 - MANRIQUE ESTRADA, DAVID EDGARDO - 01/01/2026</t>
  </si>
  <si>
    <t>B B01-00005233</t>
  </si>
  <si>
    <t>PAPANT/2025/07420 (B B01-00005236)</t>
  </si>
  <si>
    <t>PAPANT/2025/07420</t>
  </si>
  <si>
    <t>ORTIZ CABALLERO, NEPTALI SAUL</t>
  </si>
  <si>
    <t>Pago de cliente S/ 109.80 - ORTIZ CABALLERO, NEPTALI SAUL - 01/01/2026</t>
  </si>
  <si>
    <t>B B01-00005236</t>
  </si>
  <si>
    <t>PAPANT/2025/07419 (B B01-00005193)</t>
  </si>
  <si>
    <t>PAPANT/2025/07419</t>
  </si>
  <si>
    <t>ENDERS ZAMORA, NORKA CECILIA</t>
  </si>
  <si>
    <t>Pago de cliente S/ 154.36 - ENDERS ZAMORA, NORKA CECILIA - 01/01/2026</t>
  </si>
  <si>
    <t>B B01-00005193</t>
  </si>
  <si>
    <t>PAPANT/2025/07418 (B B01-00005141)</t>
  </si>
  <si>
    <t>PAPANT/2025/07418</t>
  </si>
  <si>
    <t>VEGA ALIAGA, ROMINA LUCIANA</t>
  </si>
  <si>
    <t>Pago de cliente S/ 171.50 - VEGA ALIAGA, ROMINA LUCIANA - 01/01/2026</t>
  </si>
  <si>
    <t>B B01-00005141</t>
  </si>
  <si>
    <t>PAPANT/2025/07417 (B B01-00004493)</t>
  </si>
  <si>
    <t>PAPANT/2025/07417</t>
  </si>
  <si>
    <t>YZAGUIRRE GUTIERREZ, ADRIANA LISETTE</t>
  </si>
  <si>
    <t>Pago de cliente S/ 91.00 - YZAGUIRRE GUTIERREZ, ADRIANA LISETTE - 01/01/2026</t>
  </si>
  <si>
    <t>B B01-00004493</t>
  </si>
  <si>
    <t>PAPANT/2025/07416 (B B01-00004449)</t>
  </si>
  <si>
    <t>PAPANT/2025/07416</t>
  </si>
  <si>
    <t>CORNELIO MAS, ELYAN MELISSA</t>
  </si>
  <si>
    <t>Pago de cliente S/ 283.50 - CORNELIO MAS, ELYAN MELISSA - 01/01/2026</t>
  </si>
  <si>
    <t>B B01-00004449</t>
  </si>
  <si>
    <t>PAPANT/2025/07415 (B B01-00004450)</t>
  </si>
  <si>
    <t>PAPANT/2025/07415</t>
  </si>
  <si>
    <t>BARDALEZ PINEDO, DIANNA</t>
  </si>
  <si>
    <t>Pago de cliente S/ 117.00 - BARDALEZ PINEDO, DIANNA - 01/01/2026</t>
  </si>
  <si>
    <t>B B01-00004450</t>
  </si>
  <si>
    <t>PAPANT/2025/07414 (B B01-00004146)</t>
  </si>
  <si>
    <t>PAPANT/2025/07414</t>
  </si>
  <si>
    <t>SANCHEZ AGUILAR, GISELA DIANA</t>
  </si>
  <si>
    <t>Pago de cliente S/ 91.80 - SANCHEZ AGUILAR, GISELA DIANA - 01/01/2026</t>
  </si>
  <si>
    <t>B B01-00004146</t>
  </si>
  <si>
    <t>PAPANT/2025/07413 (B B01-00002427)</t>
  </si>
  <si>
    <t>PAPANT/2025/07413</t>
  </si>
  <si>
    <t>BOCCHIO ZERECEDA, SOFIA MARIA</t>
  </si>
  <si>
    <t>Pago de cliente S/ 9.55 - BOCCHIO ZERECEDA, SOFIA MARIA - 01/01/2026</t>
  </si>
  <si>
    <t>B B01-00002427</t>
  </si>
  <si>
    <t>SCT01/2025/01944</t>
  </si>
  <si>
    <t>SCT01/2025/01931</t>
  </si>
  <si>
    <t>SCT01/2025/02137</t>
  </si>
  <si>
    <t>SCT01/2025/01841</t>
  </si>
  <si>
    <t>SCT01/2025/01694</t>
  </si>
  <si>
    <t>SCT01/2025/01686</t>
  </si>
  <si>
    <t>SCT01/2025/02535</t>
  </si>
  <si>
    <t>FPAY</t>
  </si>
  <si>
    <t>A159460</t>
  </si>
  <si>
    <t>SCT01/2025/02391</t>
  </si>
  <si>
    <t>SCT01/2025/02343</t>
  </si>
  <si>
    <t>SCT01/2025/02287</t>
  </si>
  <si>
    <t>SCT01/2025/01646</t>
  </si>
  <si>
    <t>SCT01/2025/01643</t>
  </si>
  <si>
    <t>SCT01/2025/02255</t>
  </si>
  <si>
    <t>SCT01/2025/02202</t>
  </si>
  <si>
    <t>SCT01/2025/02174</t>
  </si>
  <si>
    <t>SCT01/2025/01612</t>
  </si>
  <si>
    <t>JUNTOS</t>
  </si>
  <si>
    <t>SCT01/2025/01589</t>
  </si>
  <si>
    <t>INYERCORP</t>
  </si>
  <si>
    <t>SCT01/2025/02129</t>
  </si>
  <si>
    <t>SCT01/2025/02113</t>
  </si>
  <si>
    <t>SCT01/2025/02045</t>
  </si>
  <si>
    <t>SCT01/2025/02009</t>
  </si>
  <si>
    <t>SCT01/2025/02011</t>
  </si>
  <si>
    <t>SCT01/2025/01887</t>
  </si>
  <si>
    <t>SCT01/2025/01878</t>
  </si>
  <si>
    <t>SCT01/2025/01581</t>
  </si>
  <si>
    <t>SCT01/2025/01556</t>
  </si>
  <si>
    <t>SCT01/2025/01876</t>
  </si>
  <si>
    <t>SCT01/2025/01533</t>
  </si>
  <si>
    <t>SCT01/2025/01840</t>
  </si>
  <si>
    <t>SCT01/2025/01517</t>
  </si>
  <si>
    <t>SCT01/2025/01495</t>
  </si>
  <si>
    <t>SCT01/2025/01456</t>
  </si>
  <si>
    <t>SCT01/2025/01385</t>
  </si>
  <si>
    <t>SCT01/2025/01392</t>
  </si>
  <si>
    <t>SCT01/2025/01429</t>
  </si>
  <si>
    <t>SCT01/2025/01379</t>
  </si>
  <si>
    <t>MERCADOPAGO PERU SRL</t>
  </si>
  <si>
    <t>SCT01/2025/01355</t>
  </si>
  <si>
    <t>SCT01/2025/01276</t>
  </si>
  <si>
    <t>SCT01/2025/01233</t>
  </si>
  <si>
    <t>SCT01/2025/01236</t>
  </si>
  <si>
    <t>SCT01/2025/01223</t>
  </si>
  <si>
    <t>MERCDO PAGO</t>
  </si>
  <si>
    <t>SCT01/2025/01157</t>
  </si>
  <si>
    <t>SCT01/2025/01155</t>
  </si>
  <si>
    <t>SCT01/2025/01711</t>
  </si>
  <si>
    <t>SCT01/2025/01585</t>
  </si>
  <si>
    <t>SCT01/2025/01578</t>
  </si>
  <si>
    <t>SCT01/2025/01538</t>
  </si>
  <si>
    <t>SCT01/2025/01188</t>
  </si>
  <si>
    <t>SCT01/2025/01144</t>
  </si>
  <si>
    <t>SCT01/2025/01095</t>
  </si>
  <si>
    <t>SCT01/2025/01065</t>
  </si>
  <si>
    <t>SCT01/2025/01061</t>
  </si>
  <si>
    <t>SCT01/2025/00990</t>
  </si>
  <si>
    <t>SCT01/2025/01002</t>
  </si>
  <si>
    <t>SCT01/2025/00982</t>
  </si>
  <si>
    <t>SCT01/2025/00976</t>
  </si>
  <si>
    <t>SCT01/2025/00960</t>
  </si>
  <si>
    <t>SCT01/2025/00934</t>
  </si>
  <si>
    <t>MERCADOPAGO</t>
  </si>
  <si>
    <t>SCT01/2025/00936</t>
  </si>
  <si>
    <t>SCT01/2025/00890</t>
  </si>
  <si>
    <t>SCT01/2025/00914</t>
  </si>
  <si>
    <t>SCT01/2025/00928</t>
  </si>
  <si>
    <t>SCT01/2025/00860</t>
  </si>
  <si>
    <t>SCT01/2025/00865</t>
  </si>
  <si>
    <t>SCT01/2025/00869</t>
  </si>
  <si>
    <t>SCT01/2025/00797</t>
  </si>
  <si>
    <t>SCT01/2025/00828</t>
  </si>
  <si>
    <t>SCT01/2025/00786</t>
  </si>
  <si>
    <t>SCT01/2025/00773</t>
  </si>
  <si>
    <t>SCT01/2025/00734</t>
  </si>
  <si>
    <t>SCT01/2025/00690</t>
  </si>
  <si>
    <t>SCT01/2025/00665</t>
  </si>
  <si>
    <t>SCT01/2025/00643</t>
  </si>
  <si>
    <t>Abono de 113090251810 de ML</t>
  </si>
  <si>
    <t>SCT01/2025/00628</t>
  </si>
  <si>
    <t>CHILCHO SARAVIA, MARIA DEL CARMEN</t>
  </si>
  <si>
    <t>saldo a favor del cliente - devolucion</t>
  </si>
  <si>
    <t>SCT01/2025/00624</t>
  </si>
  <si>
    <t>ABONO DE 112399332590- queda de ML</t>
  </si>
  <si>
    <t>SCT01/2025/00562</t>
  </si>
  <si>
    <t>APLICACION 111510435080</t>
  </si>
  <si>
    <t>SCT01/2025/00517</t>
  </si>
  <si>
    <t>ABONO DE 110463668778 que queda de ML</t>
  </si>
  <si>
    <t>SCT01/2025/00199</t>
  </si>
  <si>
    <t>JESUS GONZALES, MARICIELO</t>
  </si>
  <si>
    <t>CUPON DE 50 SOLES DE CLIENTE</t>
  </si>
  <si>
    <t>SCT01/2025/00005</t>
  </si>
  <si>
    <t>SALDO QUE QUEDA PORQUE NO ESTA BOLETA B010-00021710</t>
  </si>
  <si>
    <t>LIBRO MAYOR</t>
  </si>
  <si>
    <t>1233001 LETRAS EN COBRANZA NACIONAL M.N. (2334)</t>
  </si>
  <si>
    <t>LT SBB-00007064</t>
  </si>
  <si>
    <t>LT SBB-00007063</t>
  </si>
  <si>
    <t>A153535</t>
  </si>
  <si>
    <t>LT SBB-00007062</t>
  </si>
  <si>
    <t>A151704</t>
  </si>
  <si>
    <t>LT SBB-00007061</t>
  </si>
  <si>
    <t>A150742</t>
  </si>
  <si>
    <t>LT SBB-00007060</t>
  </si>
  <si>
    <t>A148698</t>
  </si>
  <si>
    <t>LT SBB-00007059</t>
  </si>
  <si>
    <t>A146026</t>
  </si>
  <si>
    <t>LT SBB-00007058</t>
  </si>
  <si>
    <t>A153536</t>
  </si>
  <si>
    <t>LT SBB-00007057</t>
  </si>
  <si>
    <t>A150743</t>
  </si>
  <si>
    <t>LT SBB-00007056</t>
  </si>
  <si>
    <t>A147380</t>
  </si>
  <si>
    <t>LT SBB-00007055</t>
  </si>
  <si>
    <t>A144096</t>
  </si>
  <si>
    <t>LT SBB-00007054</t>
  </si>
  <si>
    <t>A144097</t>
  </si>
  <si>
    <t>LT SBB-00007052</t>
  </si>
  <si>
    <t>A151705</t>
  </si>
  <si>
    <t>LT SBB-00007051</t>
  </si>
  <si>
    <t>A150744</t>
  </si>
  <si>
    <t>LT SBB-00007050</t>
  </si>
  <si>
    <t>A146027</t>
  </si>
  <si>
    <t>LT SBB-00007049</t>
  </si>
  <si>
    <t>A144098</t>
  </si>
  <si>
    <t>LT SBB-00007048</t>
  </si>
  <si>
    <t>LT SBB-00007047</t>
  </si>
  <si>
    <t>A157578</t>
  </si>
  <si>
    <t>LT SBB-00007046</t>
  </si>
  <si>
    <t>A153019</t>
  </si>
  <si>
    <t>LT SBB-00007045</t>
  </si>
  <si>
    <t>A151690</t>
  </si>
  <si>
    <t>LT SBB-00007044</t>
  </si>
  <si>
    <t>A151627</t>
  </si>
  <si>
    <t>LT SBB-00007043</t>
  </si>
  <si>
    <t>A149917</t>
  </si>
  <si>
    <t>LT SBB-00007042</t>
  </si>
  <si>
    <t>A148140</t>
  </si>
  <si>
    <t>LT SBB-00007041</t>
  </si>
  <si>
    <t>A153020</t>
  </si>
  <si>
    <t>LT SBB-00007040</t>
  </si>
  <si>
    <t>A151625</t>
  </si>
  <si>
    <t>LT SBB-00007039</t>
  </si>
  <si>
    <t>A148699</t>
  </si>
  <si>
    <t>LT SBB-00007038</t>
  </si>
  <si>
    <t>A144808</t>
  </si>
  <si>
    <t>LT SBB-00007037</t>
  </si>
  <si>
    <t>A151626</t>
  </si>
  <si>
    <t>LT SBB-00007036</t>
  </si>
  <si>
    <t>A148700</t>
  </si>
  <si>
    <t>LT SBB-00007035</t>
  </si>
  <si>
    <t>A144809</t>
  </si>
  <si>
    <t>LT SBB-00007034</t>
  </si>
  <si>
    <t>A142595</t>
  </si>
  <si>
    <t>LT SBB-00006926</t>
  </si>
  <si>
    <t>LT SBB-00006925</t>
  </si>
  <si>
    <t>A158212</t>
  </si>
  <si>
    <t>LT SBB-00006924</t>
  </si>
  <si>
    <t>A152184</t>
  </si>
  <si>
    <t>LT SBB-00006923</t>
  </si>
  <si>
    <t>A150736</t>
  </si>
  <si>
    <t>LT SBB-00006922</t>
  </si>
  <si>
    <t>A147381</t>
  </si>
  <si>
    <t>LT SBB-00006921</t>
  </si>
  <si>
    <t>A144811</t>
  </si>
  <si>
    <t>LT SBB-00006920</t>
  </si>
  <si>
    <t>A143179</t>
  </si>
  <si>
    <t>LT SBB-00006919</t>
  </si>
  <si>
    <t>LT SBB-00006918</t>
  </si>
  <si>
    <t>A152185</t>
  </si>
  <si>
    <t>LT SBB-00006917</t>
  </si>
  <si>
    <t>A150745</t>
  </si>
  <si>
    <t>LT SBB-00006916</t>
  </si>
  <si>
    <t>A148701</t>
  </si>
  <si>
    <t>LT SBB-00006915</t>
  </si>
  <si>
    <t>A146519</t>
  </si>
  <si>
    <t>LT SBB-00006914</t>
  </si>
  <si>
    <t>A144357</t>
  </si>
  <si>
    <t>LT SBB-00006913</t>
  </si>
  <si>
    <t>A152830</t>
  </si>
  <si>
    <t>LT SBB-00006735</t>
  </si>
  <si>
    <t>A152447</t>
  </si>
  <si>
    <t>LT SBB-00006734</t>
  </si>
  <si>
    <t>A149907</t>
  </si>
  <si>
    <t>LT SBB-00006733</t>
  </si>
  <si>
    <t>A147789</t>
  </si>
  <si>
    <t>LT SBB-00006732</t>
  </si>
  <si>
    <t>A145765</t>
  </si>
  <si>
    <t>LT SBB-00006731</t>
  </si>
  <si>
    <t>A143613</t>
  </si>
  <si>
    <t>LT SBB-00006730</t>
  </si>
  <si>
    <t>A140454</t>
  </si>
  <si>
    <t>LT SBB-00006729</t>
  </si>
  <si>
    <t>A138720</t>
  </si>
  <si>
    <t>LT SBB-00006429</t>
  </si>
  <si>
    <t>A148826</t>
  </si>
  <si>
    <t>LT SBB-00006428</t>
  </si>
  <si>
    <t>A143610</t>
  </si>
  <si>
    <t>LT SBB-00006427</t>
  </si>
  <si>
    <t>A140455</t>
  </si>
  <si>
    <t>LT SBB-00006426</t>
  </si>
  <si>
    <t>A138792</t>
  </si>
  <si>
    <t>LT SBB-00006422</t>
  </si>
  <si>
    <t>A149707</t>
  </si>
  <si>
    <t>LT SBB-00006421</t>
  </si>
  <si>
    <t>A147790</t>
  </si>
  <si>
    <t>LT SBB-00006420</t>
  </si>
  <si>
    <t>A143180</t>
  </si>
  <si>
    <t>LT SBB-00006419</t>
  </si>
  <si>
    <t>A139818</t>
  </si>
  <si>
    <t>LT SBB-00006418</t>
  </si>
  <si>
    <t>A139592</t>
  </si>
  <si>
    <t>LT SBB-00006415</t>
  </si>
  <si>
    <t>A149708</t>
  </si>
  <si>
    <t>LT SBB-00006414</t>
  </si>
  <si>
    <t>A147791</t>
  </si>
  <si>
    <t>LT SBB-00006413</t>
  </si>
  <si>
    <t>A144799</t>
  </si>
  <si>
    <t>LT SBB-00006412</t>
  </si>
  <si>
    <t>A143181</t>
  </si>
  <si>
    <t>LT SBB-00006411</t>
  </si>
  <si>
    <t>A139593</t>
  </si>
  <si>
    <t>LT SBB-00006408</t>
  </si>
  <si>
    <t>A139819</t>
  </si>
  <si>
    <t>LT SBB-00006404</t>
  </si>
  <si>
    <t>A144810</t>
  </si>
  <si>
    <t>LT SBB-00006403</t>
  </si>
  <si>
    <t>A145748</t>
  </si>
  <si>
    <t>LT SBB-00006402</t>
  </si>
  <si>
    <t>A139595</t>
  </si>
  <si>
    <t>LT SBB-00006109</t>
  </si>
  <si>
    <t>A144099</t>
  </si>
  <si>
    <t>LT SBB-00006068</t>
  </si>
  <si>
    <t>A139596</t>
  </si>
  <si>
    <t>LT SBB-00006062</t>
  </si>
  <si>
    <t>LT SBB-00006061</t>
  </si>
  <si>
    <t>LT SBB-00006060</t>
  </si>
  <si>
    <t>LT SBB-00006059</t>
  </si>
  <si>
    <t>A157481</t>
  </si>
  <si>
    <t>LT SBB-00006058</t>
  </si>
  <si>
    <t>A153537</t>
  </si>
  <si>
    <t>LT SBB-00006057</t>
  </si>
  <si>
    <t>A151692</t>
  </si>
  <si>
    <t>LT SBB-00006056</t>
  </si>
  <si>
    <t>A149957</t>
  </si>
  <si>
    <t>LT SBB-00006055</t>
  </si>
  <si>
    <t>A148141</t>
  </si>
  <si>
    <t>LT SBB-00006054</t>
  </si>
  <si>
    <t>A145766</t>
  </si>
  <si>
    <t>LT SBB-00006053</t>
  </si>
  <si>
    <t>A144100</t>
  </si>
  <si>
    <t>LT SBB-00006052</t>
  </si>
  <si>
    <t>A140456</t>
  </si>
  <si>
    <t>LT SBB-00006051</t>
  </si>
  <si>
    <t>A138793</t>
  </si>
  <si>
    <t>LT SBB-00005937</t>
  </si>
  <si>
    <t>LT SBB-00005936</t>
  </si>
  <si>
    <t>LT SBB-00005935</t>
  </si>
  <si>
    <t>LT SBB-00005934</t>
  </si>
  <si>
    <t>A158213</t>
  </si>
  <si>
    <t>LT SBB-00005933</t>
  </si>
  <si>
    <t>A152831</t>
  </si>
  <si>
    <t>LT SBB-00005932</t>
  </si>
  <si>
    <t>A149958</t>
  </si>
  <si>
    <t>LT SBB-00005931</t>
  </si>
  <si>
    <t>A149709</t>
  </si>
  <si>
    <t>LT SBB-00005930</t>
  </si>
  <si>
    <t>A147792</t>
  </si>
  <si>
    <t>LT SBB-00005929</t>
  </si>
  <si>
    <t>A144800</t>
  </si>
  <si>
    <t>LT SBB-00005928</t>
  </si>
  <si>
    <t>A143182</t>
  </si>
  <si>
    <t>LT SBB-00005927</t>
  </si>
  <si>
    <t>A139594</t>
  </si>
  <si>
    <t>1312001 FACTURAS POR COBRAR NACIONALES M.N. - EMITIDAS (658)</t>
  </si>
  <si>
    <t>CAMBI/2026/03/1732 (AJUSTE POR DIFERENCIA DE CAMBIO MAR-2026)</t>
  </si>
  <si>
    <t>CAMBI/2026/03/1732</t>
  </si>
  <si>
    <t>A159661</t>
  </si>
  <si>
    <t>F F01-00005171</t>
  </si>
  <si>
    <t>VETANIS SOCIEDAD ANONIMA CERRADA - VETANIS S.A.C.</t>
  </si>
  <si>
    <t>A150847</t>
  </si>
  <si>
    <t>F F01-00005153</t>
  </si>
  <si>
    <t>F F01-00005152</t>
  </si>
  <si>
    <t>F F01-00005130</t>
  </si>
  <si>
    <t>PHARMADIX CORP. S.A.C.</t>
  </si>
  <si>
    <t>F F01-00004898</t>
  </si>
  <si>
    <t>F F01-00004893</t>
  </si>
  <si>
    <t>F F01-00004892</t>
  </si>
  <si>
    <t>F F01-00004891</t>
  </si>
  <si>
    <t>F F01-00004860</t>
  </si>
  <si>
    <t>F F01-00004853</t>
  </si>
  <si>
    <t>F F01-00004831</t>
  </si>
  <si>
    <t>F F01-00004830</t>
  </si>
  <si>
    <t>F F01-00004829</t>
  </si>
  <si>
    <t>F F01-00004737</t>
  </si>
  <si>
    <t>F F01-00004711</t>
  </si>
  <si>
    <t>F F01-00004710</t>
  </si>
  <si>
    <t>F F01-00004709</t>
  </si>
  <si>
    <t>F F01-00004680</t>
  </si>
  <si>
    <t>F F01-00004679</t>
  </si>
  <si>
    <t>F F01-00004678</t>
  </si>
  <si>
    <t>F F01-00004589</t>
  </si>
  <si>
    <t>F F01-00004484</t>
  </si>
  <si>
    <t>A156994</t>
  </si>
  <si>
    <t>F F01-00004441</t>
  </si>
  <si>
    <t>A152194</t>
  </si>
  <si>
    <t>F F01-00004421</t>
  </si>
  <si>
    <t>F F01-00004385</t>
  </si>
  <si>
    <t>F F01-00004313</t>
  </si>
  <si>
    <t>A155239</t>
  </si>
  <si>
    <t>F F01-00004293</t>
  </si>
  <si>
    <t>A155238</t>
  </si>
  <si>
    <t>F F01-00004186</t>
  </si>
  <si>
    <t>F F01-00004026</t>
  </si>
  <si>
    <t>A144138</t>
  </si>
  <si>
    <t>F F01-00004025</t>
  </si>
  <si>
    <t>A144137</t>
  </si>
  <si>
    <t>F F01-00003969</t>
  </si>
  <si>
    <t>A147867</t>
  </si>
  <si>
    <t>F F01-00003880</t>
  </si>
  <si>
    <t>A144140</t>
  </si>
  <si>
    <t>F F01-00003879</t>
  </si>
  <si>
    <t>A144139</t>
  </si>
  <si>
    <t>F F01-00003623</t>
  </si>
  <si>
    <t>A144135</t>
  </si>
  <si>
    <t>F C01-00000256</t>
  </si>
  <si>
    <t>A144136</t>
  </si>
  <si>
    <t>F F01-00003539</t>
  </si>
  <si>
    <t>A139491</t>
  </si>
  <si>
    <t>F010-00006793</t>
  </si>
  <si>
    <t>AGRICARE SOCIEDAD ANONIMA CERRADA - AGRICARE S.A.C.</t>
  </si>
  <si>
    <t>F010-00005998</t>
  </si>
  <si>
    <t>F010-00005975</t>
  </si>
  <si>
    <t>F010-00005911</t>
  </si>
  <si>
    <t>F010-00005806</t>
  </si>
  <si>
    <t>F010-00005803</t>
  </si>
  <si>
    <t>F010-00005761</t>
  </si>
  <si>
    <t>F010-00005760</t>
  </si>
  <si>
    <t>F010-00005425</t>
  </si>
  <si>
    <t>100008131</t>
  </si>
  <si>
    <t>100004863</t>
  </si>
  <si>
    <t>100004034</t>
  </si>
  <si>
    <t>100003999</t>
  </si>
  <si>
    <t>100003784</t>
  </si>
  <si>
    <t>100003602</t>
  </si>
  <si>
    <t>010-0024510</t>
  </si>
  <si>
    <t>010-0024453</t>
  </si>
  <si>
    <t>010-0024432</t>
  </si>
  <si>
    <t>010-0019754</t>
  </si>
  <si>
    <t>010-0019753</t>
  </si>
  <si>
    <t>010-0019722</t>
  </si>
  <si>
    <t>010-0019709</t>
  </si>
  <si>
    <t>010-0019696</t>
  </si>
  <si>
    <t>010-0019674</t>
  </si>
  <si>
    <t>010-0019670</t>
  </si>
  <si>
    <t>010-0019641</t>
  </si>
  <si>
    <t>010-0019640</t>
  </si>
  <si>
    <t>010-0019628</t>
  </si>
  <si>
    <t>010-0019618</t>
  </si>
  <si>
    <t>010-0019611</t>
  </si>
  <si>
    <t>010-0019563</t>
  </si>
  <si>
    <t>010-0019518</t>
  </si>
  <si>
    <t>010-0019498</t>
  </si>
  <si>
    <t>010-0019483</t>
  </si>
  <si>
    <t>010-0019473</t>
  </si>
  <si>
    <t>010-0019449</t>
  </si>
  <si>
    <t>010-0019434</t>
  </si>
  <si>
    <t>010-0019410</t>
  </si>
  <si>
    <t>010-0019374</t>
  </si>
  <si>
    <t>010-0019361</t>
  </si>
  <si>
    <t>010-0019339</t>
  </si>
  <si>
    <t>010-0019315</t>
  </si>
  <si>
    <t>010-0019297</t>
  </si>
  <si>
    <t>010-0019278</t>
  </si>
  <si>
    <t>010-0019269</t>
  </si>
  <si>
    <t>010-0019237</t>
  </si>
  <si>
    <t>010-0019232</t>
  </si>
  <si>
    <t>010-0019219</t>
  </si>
  <si>
    <t>010-0019187</t>
  </si>
  <si>
    <t>010-0019166</t>
  </si>
  <si>
    <t>010-0019159</t>
  </si>
  <si>
    <t>010-0019156</t>
  </si>
  <si>
    <t>010-0019145</t>
  </si>
  <si>
    <t>010-0019141</t>
  </si>
  <si>
    <t>010-0019140</t>
  </si>
  <si>
    <t>010-0019118</t>
  </si>
  <si>
    <t>010-0019115</t>
  </si>
  <si>
    <t>010-0019048</t>
  </si>
  <si>
    <t>010-0019043</t>
  </si>
  <si>
    <t>010-0019035</t>
  </si>
  <si>
    <t>010-0019032</t>
  </si>
  <si>
    <t>010-0019018</t>
  </si>
  <si>
    <t>010-0019016</t>
  </si>
  <si>
    <t>010-0019009</t>
  </si>
  <si>
    <t>010-0018998</t>
  </si>
  <si>
    <t>010-0018994</t>
  </si>
  <si>
    <t>010-0018942</t>
  </si>
  <si>
    <t>010-0018928</t>
  </si>
  <si>
    <t>010-0018923</t>
  </si>
  <si>
    <t>010-0018920</t>
  </si>
  <si>
    <t>010-0018916</t>
  </si>
  <si>
    <t>010-0018896</t>
  </si>
  <si>
    <t>010-0018895</t>
  </si>
  <si>
    <t>010-0018886</t>
  </si>
  <si>
    <t>010-0018883</t>
  </si>
  <si>
    <t>010-0018851</t>
  </si>
  <si>
    <t>010-0018848</t>
  </si>
  <si>
    <t>010-0018835</t>
  </si>
  <si>
    <t>010-0018818</t>
  </si>
  <si>
    <t>010-0018808</t>
  </si>
  <si>
    <t>010-0018771</t>
  </si>
  <si>
    <t>010-0018748</t>
  </si>
  <si>
    <t>010-0018726</t>
  </si>
  <si>
    <t>010-0018720</t>
  </si>
  <si>
    <t>010-0018705</t>
  </si>
  <si>
    <t>010-0018704</t>
  </si>
  <si>
    <t>010-0018681</t>
  </si>
  <si>
    <t>010-0018672</t>
  </si>
  <si>
    <t>010-0018648</t>
  </si>
  <si>
    <t>010-0018642</t>
  </si>
  <si>
    <t>010-0018629</t>
  </si>
  <si>
    <t>010-0018596</t>
  </si>
  <si>
    <t>010-0018585</t>
  </si>
  <si>
    <t>010-0018289</t>
  </si>
  <si>
    <t>010-0018215</t>
  </si>
  <si>
    <t>010-0018197</t>
  </si>
  <si>
    <t>010-0018194</t>
  </si>
  <si>
    <t>010-0018151</t>
  </si>
  <si>
    <t>010-0018129</t>
  </si>
  <si>
    <t>010-0018105</t>
  </si>
  <si>
    <t>010-0000886</t>
  </si>
  <si>
    <t>1232001 LETRAS EN CARTERA NACIONAL M.N. (14087)</t>
  </si>
  <si>
    <t>43581619.89000025</t>
  </si>
  <si>
    <t>42326585.610000215</t>
  </si>
  <si>
    <t>1255034.2800000035</t>
  </si>
  <si>
    <t>LT RCB-00013630 (202601096)</t>
  </si>
  <si>
    <t>LT RCB-00013630</t>
  </si>
  <si>
    <t>202601096</t>
  </si>
  <si>
    <t>A140550</t>
  </si>
  <si>
    <t>LT RCB-00013629 (202601095)</t>
  </si>
  <si>
    <t>LT RCB-00013629</t>
  </si>
  <si>
    <t>202601095</t>
  </si>
  <si>
    <t>A140542</t>
  </si>
  <si>
    <t>LT RCB-00013628 (202601094)</t>
  </si>
  <si>
    <t>LT RCB-00013628</t>
  </si>
  <si>
    <t>202601094</t>
  </si>
  <si>
    <t>A140539</t>
  </si>
  <si>
    <t>LT RCB-00013627 (202601093)</t>
  </si>
  <si>
    <t>LT RCB-00013627</t>
  </si>
  <si>
    <t>202601093</t>
  </si>
  <si>
    <t>A140526</t>
  </si>
  <si>
    <t>LT RCB-00013626 (202601092)</t>
  </si>
  <si>
    <t>LT RCB-00013626</t>
  </si>
  <si>
    <t>202601092</t>
  </si>
  <si>
    <t>A140516</t>
  </si>
  <si>
    <t>LT RCB-00013625 (202601091)</t>
  </si>
  <si>
    <t>LT RCB-00013625</t>
  </si>
  <si>
    <t>202601091</t>
  </si>
  <si>
    <t>A140503</t>
  </si>
  <si>
    <t>LT RCB-00013624 (202601054)</t>
  </si>
  <si>
    <t>LT RCB-00013624</t>
  </si>
  <si>
    <t>202601054</t>
  </si>
  <si>
    <t>A140543</t>
  </si>
  <si>
    <t>LT RCB-00013623 (202601053)</t>
  </si>
  <si>
    <t>LT RCB-00013623</t>
  </si>
  <si>
    <t>202601053</t>
  </si>
  <si>
    <t>A140536</t>
  </si>
  <si>
    <t>LT RCB-00013622 (202601052)</t>
  </si>
  <si>
    <t>LT RCB-00013622</t>
  </si>
  <si>
    <t>202601052</t>
  </si>
  <si>
    <t>A140520</t>
  </si>
  <si>
    <t>LT RCB-00013621 (202601051)</t>
  </si>
  <si>
    <t>LT RCB-00013621</t>
  </si>
  <si>
    <t>202601051</t>
  </si>
  <si>
    <t>A140504</t>
  </si>
  <si>
    <t>LT RCB-00013620 (202601017)</t>
  </si>
  <si>
    <t>LT RCB-00013620</t>
  </si>
  <si>
    <t>202601017</t>
  </si>
  <si>
    <t>A140544</t>
  </si>
  <si>
    <t>LT RCB-00013619 (202601016)</t>
  </si>
  <si>
    <t>LT RCB-00013619</t>
  </si>
  <si>
    <t>202601016</t>
  </si>
  <si>
    <t>A140535</t>
  </si>
  <si>
    <t>LT RCB-00013618 (202601015)</t>
  </si>
  <si>
    <t>LT RCB-00013618</t>
  </si>
  <si>
    <t>202601015</t>
  </si>
  <si>
    <t>A140521</t>
  </si>
  <si>
    <t>LT RCB-00013617 (202601014)</t>
  </si>
  <si>
    <t>LT RCB-00013617</t>
  </si>
  <si>
    <t>202601014</t>
  </si>
  <si>
    <t>A140500</t>
  </si>
  <si>
    <t>LT RCB-00013616 (202601084)</t>
  </si>
  <si>
    <t>LT RCB-00013616</t>
  </si>
  <si>
    <t>202601084</t>
  </si>
  <si>
    <t>A140555</t>
  </si>
  <si>
    <t>LT RCB-00013615 (202601083)</t>
  </si>
  <si>
    <t>LT RCB-00013615</t>
  </si>
  <si>
    <t>202601083</t>
  </si>
  <si>
    <t>A140554</t>
  </si>
  <si>
    <t>LT RCB-00013614 (202601082)</t>
  </si>
  <si>
    <t>LT RCB-00013614</t>
  </si>
  <si>
    <t>202601082</t>
  </si>
  <si>
    <t>A140553</t>
  </si>
  <si>
    <t>LT RCB-00013613 (202601081)</t>
  </si>
  <si>
    <t>LT RCB-00013613</t>
  </si>
  <si>
    <t>202601081</t>
  </si>
  <si>
    <t>A140552</t>
  </si>
  <si>
    <t>LT RCB-00013612 (202601080)</t>
  </si>
  <si>
    <t>LT RCB-00013612</t>
  </si>
  <si>
    <t>202601080</t>
  </si>
  <si>
    <t>A140549</t>
  </si>
  <si>
    <t>LT RCB-00013611 (202601079)</t>
  </si>
  <si>
    <t>LT RCB-00013611</t>
  </si>
  <si>
    <t>202601079</t>
  </si>
  <si>
    <t>A140545</t>
  </si>
  <si>
    <t>LT RCB-00013610 (202601078)</t>
  </si>
  <si>
    <t>LT RCB-00013610</t>
  </si>
  <si>
    <t>202601078</t>
  </si>
  <si>
    <t>A140537</t>
  </si>
  <si>
    <t>LT RCB-00013609 (202601077)</t>
  </si>
  <si>
    <t>LT RCB-00013609</t>
  </si>
  <si>
    <t>202601077</t>
  </si>
  <si>
    <t>A140522</t>
  </si>
  <si>
    <t>LT RCB-00013608 (202601076)</t>
  </si>
  <si>
    <t>LT RCB-00013608</t>
  </si>
  <si>
    <t>202601076</t>
  </si>
  <si>
    <t>A140505</t>
  </si>
  <si>
    <t>LT RCB-00013607 (202601090)</t>
  </si>
  <si>
    <t>LT RCB-00013607</t>
  </si>
  <si>
    <t>202601090</t>
  </si>
  <si>
    <t>A140551</t>
  </si>
  <si>
    <t>LT RCB-00013606 (202601089)</t>
  </si>
  <si>
    <t>LT RCB-00013606</t>
  </si>
  <si>
    <t>202601089</t>
  </si>
  <si>
    <t>A140548</t>
  </si>
  <si>
    <t>LT RCB-00013605 (202601088)</t>
  </si>
  <si>
    <t>LT RCB-00013605</t>
  </si>
  <si>
    <t>202601088</t>
  </si>
  <si>
    <t>A140541</t>
  </si>
  <si>
    <t>LT RCB-00013604 (202601087)</t>
  </si>
  <si>
    <t>LT RCB-00013604</t>
  </si>
  <si>
    <t>202601087</t>
  </si>
  <si>
    <t>A140534</t>
  </si>
  <si>
    <t>LT RCB-00013603 (202601086)</t>
  </si>
  <si>
    <t>LT RCB-00013603</t>
  </si>
  <si>
    <t>202601086</t>
  </si>
  <si>
    <t>A140523</t>
  </si>
  <si>
    <t>LT RCB-00013602 (202601085)</t>
  </si>
  <si>
    <t>LT RCB-00013602</t>
  </si>
  <si>
    <t>202601085</t>
  </si>
  <si>
    <t>A140506</t>
  </si>
  <si>
    <t>LT RCB-00013601 (202600490)</t>
  </si>
  <si>
    <t>LT RCB-00013601</t>
  </si>
  <si>
    <t>202600490</t>
  </si>
  <si>
    <t>A139867</t>
  </si>
  <si>
    <t>LT RCB-00013600 (202600489)</t>
  </si>
  <si>
    <t>LT RCB-00013600</t>
  </si>
  <si>
    <t>202600489</t>
  </si>
  <si>
    <t>A139864</t>
  </si>
  <si>
    <t>LT RCB-00013599 (202600488)</t>
  </si>
  <si>
    <t>LT RCB-00013599</t>
  </si>
  <si>
    <t>202600488</t>
  </si>
  <si>
    <t>A139857</t>
  </si>
  <si>
    <t>LT RCB-00013598 (202600487)</t>
  </si>
  <si>
    <t>LT RCB-00013598</t>
  </si>
  <si>
    <t>202600487</t>
  </si>
  <si>
    <t>A144389</t>
  </si>
  <si>
    <t>LT RCB-00013597 (202600679)</t>
  </si>
  <si>
    <t>LT RCB-00013597</t>
  </si>
  <si>
    <t>202600679</t>
  </si>
  <si>
    <t>A139870</t>
  </si>
  <si>
    <t>LT RCB-00013596 (202600678)</t>
  </si>
  <si>
    <t>LT RCB-00013596</t>
  </si>
  <si>
    <t>202600678</t>
  </si>
  <si>
    <t>A139869</t>
  </si>
  <si>
    <t>LT RCB-00013595 (202600677)</t>
  </si>
  <si>
    <t>LT RCB-00013595</t>
  </si>
  <si>
    <t>202600677</t>
  </si>
  <si>
    <t>A139868</t>
  </si>
  <si>
    <t>LT RCB-00013594 (202600676)</t>
  </si>
  <si>
    <t>LT RCB-00013594</t>
  </si>
  <si>
    <t>202600676</t>
  </si>
  <si>
    <t>A139866</t>
  </si>
  <si>
    <t>LT RCB-00013593 (202600675)</t>
  </si>
  <si>
    <t>LT RCB-00013593</t>
  </si>
  <si>
    <t>202600675</t>
  </si>
  <si>
    <t>A139863</t>
  </si>
  <si>
    <t>LT RCB-00013592 (202600674)</t>
  </si>
  <si>
    <t>LT RCB-00013592</t>
  </si>
  <si>
    <t>202600674</t>
  </si>
  <si>
    <t>A139860</t>
  </si>
  <si>
    <t>LT RCB-00013591 (202600673)</t>
  </si>
  <si>
    <t>LT RCB-00013591</t>
  </si>
  <si>
    <t>202600673</t>
  </si>
  <si>
    <t>A139855</t>
  </si>
  <si>
    <t>LT RCB-00013588 (202600939)</t>
  </si>
  <si>
    <t>LT RCB-00013588</t>
  </si>
  <si>
    <t>202600939</t>
  </si>
  <si>
    <t>A144917</t>
  </si>
  <si>
    <t>LT RCB-00013587 (202600938)</t>
  </si>
  <si>
    <t>LT RCB-00013587</t>
  </si>
  <si>
    <t>202600938</t>
  </si>
  <si>
    <t>A144906</t>
  </si>
  <si>
    <t>LT RCB-00013586 (202600937)</t>
  </si>
  <si>
    <t>LT RCB-00013586</t>
  </si>
  <si>
    <t>202600937</t>
  </si>
  <si>
    <t>A144896</t>
  </si>
  <si>
    <t>LT RCB-00013585 (202600936)</t>
  </si>
  <si>
    <t>LT RCB-00013585</t>
  </si>
  <si>
    <t>202600936</t>
  </si>
  <si>
    <t>A144883</t>
  </si>
  <si>
    <t>LT RCB-00013584 (202600935)</t>
  </si>
  <si>
    <t>LT RCB-00013584</t>
  </si>
  <si>
    <t>202600935</t>
  </si>
  <si>
    <t>A144872</t>
  </si>
  <si>
    <t>LT RCB-00013583 (202600934)</t>
  </si>
  <si>
    <t>LT RCB-00013583</t>
  </si>
  <si>
    <t>202600934</t>
  </si>
  <si>
    <t>A144866</t>
  </si>
  <si>
    <t>LT RCB-00013582 (202600901)</t>
  </si>
  <si>
    <t>LT RCB-00013582</t>
  </si>
  <si>
    <t>202600901</t>
  </si>
  <si>
    <t>A140529</t>
  </si>
  <si>
    <t>LT RCB-00013581 (202600900)</t>
  </si>
  <si>
    <t>LT RCB-00013581</t>
  </si>
  <si>
    <t>202600900</t>
  </si>
  <si>
    <t>A140517</t>
  </si>
  <si>
    <t>LT RCB-00013580 (202600899)</t>
  </si>
  <si>
    <t>LT RCB-00013580</t>
  </si>
  <si>
    <t>202600899</t>
  </si>
  <si>
    <t>A140499</t>
  </si>
  <si>
    <t>LT RCB-00013579 (202600898)</t>
  </si>
  <si>
    <t>LT RCB-00013579</t>
  </si>
  <si>
    <t>202600898</t>
  </si>
  <si>
    <t>A140489</t>
  </si>
  <si>
    <t>LT RCB-00013578 (202600964)</t>
  </si>
  <si>
    <t>LT RCB-00013578</t>
  </si>
  <si>
    <t>202600964</t>
  </si>
  <si>
    <t>A144919</t>
  </si>
  <si>
    <t>LT RCB-00013577 (202600963)</t>
  </si>
  <si>
    <t>LT RCB-00013577</t>
  </si>
  <si>
    <t>202600963</t>
  </si>
  <si>
    <t>A144912</t>
  </si>
  <si>
    <t>LT RCB-00013576 (202600962)</t>
  </si>
  <si>
    <t>LT RCB-00013576</t>
  </si>
  <si>
    <t>202600962</t>
  </si>
  <si>
    <t>A144899</t>
  </si>
  <si>
    <t>LT RCB-00013575 (202600961)</t>
  </si>
  <si>
    <t>LT RCB-00013575</t>
  </si>
  <si>
    <t>202600961</t>
  </si>
  <si>
    <t>A144888</t>
  </si>
  <si>
    <t>LT RCB-00013574 (202600960)</t>
  </si>
  <si>
    <t>LT RCB-00013574</t>
  </si>
  <si>
    <t>202600960</t>
  </si>
  <si>
    <t>A144879</t>
  </si>
  <si>
    <t>LT RCB-00013573 (202600959)</t>
  </si>
  <si>
    <t>LT RCB-00013573</t>
  </si>
  <si>
    <t>202600959</t>
  </si>
  <si>
    <t>A144867</t>
  </si>
  <si>
    <t>LT RCB-00013572 (202600970)</t>
  </si>
  <si>
    <t>LT RCB-00013572</t>
  </si>
  <si>
    <t>202600970</t>
  </si>
  <si>
    <t>A144920</t>
  </si>
  <si>
    <t>LT RCB-00013571 (202600969)</t>
  </si>
  <si>
    <t>LT RCB-00013571</t>
  </si>
  <si>
    <t>202600969</t>
  </si>
  <si>
    <t>A144913</t>
  </si>
  <si>
    <t>LT RCB-00013570 (202600968)</t>
  </si>
  <si>
    <t>LT RCB-00013570</t>
  </si>
  <si>
    <t>202600968</t>
  </si>
  <si>
    <t>A144900</t>
  </si>
  <si>
    <t>LT RCB-00013569 (202600967)</t>
  </si>
  <si>
    <t>LT RCB-00013569</t>
  </si>
  <si>
    <t>202600967</t>
  </si>
  <si>
    <t>A144889</t>
  </si>
  <si>
    <t>LT RCB-00013568 (202600966)</t>
  </si>
  <si>
    <t>LT RCB-00013568</t>
  </si>
  <si>
    <t>202600966</t>
  </si>
  <si>
    <t>A144880</t>
  </si>
  <si>
    <t>LT RCB-00013567 (202600965)</t>
  </si>
  <si>
    <t>LT RCB-00013567</t>
  </si>
  <si>
    <t>202600965</t>
  </si>
  <si>
    <t>A144868</t>
  </si>
  <si>
    <t>LT RCB-00013566 (202600977)</t>
  </si>
  <si>
    <t>LT RCB-00013566</t>
  </si>
  <si>
    <t>202600977</t>
  </si>
  <si>
    <t>A144924</t>
  </si>
  <si>
    <t>LT RCB-00013565 (202600976)</t>
  </si>
  <si>
    <t>LT RCB-00013565</t>
  </si>
  <si>
    <t>202600976</t>
  </si>
  <si>
    <t>A144914</t>
  </si>
  <si>
    <t>LT RCB-00013564 (202600975)</t>
  </si>
  <si>
    <t>LT RCB-00013564</t>
  </si>
  <si>
    <t>202600975</t>
  </si>
  <si>
    <t>A144905</t>
  </si>
  <si>
    <t>LT RCB-00013563 (202600974)</t>
  </si>
  <si>
    <t>LT RCB-00013563</t>
  </si>
  <si>
    <t>202600974</t>
  </si>
  <si>
    <t>A144897</t>
  </si>
  <si>
    <t>LT RCB-00013562 (202600973)</t>
  </si>
  <si>
    <t>LT RCB-00013562</t>
  </si>
  <si>
    <t>202600973</t>
  </si>
  <si>
    <t>A144887</t>
  </si>
  <si>
    <t>LT RCB-00013561 (202600972)</t>
  </si>
  <si>
    <t>LT RCB-00013561</t>
  </si>
  <si>
    <t>202600972</t>
  </si>
  <si>
    <t>A144881</t>
  </si>
  <si>
    <t>LT RCB-00013560 (202600971)</t>
  </si>
  <si>
    <t>LT RCB-00013560</t>
  </si>
  <si>
    <t>202600971</t>
  </si>
  <si>
    <t>A144871</t>
  </si>
  <si>
    <t>LT RCB-00013559 (202600746)</t>
  </si>
  <si>
    <t>LT RCB-00013559</t>
  </si>
  <si>
    <t>202600746</t>
  </si>
  <si>
    <t>A140538</t>
  </si>
  <si>
    <t>LT RCB-00013558 (202600745)</t>
  </si>
  <si>
    <t>LT RCB-00013558</t>
  </si>
  <si>
    <t>202600745</t>
  </si>
  <si>
    <t>A140524</t>
  </si>
  <si>
    <t>LT RCB-00013557 (202600744)</t>
  </si>
  <si>
    <t>LT RCB-00013557</t>
  </si>
  <si>
    <t>202600744</t>
  </si>
  <si>
    <t>A140511</t>
  </si>
  <si>
    <t>LT RCB-00013556 (202600743)</t>
  </si>
  <si>
    <t>LT RCB-00013556</t>
  </si>
  <si>
    <t>202600743</t>
  </si>
  <si>
    <t>A140496</t>
  </si>
  <si>
    <t>LT RCB-00013555 (202600742)</t>
  </si>
  <si>
    <t>LT RCB-00013555</t>
  </si>
  <si>
    <t>202600742</t>
  </si>
  <si>
    <t>A140490</t>
  </si>
  <si>
    <t>LT RCB-00013554 (202600741)</t>
  </si>
  <si>
    <t>LT RCB-00013554</t>
  </si>
  <si>
    <t>202600741</t>
  </si>
  <si>
    <t>A139861</t>
  </si>
  <si>
    <t>LT RCB-00013553 (202600740)</t>
  </si>
  <si>
    <t>LT RCB-00013553</t>
  </si>
  <si>
    <t>202600740</t>
  </si>
  <si>
    <t>A139856</t>
  </si>
  <si>
    <t>LT RCB-00013552 (202600879)</t>
  </si>
  <si>
    <t>LT RCB-00013552</t>
  </si>
  <si>
    <t>202600879</t>
  </si>
  <si>
    <t>A140546</t>
  </si>
  <si>
    <t>LT RCB-00013551 (202600878)</t>
  </si>
  <si>
    <t>LT RCB-00013551</t>
  </si>
  <si>
    <t>202600878</t>
  </si>
  <si>
    <t>A140540</t>
  </si>
  <si>
    <t>LT RCB-00013550 (202600877)</t>
  </si>
  <si>
    <t>LT RCB-00013550</t>
  </si>
  <si>
    <t>202600877</t>
  </si>
  <si>
    <t>A140527</t>
  </si>
  <si>
    <t>LT RCB-00013549 (202600876)</t>
  </si>
  <si>
    <t>LT RCB-00013549</t>
  </si>
  <si>
    <t>202600876</t>
  </si>
  <si>
    <t>A140518</t>
  </si>
  <si>
    <t>LT RCB-00013548 (202600875)</t>
  </si>
  <si>
    <t>LT RCB-00013548</t>
  </si>
  <si>
    <t>202600875</t>
  </si>
  <si>
    <t>A140507</t>
  </si>
  <si>
    <t>LT RCB-00013547 (202600874)</t>
  </si>
  <si>
    <t>LT RCB-00013547</t>
  </si>
  <si>
    <t>202600874</t>
  </si>
  <si>
    <t>A140494</t>
  </si>
  <si>
    <t>LT RCB-00013546 (202600873)</t>
  </si>
  <si>
    <t>LT RCB-00013546</t>
  </si>
  <si>
    <t>202600873</t>
  </si>
  <si>
    <t>A140487</t>
  </si>
  <si>
    <t>LT RCB-00013545 (202600872)</t>
  </si>
  <si>
    <t>LT RCB-00013545</t>
  </si>
  <si>
    <t>202600872</t>
  </si>
  <si>
    <t>A144930</t>
  </si>
  <si>
    <t>LT RCB-00013544 (202600871)</t>
  </si>
  <si>
    <t>LT RCB-00013544</t>
  </si>
  <si>
    <t>202600871</t>
  </si>
  <si>
    <t>A144928</t>
  </si>
  <si>
    <t>LT RCB-00013543 (202600870)</t>
  </si>
  <si>
    <t>LT RCB-00013543</t>
  </si>
  <si>
    <t>202600870</t>
  </si>
  <si>
    <t>A144921</t>
  </si>
  <si>
    <t>LT RCB-00013542 (202600869)</t>
  </si>
  <si>
    <t>LT RCB-00013542</t>
  </si>
  <si>
    <t>202600869</t>
  </si>
  <si>
    <t>A144907</t>
  </si>
  <si>
    <t>LT RCB-00013541 (202600868)</t>
  </si>
  <si>
    <t>LT RCB-00013541</t>
  </si>
  <si>
    <t>202600868</t>
  </si>
  <si>
    <t>A144891</t>
  </si>
  <si>
    <t>LT RCB-00013540 (202600867)</t>
  </si>
  <si>
    <t>LT RCB-00013540</t>
  </si>
  <si>
    <t>202600867</t>
  </si>
  <si>
    <t>A144874</t>
  </si>
  <si>
    <t>LT RCB-00013539 (202600866)</t>
  </si>
  <si>
    <t>LT RCB-00013539</t>
  </si>
  <si>
    <t>202600866</t>
  </si>
  <si>
    <t>A144865</t>
  </si>
  <si>
    <t>LT RCB-00013538 (202600940)</t>
  </si>
  <si>
    <t>LT RCB-00013538</t>
  </si>
  <si>
    <t>202600940</t>
  </si>
  <si>
    <t>A144918</t>
  </si>
  <si>
    <t>LT RCB-00013537 (202600854)</t>
  </si>
  <si>
    <t>LT RCB-00013537</t>
  </si>
  <si>
    <t>202600854</t>
  </si>
  <si>
    <t>A140530</t>
  </si>
  <si>
    <t>LT RCB-00013536 (202600853)</t>
  </si>
  <si>
    <t>LT RCB-00013536</t>
  </si>
  <si>
    <t>202600853</t>
  </si>
  <si>
    <t>A140513</t>
  </si>
  <si>
    <t>LT RCB-00013535 (202600852)</t>
  </si>
  <si>
    <t>LT RCB-00013535</t>
  </si>
  <si>
    <t>202600852</t>
  </si>
  <si>
    <t>A140497</t>
  </si>
  <si>
    <t>LT RCB-00013534 (202600851)</t>
  </si>
  <si>
    <t>LT RCB-00013534</t>
  </si>
  <si>
    <t>202600851</t>
  </si>
  <si>
    <t>A140483</t>
  </si>
  <si>
    <t>LT RCB-00013375 (202600958)</t>
  </si>
  <si>
    <t>LT RCB-00013375</t>
  </si>
  <si>
    <t>202600958</t>
  </si>
  <si>
    <t>A158406</t>
  </si>
  <si>
    <t>LT RCB-00013374 (202600957)</t>
  </si>
  <si>
    <t>LT RCB-00013374</t>
  </si>
  <si>
    <t>202600957</t>
  </si>
  <si>
    <t>LT RCB-00013373 (202600956)</t>
  </si>
  <si>
    <t>LT RCB-00013373</t>
  </si>
  <si>
    <t>202600956</t>
  </si>
  <si>
    <t>A149282</t>
  </si>
  <si>
    <t>LT RCB-00013372 (202600955)</t>
  </si>
  <si>
    <t>LT RCB-00013372</t>
  </si>
  <si>
    <t>202600955</t>
  </si>
  <si>
    <t>A145880</t>
  </si>
  <si>
    <t>LT RCB-00013371 (202600954)</t>
  </si>
  <si>
    <t>LT RCB-00013371</t>
  </si>
  <si>
    <t>202600954</t>
  </si>
  <si>
    <t>A138925</t>
  </si>
  <si>
    <t>LT RCB-00013359 (202600885)</t>
  </si>
  <si>
    <t>LT RCB-00013359</t>
  </si>
  <si>
    <t>202600885</t>
  </si>
  <si>
    <t>A140547</t>
  </si>
  <si>
    <t>LT RCB-00013358 (202600884)</t>
  </si>
  <si>
    <t>LT RCB-00013358</t>
  </si>
  <si>
    <t>202600884</t>
  </si>
  <si>
    <t>A140528</t>
  </si>
  <si>
    <t>LT RCB-00013357 (202600883)</t>
  </si>
  <si>
    <t>LT RCB-00013357</t>
  </si>
  <si>
    <t>202600883</t>
  </si>
  <si>
    <t>A140519</t>
  </si>
  <si>
    <t>LT RCB-00013356 (202600882)</t>
  </si>
  <si>
    <t>LT RCB-00013356</t>
  </si>
  <si>
    <t>202600882</t>
  </si>
  <si>
    <t>A140508</t>
  </si>
  <si>
    <t>LT RCB-00013355 (202600881)</t>
  </si>
  <si>
    <t>LT RCB-00013355</t>
  </si>
  <si>
    <t>202600881</t>
  </si>
  <si>
    <t>A140495</t>
  </si>
  <si>
    <t>LT RCB-00013354 (202600880)</t>
  </si>
  <si>
    <t>LT RCB-00013354</t>
  </si>
  <si>
    <t>202600880</t>
  </si>
  <si>
    <t>A140488</t>
  </si>
  <si>
    <t>LT RCB-00013341 (202600658)</t>
  </si>
  <si>
    <t>LT RCB-00013341</t>
  </si>
  <si>
    <t>202600658</t>
  </si>
  <si>
    <t>A140512</t>
  </si>
  <si>
    <t>LT RCB-00013340 (202600657)</t>
  </si>
  <si>
    <t>LT RCB-00013340</t>
  </si>
  <si>
    <t>202600657</t>
  </si>
  <si>
    <t>A140501</t>
  </si>
  <si>
    <t>LT RCB-00013339 (202600656)</t>
  </si>
  <si>
    <t>LT RCB-00013339</t>
  </si>
  <si>
    <t>202600656</t>
  </si>
  <si>
    <t>A140498</t>
  </si>
  <si>
    <t>LT RCB-00013338 (202600655)</t>
  </si>
  <si>
    <t>LT RCB-00013338</t>
  </si>
  <si>
    <t>202600655</t>
  </si>
  <si>
    <t>A139865</t>
  </si>
  <si>
    <t>LT RCB-00013337 (202600654)</t>
  </si>
  <si>
    <t>LT RCB-00013337</t>
  </si>
  <si>
    <t>202600654</t>
  </si>
  <si>
    <t>A139862</t>
  </si>
  <si>
    <t>LT RCB-00013305 (202600586)</t>
  </si>
  <si>
    <t>LT RCB-00013305</t>
  </si>
  <si>
    <t>202600586</t>
  </si>
  <si>
    <t>A140531</t>
  </si>
  <si>
    <t>LT RCB-00013304 (202600585)</t>
  </si>
  <si>
    <t>LT RCB-00013304</t>
  </si>
  <si>
    <t>202600585</t>
  </si>
  <si>
    <t>A140502</t>
  </si>
  <si>
    <t>LT RCB-00013303 (202600584)</t>
  </si>
  <si>
    <t>LT RCB-00013303</t>
  </si>
  <si>
    <t>202600584</t>
  </si>
  <si>
    <t>A140493</t>
  </si>
  <si>
    <t>LT RCB-00013302 (202600583)</t>
  </si>
  <si>
    <t>LT RCB-00013302</t>
  </si>
  <si>
    <t>202600583</t>
  </si>
  <si>
    <t>A140484</t>
  </si>
  <si>
    <t>LT RCB-00013301 (202600582)</t>
  </si>
  <si>
    <t>LT RCB-00013301</t>
  </si>
  <si>
    <t>202600582</t>
  </si>
  <si>
    <t>A139858</t>
  </si>
  <si>
    <t>LT RCB-00013300 (202600581)</t>
  </si>
  <si>
    <t>LT RCB-00013300</t>
  </si>
  <si>
    <t>202600581</t>
  </si>
  <si>
    <t>A149196</t>
  </si>
  <si>
    <t>LT RCB-00013299 (202600859)</t>
  </si>
  <si>
    <t>LT RCB-00013299</t>
  </si>
  <si>
    <t>202600859</t>
  </si>
  <si>
    <t>A140532</t>
  </si>
  <si>
    <t>LT RCB-00013298 (202600858)</t>
  </si>
  <si>
    <t>LT RCB-00013298</t>
  </si>
  <si>
    <t>202600858</t>
  </si>
  <si>
    <t>A140514</t>
  </si>
  <si>
    <t>LT RCB-00013297 (202600857)</t>
  </si>
  <si>
    <t>LT RCB-00013297</t>
  </si>
  <si>
    <t>202600857</t>
  </si>
  <si>
    <t>A140509</t>
  </si>
  <si>
    <t>LT RCB-00013296 (202600856)</t>
  </si>
  <si>
    <t>LT RCB-00013296</t>
  </si>
  <si>
    <t>202600856</t>
  </si>
  <si>
    <t>A140491</t>
  </si>
  <si>
    <t>LT RCB-00013295 (202600855)</t>
  </si>
  <si>
    <t>LT RCB-00013295</t>
  </si>
  <si>
    <t>202600855</t>
  </si>
  <si>
    <t>A140485</t>
  </si>
  <si>
    <t>LT RCB-00013294 (202600865)</t>
  </si>
  <si>
    <t>LT RCB-00013294</t>
  </si>
  <si>
    <t>202600865</t>
  </si>
  <si>
    <t>A140533</t>
  </si>
  <si>
    <t>LT RCB-00013293 (202600864)</t>
  </si>
  <si>
    <t>LT RCB-00013293</t>
  </si>
  <si>
    <t>202600864</t>
  </si>
  <si>
    <t>A140525</t>
  </si>
  <si>
    <t>LT RCB-00013292 (202600863)</t>
  </si>
  <si>
    <t>LT RCB-00013292</t>
  </si>
  <si>
    <t>202600863</t>
  </si>
  <si>
    <t>A140515</t>
  </si>
  <si>
    <t>LT RCB-00013291 (202600862)</t>
  </si>
  <si>
    <t>LT RCB-00013291</t>
  </si>
  <si>
    <t>202600862</t>
  </si>
  <si>
    <t>A140510</t>
  </si>
  <si>
    <t>LT RCB-00013290 (202600861)</t>
  </si>
  <si>
    <t>LT RCB-00013290</t>
  </si>
  <si>
    <t>202600861</t>
  </si>
  <si>
    <t>A140492</t>
  </si>
  <si>
    <t>LT RCB-00013289 (202600860)</t>
  </si>
  <si>
    <t>LT RCB-00013289</t>
  </si>
  <si>
    <t>202600860</t>
  </si>
  <si>
    <t>A140486</t>
  </si>
  <si>
    <t>LT RCB-00012917 (202600545)</t>
  </si>
  <si>
    <t>LT RCB-00012917</t>
  </si>
  <si>
    <t>202600545</t>
  </si>
  <si>
    <t>A144380</t>
  </si>
  <si>
    <t>LT RCB-00012916 (202600544)</t>
  </si>
  <si>
    <t>LT RCB-00012916</t>
  </si>
  <si>
    <t>202600544</t>
  </si>
  <si>
    <t>A144381</t>
  </si>
  <si>
    <t>LT RCB-00012910 (202600539)</t>
  </si>
  <si>
    <t>LT RCB-00012910</t>
  </si>
  <si>
    <t>202600539</t>
  </si>
  <si>
    <t>A144382</t>
  </si>
  <si>
    <t>LT RCB-00012909 (202600538)</t>
  </si>
  <si>
    <t>LT RCB-00012909</t>
  </si>
  <si>
    <t>202600538</t>
  </si>
  <si>
    <t>A144383</t>
  </si>
  <si>
    <t>1234001 LETRAS EN DESCUENTO NACIONAL M.N. (12142)</t>
  </si>
  <si>
    <t>PAPANT/2025/04210 (10720100)</t>
  </si>
  <si>
    <t>PAPANT/2025/04210</t>
  </si>
  <si>
    <t>Pago de cliente S/ 2,081.76 - TOP VETERINARIA S.A.C. - 25/09/2025</t>
  </si>
  <si>
    <t>10720100</t>
  </si>
  <si>
    <t>PAPANT/2025/04228 (10570200)</t>
  </si>
  <si>
    <t>PAPANT/2025/04228</t>
  </si>
  <si>
    <t>Pago de cliente S/ 3,099.95 - INVERSIONES Y SERVICIOS VETERINARIO COTOS S.A.C. - 26/09/2025</t>
  </si>
  <si>
    <t>10570200</t>
  </si>
  <si>
    <t>LT SBB-00005601</t>
  </si>
  <si>
    <t>A144782</t>
  </si>
  <si>
    <t>LT SBB-00005600</t>
  </si>
  <si>
    <t>A149199</t>
  </si>
  <si>
    <t>LT SBB-00005697</t>
  </si>
  <si>
    <t>A148105</t>
  </si>
  <si>
    <t>LT SBB-00005696</t>
  </si>
  <si>
    <t>A144724</t>
  </si>
  <si>
    <t>LT SBB-00005695</t>
  </si>
  <si>
    <t>A141791</t>
  </si>
  <si>
    <t>LT SBB-00005659</t>
  </si>
  <si>
    <t>A147332</t>
  </si>
  <si>
    <t>LT SBB-00005658</t>
  </si>
  <si>
    <t>A144119</t>
  </si>
  <si>
    <t>LT SBB-00005657</t>
  </si>
  <si>
    <t>A139679</t>
  </si>
  <si>
    <t>LT SBB-00005817</t>
  </si>
  <si>
    <t>A143486</t>
  </si>
  <si>
    <t>LT SBB-00005816</t>
  </si>
  <si>
    <t>A138804</t>
  </si>
  <si>
    <t>LT SBB-00005790</t>
  </si>
  <si>
    <t>A138772</t>
  </si>
  <si>
    <t>LT SBB-00005917</t>
  </si>
  <si>
    <t>A149953</t>
  </si>
  <si>
    <t>LT SBB-00005916</t>
  </si>
  <si>
    <t>A148137</t>
  </si>
  <si>
    <t>LT SBB-00005915</t>
  </si>
  <si>
    <t>A145762</t>
  </si>
  <si>
    <t>LT SBB-00005914</t>
  </si>
  <si>
    <t>A149161</t>
  </si>
  <si>
    <t>LT SBB-00005913</t>
  </si>
  <si>
    <t>A140450</t>
  </si>
  <si>
    <t>LT SBB-00005912</t>
  </si>
  <si>
    <t>A138785</t>
  </si>
  <si>
    <t>LT SBB-00005992</t>
  </si>
  <si>
    <t>A144343</t>
  </si>
  <si>
    <t>LT SBB-00005991</t>
  </si>
  <si>
    <t>A138802</t>
  </si>
  <si>
    <t>LT SBB-00005985</t>
  </si>
  <si>
    <t>A141793</t>
  </si>
  <si>
    <t>LT SBB-00006015</t>
  </si>
  <si>
    <t>ANIMAL SPORTS S.A.</t>
  </si>
  <si>
    <t>A149166</t>
  </si>
  <si>
    <t>LT SBB-00006007</t>
  </si>
  <si>
    <t>A143028</t>
  </si>
  <si>
    <t>LT SBB-00006006</t>
  </si>
  <si>
    <t>A138815</t>
  </si>
  <si>
    <t>LT SBB-00006185</t>
  </si>
  <si>
    <t>A144323</t>
  </si>
  <si>
    <t>LT SBB-00006184</t>
  </si>
  <si>
    <t>A144738</t>
  </si>
  <si>
    <t>LT SBB-00006183</t>
  </si>
  <si>
    <t>A139577</t>
  </si>
  <si>
    <t>LT SBB-00006178</t>
  </si>
  <si>
    <t>A144734</t>
  </si>
  <si>
    <t>LT SBB-00006177</t>
  </si>
  <si>
    <t>A143016</t>
  </si>
  <si>
    <t>LT SBB-00006176</t>
  </si>
  <si>
    <t>A139574</t>
  </si>
  <si>
    <t>LT SBB-00006171</t>
  </si>
  <si>
    <t>A153510</t>
  </si>
  <si>
    <t>LT SBB-00006170</t>
  </si>
  <si>
    <t>A151512</t>
  </si>
  <si>
    <t>LT SBB-00006169</t>
  </si>
  <si>
    <t>A148107</t>
  </si>
  <si>
    <t>LT SBB-00006168</t>
  </si>
  <si>
    <t>A144728</t>
  </si>
  <si>
    <t>LT SBB-00006167</t>
  </si>
  <si>
    <t>A139589</t>
  </si>
  <si>
    <t>LT SBB-00006163</t>
  </si>
  <si>
    <t>A144726</t>
  </si>
  <si>
    <t>LT SBB-00006162</t>
  </si>
  <si>
    <t>A143014</t>
  </si>
  <si>
    <t>LT SBB-00006161</t>
  </si>
  <si>
    <t>A138736</t>
  </si>
  <si>
    <t>LT SBB-00006157</t>
  </si>
  <si>
    <t>A144108</t>
  </si>
  <si>
    <t>LT SBB-00006150</t>
  </si>
  <si>
    <t>A143077</t>
  </si>
  <si>
    <t>LT SBB-00006144</t>
  </si>
  <si>
    <t>LT SBB-00006143</t>
  </si>
  <si>
    <t>LT SBB-00006142</t>
  </si>
  <si>
    <t>LT SBB-00006141</t>
  </si>
  <si>
    <t>LT SBB-00006140</t>
  </si>
  <si>
    <t>LT SBB-00006139</t>
  </si>
  <si>
    <t>LT SBB-00006138</t>
  </si>
  <si>
    <t>LT SBB-00006137</t>
  </si>
  <si>
    <t>LT SBB-00006136</t>
  </si>
  <si>
    <t>LT SBB-00006135</t>
  </si>
  <si>
    <t>LT SBB-00006125</t>
  </si>
  <si>
    <t>LT SBB-00006124</t>
  </si>
  <si>
    <t>LT SBB-00006123</t>
  </si>
  <si>
    <t>LT SBB-00006122</t>
  </si>
  <si>
    <t>LT SBB-00006121</t>
  </si>
  <si>
    <t>LT SBB-00006120</t>
  </si>
  <si>
    <t>LT SBB-00006119</t>
  </si>
  <si>
    <t>LT SBB-00006118</t>
  </si>
  <si>
    <t>LT SBB-00006117</t>
  </si>
  <si>
    <t>LT SBB-00006116</t>
  </si>
  <si>
    <t>A158121</t>
  </si>
  <si>
    <t>LT SBB-00006299</t>
  </si>
  <si>
    <t>A144786</t>
  </si>
  <si>
    <t>LT SBB-00006298</t>
  </si>
  <si>
    <t>A138821</t>
  </si>
  <si>
    <t>LT SBB-00006293</t>
  </si>
  <si>
    <t>A144788</t>
  </si>
  <si>
    <t>LT SBB-00006292</t>
  </si>
  <si>
    <t>A138813</t>
  </si>
  <si>
    <t>LT SBB-00006287</t>
  </si>
  <si>
    <t>A144791</t>
  </si>
  <si>
    <t>LT SBB-00006286</t>
  </si>
  <si>
    <t>A138790</t>
  </si>
  <si>
    <t>LT SBB-00006262</t>
  </si>
  <si>
    <t>A138800</t>
  </si>
  <si>
    <t>LT SBB-00006257</t>
  </si>
  <si>
    <t>A144317</t>
  </si>
  <si>
    <t>LT SBB-00006251</t>
  </si>
  <si>
    <t>A141769</t>
  </si>
  <si>
    <t>LT SBB-00006243</t>
  </si>
  <si>
    <t>A142590</t>
  </si>
  <si>
    <t>LT SBB-00006242</t>
  </si>
  <si>
    <t>A139703</t>
  </si>
  <si>
    <t>LT SBB-00006234</t>
  </si>
  <si>
    <t>LT SBB-00006233</t>
  </si>
  <si>
    <t>A153987</t>
  </si>
  <si>
    <t>LT SBB-00006232</t>
  </si>
  <si>
    <t>A151545</t>
  </si>
  <si>
    <t>LT SBB-00006231</t>
  </si>
  <si>
    <t>A146541</t>
  </si>
  <si>
    <t>LT SBB-00006230</t>
  </si>
  <si>
    <t>A149150</t>
  </si>
  <si>
    <t>LT SBB-00006227</t>
  </si>
  <si>
    <t>A147774</t>
  </si>
  <si>
    <t>LT SBB-00006226</t>
  </si>
  <si>
    <t>A141785</t>
  </si>
  <si>
    <t>LT SBB-00006225</t>
  </si>
  <si>
    <t>A138796</t>
  </si>
  <si>
    <t>LT SBB-00006221</t>
  </si>
  <si>
    <t>LT SBB-00006220</t>
  </si>
  <si>
    <t>A153514</t>
  </si>
  <si>
    <t>LT SBB-00006219</t>
  </si>
  <si>
    <t>A149695</t>
  </si>
  <si>
    <t>LT SBB-00006218</t>
  </si>
  <si>
    <t>A144752</t>
  </si>
  <si>
    <t>LT SBB-00006217</t>
  </si>
  <si>
    <t>A140437</t>
  </si>
  <si>
    <t>LT SBB-00006214</t>
  </si>
  <si>
    <t>A149205</t>
  </si>
  <si>
    <t>LT SBB-00006213</t>
  </si>
  <si>
    <t>A139802</t>
  </si>
  <si>
    <t>LT SBB-00006204</t>
  </si>
  <si>
    <t>A140435</t>
  </si>
  <si>
    <t>LT SBB-00006364</t>
  </si>
  <si>
    <t>A146517</t>
  </si>
  <si>
    <t>LT SBB-00006363</t>
  </si>
  <si>
    <t>A141783</t>
  </si>
  <si>
    <t>LT SBB-00006362</t>
  </si>
  <si>
    <t>A138809</t>
  </si>
  <si>
    <t>LT SBB-00006358</t>
  </si>
  <si>
    <t>A147769</t>
  </si>
  <si>
    <t>LT SBB-00006357</t>
  </si>
  <si>
    <t>A143048</t>
  </si>
  <si>
    <t>LT SBB-00006356</t>
  </si>
  <si>
    <t>A139681</t>
  </si>
  <si>
    <t>LT SBB-00006352</t>
  </si>
  <si>
    <t>A147354</t>
  </si>
  <si>
    <t>LT SBB-00006351</t>
  </si>
  <si>
    <t>A147352</t>
  </si>
  <si>
    <t>LT SBB-00006350</t>
  </si>
  <si>
    <t>A139810</t>
  </si>
  <si>
    <t>LT SBB-00006344</t>
  </si>
  <si>
    <t>A147356</t>
  </si>
  <si>
    <t>LT SBB-00006343</t>
  </si>
  <si>
    <t>A144762</t>
  </si>
  <si>
    <t>LT SBB-00006342</t>
  </si>
  <si>
    <t>A141787</t>
  </si>
  <si>
    <t>LT SBB-00006338</t>
  </si>
  <si>
    <t>A146509</t>
  </si>
  <si>
    <t>LT SBB-00006337</t>
  </si>
  <si>
    <t>A143079</t>
  </si>
  <si>
    <t>LT SBB-00006336</t>
  </si>
  <si>
    <t>A139687</t>
  </si>
  <si>
    <t>LT SBB-00006331</t>
  </si>
  <si>
    <t>A139812</t>
  </si>
  <si>
    <t>LT SBB-00006327</t>
  </si>
  <si>
    <t>A144325</t>
  </si>
  <si>
    <t>LT SBB-00006326</t>
  </si>
  <si>
    <t>A139796</t>
  </si>
  <si>
    <t>LT SBB-00006322</t>
  </si>
  <si>
    <t>A147319</t>
  </si>
  <si>
    <t>LT SBB-00006321</t>
  </si>
  <si>
    <t>A143473</t>
  </si>
  <si>
    <t>LT SBB-00006320</t>
  </si>
  <si>
    <t>A138775</t>
  </si>
  <si>
    <t>LT SBB-00006314</t>
  </si>
  <si>
    <t>A144818</t>
  </si>
  <si>
    <t>LT SBB-00006313</t>
  </si>
  <si>
    <t>A138770</t>
  </si>
  <si>
    <t>LT SBB-00006307</t>
  </si>
  <si>
    <t>A140440</t>
  </si>
  <si>
    <t>LT SBB-00006397</t>
  </si>
  <si>
    <t>A143002</t>
  </si>
  <si>
    <t>LT SBB-00006394</t>
  </si>
  <si>
    <t>A143018</t>
  </si>
  <si>
    <t>LT SBB-00006393</t>
  </si>
  <si>
    <t>A138734</t>
  </si>
  <si>
    <t>LT SBB-00006390</t>
  </si>
  <si>
    <t>A147309</t>
  </si>
  <si>
    <t>LT SBB-00006389</t>
  </si>
  <si>
    <t>A149203</t>
  </si>
  <si>
    <t>LT SBB-00006388</t>
  </si>
  <si>
    <t>A143020</t>
  </si>
  <si>
    <t>LT SBB-00006387</t>
  </si>
  <si>
    <t>A138755</t>
  </si>
  <si>
    <t>LT SBB-00006384</t>
  </si>
  <si>
    <t>A147299</t>
  </si>
  <si>
    <t>LT SBB-00006383</t>
  </si>
  <si>
    <t>A141771</t>
  </si>
  <si>
    <t>LT SBB-00006382</t>
  </si>
  <si>
    <t>A138739</t>
  </si>
  <si>
    <t>LT SBB-00006378</t>
  </si>
  <si>
    <t>A149158</t>
  </si>
  <si>
    <t>LT SBB-00006377</t>
  </si>
  <si>
    <t>A139705</t>
  </si>
  <si>
    <t>LT SBB-00006569</t>
  </si>
  <si>
    <t>A147303</t>
  </si>
  <si>
    <t>LT SBB-00006568</t>
  </si>
  <si>
    <t>A144113</t>
  </si>
  <si>
    <t>LT SBB-00006567</t>
  </si>
  <si>
    <t>A139587</t>
  </si>
  <si>
    <t>LT SBB-00006565</t>
  </si>
  <si>
    <t>A147301</t>
  </si>
  <si>
    <t>LT SBB-00006564</t>
  </si>
  <si>
    <t>A143026</t>
  </si>
  <si>
    <t>LT SBB-00006563</t>
  </si>
  <si>
    <t>A139583</t>
  </si>
  <si>
    <t>LT SBB-00006561</t>
  </si>
  <si>
    <t>A151514</t>
  </si>
  <si>
    <t>LT SBB-00006560</t>
  </si>
  <si>
    <t>A145975</t>
  </si>
  <si>
    <t>LT SBB-00006559</t>
  </si>
  <si>
    <t>A144111</t>
  </si>
  <si>
    <t>LT SBB-00006558</t>
  </si>
  <si>
    <t>A141775</t>
  </si>
  <si>
    <t>LT SBB-00006557</t>
  </si>
  <si>
    <t>A138757</t>
  </si>
  <si>
    <t>LT SBB-00006555</t>
  </si>
  <si>
    <t>A139580</t>
  </si>
  <si>
    <t>LT SBB-00006553</t>
  </si>
  <si>
    <t>A149217</t>
  </si>
  <si>
    <t>LT SBB-00006552</t>
  </si>
  <si>
    <t>A145985</t>
  </si>
  <si>
    <t>LT SBB-00006551</t>
  </si>
  <si>
    <t>A144123</t>
  </si>
  <si>
    <t>LT SBB-00006550</t>
  </si>
  <si>
    <t>A141795</t>
  </si>
  <si>
    <t>LT SBB-00006549</t>
  </si>
  <si>
    <t>A138761</t>
  </si>
  <si>
    <t>LT SBB-00006546</t>
  </si>
  <si>
    <t>A150645</t>
  </si>
  <si>
    <t>LT SBB-00006545</t>
  </si>
  <si>
    <t>A144756</t>
  </si>
  <si>
    <t>LT SBB-00006544</t>
  </si>
  <si>
    <t>A143065</t>
  </si>
  <si>
    <t>LT SBB-00006543</t>
  </si>
  <si>
    <t>A139806</t>
  </si>
  <si>
    <t>LT SBB-00006540</t>
  </si>
  <si>
    <t>A144754</t>
  </si>
  <si>
    <t>LT SBB-00006539</t>
  </si>
  <si>
    <t>A140444</t>
  </si>
  <si>
    <t>LT SBB-00006536</t>
  </si>
  <si>
    <t>A148125</t>
  </si>
  <si>
    <t>LT SBB-00006535</t>
  </si>
  <si>
    <t>A145758</t>
  </si>
  <si>
    <t>LT SBB-00006534</t>
  </si>
  <si>
    <t>A143062</t>
  </si>
  <si>
    <t>LT SBB-00006533</t>
  </si>
  <si>
    <t>A139685</t>
  </si>
  <si>
    <t>LT SBB-00006530</t>
  </si>
  <si>
    <t>A148123</t>
  </si>
  <si>
    <t>LT SBB-00006529</t>
  </si>
  <si>
    <t>A143060</t>
  </si>
  <si>
    <t>LT SBB-00006528</t>
  </si>
  <si>
    <t>A139804</t>
  </si>
  <si>
    <t>LT SBB-00006524</t>
  </si>
  <si>
    <t>A140446</t>
  </si>
  <si>
    <t>LT SBB-00006518</t>
  </si>
  <si>
    <t>A148131</t>
  </si>
  <si>
    <t>LT SBB-00006517</t>
  </si>
  <si>
    <t>A144764</t>
  </si>
  <si>
    <t>LT SBB-00006516</t>
  </si>
  <si>
    <t>A143083</t>
  </si>
  <si>
    <t>LT SBB-00006515</t>
  </si>
  <si>
    <t>A139689</t>
  </si>
  <si>
    <t>LT SBB-00006511</t>
  </si>
  <si>
    <t>A148129</t>
  </si>
  <si>
    <t>LT SBB-00006510</t>
  </si>
  <si>
    <t>A145760</t>
  </si>
  <si>
    <t>LT SBB-00006509</t>
  </si>
  <si>
    <t>A143050</t>
  </si>
  <si>
    <t>LT SBB-00006508</t>
  </si>
  <si>
    <t>A138811</t>
  </si>
  <si>
    <t>LT SBB-00006506</t>
  </si>
  <si>
    <t>A151550</t>
  </si>
  <si>
    <t>LT SBB-00006505</t>
  </si>
  <si>
    <t>A146507</t>
  </si>
  <si>
    <t>LT SBB-00006504</t>
  </si>
  <si>
    <t>A144347</t>
  </si>
  <si>
    <t>LT SBB-00006503</t>
  </si>
  <si>
    <t>A142596</t>
  </si>
  <si>
    <t>LT SBB-00006502</t>
  </si>
  <si>
    <t>A138819</t>
  </si>
  <si>
    <t>LT SBB-00006500</t>
  </si>
  <si>
    <t>A139713</t>
  </si>
  <si>
    <t>LT SBB-00006496</t>
  </si>
  <si>
    <t>A139711</t>
  </si>
  <si>
    <t>LT SBB-00006492</t>
  </si>
  <si>
    <t>A146014</t>
  </si>
  <si>
    <t>LT SBB-00006491</t>
  </si>
  <si>
    <t>A139709</t>
  </si>
  <si>
    <t>LT SBB-00006483</t>
  </si>
  <si>
    <t>A147766</t>
  </si>
  <si>
    <t>LT SBB-00006482</t>
  </si>
  <si>
    <t>A144576</t>
  </si>
  <si>
    <t>LT SBB-00006481</t>
  </si>
  <si>
    <t>A143006</t>
  </si>
  <si>
    <t>LT SBB-00006480</t>
  </si>
  <si>
    <t>A139571</t>
  </si>
  <si>
    <t>LT SBB-00006474</t>
  </si>
  <si>
    <t>A148819</t>
  </si>
  <si>
    <t>LT SBB-00006472</t>
  </si>
  <si>
    <t>A144331</t>
  </si>
  <si>
    <t>LT SBB-00006471</t>
  </si>
  <si>
    <t>A139660</t>
  </si>
  <si>
    <t>LT SBB-00006470</t>
  </si>
  <si>
    <t>A139635</t>
  </si>
  <si>
    <t>LT SBB-00006467</t>
  </si>
  <si>
    <t>A151647</t>
  </si>
  <si>
    <t>LT SBB-00006466</t>
  </si>
  <si>
    <t>A147329</t>
  </si>
  <si>
    <t>LT SBB-00006465</t>
  </si>
  <si>
    <t>A144742</t>
  </si>
  <si>
    <t>LT SBB-00006464</t>
  </si>
  <si>
    <t>A143040</t>
  </si>
  <si>
    <t>LT SBB-00006463</t>
  </si>
  <si>
    <t>A139647</t>
  </si>
  <si>
    <t>LT SBB-00006461</t>
  </si>
  <si>
    <t>A148813</t>
  </si>
  <si>
    <t>LT SBB-00006460</t>
  </si>
  <si>
    <t>A144329</t>
  </si>
  <si>
    <t>LT SBB-00006459</t>
  </si>
  <si>
    <t>A139658</t>
  </si>
  <si>
    <t>LT SBB-00006458</t>
  </si>
  <si>
    <t>A139604</t>
  </si>
  <si>
    <t>LT SBB-00006454</t>
  </si>
  <si>
    <t>A147327</t>
  </si>
  <si>
    <t>LT SBB-00006453</t>
  </si>
  <si>
    <t>A141765</t>
  </si>
  <si>
    <t>LT SBB-00006446</t>
  </si>
  <si>
    <t>A139637</t>
  </si>
  <si>
    <t>LT SBB-00006444</t>
  </si>
  <si>
    <t>A148824</t>
  </si>
  <si>
    <t>LT SBB-00006443</t>
  </si>
  <si>
    <t>A146532</t>
  </si>
  <si>
    <t>LT SBB-00006442</t>
  </si>
  <si>
    <t>A143044</t>
  </si>
  <si>
    <t>LT SBB-00006441</t>
  </si>
  <si>
    <t>A139653</t>
  </si>
  <si>
    <t>LT SBB-00006438</t>
  </si>
  <si>
    <t>A143036</t>
  </si>
  <si>
    <t>LT SBB-00006667</t>
  </si>
  <si>
    <t>LT SBB-00006666</t>
  </si>
  <si>
    <t>A157564</t>
  </si>
  <si>
    <t>LT SBB-00006665</t>
  </si>
  <si>
    <t>A152527</t>
  </si>
  <si>
    <t>LT SBB-00006664</t>
  </si>
  <si>
    <t>A149955</t>
  </si>
  <si>
    <t>LT SBB-00006663</t>
  </si>
  <si>
    <t>A147783</t>
  </si>
  <si>
    <t>LT SBB-00006662</t>
  </si>
  <si>
    <t>A144780</t>
  </si>
  <si>
    <t>LT SBB-00006661</t>
  </si>
  <si>
    <t>A140452</t>
  </si>
  <si>
    <t>LT SBB-00006658</t>
  </si>
  <si>
    <t>A144784</t>
  </si>
  <si>
    <t>LT SBB-00006657</t>
  </si>
  <si>
    <t>A149163</t>
  </si>
  <si>
    <t>LT SBB-00006656</t>
  </si>
  <si>
    <t>A142588</t>
  </si>
  <si>
    <t>LT SBB-00006655</t>
  </si>
  <si>
    <t>A139707</t>
  </si>
  <si>
    <t>LT SBB-00006652</t>
  </si>
  <si>
    <t>A138730</t>
  </si>
  <si>
    <t>LT SBB-00006648</t>
  </si>
  <si>
    <t>A151713</t>
  </si>
  <si>
    <t>LT SBB-00006647</t>
  </si>
  <si>
    <t>A147315</t>
  </si>
  <si>
    <t>LT SBB-00006646</t>
  </si>
  <si>
    <t>A144814</t>
  </si>
  <si>
    <t>LT SBB-00006645</t>
  </si>
  <si>
    <t>A143477</t>
  </si>
  <si>
    <t>LT SBB-00006644</t>
  </si>
  <si>
    <t>A138778</t>
  </si>
  <si>
    <t>LT SBB-00006642</t>
  </si>
  <si>
    <t>A151711</t>
  </si>
  <si>
    <t>LT SBB-00006641</t>
  </si>
  <si>
    <t>A147313</t>
  </si>
  <si>
    <t>LT SBB-00006640</t>
  </si>
  <si>
    <t>A144812</t>
  </si>
  <si>
    <t>LT SBB-00006639</t>
  </si>
  <si>
    <t>A143475</t>
  </si>
  <si>
    <t>LT SBB-00006638</t>
  </si>
  <si>
    <t>A139798</t>
  </si>
  <si>
    <t>LT SBB-00006636</t>
  </si>
  <si>
    <t>A150653</t>
  </si>
  <si>
    <t>LT SBB-00006635</t>
  </si>
  <si>
    <t>A144570</t>
  </si>
  <si>
    <t>LT SBB-00006634</t>
  </si>
  <si>
    <t>A142998</t>
  </si>
  <si>
    <t>LT SBB-00006633</t>
  </si>
  <si>
    <t>A140429</t>
  </si>
  <si>
    <t>LT SBB-00006630</t>
  </si>
  <si>
    <t>A143000</t>
  </si>
  <si>
    <t>LT SBB-00006629</t>
  </si>
  <si>
    <t>A141761</t>
  </si>
  <si>
    <t>LT SBB-00006626</t>
  </si>
  <si>
    <t>A150659</t>
  </si>
  <si>
    <t>LT SBB-00006625</t>
  </si>
  <si>
    <t>A144718</t>
  </si>
  <si>
    <t>LT SBB-00006624</t>
  </si>
  <si>
    <t>A143008</t>
  </si>
  <si>
    <t>LT SBB-00006620</t>
  </si>
  <si>
    <t>A143052</t>
  </si>
  <si>
    <t>LT SBB-00006618</t>
  </si>
  <si>
    <t>A148815</t>
  </si>
  <si>
    <t>LT SBB-00006617</t>
  </si>
  <si>
    <t>A144822</t>
  </si>
  <si>
    <t>LT SBB-00006616</t>
  </si>
  <si>
    <t>A143030</t>
  </si>
  <si>
    <t>LT SBB-00006615</t>
  </si>
  <si>
    <t>A138817</t>
  </si>
  <si>
    <t>LT SBB-00006612</t>
  </si>
  <si>
    <t>A152477</t>
  </si>
  <si>
    <t>LT SBB-00006611</t>
  </si>
  <si>
    <t>A147321</t>
  </si>
  <si>
    <t>LT SBB-00006610</t>
  </si>
  <si>
    <t>A144358</t>
  </si>
  <si>
    <t>LT SBB-00006609</t>
  </si>
  <si>
    <t>A143032</t>
  </si>
  <si>
    <t>LT SBB-00006608</t>
  </si>
  <si>
    <t>A139800</t>
  </si>
  <si>
    <t>LT SBB-00006606</t>
  </si>
  <si>
    <t>LT SBB-00006605</t>
  </si>
  <si>
    <t>LT SBB-00006604</t>
  </si>
  <si>
    <t>LT SBB-00006603</t>
  </si>
  <si>
    <t>A154730</t>
  </si>
  <si>
    <t>LT SBB-00006602</t>
  </si>
  <si>
    <t>A151531</t>
  </si>
  <si>
    <t>LT SBB-00006601</t>
  </si>
  <si>
    <t>A149219</t>
  </si>
  <si>
    <t>LT SBB-00006600</t>
  </si>
  <si>
    <t>A145977</t>
  </si>
  <si>
    <t>LT SBB-00006599</t>
  </si>
  <si>
    <t>A143024</t>
  </si>
  <si>
    <t>LT SBB-00006598</t>
  </si>
  <si>
    <t>A138766</t>
  </si>
  <si>
    <t>LT SBB-00006597</t>
  </si>
  <si>
    <t>A152459</t>
  </si>
  <si>
    <t>LT SBB-00006596</t>
  </si>
  <si>
    <t>A151516</t>
  </si>
  <si>
    <t>LT SBB-00006595</t>
  </si>
  <si>
    <t>A148109</t>
  </si>
  <si>
    <t>LT SBB-00006594</t>
  </si>
  <si>
    <t>A144736</t>
  </si>
  <si>
    <t>LT SBB-00006593</t>
  </si>
  <si>
    <t>A143022</t>
  </si>
  <si>
    <t>LT SBB-00006592</t>
  </si>
  <si>
    <t>A138763</t>
  </si>
  <si>
    <t>LT SBB-00006591</t>
  </si>
  <si>
    <t>A144125</t>
  </si>
  <si>
    <t>LT SBB-00006590</t>
  </si>
  <si>
    <t>A138759</t>
  </si>
  <si>
    <t>LT SBB-00006589</t>
  </si>
  <si>
    <t>A152990</t>
  </si>
  <si>
    <t>LT SBB-00006588</t>
  </si>
  <si>
    <t>A151638</t>
  </si>
  <si>
    <t>LT SBB-00006587</t>
  </si>
  <si>
    <t>A149225</t>
  </si>
  <si>
    <t>LT SBB-00006586</t>
  </si>
  <si>
    <t>A146543</t>
  </si>
  <si>
    <t>LT SBB-00006585</t>
  </si>
  <si>
    <t>A144340</t>
  </si>
  <si>
    <t>LT SBB-00006584</t>
  </si>
  <si>
    <t>A140433</t>
  </si>
  <si>
    <t>LT SBB-00006583</t>
  </si>
  <si>
    <t>A139677</t>
  </si>
  <si>
    <t>LT SBB-00006582</t>
  </si>
  <si>
    <t>A143479</t>
  </si>
  <si>
    <t>LT SBB-00006581</t>
  </si>
  <si>
    <t>A140431</t>
  </si>
  <si>
    <t>LT SBB-00006580</t>
  </si>
  <si>
    <t>A139673</t>
  </si>
  <si>
    <t>LT SBB-00006577</t>
  </si>
  <si>
    <t>A143046</t>
  </si>
  <si>
    <t>LT SBB-00006576</t>
  </si>
  <si>
    <t>A139675</t>
  </si>
  <si>
    <t>LT SBB-00006574</t>
  </si>
  <si>
    <t>A145756</t>
  </si>
  <si>
    <t>MISC/2026/02/0226 (ASIENTO REG. REDONDEO EMISIÓN DE LETRA - FEB 26)</t>
  </si>
  <si>
    <t>MISC/2026/02/0226</t>
  </si>
  <si>
    <t>ASIENTO REG. REDONDEO EMISIÓN DE LETRA - FEB 26</t>
  </si>
  <si>
    <t>LT SBB-00006818</t>
  </si>
  <si>
    <t>A157544</t>
  </si>
  <si>
    <t>LT SBB-00006817</t>
  </si>
  <si>
    <t>A151554</t>
  </si>
  <si>
    <t>LT SBB-00006816</t>
  </si>
  <si>
    <t>A149233</t>
  </si>
  <si>
    <t>LT SBB-00006815</t>
  </si>
  <si>
    <t>A147340</t>
  </si>
  <si>
    <t>LT SBB-00006814</t>
  </si>
  <si>
    <t>A144750</t>
  </si>
  <si>
    <t>LT SBB-00006813</t>
  </si>
  <si>
    <t>A143056</t>
  </si>
  <si>
    <t>LT SBB-00006812</t>
  </si>
  <si>
    <t>A152492</t>
  </si>
  <si>
    <t>LT SBB-00006811</t>
  </si>
  <si>
    <t>A150729</t>
  </si>
  <si>
    <t>LT SBB-00006810</t>
  </si>
  <si>
    <t>A147771</t>
  </si>
  <si>
    <t>LT SBB-00006809</t>
  </si>
  <si>
    <t>A144748</t>
  </si>
  <si>
    <t>LT SBB-00006808</t>
  </si>
  <si>
    <t>A151649</t>
  </si>
  <si>
    <t>LT SBB-00006807</t>
  </si>
  <si>
    <t>A149931</t>
  </si>
  <si>
    <t>LT SBB-00006806</t>
  </si>
  <si>
    <t>A146534</t>
  </si>
  <si>
    <t>LT SBB-00006805</t>
  </si>
  <si>
    <t>A144333</t>
  </si>
  <si>
    <t>LT SBB-00006804</t>
  </si>
  <si>
    <t>A153299</t>
  </si>
  <si>
    <t>LT SBB-00006803</t>
  </si>
  <si>
    <t>A151535</t>
  </si>
  <si>
    <t>LT SBB-00006802</t>
  </si>
  <si>
    <t>A148622</t>
  </si>
  <si>
    <t>LT SBB-00006801</t>
  </si>
  <si>
    <t>A146525</t>
  </si>
  <si>
    <t>LT SBB-00006800</t>
  </si>
  <si>
    <t>A144336</t>
  </si>
  <si>
    <t>LT SBB-00006799</t>
  </si>
  <si>
    <t>A143038</t>
  </si>
  <si>
    <t>LT SBB-00006798</t>
  </si>
  <si>
    <t>A153301</t>
  </si>
  <si>
    <t>LT SBB-00006797</t>
  </si>
  <si>
    <t>A150691</t>
  </si>
  <si>
    <t>LT SBB-00006796</t>
  </si>
  <si>
    <t>A148624</t>
  </si>
  <si>
    <t>LT SBB-00006795</t>
  </si>
  <si>
    <t>A146530</t>
  </si>
  <si>
    <t>LT SBB-00006794</t>
  </si>
  <si>
    <t>A144740</t>
  </si>
  <si>
    <t>LT SBB-00006793</t>
  </si>
  <si>
    <t>A141767</t>
  </si>
  <si>
    <t>LT SBB-00006792</t>
  </si>
  <si>
    <t>A151717</t>
  </si>
  <si>
    <t>LT SBB-00006791</t>
  </si>
  <si>
    <t>A149687</t>
  </si>
  <si>
    <t>LT SBB-00006790</t>
  </si>
  <si>
    <t>A146522</t>
  </si>
  <si>
    <t>LT SBB-00006789</t>
  </si>
  <si>
    <t>A143042</t>
  </si>
  <si>
    <t>LT SBB-00006788</t>
  </si>
  <si>
    <t>A146528</t>
  </si>
  <si>
    <t>LT SBB-00006787</t>
  </si>
  <si>
    <t>A154734</t>
  </si>
  <si>
    <t>LT SBB-00006786</t>
  </si>
  <si>
    <t>A151733</t>
  </si>
  <si>
    <t>LT SBB-00006785</t>
  </si>
  <si>
    <t>A150661</t>
  </si>
  <si>
    <t>LT SBB-00006784</t>
  </si>
  <si>
    <t>A148111</t>
  </si>
  <si>
    <t>LT SBB-00006783</t>
  </si>
  <si>
    <t>A145979</t>
  </si>
  <si>
    <t>LT SBB-00006782</t>
  </si>
  <si>
    <t>A144115</t>
  </si>
  <si>
    <t>LT SBB-00006781</t>
  </si>
  <si>
    <t>A141779</t>
  </si>
  <si>
    <t>LT SBB-00006780</t>
  </si>
  <si>
    <t>A151519</t>
  </si>
  <si>
    <t>LT SBB-00006779</t>
  </si>
  <si>
    <t>A147311</t>
  </si>
  <si>
    <t>LT SBB-00006778</t>
  </si>
  <si>
    <t>A144730</t>
  </si>
  <si>
    <t>LT SBB-00006777</t>
  </si>
  <si>
    <t>A141777</t>
  </si>
  <si>
    <t>LT SBB-00006776</t>
  </si>
  <si>
    <t>A147305</t>
  </si>
  <si>
    <t>LT SBB-00006775</t>
  </si>
  <si>
    <t>A154726</t>
  </si>
  <si>
    <t>LT SBB-00006774</t>
  </si>
  <si>
    <t>A143004</t>
  </si>
  <si>
    <t>LT SBB-00006773</t>
  </si>
  <si>
    <t>A148620</t>
  </si>
  <si>
    <t>LT SBB-00006772</t>
  </si>
  <si>
    <t>A147360</t>
  </si>
  <si>
    <t>LT SBB-00006771</t>
  </si>
  <si>
    <t>A145752</t>
  </si>
  <si>
    <t>LT SBB-00006770</t>
  </si>
  <si>
    <t>A144353</t>
  </si>
  <si>
    <t>LT SBB-00006769</t>
  </si>
  <si>
    <t>A143087</t>
  </si>
  <si>
    <t>LT SBB-00006766</t>
  </si>
  <si>
    <t>A151574</t>
  </si>
  <si>
    <t>LT SBB-00006765</t>
  </si>
  <si>
    <t>A148678</t>
  </si>
  <si>
    <t>LT SBB-00006764</t>
  </si>
  <si>
    <t>A147362</t>
  </si>
  <si>
    <t>LT SBB-00006763</t>
  </si>
  <si>
    <t>A144768</t>
  </si>
  <si>
    <t>LT SBB-00006762</t>
  </si>
  <si>
    <t>A142584</t>
  </si>
  <si>
    <t>LT SBB-00006761</t>
  </si>
  <si>
    <t>A139695</t>
  </si>
  <si>
    <t>LT SBB-00006760</t>
  </si>
  <si>
    <t>LT SBB-00006759</t>
  </si>
  <si>
    <t>LT SBB-00006758</t>
  </si>
  <si>
    <t>A157526</t>
  </si>
  <si>
    <t>LT SBB-00006757</t>
  </si>
  <si>
    <t>A151749</t>
  </si>
  <si>
    <t>LT SBB-00006756</t>
  </si>
  <si>
    <t>A148642</t>
  </si>
  <si>
    <t>LT SBB-00006755</t>
  </si>
  <si>
    <t>A144770</t>
  </si>
  <si>
    <t>LT SBB-00006754</t>
  </si>
  <si>
    <t>A139697</t>
  </si>
  <si>
    <t>LT SBB-00006753</t>
  </si>
  <si>
    <t>A153311</t>
  </si>
  <si>
    <t>LT SBB-00006752</t>
  </si>
  <si>
    <t>A151576</t>
  </si>
  <si>
    <t>LT SBB-00006751</t>
  </si>
  <si>
    <t>A148680</t>
  </si>
  <si>
    <t>LT SBB-00006750</t>
  </si>
  <si>
    <t>A146006</t>
  </si>
  <si>
    <t>LT SBB-00006749</t>
  </si>
  <si>
    <t>A143099</t>
  </si>
  <si>
    <t>LT SBB-00006748</t>
  </si>
  <si>
    <t>A139699</t>
  </si>
  <si>
    <t>LT SBB-00006747</t>
  </si>
  <si>
    <t>A154856</t>
  </si>
  <si>
    <t>LT SBB-00006746</t>
  </si>
  <si>
    <t>A152151</t>
  </si>
  <si>
    <t>LT SBB-00006745</t>
  </si>
  <si>
    <t>A149949</t>
  </si>
  <si>
    <t>LT SBB-00006744</t>
  </si>
  <si>
    <t>A147364</t>
  </si>
  <si>
    <t>LT SBB-00006743</t>
  </si>
  <si>
    <t>A144772</t>
  </si>
  <si>
    <t>LT SBB-00006742</t>
  </si>
  <si>
    <t>A141789</t>
  </si>
  <si>
    <t>LT SBB-00006741</t>
  </si>
  <si>
    <t>A139693</t>
  </si>
  <si>
    <t>LT SBB-00006739</t>
  </si>
  <si>
    <t>A148676</t>
  </si>
  <si>
    <t>LT SBB-00006738</t>
  </si>
  <si>
    <t>A151578</t>
  </si>
  <si>
    <t>LT SBB-00006737</t>
  </si>
  <si>
    <t>A139814</t>
  </si>
  <si>
    <t>LT SBB-00006736</t>
  </si>
  <si>
    <t>A147366</t>
  </si>
  <si>
    <t>LT SBB-00006727</t>
  </si>
  <si>
    <t>A153000</t>
  </si>
  <si>
    <t>LT SBB-00006726</t>
  </si>
  <si>
    <t>A151547</t>
  </si>
  <si>
    <t>LT SBB-00006725</t>
  </si>
  <si>
    <t>A148119</t>
  </si>
  <si>
    <t>LT SBB-00006724</t>
  </si>
  <si>
    <t>A144744</t>
  </si>
  <si>
    <t>LT SBB-00006723</t>
  </si>
  <si>
    <t>A141781</t>
  </si>
  <si>
    <t>LT SBB-00006720</t>
  </si>
  <si>
    <t>A153502</t>
  </si>
  <si>
    <t>LT SBB-00006719</t>
  </si>
  <si>
    <t>A148944</t>
  </si>
  <si>
    <t>LT SBB-00006718</t>
  </si>
  <si>
    <t>A147292</t>
  </si>
  <si>
    <t>LT SBB-00006717</t>
  </si>
  <si>
    <t>A144720</t>
  </si>
  <si>
    <t>LT SBB-00006716</t>
  </si>
  <si>
    <t>A143010</t>
  </si>
  <si>
    <t>LT SBB-00006714</t>
  </si>
  <si>
    <t>A157542</t>
  </si>
  <si>
    <t>LT SBB-00006713</t>
  </si>
  <si>
    <t>A151729</t>
  </si>
  <si>
    <t>LT SBB-00006712</t>
  </si>
  <si>
    <t>A149223</t>
  </si>
  <si>
    <t>LT SBB-00006711</t>
  </si>
  <si>
    <t>A147325</t>
  </si>
  <si>
    <t>LT SBB-00006710</t>
  </si>
  <si>
    <t>A144360</t>
  </si>
  <si>
    <t>LT SBB-00006709</t>
  </si>
  <si>
    <t>A143034</t>
  </si>
  <si>
    <t>LT SBB-00006708</t>
  </si>
  <si>
    <t>A154760</t>
  </si>
  <si>
    <t>LT SBB-00006707</t>
  </si>
  <si>
    <t>A149947</t>
  </si>
  <si>
    <t>LT SBB-00006706</t>
  </si>
  <si>
    <t>A147323</t>
  </si>
  <si>
    <t>LT SBB-00006705</t>
  </si>
  <si>
    <t>A144117</t>
  </si>
  <si>
    <t>LT SBB-00006704</t>
  </si>
  <si>
    <t>A151642</t>
  </si>
  <si>
    <t>LT SBB-00006703</t>
  </si>
  <si>
    <t>A150639</t>
  </si>
  <si>
    <t>LT SBB-00006702</t>
  </si>
  <si>
    <t>A149228</t>
  </si>
  <si>
    <t>LT SBB-00006701</t>
  </si>
  <si>
    <t>A148117</t>
  </si>
  <si>
    <t>LT SBB-00006700</t>
  </si>
  <si>
    <t>A144338</t>
  </si>
  <si>
    <t>LT SBB-00006699</t>
  </si>
  <si>
    <t>A149155</t>
  </si>
  <si>
    <t>LT SBB-00006698</t>
  </si>
  <si>
    <t>A157520</t>
  </si>
  <si>
    <t>LT SBB-00006697</t>
  </si>
  <si>
    <t>A151552</t>
  </si>
  <si>
    <t>LT SBB-00006696</t>
  </si>
  <si>
    <t>A149231</t>
  </si>
  <si>
    <t>LT SBB-00006695</t>
  </si>
  <si>
    <t>A147336</t>
  </si>
  <si>
    <t>LT SBB-00006694</t>
  </si>
  <si>
    <t>A144746</t>
  </si>
  <si>
    <t>LT SBB-00006693</t>
  </si>
  <si>
    <t>A143054</t>
  </si>
  <si>
    <t>LT SBB-00006692</t>
  </si>
  <si>
    <t>A147334</t>
  </si>
  <si>
    <t>LT SBB-00006691</t>
  </si>
  <si>
    <t>A142598</t>
  </si>
  <si>
    <t>LT SBB-00006690</t>
  </si>
  <si>
    <t>A150651</t>
  </si>
  <si>
    <t>LT SBB-00006689</t>
  </si>
  <si>
    <t>A147338</t>
  </si>
  <si>
    <t>LT SBB-00006688</t>
  </si>
  <si>
    <t>A144345</t>
  </si>
  <si>
    <t>LT SBB-00006687</t>
  </si>
  <si>
    <t>A139683</t>
  </si>
  <si>
    <t>LT SBB-00006686</t>
  </si>
  <si>
    <t>A148672</t>
  </si>
  <si>
    <t>LT SBB-00006685</t>
  </si>
  <si>
    <t>A147781</t>
  </si>
  <si>
    <t>LT SBB-00006684</t>
  </si>
  <si>
    <t>A146004</t>
  </si>
  <si>
    <t>LT SBB-00006683</t>
  </si>
  <si>
    <t>A144351</t>
  </si>
  <si>
    <t>LT SBB-00006682</t>
  </si>
  <si>
    <t>A140448</t>
  </si>
  <si>
    <t>LT SBB-00006680</t>
  </si>
  <si>
    <t>A148674</t>
  </si>
  <si>
    <t>LT SBB-00006679</t>
  </si>
  <si>
    <t>A151747</t>
  </si>
  <si>
    <t>LT SBB-00006678</t>
  </si>
  <si>
    <t>A147358</t>
  </si>
  <si>
    <t>LT SBB-00006677</t>
  </si>
  <si>
    <t>A144766</t>
  </si>
  <si>
    <t>LT SBB-00006676</t>
  </si>
  <si>
    <t>A143085</t>
  </si>
  <si>
    <t>LT SBB-00006675</t>
  </si>
  <si>
    <t>A139691</t>
  </si>
  <si>
    <t>LT SBB-00006866</t>
  </si>
  <si>
    <t>A147297</t>
  </si>
  <si>
    <t>LT SBB-00006865</t>
  </si>
  <si>
    <t>A143012</t>
  </si>
  <si>
    <t>LT SBB-00006864</t>
  </si>
  <si>
    <t>A143067</t>
  </si>
  <si>
    <t>LT SBB-00006862</t>
  </si>
  <si>
    <t>A147342</t>
  </si>
  <si>
    <t>LT SBB-00006861</t>
  </si>
  <si>
    <t>A144349</t>
  </si>
  <si>
    <t>LT SBB-00006860</t>
  </si>
  <si>
    <t>A140442</t>
  </si>
  <si>
    <t>LT SBB-00006858</t>
  </si>
  <si>
    <t>LT SBB-00006857</t>
  </si>
  <si>
    <t>A154852</t>
  </si>
  <si>
    <t>LT SBB-00006856</t>
  </si>
  <si>
    <t>A151659</t>
  </si>
  <si>
    <t>LT SBB-00006855</t>
  </si>
  <si>
    <t>A149697</t>
  </si>
  <si>
    <t>LT SBB-00006854</t>
  </si>
  <si>
    <t>A146000</t>
  </si>
  <si>
    <t>LT SBB-00006853</t>
  </si>
  <si>
    <t>A143070</t>
  </si>
  <si>
    <t>LT SBB-00006852</t>
  </si>
  <si>
    <t>A138798</t>
  </si>
  <si>
    <t>LT SBB-00006851</t>
  </si>
  <si>
    <t>A153993</t>
  </si>
  <si>
    <t>LT SBB-00006850</t>
  </si>
  <si>
    <t>A150647</t>
  </si>
  <si>
    <t>LT SBB-00006849</t>
  </si>
  <si>
    <t>A147344</t>
  </si>
  <si>
    <t>LT SBB-00006848</t>
  </si>
  <si>
    <t>A144758</t>
  </si>
  <si>
    <t>LT SBB-00006847</t>
  </si>
  <si>
    <t>A143073</t>
  </si>
  <si>
    <t>LT SBB-00006846</t>
  </si>
  <si>
    <t>A139808</t>
  </si>
  <si>
    <t>LT SBB-00006845</t>
  </si>
  <si>
    <t>A151560</t>
  </si>
  <si>
    <t>LT SBB-00006844</t>
  </si>
  <si>
    <t>A150723</t>
  </si>
  <si>
    <t>LT SBB-00006843</t>
  </si>
  <si>
    <t>A148626</t>
  </si>
  <si>
    <t>LT SBB-00006842</t>
  </si>
  <si>
    <t>A147776</t>
  </si>
  <si>
    <t>LT SBB-00006841</t>
  </si>
  <si>
    <t>A144106</t>
  </si>
  <si>
    <t>LT SBB-00006840</t>
  </si>
  <si>
    <t>A141797</t>
  </si>
  <si>
    <t>LT SBB-00006839</t>
  </si>
  <si>
    <t>A157522</t>
  </si>
  <si>
    <t>LT SBB-00006838</t>
  </si>
  <si>
    <t>A151562</t>
  </si>
  <si>
    <t>LT SBB-00006837</t>
  </si>
  <si>
    <t>A150649</t>
  </si>
  <si>
    <t>LT SBB-00006836</t>
  </si>
  <si>
    <t>A147346</t>
  </si>
  <si>
    <t>LT SBB-00006835</t>
  </si>
  <si>
    <t>A144760</t>
  </si>
  <si>
    <t>LT SBB-00006834</t>
  </si>
  <si>
    <t>A143075</t>
  </si>
  <si>
    <t>LT SBB-00006833</t>
  </si>
  <si>
    <t>LT SBB-00006832</t>
  </si>
  <si>
    <t>A151741</t>
  </si>
  <si>
    <t>LT SBB-00006831</t>
  </si>
  <si>
    <t>A150721</t>
  </si>
  <si>
    <t>LT SBB-00006830</t>
  </si>
  <si>
    <t>A148127</t>
  </si>
  <si>
    <t>LT SBB-00006829</t>
  </si>
  <si>
    <t>A146002</t>
  </si>
  <si>
    <t>LT SBB-00006828</t>
  </si>
  <si>
    <t>A144121</t>
  </si>
  <si>
    <t>LT SBB-00006827</t>
  </si>
  <si>
    <t>A138787</t>
  </si>
  <si>
    <t>LT SBB-00006826</t>
  </si>
  <si>
    <t>A151617</t>
  </si>
  <si>
    <t>LT SBB-00006825</t>
  </si>
  <si>
    <t>A144355</t>
  </si>
  <si>
    <t>LT SBB-00006912</t>
  </si>
  <si>
    <t>LT SBB-00006911</t>
  </si>
  <si>
    <t>A152453</t>
  </si>
  <si>
    <t>LT SBB-00006910</t>
  </si>
  <si>
    <t>A151246</t>
  </si>
  <si>
    <t>LT SBB-00006909</t>
  </si>
  <si>
    <t>A148942</t>
  </si>
  <si>
    <t>LT SBB-00006908</t>
  </si>
  <si>
    <t>A147282</t>
  </si>
  <si>
    <t>LT SBB-00006907</t>
  </si>
  <si>
    <t>A144572</t>
  </si>
  <si>
    <t>LT SBB-00006906</t>
  </si>
  <si>
    <t>LT SBB-00006905</t>
  </si>
  <si>
    <t>A153504</t>
  </si>
  <si>
    <t>LT SBB-00006904</t>
  </si>
  <si>
    <t>A151735</t>
  </si>
  <si>
    <t>LT SBB-00006903</t>
  </si>
  <si>
    <t>A150663</t>
  </si>
  <si>
    <t>LT SBB-00006902</t>
  </si>
  <si>
    <t>A148113</t>
  </si>
  <si>
    <t>LT SBB-00006901</t>
  </si>
  <si>
    <t>A145983</t>
  </si>
  <si>
    <t>LT SBB-00006900</t>
  </si>
  <si>
    <t>LT SBB-00006899</t>
  </si>
  <si>
    <t>A152461</t>
  </si>
  <si>
    <t>LT SBB-00006898</t>
  </si>
  <si>
    <t>A151533</t>
  </si>
  <si>
    <t>LT SBB-00006897</t>
  </si>
  <si>
    <t>A150679</t>
  </si>
  <si>
    <t>LT SBB-00006896</t>
  </si>
  <si>
    <t>A149221</t>
  </si>
  <si>
    <t>LT SBB-00006895</t>
  </si>
  <si>
    <t>A147307</t>
  </si>
  <si>
    <t>LT SBB-00006894</t>
  </si>
  <si>
    <t>A145981</t>
  </si>
  <si>
    <t>LT SBB-00006893</t>
  </si>
  <si>
    <t>A152473</t>
  </si>
  <si>
    <t>LT SBB-00006892</t>
  </si>
  <si>
    <t>A151522</t>
  </si>
  <si>
    <t>LT SBB-00006891</t>
  </si>
  <si>
    <t>A148115</t>
  </si>
  <si>
    <t>LT SBB-00006890</t>
  </si>
  <si>
    <t>A144732</t>
  </si>
  <si>
    <t>LT SBB-00006889</t>
  </si>
  <si>
    <t>A157548</t>
  </si>
  <si>
    <t>LT SBB-00006888</t>
  </si>
  <si>
    <t>A153002</t>
  </si>
  <si>
    <t>LT SBB-00006887</t>
  </si>
  <si>
    <t>A151591</t>
  </si>
  <si>
    <t>LT SBB-00006886</t>
  </si>
  <si>
    <t>A148644</t>
  </si>
  <si>
    <t>LT SBB-00006885</t>
  </si>
  <si>
    <t>A145754</t>
  </si>
  <si>
    <t>LT SBB-00006884</t>
  </si>
  <si>
    <t>A143093</t>
  </si>
  <si>
    <t>LT SBB-00006883</t>
  </si>
  <si>
    <t>A151663</t>
  </si>
  <si>
    <t>LT SBB-00006882</t>
  </si>
  <si>
    <t>LT SBB-00006881</t>
  </si>
  <si>
    <t>A154858</t>
  </si>
  <si>
    <t>LT SBB-00006880</t>
  </si>
  <si>
    <t>A152153</t>
  </si>
  <si>
    <t>LT SBB-00006879</t>
  </si>
  <si>
    <t>A150667</t>
  </si>
  <si>
    <t>LT SBB-00006878</t>
  </si>
  <si>
    <t>A148133</t>
  </si>
  <si>
    <t>LT SBB-00006877</t>
  </si>
  <si>
    <t>A144824</t>
  </si>
  <si>
    <t>LT SBB-00006876</t>
  </si>
  <si>
    <t>A143089</t>
  </si>
  <si>
    <t>LT SBB-00006875</t>
  </si>
  <si>
    <t>A157546</t>
  </si>
  <si>
    <t>LT SBB-00006874</t>
  </si>
  <si>
    <t>A152510</t>
  </si>
  <si>
    <t>LT SBB-00006873</t>
  </si>
  <si>
    <t>A151580</t>
  </si>
  <si>
    <t>LT SBB-00006872</t>
  </si>
  <si>
    <t>A148682</t>
  </si>
  <si>
    <t>LT SBB-00006871</t>
  </si>
  <si>
    <t>A147368</t>
  </si>
  <si>
    <t>LT SBB-00006870</t>
  </si>
  <si>
    <t>A144774</t>
  </si>
  <si>
    <t>LT SBB-00006869</t>
  </si>
  <si>
    <t>A143091</t>
  </si>
  <si>
    <t>LT SBB-00006868</t>
  </si>
  <si>
    <t>A147284</t>
  </si>
  <si>
    <t>LT SBB-00006867</t>
  </si>
  <si>
    <t>A142582</t>
  </si>
  <si>
    <t>LT SBB-00007005</t>
  </si>
  <si>
    <t>A148686</t>
  </si>
  <si>
    <t>LT SBB-00007004</t>
  </si>
  <si>
    <t>A149701</t>
  </si>
  <si>
    <t>LT SBB-00007003</t>
  </si>
  <si>
    <t>A148654</t>
  </si>
  <si>
    <t>LT SBB-00007002</t>
  </si>
  <si>
    <t>A147372</t>
  </si>
  <si>
    <t>LT SBB-00007001</t>
  </si>
  <si>
    <t>A144778</t>
  </si>
  <si>
    <t>LT SBB-00007000</t>
  </si>
  <si>
    <t>A142586</t>
  </si>
  <si>
    <t>LT SBB-00006999</t>
  </si>
  <si>
    <t>A139701</t>
  </si>
  <si>
    <t>LT SBB-00006998</t>
  </si>
  <si>
    <t>A157550</t>
  </si>
  <si>
    <t>LT SBB-00006997</t>
  </si>
  <si>
    <t>A151593</t>
  </si>
  <si>
    <t>LT SBB-00006996</t>
  </si>
  <si>
    <t>A148684</t>
  </si>
  <si>
    <t>LT SBB-00006995</t>
  </si>
  <si>
    <t>A147370</t>
  </si>
  <si>
    <t>LT SBB-00006994</t>
  </si>
  <si>
    <t>A144776</t>
  </si>
  <si>
    <t>LT SBB-00006993</t>
  </si>
  <si>
    <t>A143097</t>
  </si>
  <si>
    <t>LT SBB-00006992</t>
  </si>
  <si>
    <t>LT SBB-00006991</t>
  </si>
  <si>
    <t>A154894</t>
  </si>
  <si>
    <t>LT SBB-00006990</t>
  </si>
  <si>
    <t>A152155</t>
  </si>
  <si>
    <t>LT SBB-00006989</t>
  </si>
  <si>
    <t>A150669</t>
  </si>
  <si>
    <t>LT SBB-00006988</t>
  </si>
  <si>
    <t>A148135</t>
  </si>
  <si>
    <t>LT SBB-00006987</t>
  </si>
  <si>
    <t>A144826</t>
  </si>
  <si>
    <t>LT SBB-00006986</t>
  </si>
  <si>
    <t>A143095</t>
  </si>
  <si>
    <t>LT SBB-00006985</t>
  </si>
  <si>
    <t>A153524</t>
  </si>
  <si>
    <t>LT SBB-00006984</t>
  </si>
  <si>
    <t>A151568</t>
  </si>
  <si>
    <t>LT SBB-00006983</t>
  </si>
  <si>
    <t>A148121</t>
  </si>
  <si>
    <t>LT SBB-00006982</t>
  </si>
  <si>
    <t>A144820</t>
  </si>
  <si>
    <t>LT SBB-00006981</t>
  </si>
  <si>
    <t>LT SBB-00006980</t>
  </si>
  <si>
    <t>A157512</t>
  </si>
  <si>
    <t>LT SBB-00006979</t>
  </si>
  <si>
    <t>A153518</t>
  </si>
  <si>
    <t>LT SBB-00006978</t>
  </si>
  <si>
    <t>A151566</t>
  </si>
  <si>
    <t>LT SBB-00006977</t>
  </si>
  <si>
    <t>A149699</t>
  </si>
  <si>
    <t>LT SBB-00006976</t>
  </si>
  <si>
    <t>A147350</t>
  </si>
  <si>
    <t>LT SBB-00006975</t>
  </si>
  <si>
    <t>LT SBB-00006974</t>
  </si>
  <si>
    <t>A157510</t>
  </si>
  <si>
    <t>LT SBB-00006973</t>
  </si>
  <si>
    <t>A153516</t>
  </si>
  <si>
    <t>LT SBB-00006972</t>
  </si>
  <si>
    <t>A151564</t>
  </si>
  <si>
    <t>LT SBB-00006971</t>
  </si>
  <si>
    <t>A150725</t>
  </si>
  <si>
    <t>LT SBB-00006970</t>
  </si>
  <si>
    <t>A147778</t>
  </si>
  <si>
    <t>LT SBB-00006969</t>
  </si>
  <si>
    <t>A151661</t>
  </si>
  <si>
    <t>LT SBB-00006968</t>
  </si>
  <si>
    <t>A147348</t>
  </si>
  <si>
    <t>LT SBB-00006967</t>
  </si>
  <si>
    <t>LT SBB-00006966</t>
  </si>
  <si>
    <t>A157486</t>
  </si>
  <si>
    <t>LT SBB-00006965</t>
  </si>
  <si>
    <t>A152475</t>
  </si>
  <si>
    <t>LT SBB-00006964</t>
  </si>
  <si>
    <t>A150643</t>
  </si>
  <si>
    <t>LT SBB-00006963</t>
  </si>
  <si>
    <t>A149683</t>
  </si>
  <si>
    <t>LT SBB-00006962</t>
  </si>
  <si>
    <t>A147317</t>
  </si>
  <si>
    <t>LT SBB-00006961</t>
  </si>
  <si>
    <t>A157484</t>
  </si>
  <si>
    <t>LT SBB-00006960</t>
  </si>
  <si>
    <t>A150641</t>
  </si>
  <si>
    <t>LT SBB-00006959</t>
  </si>
  <si>
    <t>A148811</t>
  </si>
  <si>
    <t>LT SBB-00006958</t>
  </si>
  <si>
    <t>A146539</t>
  </si>
  <si>
    <t>LT SBB-00006957</t>
  </si>
  <si>
    <t>A144327</t>
  </si>
  <si>
    <t>LT SBB-00006956</t>
  </si>
  <si>
    <t>A143471</t>
  </si>
  <si>
    <t>LT SBB-00006955</t>
  </si>
  <si>
    <t>A157492</t>
  </si>
  <si>
    <t>LT SBB-00006954</t>
  </si>
  <si>
    <t>A150733</t>
  </si>
  <si>
    <t>LT SBB-00006953</t>
  </si>
  <si>
    <t>A149249</t>
  </si>
  <si>
    <t>LT SBB-00006952</t>
  </si>
  <si>
    <t>A146022</t>
  </si>
  <si>
    <t>LT SBB-00006951</t>
  </si>
  <si>
    <t>A144795</t>
  </si>
  <si>
    <t>LT SBB-00006950</t>
  </si>
  <si>
    <t>A139816</t>
  </si>
  <si>
    <t>LT SBB-00006949</t>
  </si>
  <si>
    <t>A157494</t>
  </si>
  <si>
    <t>LT SBB-00006948</t>
  </si>
  <si>
    <t>A150731</t>
  </si>
  <si>
    <t>LT SBB-00006947</t>
  </si>
  <si>
    <t>A149247</t>
  </si>
  <si>
    <t>LT SBB-00006946</t>
  </si>
  <si>
    <t>A146020</t>
  </si>
  <si>
    <t>LT SBB-00006945</t>
  </si>
  <si>
    <t>A144793</t>
  </si>
  <si>
    <t>LT SBB-00006944</t>
  </si>
  <si>
    <t>A143483</t>
  </si>
  <si>
    <t>LT SBB-00006943</t>
  </si>
  <si>
    <t>A152982</t>
  </si>
  <si>
    <t>LT SBB-00006942</t>
  </si>
  <si>
    <t>A149681</t>
  </si>
  <si>
    <t>LT SBB-00006941</t>
  </si>
  <si>
    <t>A146503</t>
  </si>
  <si>
    <t>LT SBB-00006940</t>
  </si>
  <si>
    <t>A144321</t>
  </si>
  <si>
    <t>LT SBB-00006939</t>
  </si>
  <si>
    <t>A144103</t>
  </si>
  <si>
    <t>LT SBB-00006938</t>
  </si>
  <si>
    <t>A141763</t>
  </si>
  <si>
    <t>LT SBB-00006937</t>
  </si>
  <si>
    <t>A154724</t>
  </si>
  <si>
    <t>LT SBB-00006936</t>
  </si>
  <si>
    <t>A150717</t>
  </si>
  <si>
    <t>LT SBB-00006935</t>
  </si>
  <si>
    <t>A149679</t>
  </si>
  <si>
    <t>LT SBB-00006934</t>
  </si>
  <si>
    <t>A146447</t>
  </si>
  <si>
    <t>LT SBB-00006933</t>
  </si>
  <si>
    <t>A144319</t>
  </si>
  <si>
    <t>LT SBB-00006932</t>
  </si>
  <si>
    <t>A144101</t>
  </si>
  <si>
    <t>LT SBB-00006931</t>
  </si>
  <si>
    <t>A152992</t>
  </si>
  <si>
    <t>LT SBB-00006930</t>
  </si>
  <si>
    <t>A151543</t>
  </si>
  <si>
    <t>LT SBB-00006929</t>
  </si>
  <si>
    <t>A149693</t>
  </si>
  <si>
    <t>LT SBB-00006928</t>
  </si>
  <si>
    <t>A146445</t>
  </si>
  <si>
    <t>LT SBB-00006927</t>
  </si>
  <si>
    <t>A144816</t>
  </si>
  <si>
    <t>LT SBB-00007024</t>
  </si>
  <si>
    <t>LT SBB-00007023</t>
  </si>
  <si>
    <t>A152984</t>
  </si>
  <si>
    <t>LT SBB-00007022</t>
  </si>
  <si>
    <t>A151640</t>
  </si>
  <si>
    <t>LT SBB-00007021</t>
  </si>
  <si>
    <t>A147764</t>
  </si>
  <si>
    <t>LT SBB-00007020</t>
  </si>
  <si>
    <t>A145973</t>
  </si>
  <si>
    <t>LT SBB-00007019</t>
  </si>
  <si>
    <t>A143481</t>
  </si>
  <si>
    <t>LT SBB-00007018</t>
  </si>
  <si>
    <t>LT SBB-00007017</t>
  </si>
  <si>
    <t>A153989</t>
  </si>
  <si>
    <t>LT SBB-00007016</t>
  </si>
  <si>
    <t>A152141</t>
  </si>
  <si>
    <t>LT SBB-00007015</t>
  </si>
  <si>
    <t>A151250</t>
  </si>
  <si>
    <t>LT SBB-00007014</t>
  </si>
  <si>
    <t>A147288</t>
  </si>
  <si>
    <t>LT SBB-00007013</t>
  </si>
  <si>
    <t>A144574</t>
  </si>
  <si>
    <t>LT SBB-00007012</t>
  </si>
  <si>
    <t>A142600</t>
  </si>
  <si>
    <t>LT SBB-00007011</t>
  </si>
  <si>
    <t>LT SBB-00007010</t>
  </si>
  <si>
    <t>A152457</t>
  </si>
  <si>
    <t>LT SBB-00007009</t>
  </si>
  <si>
    <t>A151397</t>
  </si>
  <si>
    <t>LT SBB-00007008</t>
  </si>
  <si>
    <t>A148946</t>
  </si>
  <si>
    <t>LT SBB-00007007</t>
  </si>
  <si>
    <t>A147294</t>
  </si>
  <si>
    <t>LT SBB-00007006</t>
  </si>
  <si>
    <t>A144722</t>
  </si>
  <si>
    <t>1234004 LETRAS PROTESTADAS NACIONAL M.N. (525)</t>
  </si>
  <si>
    <t>LT SBB-00007032</t>
  </si>
  <si>
    <t>LT SBB-00006670</t>
  </si>
  <si>
    <t>A157462</t>
  </si>
  <si>
    <t>LT SBB-00006669</t>
  </si>
  <si>
    <t>A157441</t>
  </si>
  <si>
    <t>LT SBB-00006668</t>
  </si>
  <si>
    <t>LT SBB-00006571</t>
  </si>
  <si>
    <t>LT SBB-00006570</t>
  </si>
  <si>
    <t>LT SBB-00006484</t>
  </si>
  <si>
    <t>LT SBB-00006435</t>
  </si>
  <si>
    <t>LT SBB-00006434</t>
  </si>
  <si>
    <t>LT SBB-00006433</t>
  </si>
  <si>
    <t>LT SBB-00006431</t>
  </si>
  <si>
    <t>LT SBB-00006430</t>
  </si>
  <si>
    <t>LT SBB-00006369</t>
  </si>
  <si>
    <t>LT SBB-00005977</t>
  </si>
  <si>
    <t>PBCP01/2025/09980 (LT SBB-00005978)</t>
  </si>
  <si>
    <t>PBCP01/2025/09980</t>
  </si>
  <si>
    <t>Pago de cliente S/ 78.18 - LESCANO VALENCIA AMANDA ANGELICA - 23/03/2026</t>
  </si>
  <si>
    <t>LT SBB-00005978</t>
  </si>
  <si>
    <t>A157439</t>
  </si>
  <si>
    <t>PBCP01/2025/00209 (2024-03638- 933040)</t>
  </si>
  <si>
    <t>PBCP01/2025/00209</t>
  </si>
  <si>
    <t>Pago de cliente S/ 2,148.30 - LESCANO VALENCIA AMANDA ANGELICA - 30/01/2025</t>
  </si>
  <si>
    <t>2024-03638- 933040</t>
  </si>
  <si>
    <t>MISC/2025/01/0174 (ASIENTO DE REGULARIZACION 1041006 / 1234 - [...])</t>
  </si>
  <si>
    <t>MISC/2025/01/0174</t>
  </si>
  <si>
    <t>ASIENTO DE REGULARIZACION  1041006 / 1234  - ENERO 25</t>
  </si>
  <si>
    <t>O DSIC1-00000771 (Nro. Letra: 2024-00352 - SALDOS DE APERTURA)</t>
  </si>
  <si>
    <t>O DSIC1-00000771</t>
  </si>
  <si>
    <t>2024-00352</t>
  </si>
  <si>
    <t>Nro. Letra: 2024-00352 - SALDOS DE APERTURA</t>
  </si>
  <si>
    <t>O DSIC1-00000770 (Nro. Letra: 2024-00356 - SALDOS DE APERTURA)</t>
  </si>
  <si>
    <t>O DSIC1-00000770</t>
  </si>
  <si>
    <t>2024-00356</t>
  </si>
  <si>
    <t>Nro. Letra: 2024-00356 - SALDOS DE APERTURA</t>
  </si>
  <si>
    <t>O DSIC1-00000769 (Nro. Letra: 2024-00354 - SALDOS DE APERTURA)</t>
  </si>
  <si>
    <t>O DSIC1-00000769</t>
  </si>
  <si>
    <t>2024-00354</t>
  </si>
  <si>
    <t>Nro. Letra: 2024-00354 - SALDOS DE APERTURA</t>
  </si>
  <si>
    <t>O DSIC1-00000768 (Nro. Letra: 2024-00214 - SALDOS DE APERTURA)</t>
  </si>
  <si>
    <t>O DSIC1-00000768</t>
  </si>
  <si>
    <t>2024-00214</t>
  </si>
  <si>
    <t>Nro. Letra: 2024-00214 - SALDOS DE APERTURA</t>
  </si>
  <si>
    <t>O DSIC1-00000767 (Nro. Letra: 2024-00213 - SALDOS DE APERTURA)</t>
  </si>
  <si>
    <t>O DSIC1-00000767</t>
  </si>
  <si>
    <t>2024-00213</t>
  </si>
  <si>
    <t>Nro. Letra: 2024-00213 - SALDOS DE APERTURA</t>
  </si>
  <si>
    <t>O DSIC1-00000766 (Nro. Letra: 2024-00215 - SALDOS DE APERTURA)</t>
  </si>
  <si>
    <t>O DSIC1-00000766</t>
  </si>
  <si>
    <t>2024-00215</t>
  </si>
  <si>
    <t>Nro. Letra: 2024-00215 - SALDOS DE APERTURA</t>
  </si>
  <si>
    <t>O DSIC1-00000765 (Nro. Letra: 2024-00217 - SALDOS DE APERTURA)</t>
  </si>
  <si>
    <t>O DSIC1-00000765</t>
  </si>
  <si>
    <t>2024-00217</t>
  </si>
  <si>
    <t>Nro. Letra: 2024-00217 - SALDOS DE APERTURA</t>
  </si>
  <si>
    <t>O DSIC1-00000764 (Nro. Letra: 2024-00218 - SALDOS DE APERTURA)</t>
  </si>
  <si>
    <t>O DSIC1-00000764</t>
  </si>
  <si>
    <t>2024-00218</t>
  </si>
  <si>
    <t>Nro. Letra: 2024-00218 - SALDOS DE APERTURA</t>
  </si>
  <si>
    <t>O DSIC1-00000763 (Nro. Letra: 2024-00208 - SALDOS DE APERTURA)</t>
  </si>
  <si>
    <t>O DSIC1-00000763</t>
  </si>
  <si>
    <t>2024-00208</t>
  </si>
  <si>
    <t>Nro. Letra: 2024-00208 - SALDOS DE APERTURA</t>
  </si>
  <si>
    <t>O DSIC1-00000762 (Nro. Letra: 2024-00209 - SALDOS DE APERTURA)</t>
  </si>
  <si>
    <t>O DSIC1-00000762</t>
  </si>
  <si>
    <t>2024-00209</t>
  </si>
  <si>
    <t>Nro. Letra: 2024-00209 - SALDOS DE APERTURA</t>
  </si>
  <si>
    <t>O DSIC1-00000761 (Nro. Letra: 2024-00211 - SALDOS DE APERTURA)</t>
  </si>
  <si>
    <t>O DSIC1-00000761</t>
  </si>
  <si>
    <t>2024-00211</t>
  </si>
  <si>
    <t>Nro. Letra: 2024-00211 - SALDOS DE APERTURA</t>
  </si>
  <si>
    <t>O DSIC1-00000760 (Nro. Letra: 2022-00447 - SALDOS DE APERTURA)</t>
  </si>
  <si>
    <t>O DSIC1-00000760</t>
  </si>
  <si>
    <t>2022-00447</t>
  </si>
  <si>
    <t>Nro. Letra: 2022-00447 - SALDOS DE APERTURA</t>
  </si>
  <si>
    <t>O DSIC1-00000759 (Nro. Letra: 2022-01226 - SALDOS DE APERTURA)</t>
  </si>
  <si>
    <t>O DSIC1-00000759</t>
  </si>
  <si>
    <t>2022-01226</t>
  </si>
  <si>
    <t>Nro. Letra: 2022-01226 - SALDOS DE APERTURA</t>
  </si>
  <si>
    <t>O DSIC1-00000758 (Nro. Letra: 2022-01228 - SALDOS DE APERTURA)</t>
  </si>
  <si>
    <t>O DSIC1-00000758</t>
  </si>
  <si>
    <t>2022-01228</t>
  </si>
  <si>
    <t>Nro. Letra: 2022-01228 - SALDOS DE APERTURA</t>
  </si>
  <si>
    <t>O DSIC1-00000757 (Nro. Letra: 2022-01166 - SALDOS DE APERTURA)</t>
  </si>
  <si>
    <t>O DSIC1-00000757</t>
  </si>
  <si>
    <t>2022-01166</t>
  </si>
  <si>
    <t>Nro. Letra: 2022-01166 - SALDOS DE APERTURA</t>
  </si>
  <si>
    <t>O DSIC1-00000756 (Nro. Letra: 2022-01167 - SALDOS DE APERTURA)</t>
  </si>
  <si>
    <t>O DSIC1-00000756</t>
  </si>
  <si>
    <t>2022-01167</t>
  </si>
  <si>
    <t>Nro. Letra: 2022-01167 - SALDOS DE APERTURA</t>
  </si>
  <si>
    <t>O DSIC1-00000755 (Nro. Letra: 2022-01170 - SALDOS DE APERTURA)</t>
  </si>
  <si>
    <t>O DSIC1-00000755</t>
  </si>
  <si>
    <t>2022-01170</t>
  </si>
  <si>
    <t>Nro. Letra: 2022-01170 - SALDOS DE APERTURA</t>
  </si>
  <si>
    <t>O DSIC1-00000754 (Nro. Letra: 2022-01171 - SALDOS DE APERTURA)</t>
  </si>
  <si>
    <t>O DSIC1-00000754</t>
  </si>
  <si>
    <t>2022-01171</t>
  </si>
  <si>
    <t>Nro. Letra: 2022-01171 - SALDOS DE APERTURA</t>
  </si>
  <si>
    <t>O DSIC1-00000753 (Nro. Letra: 2022-01168 - SALDOS DE APERTURA)</t>
  </si>
  <si>
    <t>O DSIC1-00000753</t>
  </si>
  <si>
    <t>2022-01168</t>
  </si>
  <si>
    <t>Nro. Letra: 2022-01168 - SALDOS DE APERTURA</t>
  </si>
  <si>
    <t>1312002 FACTURAS POR COBRAR NACIONALES M.E. - EMITIDAS (48)</t>
  </si>
  <si>
    <t>A158609</t>
  </si>
  <si>
    <t>311223</t>
  </si>
  <si>
    <t>1312003 FACTURAS POR COBRAR DEL EXTERIOR - EMITIDAS (280)</t>
  </si>
  <si>
    <t>CAMBI/2026/03/1733 (AJUSTE POR DIFERENCIA DE CAMBIO MAR-2026)</t>
  </si>
  <si>
    <t>CAMBI/2026/03/1733</t>
  </si>
  <si>
    <t>A159663</t>
  </si>
  <si>
    <t>A158610</t>
  </si>
  <si>
    <t>F F15-00000350</t>
  </si>
  <si>
    <t>AGROVET MARKET ANIMAL HEALTH NICARAGUA, SOCIEDAD ANONIMA</t>
  </si>
  <si>
    <t>MISC/2026/03/0257 (Aplicacion de saldo a favor de Vetermex - [...])</t>
  </si>
  <si>
    <t>MISC/2026/03/0257</t>
  </si>
  <si>
    <t>VETERMEX ANIMAL HEALTH S.A. DE C.V.</t>
  </si>
  <si>
    <t>F F15-00000304</t>
  </si>
  <si>
    <t>Aplicacion de saldo a favor de Vetermex - 0000-1200</t>
  </si>
  <si>
    <t>CAMBI/2026/03/1090</t>
  </si>
  <si>
    <t>F F15-00000344</t>
  </si>
  <si>
    <t>F F15-00000332</t>
  </si>
  <si>
    <t>CAMBI/2026/02/0729</t>
  </si>
  <si>
    <t>BCP03/2025/00493</t>
  </si>
  <si>
    <t>F F15-00000328</t>
  </si>
  <si>
    <t>CAMBI/2026/01/0946</t>
  </si>
  <si>
    <t>BCP03/2025/00473</t>
  </si>
  <si>
    <t>CAMBI/2026/01/0281</t>
  </si>
  <si>
    <t>BCP03/2025/00440</t>
  </si>
  <si>
    <t>F F15-00000293</t>
  </si>
  <si>
    <t>F F15-00000292</t>
  </si>
  <si>
    <t>F F15-00000291</t>
  </si>
  <si>
    <t>F F15-00000265</t>
  </si>
  <si>
    <t>F F15-00000253</t>
  </si>
  <si>
    <t>SCT02/2025/01378</t>
  </si>
  <si>
    <t>F050-00001753</t>
  </si>
  <si>
    <t>A139501</t>
  </si>
  <si>
    <t>CAMBI/2026/03/0185</t>
  </si>
  <si>
    <t>SCT02/2025/01369</t>
  </si>
  <si>
    <t>CAMBI/2026/03/0184</t>
  </si>
  <si>
    <t>SCT02/2025/01123</t>
  </si>
  <si>
    <t>CAMBI/2026/02/0071</t>
  </si>
  <si>
    <t>SCT02/2025/00995</t>
  </si>
  <si>
    <t>F F15-00000242</t>
  </si>
  <si>
    <t>CAMBI/2026/01/0343</t>
  </si>
  <si>
    <t>SCT02/2025/00800</t>
  </si>
  <si>
    <t>CAMBI/2025/12/0249</t>
  </si>
  <si>
    <t>SCT02/2025/00703</t>
  </si>
  <si>
    <t>CAMBI/2025/11/0548</t>
  </si>
  <si>
    <t>F C15-00000011</t>
  </si>
  <si>
    <t>CAMBI/2025/02/0835</t>
  </si>
  <si>
    <t>F F15-00000225</t>
  </si>
  <si>
    <t>F F15-00000221</t>
  </si>
  <si>
    <t>F F15-00000219</t>
  </si>
  <si>
    <t>F F15-00000213</t>
  </si>
  <si>
    <t>F F15-00000180</t>
  </si>
  <si>
    <t>F F15-00000126</t>
  </si>
  <si>
    <t>F F15-00000125</t>
  </si>
  <si>
    <t>F F15-00000124</t>
  </si>
  <si>
    <t>F F15-00000063</t>
  </si>
  <si>
    <t>F F15-00000062</t>
  </si>
  <si>
    <t>F F15-00000061</t>
  </si>
  <si>
    <t>F F15-00000060</t>
  </si>
  <si>
    <t>F F15-00000059</t>
  </si>
  <si>
    <t>F F15-00000044</t>
  </si>
  <si>
    <t>NAVARRO ALAYZA, KATHERINE MAGALY</t>
  </si>
  <si>
    <t>F050-00001750</t>
  </si>
  <si>
    <t>F050-00001744</t>
  </si>
  <si>
    <t>A150573</t>
  </si>
  <si>
    <t>F050-00001621</t>
  </si>
  <si>
    <t>A139502</t>
  </si>
  <si>
    <t>1321001 ANTICIPOS CLIENTES NACIONAL M.N. (7)</t>
  </si>
  <si>
    <t>BCP01/2025/15507</t>
  </si>
  <si>
    <t>A144246</t>
  </si>
  <si>
    <t>Notas y Anexos de los Estados Financieros</t>
  </si>
  <si>
    <t>Total General:</t>
  </si>
  <si>
    <t>1331001 LETRAS EN CARTERA NACIONAL M.N.  (4)</t>
  </si>
  <si>
    <t>O DSIC1-00000777 (Nro. Letra: 311023-2 - SALDOS DE APERTURA)</t>
  </si>
  <si>
    <t>O DSIC1-00000777</t>
  </si>
  <si>
    <t>311023-2</t>
  </si>
  <si>
    <t>Nro. Letra: 311023-2 - SALDOS DE APERTURA</t>
  </si>
  <si>
    <t>O DSIC1-00000776 (Nro. Letra: 311023-1 - SALDOS DE APERTURA)</t>
  </si>
  <si>
    <t>O DSIC1-00000776</t>
  </si>
  <si>
    <t>311023-1</t>
  </si>
  <si>
    <t>Nro. Letra: 311023-1 - SALDOS DE APERTURA</t>
  </si>
  <si>
    <t>O DSIC1-00000350 (Nro. Letra: 57505 - SALDOS DE APERTURA)</t>
  </si>
  <si>
    <t>O DSIC1-00000350</t>
  </si>
  <si>
    <t>57505</t>
  </si>
  <si>
    <t>Nro. Letra: 57505 - SALDOS DE APERTURA</t>
  </si>
  <si>
    <t>O DSIC1-00000318 (Nro. Letra: 59468 - SALDOS DE APERTURA)</t>
  </si>
  <si>
    <t>O DSIC1-00000318</t>
  </si>
  <si>
    <t>59468</t>
  </si>
  <si>
    <t>Nro. Letra: 59468 - SALDOS DE APERTURA</t>
  </si>
  <si>
    <t>De 01/01/2025 a 31/03/2025</t>
  </si>
  <si>
    <t>1332001 LETRAS EN COBRANZA NACIONAL M.N.  (7)</t>
  </si>
  <si>
    <t>O DSIC1-00001375 (Nro. Letra: L001 7024 - SALDOS DE APERTURA)</t>
  </si>
  <si>
    <t>O DSIC1-00001375</t>
  </si>
  <si>
    <t>L001 7024</t>
  </si>
  <si>
    <t>Nro. Letra: L001 7024 - SALDOS DE APERTURA</t>
  </si>
  <si>
    <t>O DSIC1-00001374 (Nro. Letra: L001 9034 - SALDOS DE APERTURA)</t>
  </si>
  <si>
    <t>O DSIC1-00001374</t>
  </si>
  <si>
    <t>L001 9034</t>
  </si>
  <si>
    <t>Nro. Letra: L001 9034 - SALDOS DE APERTURA</t>
  </si>
  <si>
    <t>O DSIC1-00001373 (Nro. Letra: L001 8058 - SALDOS DE APERTURA)</t>
  </si>
  <si>
    <t>O DSIC1-00001373</t>
  </si>
  <si>
    <t>L001 8058</t>
  </si>
  <si>
    <t>Nro. Letra: L001 8058 - SALDOS DE APERTURA</t>
  </si>
  <si>
    <t>O DSIC1-00001372 (Nro. Letra: L001 8068 - SALDOS DE APERTURA)</t>
  </si>
  <si>
    <t>O DSIC1-00001372</t>
  </si>
  <si>
    <t>L001 8068</t>
  </si>
  <si>
    <t>Nro. Letra: L001 8068 - SALDOS DE APERTURA</t>
  </si>
  <si>
    <t>O DSIC1-00001371 (Nro. Letra: L001 7595 - SALDOS DE APERTURA)</t>
  </si>
  <si>
    <t>O DSIC1-00001371</t>
  </si>
  <si>
    <t>L001 7595</t>
  </si>
  <si>
    <t>Nro. Letra: L001 7595 - SALDOS DE APERTURA</t>
  </si>
  <si>
    <t>O DSIC1-00001370 (Nro. Letra: L001 7897 - SALDOS DE APERTURA)</t>
  </si>
  <si>
    <t>O DSIC1-00001370</t>
  </si>
  <si>
    <t>L001 7897</t>
  </si>
  <si>
    <t>Nro. Letra: L001 7897 - SALDOS DE APERTURA</t>
  </si>
  <si>
    <t>O DSIC1-00001369 (Nro. Letra: L001 9975 - SALDOS DE APERTURA)</t>
  </si>
  <si>
    <t>O DSIC1-00001369</t>
  </si>
  <si>
    <t>L001 9975</t>
  </si>
  <si>
    <t>Nro. Letra: L001 9975 - SALDOS DE APERTURA</t>
  </si>
  <si>
    <t>1333004 LETRAS PROTESTADAS NACIONAL M.N.  (84)</t>
  </si>
  <si>
    <t>O DSIC1-00000752 (Nro. Letra: L001 2015-36 - SALDOS DE APERTURA)</t>
  </si>
  <si>
    <t>O DSIC1-00000752</t>
  </si>
  <si>
    <t>L001 2015-36</t>
  </si>
  <si>
    <t>Nro. Letra: L001 2015-36 - SALDOS DE APERTURA</t>
  </si>
  <si>
    <t>O DSIC1-00000751 (Nro. Letra: L001 10898 - SALDOS DE APERTURA)</t>
  </si>
  <si>
    <t>O DSIC1-00000751</t>
  </si>
  <si>
    <t>L001 10898</t>
  </si>
  <si>
    <t>Nro. Letra: L001 10898 - SALDOS DE APERTURA</t>
  </si>
  <si>
    <t>O DSIC1-00000750 (Nro. Letra: L001 10897 - SALDOS DE APERTURA)</t>
  </si>
  <si>
    <t>O DSIC1-00000750</t>
  </si>
  <si>
    <t>L001 10897</t>
  </si>
  <si>
    <t>Nro. Letra: L001 10897 - SALDOS DE APERTURA</t>
  </si>
  <si>
    <t>O DSIC1-00000749 (Nro. Letra: L001 10852 - SALDOS DE APERTURA)</t>
  </si>
  <si>
    <t>O DSIC1-00000749</t>
  </si>
  <si>
    <t>L001 10852</t>
  </si>
  <si>
    <t>Nro. Letra: L001 10852 - SALDOS DE APERTURA</t>
  </si>
  <si>
    <t>O DSIC1-00000748 (Nro. Letra: L001 13380 - SALDOS DE APERTURA)</t>
  </si>
  <si>
    <t>O DSIC1-00000748</t>
  </si>
  <si>
    <t>L001 13380</t>
  </si>
  <si>
    <t>Nro. Letra: L001 13380 - SALDOS DE APERTURA</t>
  </si>
  <si>
    <t>O DSIC1-00000747 (Nro. Letra: L001 10893 - SALDOS DE APERTURA)</t>
  </si>
  <si>
    <t>O DSIC1-00000747</t>
  </si>
  <si>
    <t>L001 10893</t>
  </si>
  <si>
    <t>Nro. Letra: L001 10893 - SALDOS DE APERTURA</t>
  </si>
  <si>
    <t>O DSIC1-00000746 (Nro. Letra: L001 13900 - SALDOS DE APERTURA)</t>
  </si>
  <si>
    <t>O DSIC1-00000746</t>
  </si>
  <si>
    <t>L001 13900</t>
  </si>
  <si>
    <t>Nro. Letra: L001 13900 - SALDOS DE APERTURA</t>
  </si>
  <si>
    <t>O DSIC1-00000745 (Nro. Letra: L001 13133 - SALDOS DE APERTURA)</t>
  </si>
  <si>
    <t>O DSIC1-00000745</t>
  </si>
  <si>
    <t>L001 13133</t>
  </si>
  <si>
    <t>Nro. Letra: L001 13133 - SALDOS DE APERTURA</t>
  </si>
  <si>
    <t>O DSIC1-00000744 (Nro. Letra: L001 7420 - SALDOS DE APERTURA)</t>
  </si>
  <si>
    <t>O DSIC1-00000744</t>
  </si>
  <si>
    <t>L001 7420</t>
  </si>
  <si>
    <t>Nro. Letra: L001 7420 - SALDOS DE APERTURA</t>
  </si>
  <si>
    <t>O DSIC1-00000743 (Nro. Letra: L001 6171 - SALDOS DE APERTURA)</t>
  </si>
  <si>
    <t>O DSIC1-00000743</t>
  </si>
  <si>
    <t>L001 6171</t>
  </si>
  <si>
    <t>Nro. Letra: L001 6171 - SALDOS DE APERTURA</t>
  </si>
  <si>
    <t>O DSIC1-00000742 (Nro. Letra: L001 11454 - SALDOS DE APERTURA)</t>
  </si>
  <si>
    <t>O DSIC1-00000742</t>
  </si>
  <si>
    <t>L001 11454</t>
  </si>
  <si>
    <t>Nro. Letra: L001 11454 - SALDOS DE APERTURA</t>
  </si>
  <si>
    <t>O DSIC1-00000741 (Nro. Letra: L001 10875 - SALDOS DE APERTURA)</t>
  </si>
  <si>
    <t>O DSIC1-00000741</t>
  </si>
  <si>
    <t>L001 10875</t>
  </si>
  <si>
    <t>Nro. Letra: L001 10875 - SALDOS DE APERTURA</t>
  </si>
  <si>
    <t>O DSIC1-00000740 (Nro. Letra: L001 10057 - SALDOS DE APERTURA)</t>
  </si>
  <si>
    <t>O DSIC1-00000740</t>
  </si>
  <si>
    <t>L001 10057</t>
  </si>
  <si>
    <t>Nro. Letra: L001 10057 - SALDOS DE APERTURA</t>
  </si>
  <si>
    <t>O DSIC1-00000739 (Nro. Letra: L001 10892 - SALDOS DE APERTURA)</t>
  </si>
  <si>
    <t>O DSIC1-00000739</t>
  </si>
  <si>
    <t>L001 10892</t>
  </si>
  <si>
    <t>Nro. Letra: L001 10892 - SALDOS DE APERTURA</t>
  </si>
  <si>
    <t>O DSIC1-00000738 (Nro. Letra: L001 9990 - SALDOS DE APERTURA)</t>
  </si>
  <si>
    <t>O DSIC1-00000738</t>
  </si>
  <si>
    <t>L001 9990</t>
  </si>
  <si>
    <t>Nro. Letra: L001 9990 - SALDOS DE APERTURA</t>
  </si>
  <si>
    <t>O DSIC1-00000737 (Nro. Letra: L001 11479 - SALDOS DE APERTURA)</t>
  </si>
  <si>
    <t>O DSIC1-00000737</t>
  </si>
  <si>
    <t>L001 11479</t>
  </si>
  <si>
    <t>Nro. Letra: L001 11479 - SALDOS DE APERTURA</t>
  </si>
  <si>
    <t>O DSIC1-00000736 (Nro. Letra: L001 10915 - SALDOS DE APERTURA)</t>
  </si>
  <si>
    <t>O DSIC1-00000736</t>
  </si>
  <si>
    <t>L001 10915</t>
  </si>
  <si>
    <t>Nro. Letra: L001 10915 - SALDOS DE APERTURA</t>
  </si>
  <si>
    <t>O DSIC1-00000735 (Nro. Letra: R001 16561 - SALDOS DE APERTURA)</t>
  </si>
  <si>
    <t>O DSIC1-00000735</t>
  </si>
  <si>
    <t>R001 16561</t>
  </si>
  <si>
    <t>Nro. Letra: R001 16561 - SALDOS DE APERTURA</t>
  </si>
  <si>
    <t>O DSIC1-00000734 (Nro. Letra: L001 13089 - SALDOS DE APERTURA)</t>
  </si>
  <si>
    <t>O DSIC1-00000734</t>
  </si>
  <si>
    <t>L001 13089</t>
  </si>
  <si>
    <t>Nro. Letra: L001 13089 - SALDOS DE APERTURA</t>
  </si>
  <si>
    <t>O DSIC1-00000733 (Nro. Letra: L001 13077 - SALDOS DE APERTURA)</t>
  </si>
  <si>
    <t>O DSIC1-00000733</t>
  </si>
  <si>
    <t>L001 13077</t>
  </si>
  <si>
    <t>Nro. Letra: L001 13077 - SALDOS DE APERTURA</t>
  </si>
  <si>
    <t>O DSIC1-00000732 (Nro. Letra: L001 11536 - SALDOS DE APERTURA)</t>
  </si>
  <si>
    <t>O DSIC1-00000732</t>
  </si>
  <si>
    <t>L001 11536</t>
  </si>
  <si>
    <t>Nro. Letra: L001 11536 - SALDOS DE APERTURA</t>
  </si>
  <si>
    <t>O DSIC1-00000731 (Nro. Letra: L001 13108 - SALDOS DE APERTURA)</t>
  </si>
  <si>
    <t>O DSIC1-00000731</t>
  </si>
  <si>
    <t>L001 13108</t>
  </si>
  <si>
    <t>Nro. Letra: L001 13108 - SALDOS DE APERTURA</t>
  </si>
  <si>
    <t>O DSIC1-00000730 (Nro. Letra: L001 13839 - SALDOS DE APERTURA)</t>
  </si>
  <si>
    <t>O DSIC1-00000730</t>
  </si>
  <si>
    <t>L001 13839</t>
  </si>
  <si>
    <t>Nro. Letra: L001 13839 - SALDOS DE APERTURA</t>
  </si>
  <si>
    <t>O DSIC1-00000729 (Nro. Letra: L001 11171 - SALDOS DE APERTURA)</t>
  </si>
  <si>
    <t>O DSIC1-00000729</t>
  </si>
  <si>
    <t>L001 11171</t>
  </si>
  <si>
    <t>Nro. Letra: L001 11171 - SALDOS DE APERTURA</t>
  </si>
  <si>
    <t>O DSIC1-00000728 (Nro. Letra: L001 10952 - SALDOS DE APERTURA)</t>
  </si>
  <si>
    <t>O DSIC1-00000728</t>
  </si>
  <si>
    <t>L001 10952</t>
  </si>
  <si>
    <t>Nro. Letra: L001 10952 - SALDOS DE APERTURA</t>
  </si>
  <si>
    <t>O DSIC1-00000727 (Nro. Letra: L001 11529 - SALDOS DE APERTURA)</t>
  </si>
  <si>
    <t>O DSIC1-00000727</t>
  </si>
  <si>
    <t>L001 11529</t>
  </si>
  <si>
    <t>Nro. Letra: L001 11529 - SALDOS DE APERTURA</t>
  </si>
  <si>
    <t>O DSIC1-00000726 (Nro. Letra: L001 9054 - SALDOS DE APERTURA)</t>
  </si>
  <si>
    <t>O DSIC1-00000726</t>
  </si>
  <si>
    <t>L001 9054</t>
  </si>
  <si>
    <t>Nro. Letra: L001 9054 - SALDOS DE APERTURA</t>
  </si>
  <si>
    <t>O DSIC1-00000725 (Nro. Letra: L001 11510 - SALDOS DE APERTURA)</t>
  </si>
  <si>
    <t>O DSIC1-00000725</t>
  </si>
  <si>
    <t>L001 11510</t>
  </si>
  <si>
    <t>Nro. Letra: L001 11510 - SALDOS DE APERTURA</t>
  </si>
  <si>
    <t>O DSIC1-00000724 (Nro. Letra: L001 11400 - SALDOS DE APERTURA)</t>
  </si>
  <si>
    <t>O DSIC1-00000724</t>
  </si>
  <si>
    <t>L001 11400</t>
  </si>
  <si>
    <t>Nro. Letra: L001 11400 - SALDOS DE APERTURA</t>
  </si>
  <si>
    <t>O DSIC1-00000723 (Nro. Letra: L001 11653 - SALDOS DE APERTURA)</t>
  </si>
  <si>
    <t>O DSIC1-00000723</t>
  </si>
  <si>
    <t>L001 11653</t>
  </si>
  <si>
    <t>Nro. Letra: L001 11653 - SALDOS DE APERTURA</t>
  </si>
  <si>
    <t>O DSIC1-00000722 (Nro. Letra: L001 11716 - SALDOS DE APERTURA)</t>
  </si>
  <si>
    <t>O DSIC1-00000722</t>
  </si>
  <si>
    <t>L001 11716</t>
  </si>
  <si>
    <t>Nro. Letra: L001 11716 - SALDOS DE APERTURA</t>
  </si>
  <si>
    <t>O DSIC1-00000721 (Nro. Letra: L001 13017 - SALDOS DE APERTURA)</t>
  </si>
  <si>
    <t>O DSIC1-00000721</t>
  </si>
  <si>
    <t>L001 13017</t>
  </si>
  <si>
    <t>Nro. Letra: L001 13017 - SALDOS DE APERTURA</t>
  </si>
  <si>
    <t>O DSIC1-00000720 (Nro. Letra: L001 13865 - SALDOS DE APERTURA)</t>
  </si>
  <si>
    <t>O DSIC1-00000720</t>
  </si>
  <si>
    <t>L001 13865</t>
  </si>
  <si>
    <t>Nro. Letra: L001 13865 - SALDOS DE APERTURA</t>
  </si>
  <si>
    <t>O DSIC1-00000719 (Nro. Letra: L001 13864 - SALDOS DE APERTURA)</t>
  </si>
  <si>
    <t>O DSIC1-00000719</t>
  </si>
  <si>
    <t>L001 13864</t>
  </si>
  <si>
    <t>Nro. Letra: L001 13864 - SALDOS DE APERTURA</t>
  </si>
  <si>
    <t>O DSIC1-00000718 (Nro. Letra: L001 13863 - SALDOS DE APERTURA)</t>
  </si>
  <si>
    <t>O DSIC1-00000718</t>
  </si>
  <si>
    <t>L001 13863</t>
  </si>
  <si>
    <t>Nro. Letra: L001 13863 - SALDOS DE APERTURA</t>
  </si>
  <si>
    <t>O DSIC1-00000717 (Nro. Letra: L001 13862 - SALDOS DE APERTURA)</t>
  </si>
  <si>
    <t>O DSIC1-00000717</t>
  </si>
  <si>
    <t>L001 13862</t>
  </si>
  <si>
    <t>Nro. Letra: L001 13862 - SALDOS DE APERTURA</t>
  </si>
  <si>
    <t>O DSIC1-00000716 (Nro. Letra: L001 7057 - SALDOS DE APERTURA)</t>
  </si>
  <si>
    <t>O DSIC1-00000716</t>
  </si>
  <si>
    <t>L001 7057</t>
  </si>
  <si>
    <t>Nro. Letra: L001 7057 - SALDOS DE APERTURA</t>
  </si>
  <si>
    <t>O DSIC1-00000715 (Nro. Letra: L001 13233 - SALDOS DE APERTURA)</t>
  </si>
  <si>
    <t>O DSIC1-00000715</t>
  </si>
  <si>
    <t>L001 13233</t>
  </si>
  <si>
    <t>Nro. Letra: L001 13233 - SALDOS DE APERTURA</t>
  </si>
  <si>
    <t>O DSIC1-00000714 (Nro. Letra: L001 13225 - SALDOS DE APERTURA)</t>
  </si>
  <si>
    <t>O DSIC1-00000714</t>
  </si>
  <si>
    <t>L001 13225</t>
  </si>
  <si>
    <t>Nro. Letra: L001 13225 - SALDOS DE APERTURA</t>
  </si>
  <si>
    <t>O DSIC1-00000713 (Nro. Letra: L001 13196 - SALDOS DE APERTURA)</t>
  </si>
  <si>
    <t>O DSIC1-00000713</t>
  </si>
  <si>
    <t>L001 13196</t>
  </si>
  <si>
    <t>Nro. Letra: L001 13196 - SALDOS DE APERTURA</t>
  </si>
  <si>
    <t>O DSIC1-00000712 (Nro. Letra: L001 12282 - SALDOS DE APERTURA)</t>
  </si>
  <si>
    <t>O DSIC1-00000712</t>
  </si>
  <si>
    <t>L001 12282</t>
  </si>
  <si>
    <t>Nro. Letra: L001 12282 - SALDOS DE APERTURA</t>
  </si>
  <si>
    <t>O DSIC1-00000711 (Nro. Letra: L001 12283 - SALDOS DE APERTURA)</t>
  </si>
  <si>
    <t>O DSIC1-00000711</t>
  </si>
  <si>
    <t>L001 12283</t>
  </si>
  <si>
    <t>Nro. Letra: L001 12283 - SALDOS DE APERTURA</t>
  </si>
  <si>
    <t>O DSIC1-00000710 (Nro. Letra: L001 7040 - SALDOS DE APERTURA)</t>
  </si>
  <si>
    <t>O DSIC1-00000710</t>
  </si>
  <si>
    <t>L001 7040</t>
  </si>
  <si>
    <t>Nro. Letra: L001 7040 - SALDOS DE APERTURA</t>
  </si>
  <si>
    <t>O DSIC1-00000709 (Nro. Letra: L001 13096 - SALDOS DE APERTURA)</t>
  </si>
  <si>
    <t>O DSIC1-00000709</t>
  </si>
  <si>
    <t>L001 13096</t>
  </si>
  <si>
    <t>Nro. Letra: L001 13096 - SALDOS DE APERTURA</t>
  </si>
  <si>
    <t>O DSIC1-00000708 (Nro. Letra: L001 13030 - SALDOS DE APERTURA)</t>
  </si>
  <si>
    <t>O DSIC1-00000708</t>
  </si>
  <si>
    <t>L001 13030</t>
  </si>
  <si>
    <t>Nro. Letra: L001 13030 - SALDOS DE APERTURA</t>
  </si>
  <si>
    <t>O DSIC1-00000707 (Nro. Letra: L001 13132 - SALDOS DE APERTURA)</t>
  </si>
  <si>
    <t>O DSIC1-00000707</t>
  </si>
  <si>
    <t>L001 13132</t>
  </si>
  <si>
    <t>Nro. Letra: L001 13132 - SALDOS DE APERTURA</t>
  </si>
  <si>
    <t>O DSIC1-00000706 (Nro. Letra: L001 11592 - SALDOS DE APERTURA)</t>
  </si>
  <si>
    <t>O DSIC1-00000706</t>
  </si>
  <si>
    <t>L001 11592</t>
  </si>
  <si>
    <t>Nro. Letra: L001 11592 - SALDOS DE APERTURA</t>
  </si>
  <si>
    <t>O DSIC1-00000705 (Nro. Letra: L001 11593 - SALDOS DE APERTURA)</t>
  </si>
  <si>
    <t>O DSIC1-00000705</t>
  </si>
  <si>
    <t>L001 11593</t>
  </si>
  <si>
    <t>Nro. Letra: L001 11593 - SALDOS DE APERTURA</t>
  </si>
  <si>
    <t>O DSIC1-00000704 (Nro. Letra: L001 13182 - SALDOS DE APERTURA)</t>
  </si>
  <si>
    <t>O DSIC1-00000704</t>
  </si>
  <si>
    <t>L001 13182</t>
  </si>
  <si>
    <t>Nro. Letra: L001 13182 - SALDOS DE APERTURA</t>
  </si>
  <si>
    <t>O DSIC1-00000703 (Nro. Letra: L001 13150 - SALDOS DE APERTURA)</t>
  </si>
  <si>
    <t>O DSIC1-00000703</t>
  </si>
  <si>
    <t>L001 13150</t>
  </si>
  <si>
    <t>Nro. Letra: L001 13150 - SALDOS DE APERTURA</t>
  </si>
  <si>
    <t>O DSIC1-00000702 (Nro. Letra: L001 13176 - SALDOS DE APERTURA)</t>
  </si>
  <si>
    <t>O DSIC1-00000702</t>
  </si>
  <si>
    <t>L001 13176</t>
  </si>
  <si>
    <t>Nro. Letra: L001 13176 - SALDOS DE APERTURA</t>
  </si>
  <si>
    <t>O DSIC1-00000701 (Nro. Letra: L001 12192 - SALDOS DE APERTURA)</t>
  </si>
  <si>
    <t>O DSIC1-00000701</t>
  </si>
  <si>
    <t>L001 12192</t>
  </si>
  <si>
    <t>Nro. Letra: L001 12192 - SALDOS DE APERTURA</t>
  </si>
  <si>
    <t>O DSIC1-00000700 (Nro. Letra: L001 13019 - SALDOS DE APERTURA)</t>
  </si>
  <si>
    <t>O DSIC1-00000700</t>
  </si>
  <si>
    <t>L001 13019</t>
  </si>
  <si>
    <t>Nro. Letra: L001 13019 - SALDOS DE APERTURA</t>
  </si>
  <si>
    <t>O DSIC1-00000699 (Nro. Letra: L001 12245 - SALDOS DE APERTURA)</t>
  </si>
  <si>
    <t>O DSIC1-00000699</t>
  </si>
  <si>
    <t>L001 12245</t>
  </si>
  <si>
    <t>Nro. Letra: L001 12245 - SALDOS DE APERTURA</t>
  </si>
  <si>
    <t>O DSIC1-00000698 (Nro. Letra: L001 13224 - SALDOS DE APERTURA)</t>
  </si>
  <si>
    <t>O DSIC1-00000698</t>
  </si>
  <si>
    <t>L001 13224</t>
  </si>
  <si>
    <t>Nro. Letra: L001 13224 - SALDOS DE APERTURA</t>
  </si>
  <si>
    <t>O DSIC1-00000697 (Nro. Letra: L001 12305 - SALDOS DE APERTURA)</t>
  </si>
  <si>
    <t>O DSIC1-00000697</t>
  </si>
  <si>
    <t>L001 12305</t>
  </si>
  <si>
    <t>Nro. Letra: L001 12305 - SALDOS DE APERTURA</t>
  </si>
  <si>
    <t>O DSIC1-00000696 (Nro. Letra: L001 12309 - SALDOS DE APERTURA)</t>
  </si>
  <si>
    <t>O DSIC1-00000696</t>
  </si>
  <si>
    <t>L001 12309</t>
  </si>
  <si>
    <t>Nro. Letra: L001 12309 - SALDOS DE APERTURA</t>
  </si>
  <si>
    <t>O DSIC1-00000695 (Nro. Letra: L001 13216 - SALDOS DE APERTURA)</t>
  </si>
  <si>
    <t>O DSIC1-00000695</t>
  </si>
  <si>
    <t>L001 13216</t>
  </si>
  <si>
    <t>Nro. Letra: L001 13216 - SALDOS DE APERTURA</t>
  </si>
  <si>
    <t>O DSIC1-00000694 (Nro. Letra: L001 11334 - SALDOS DE APERTURA)</t>
  </si>
  <si>
    <t>O DSIC1-00000694</t>
  </si>
  <si>
    <t>L001 11334</t>
  </si>
  <si>
    <t>Nro. Letra: L001 11334 - SALDOS DE APERTURA</t>
  </si>
  <si>
    <t>O DSIC1-00000693 (Nro. Letra: L001 12949 - SALDOS DE APERTURA)</t>
  </si>
  <si>
    <t>O DSIC1-00000693</t>
  </si>
  <si>
    <t>L001 12949</t>
  </si>
  <si>
    <t>Nro. Letra: L001 12949 - SALDOS DE APERTURA</t>
  </si>
  <si>
    <t>O DSIC1-00000692 (Nro. Letra: L001 12233 - SALDOS DE APERTURA)</t>
  </si>
  <si>
    <t>O DSIC1-00000692</t>
  </si>
  <si>
    <t>L001 12233</t>
  </si>
  <si>
    <t>Nro. Letra: L001 12233 - SALDOS DE APERTURA</t>
  </si>
  <si>
    <t>O DSIC1-00000691 (Nro. Letra: L001 12972 - SALDOS DE APERTURA)</t>
  </si>
  <si>
    <t>O DSIC1-00000691</t>
  </si>
  <si>
    <t>L001 12972</t>
  </si>
  <si>
    <t>Nro. Letra: L001 12972 - SALDOS DE APERTURA</t>
  </si>
  <si>
    <t>O DSIC1-00000690 (Nro. Letra: L001 11615 - SALDOS DE APERTURA)</t>
  </si>
  <si>
    <t>O DSIC1-00000690</t>
  </si>
  <si>
    <t>L001 11615</t>
  </si>
  <si>
    <t>Nro. Letra: L001 11615 - SALDOS DE APERTURA</t>
  </si>
  <si>
    <t>O DSIC1-00000689 (Nro. Letra: L001 13342 - SALDOS DE APERTURA)</t>
  </si>
  <si>
    <t>O DSIC1-00000689</t>
  </si>
  <si>
    <t>L001 13342</t>
  </si>
  <si>
    <t>Nro. Letra: L001 13342 - SALDOS DE APERTURA</t>
  </si>
  <si>
    <t>O DSIC1-00000688 (Nro. Letra: L001 12375 - SALDOS DE APERTURA)</t>
  </si>
  <si>
    <t>O DSIC1-00000688</t>
  </si>
  <si>
    <t>L001 12375</t>
  </si>
  <si>
    <t>Nro. Letra: L001 12375 - SALDOS DE APERTURA</t>
  </si>
  <si>
    <t>O DSIC1-00000687 (Nro. Letra: L001 13298 - SALDOS DE APERTURA)</t>
  </si>
  <si>
    <t>O DSIC1-00000687</t>
  </si>
  <si>
    <t>L001 13298</t>
  </si>
  <si>
    <t>Nro. Letra: L001 13298 - SALDOS DE APERTURA</t>
  </si>
  <si>
    <t>O DSIC1-00000686 (Nro. Letra: L001 13145 - SALDOS DE APERTURA)</t>
  </si>
  <si>
    <t>O DSIC1-00000686</t>
  </si>
  <si>
    <t>L001 13145</t>
  </si>
  <si>
    <t>Nro. Letra: L001 13145 - SALDOS DE APERTURA</t>
  </si>
  <si>
    <t>O DSIC1-00000685 (Nro. Letra: L001 13155 - SALDOS DE APERTURA)</t>
  </si>
  <si>
    <t>O DSIC1-00000685</t>
  </si>
  <si>
    <t>L001 13155</t>
  </si>
  <si>
    <t>Nro. Letra: L001 13155 - SALDOS DE APERTURA</t>
  </si>
  <si>
    <t>O DSIC1-00000684 (Nro. Letra: L001 12232 - SALDOS DE APERTURA)</t>
  </si>
  <si>
    <t>O DSIC1-00000684</t>
  </si>
  <si>
    <t>L001 12232</t>
  </si>
  <si>
    <t>Nro. Letra: L001 12232 - SALDOS DE APERTURA</t>
  </si>
  <si>
    <t>O DSIC1-00000683 (Nro. Letra: R001 36120 - SALDOS DE APERTURA)</t>
  </si>
  <si>
    <t>O DSIC1-00000683</t>
  </si>
  <si>
    <t>R001 36120</t>
  </si>
  <si>
    <t>Nro. Letra: R001 36120 - SALDOS DE APERTURA</t>
  </si>
  <si>
    <t>O DSIC1-00000682 (Nro. Letra: L001 12275 - SALDOS DE APERTURA)</t>
  </si>
  <si>
    <t>O DSIC1-00000682</t>
  </si>
  <si>
    <t>L001 12275</t>
  </si>
  <si>
    <t>Nro. Letra: L001 12275 - SALDOS DE APERTURA</t>
  </si>
  <si>
    <t>O DSIC1-00000681 (Nro. Letra: L001 12177 - SALDOS DE APERTURA)</t>
  </si>
  <si>
    <t>O DSIC1-00000681</t>
  </si>
  <si>
    <t>L001 12177</t>
  </si>
  <si>
    <t>Nro. Letra: L001 12177 - SALDOS DE APERTURA</t>
  </si>
  <si>
    <t>O DSIC1-00000680 (Nro. Letra: L001 12274 - SALDOS DE APERTURA)</t>
  </si>
  <si>
    <t>O DSIC1-00000680</t>
  </si>
  <si>
    <t>L001 12274</t>
  </si>
  <si>
    <t>Nro. Letra: L001 12274 - SALDOS DE APERTURA</t>
  </si>
  <si>
    <t>O DSIC1-00000679 (Nro. Letra: L001 12303 - SALDOS DE APERTURA)</t>
  </si>
  <si>
    <t>O DSIC1-00000679</t>
  </si>
  <si>
    <t>L001 12303</t>
  </si>
  <si>
    <t>Nro. Letra: L001 12303 - SALDOS DE APERTURA</t>
  </si>
  <si>
    <t>O DSIC1-00000678 (Nro. Letra: R001 36096 - SALDOS DE APERTURA)</t>
  </si>
  <si>
    <t>O DSIC1-00000678</t>
  </si>
  <si>
    <t>R001 36096</t>
  </si>
  <si>
    <t>Nro. Letra: R001 36096 - SALDOS DE APERTURA</t>
  </si>
  <si>
    <t>O DSIC1-00000677 (Nro. Letra: R001 26309 - SALDOS DE APERTURA)</t>
  </si>
  <si>
    <t>O DSIC1-00000677</t>
  </si>
  <si>
    <t>R001 26309</t>
  </si>
  <si>
    <t>Nro. Letra: R001 26309 - SALDOS DE APERTURA</t>
  </si>
  <si>
    <t>O DSIC1-00000676 (Nro. Letra: L001 10967 - SALDOS DE APERTURA)</t>
  </si>
  <si>
    <t>O DSIC1-00000676</t>
  </si>
  <si>
    <t>L001 10967</t>
  </si>
  <si>
    <t>Nro. Letra: L001 10967 - SALDOS DE APERTURA</t>
  </si>
  <si>
    <t>O DSIC1-00000675 (Nro. Letra: L001 12376 - SALDOS DE APERTURA)</t>
  </si>
  <si>
    <t>O DSIC1-00000675</t>
  </si>
  <si>
    <t>L001 12376</t>
  </si>
  <si>
    <t>Nro. Letra: L001 12376 - SALDOS DE APERTURA</t>
  </si>
  <si>
    <t>O DSIC1-00000674 (Nro. Letra: L001 6165 - SALDOS DE APERTURA)</t>
  </si>
  <si>
    <t>O DSIC1-00000674</t>
  </si>
  <si>
    <t>L001 6165</t>
  </si>
  <si>
    <t>Nro. Letra: L001 6165 - SALDOS DE APERTURA</t>
  </si>
  <si>
    <t>O DSIC1-00000673 (Nro. Letra: L001 12923 - SALDOS DE APERTURA)</t>
  </si>
  <si>
    <t>O DSIC1-00000673</t>
  </si>
  <si>
    <t>L001 12923</t>
  </si>
  <si>
    <t>Nro. Letra: L001 12923 - SALDOS DE APERTURA</t>
  </si>
  <si>
    <t>O DSIC1-00000672 (Nro. Letra: L001 12304 - SALDOS DE APERTURA)</t>
  </si>
  <si>
    <t>O DSIC1-00000672</t>
  </si>
  <si>
    <t>L001 12304</t>
  </si>
  <si>
    <t>Nro. Letra: L001 12304 - SALDOS DE APERTURA</t>
  </si>
  <si>
    <t>O DSIC1-00000671 (Nro. Letra: L001 5741 - SALDOS DE APERTURA)</t>
  </si>
  <si>
    <t>O DSIC1-00000671</t>
  </si>
  <si>
    <t>L001 5741</t>
  </si>
  <si>
    <t>Nro. Letra: L001 5741 - SALDOS DE APERTURA</t>
  </si>
  <si>
    <t>O DSIC1-00000670 (Nro. Letra: L001 12200 - SALDOS DE APERTURA)</t>
  </si>
  <si>
    <t>O DSIC1-00000670</t>
  </si>
  <si>
    <t>L001 12200</t>
  </si>
  <si>
    <t>Nro. Letra: L001 12200 - SALDOS DE APERTURA</t>
  </si>
  <si>
    <t>O DSIC1-00000669 (Nro. Letra: R001 59301 - SALDOS DE APERTURA)</t>
  </si>
  <si>
    <t>O DSIC1-00000669</t>
  </si>
  <si>
    <t>R001 59301</t>
  </si>
  <si>
    <t>Nro. Letra: R001 59301 - SALDOS DE APERTURA</t>
  </si>
  <si>
    <t>De 01/01/2025 a 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</si>
</sst>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"/>
    <numFmt numFmtId="165" formatCode="_-* #,##0.000_-;\-* #,##0.0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666666"/>
      <name val="Calibri"/>
      <family val="2"/>
      <scheme val="minor"/>
    </font>
    <font>
      <sz val="9"/>
      <color rgb="FF666666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 Light"/>
      <family val="2"/>
    </font>
    <font>
      <sz val="8"/>
      <color theme="1"/>
      <name val="Calibri Light"/>
      <family val="2"/>
    </font>
    <font>
      <b/>
      <sz val="8"/>
      <color theme="0"/>
      <name val="Calibri Light"/>
      <family val="2"/>
    </font>
    <font>
      <b/>
      <sz val="9"/>
      <color theme="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249977111117893"/>
      </left>
      <right style="hair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1" tint="0.499984740745262"/>
      </bottom>
      <diagonal/>
    </border>
    <border>
      <left/>
      <right/>
      <top style="thin">
        <color theme="0" tint="-0.249977111117893"/>
      </top>
      <bottom style="thin">
        <color theme="1" tint="0.499984740745262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0" applyFont="1"/>
    <xf numFmtId="43" fontId="2" fillId="0" borderId="0" xfId="1" applyFont="1"/>
    <xf numFmtId="43" fontId="6" fillId="0" borderId="0" xfId="1" applyFont="1"/>
    <xf numFmtId="0" fontId="6" fillId="0" borderId="0" xfId="0" applyFont="1"/>
    <xf numFmtId="0" fontId="8" fillId="0" borderId="0" xfId="0" applyFont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43" fontId="7" fillId="2" borderId="0" xfId="1" applyFont="1" applyFill="1" applyAlignment="1">
      <alignment vertical="center" wrapText="1"/>
    </xf>
    <xf numFmtId="0" fontId="8" fillId="0" borderId="0" xfId="0" applyFont="1"/>
    <xf numFmtId="43" fontId="8" fillId="0" borderId="0" xfId="1" applyFont="1"/>
    <xf numFmtId="43" fontId="7" fillId="3" borderId="0" xfId="1" applyFont="1" applyFill="1"/>
    <xf numFmtId="4" fontId="8" fillId="0" borderId="2" xfId="0" applyNumberFormat="1" applyFont="1" applyBorder="1" applyAlignment="1">
      <alignment vertical="center" wrapText="1"/>
    </xf>
    <xf numFmtId="164" fontId="8" fillId="0" borderId="2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43" fontId="8" fillId="0" borderId="2" xfId="1" applyFont="1" applyBorder="1" applyAlignment="1">
      <alignment vertical="center" wrapText="1"/>
    </xf>
    <xf numFmtId="43" fontId="8" fillId="3" borderId="2" xfId="1" applyFont="1" applyFill="1" applyBorder="1" applyAlignment="1">
      <alignment vertical="center" wrapText="1"/>
    </xf>
    <xf numFmtId="43" fontId="7" fillId="3" borderId="2" xfId="1" applyFont="1" applyFill="1" applyBorder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4" fontId="8" fillId="0" borderId="2" xfId="0" applyNumberFormat="1" applyFont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left" vertical="center" wrapText="1"/>
    </xf>
    <xf numFmtId="43" fontId="7" fillId="0" borderId="0" xfId="1" applyFont="1" applyAlignment="1">
      <alignment horizontal="left" vertical="center"/>
    </xf>
    <xf numFmtId="43" fontId="7" fillId="4" borderId="0" xfId="0" applyNumberFormat="1" applyFont="1" applyFill="1" applyAlignment="1">
      <alignment horizontal="left" vertical="center"/>
    </xf>
    <xf numFmtId="43" fontId="7" fillId="4" borderId="0" xfId="1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165" fontId="3" fillId="0" borderId="0" xfId="1" applyNumberFormat="1" applyFont="1" applyAlignment="1">
      <alignment horizontal="left"/>
    </xf>
    <xf numFmtId="4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4" fontId="2" fillId="0" borderId="0" xfId="0" applyNumberFormat="1" applyFont="1"/>
    <xf numFmtId="4" fontId="3" fillId="4" borderId="0" xfId="0" applyNumberFormat="1" applyFont="1" applyFill="1"/>
    <xf numFmtId="43" fontId="3" fillId="4" borderId="0" xfId="0" applyNumberFormat="1" applyFont="1" applyFill="1"/>
    <xf numFmtId="43" fontId="3" fillId="4" borderId="0" xfId="1" applyFont="1" applyFill="1"/>
    <xf numFmtId="0" fontId="2" fillId="0" borderId="0" xfId="0" applyFont="1" applyAlignment="1">
      <alignment horizontal="center" vertical="center"/>
    </xf>
    <xf numFmtId="43" fontId="7" fillId="0" borderId="0" xfId="1" applyFont="1"/>
    <xf numFmtId="0" fontId="7" fillId="0" borderId="4" xfId="0" applyFont="1" applyBorder="1" applyAlignment="1">
      <alignment horizontal="center" vertical="center" wrapText="1"/>
    </xf>
    <xf numFmtId="43" fontId="7" fillId="0" borderId="4" xfId="1" applyFont="1" applyBorder="1" applyAlignment="1">
      <alignment horizontal="center" vertical="center" wrapText="1"/>
    </xf>
    <xf numFmtId="0" fontId="7" fillId="2" borderId="4" xfId="0" applyFont="1" applyFill="1" applyBorder="1" applyAlignment="1">
      <alignment wrapText="1"/>
    </xf>
    <xf numFmtId="43" fontId="7" fillId="2" borderId="4" xfId="1" applyFont="1" applyFill="1" applyBorder="1" applyAlignment="1">
      <alignment wrapText="1"/>
    </xf>
    <xf numFmtId="4" fontId="8" fillId="0" borderId="4" xfId="0" applyNumberFormat="1" applyFont="1" applyBorder="1" applyAlignment="1">
      <alignment wrapText="1"/>
    </xf>
    <xf numFmtId="164" fontId="8" fillId="0" borderId="4" xfId="0" applyNumberFormat="1" applyFont="1" applyBorder="1" applyAlignment="1">
      <alignment wrapText="1"/>
    </xf>
    <xf numFmtId="43" fontId="8" fillId="0" borderId="4" xfId="1" applyFont="1" applyBorder="1" applyAlignment="1">
      <alignment wrapText="1"/>
    </xf>
    <xf numFmtId="0" fontId="8" fillId="0" borderId="4" xfId="0" applyFont="1" applyBorder="1"/>
    <xf numFmtId="0" fontId="3" fillId="2" borderId="4" xfId="0" applyFont="1" applyFill="1" applyBorder="1"/>
    <xf numFmtId="0" fontId="3" fillId="2" borderId="4" xfId="0" applyFont="1" applyFill="1" applyBorder="1" applyAlignment="1">
      <alignment wrapText="1"/>
    </xf>
    <xf numFmtId="43" fontId="3" fillId="2" borderId="4" xfId="1" applyFont="1" applyFill="1" applyBorder="1" applyAlignment="1">
      <alignment wrapText="1"/>
    </xf>
    <xf numFmtId="4" fontId="2" fillId="0" borderId="4" xfId="0" applyNumberFormat="1" applyFont="1" applyBorder="1" applyAlignment="1">
      <alignment wrapText="1"/>
    </xf>
    <xf numFmtId="164" fontId="2" fillId="0" borderId="4" xfId="0" applyNumberFormat="1" applyFont="1" applyBorder="1" applyAlignment="1">
      <alignment wrapText="1"/>
    </xf>
    <xf numFmtId="43" fontId="2" fillId="0" borderId="4" xfId="1" applyFont="1" applyBorder="1" applyAlignment="1">
      <alignment wrapText="1"/>
    </xf>
    <xf numFmtId="43" fontId="7" fillId="4" borderId="4" xfId="1" applyFont="1" applyFill="1" applyBorder="1"/>
    <xf numFmtId="43" fontId="7" fillId="4" borderId="0" xfId="1" applyFont="1" applyFill="1"/>
    <xf numFmtId="4" fontId="7" fillId="4" borderId="0" xfId="0" applyNumberFormat="1" applyFont="1" applyFill="1"/>
    <xf numFmtId="43" fontId="7" fillId="0" borderId="0" xfId="0" applyNumberFormat="1" applyFont="1"/>
    <xf numFmtId="43" fontId="7" fillId="4" borderId="0" xfId="0" applyNumberFormat="1" applyFont="1" applyFill="1"/>
    <xf numFmtId="4" fontId="8" fillId="4" borderId="4" xfId="0" applyNumberFormat="1" applyFont="1" applyFill="1" applyBorder="1" applyAlignment="1">
      <alignment wrapText="1"/>
    </xf>
    <xf numFmtId="4" fontId="7" fillId="3" borderId="0" xfId="0" applyNumberFormat="1" applyFont="1" applyFill="1"/>
    <xf numFmtId="43" fontId="7" fillId="3" borderId="0" xfId="0" applyNumberFormat="1" applyFont="1" applyFill="1"/>
    <xf numFmtId="4" fontId="8" fillId="0" borderId="4" xfId="0" applyNumberFormat="1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vertical="center" wrapText="1"/>
    </xf>
    <xf numFmtId="4" fontId="8" fillId="0" borderId="4" xfId="0" applyNumberFormat="1" applyFont="1" applyBorder="1" applyAlignment="1">
      <alignment vertical="center" wrapText="1"/>
    </xf>
    <xf numFmtId="0" fontId="5" fillId="0" borderId="4" xfId="0" applyFont="1" applyBorder="1" applyAlignment="1">
      <alignment horizontal="left" indent="3"/>
    </xf>
    <xf numFmtId="43" fontId="5" fillId="0" borderId="4" xfId="1" applyFont="1" applyBorder="1"/>
    <xf numFmtId="0" fontId="6" fillId="0" borderId="4" xfId="0" applyFont="1" applyBorder="1" applyAlignment="1">
      <alignment horizontal="left" indent="3"/>
    </xf>
    <xf numFmtId="43" fontId="6" fillId="0" borderId="4" xfId="1" applyFont="1" applyBorder="1"/>
    <xf numFmtId="43" fontId="4" fillId="0" borderId="4" xfId="1" applyFont="1" applyFill="1" applyBorder="1"/>
    <xf numFmtId="43" fontId="2" fillId="0" borderId="4" xfId="1" applyFont="1" applyBorder="1"/>
    <xf numFmtId="0" fontId="9" fillId="0" borderId="8" xfId="0" applyFont="1" applyBorder="1" applyAlignment="1">
      <alignment vertical="center"/>
    </xf>
    <xf numFmtId="0" fontId="10" fillId="0" borderId="9" xfId="0" applyFont="1" applyBorder="1"/>
    <xf numFmtId="0" fontId="10" fillId="0" borderId="10" xfId="0" applyFont="1" applyBorder="1"/>
    <xf numFmtId="0" fontId="11" fillId="5" borderId="15" xfId="0" applyFont="1" applyFill="1" applyBorder="1" applyAlignment="1">
      <alignment horizontal="left" vertical="center" wrapText="1"/>
    </xf>
    <xf numFmtId="0" fontId="11" fillId="5" borderId="15" xfId="0" applyFont="1" applyFill="1" applyBorder="1" applyAlignment="1">
      <alignment horizontal="center" vertical="center" wrapText="1"/>
    </xf>
    <xf numFmtId="14" fontId="11" fillId="5" borderId="15" xfId="0" applyNumberFormat="1" applyFont="1" applyFill="1" applyBorder="1" applyAlignment="1">
      <alignment horizontal="center" vertical="center" wrapText="1"/>
    </xf>
    <xf numFmtId="43" fontId="11" fillId="5" borderId="15" xfId="1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9" fillId="0" borderId="17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14" fontId="10" fillId="0" borderId="17" xfId="0" applyNumberFormat="1" applyFont="1" applyBorder="1" applyAlignment="1">
      <alignment horizontal="left"/>
    </xf>
    <xf numFmtId="0" fontId="10" fillId="0" borderId="17" xfId="0" applyFont="1" applyBorder="1" applyAlignment="1">
      <alignment horizontal="center"/>
    </xf>
    <xf numFmtId="43" fontId="9" fillId="0" borderId="17" xfId="1" applyFont="1" applyBorder="1" applyAlignment="1">
      <alignment horizontal="left"/>
    </xf>
    <xf numFmtId="43" fontId="10" fillId="0" borderId="17" xfId="1" applyFont="1" applyBorder="1" applyAlignment="1">
      <alignment horizontal="center"/>
    </xf>
    <xf numFmtId="0" fontId="10" fillId="0" borderId="0" xfId="0" applyFont="1" applyAlignment="1">
      <alignment horizontal="left"/>
    </xf>
    <xf numFmtId="4" fontId="8" fillId="0" borderId="17" xfId="0" applyNumberFormat="1" applyFont="1" applyBorder="1" applyAlignment="1">
      <alignment wrapText="1"/>
    </xf>
    <xf numFmtId="164" fontId="8" fillId="0" borderId="17" xfId="0" applyNumberFormat="1" applyFont="1" applyBorder="1" applyAlignment="1">
      <alignment wrapText="1"/>
    </xf>
    <xf numFmtId="4" fontId="3" fillId="3" borderId="0" xfId="0" applyNumberFormat="1" applyFont="1" applyFill="1"/>
    <xf numFmtId="4" fontId="8" fillId="0" borderId="0" xfId="0" applyNumberFormat="1" applyFont="1" applyAlignment="1">
      <alignment wrapText="1"/>
    </xf>
    <xf numFmtId="164" fontId="8" fillId="0" borderId="0" xfId="0" applyNumberFormat="1" applyFont="1" applyAlignment="1">
      <alignment wrapText="1"/>
    </xf>
    <xf numFmtId="0" fontId="3" fillId="0" borderId="1" xfId="0" applyFont="1" applyBorder="1"/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12" fillId="5" borderId="15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19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center" vertical="center"/>
    </xf>
    <xf numFmtId="43" fontId="3" fillId="6" borderId="4" xfId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showGridLines="0" tabSelected="1" workbookViewId="0">
      <selection activeCell="H14" sqref="H14"/>
    </sheetView>
  </sheetViews>
  <sheetFormatPr baseColWidth="10" defaultColWidth="9.140625" defaultRowHeight="12" x14ac:dyDescent="0.2"/>
  <cols>
    <col min="1" max="1" width="59.85546875" style="1" customWidth="1"/>
    <col min="2" max="3" width="9.140625" style="1"/>
    <col min="4" max="5" width="15.42578125" style="1" bestFit="1" customWidth="1"/>
    <col min="6" max="6" width="14.140625" style="1" bestFit="1" customWidth="1"/>
    <col min="7" max="7" width="12.85546875" style="1" bestFit="1" customWidth="1"/>
    <col min="8" max="8" width="2.85546875" style="1" customWidth="1"/>
    <col min="9" max="9" width="12" style="1" bestFit="1" customWidth="1"/>
    <col min="10" max="10" width="10.7109375" style="2" customWidth="1"/>
    <col min="11" max="16384" width="9.140625" style="1"/>
  </cols>
  <sheetData>
    <row r="1" spans="1:11" x14ac:dyDescent="0.2">
      <c r="B1" s="88" t="s">
        <v>0</v>
      </c>
      <c r="C1" s="88"/>
      <c r="D1" s="88" t="s">
        <v>1</v>
      </c>
      <c r="E1" s="88"/>
      <c r="F1" s="88" t="s">
        <v>2</v>
      </c>
      <c r="G1" s="88"/>
    </row>
    <row r="3" spans="1:11" ht="15" customHeight="1" x14ac:dyDescent="0.2">
      <c r="B3" s="108" t="s">
        <v>3</v>
      </c>
      <c r="C3" s="108" t="s">
        <v>4</v>
      </c>
      <c r="D3" s="108" t="s">
        <v>3</v>
      </c>
      <c r="E3" s="108" t="s">
        <v>4</v>
      </c>
      <c r="F3" s="108" t="s">
        <v>3</v>
      </c>
      <c r="G3" s="108" t="s">
        <v>4</v>
      </c>
      <c r="H3" s="34"/>
      <c r="I3" s="108" t="s">
        <v>9705</v>
      </c>
      <c r="J3" s="109" t="s">
        <v>5163</v>
      </c>
    </row>
    <row r="4" spans="1:11" x14ac:dyDescent="0.2">
      <c r="A4" s="61" t="s">
        <v>5</v>
      </c>
      <c r="B4" s="62"/>
      <c r="C4" s="62"/>
      <c r="D4" s="62">
        <v>42.58</v>
      </c>
      <c r="E4" s="62">
        <v>42.58</v>
      </c>
      <c r="F4" s="62"/>
      <c r="G4" s="62"/>
      <c r="H4" s="2"/>
      <c r="I4" s="66">
        <v>0</v>
      </c>
      <c r="J4" s="66"/>
    </row>
    <row r="5" spans="1:11" x14ac:dyDescent="0.2">
      <c r="A5" s="61" t="s">
        <v>6</v>
      </c>
      <c r="B5" s="62"/>
      <c r="C5" s="62"/>
      <c r="D5" s="62">
        <v>80303081.280000001</v>
      </c>
      <c r="E5" s="62">
        <v>76745668.560000002</v>
      </c>
      <c r="F5" s="62">
        <v>3557412.7199999988</v>
      </c>
      <c r="G5" s="62"/>
      <c r="H5" s="2"/>
      <c r="I5" s="66">
        <f>+'12121xx1'!M2772</f>
        <v>3557412.7200000072</v>
      </c>
      <c r="J5" s="66">
        <f>+F5-I5</f>
        <v>-8.3819031715393066E-9</v>
      </c>
    </row>
    <row r="6" spans="1:11" x14ac:dyDescent="0.2">
      <c r="A6" s="61" t="s">
        <v>7</v>
      </c>
      <c r="B6" s="62"/>
      <c r="C6" s="62"/>
      <c r="D6" s="62">
        <v>294639.07</v>
      </c>
      <c r="E6" s="62">
        <v>195884.59</v>
      </c>
      <c r="F6" s="62">
        <v>98754.48000000001</v>
      </c>
      <c r="G6" s="62"/>
      <c r="H6" s="2"/>
      <c r="I6" s="66">
        <f>+'1212xx2'!M98</f>
        <v>98754.48000000001</v>
      </c>
      <c r="J6" s="66">
        <f>+F6-I6</f>
        <v>0</v>
      </c>
    </row>
    <row r="7" spans="1:11" x14ac:dyDescent="0.2">
      <c r="A7" s="61" t="s">
        <v>8</v>
      </c>
      <c r="B7" s="62"/>
      <c r="C7" s="62"/>
      <c r="D7" s="62">
        <v>81530991.519999996</v>
      </c>
      <c r="E7" s="62">
        <v>71881449.959999993</v>
      </c>
      <c r="F7" s="62">
        <v>9649541.5600000024</v>
      </c>
      <c r="G7" s="62"/>
      <c r="H7" s="2"/>
      <c r="I7" s="66">
        <f>+'1212xx3'!M82</f>
        <v>9649541.5599999987</v>
      </c>
      <c r="J7" s="66">
        <f>+F7-I7</f>
        <v>0</v>
      </c>
    </row>
    <row r="8" spans="1:11" x14ac:dyDescent="0.2">
      <c r="A8" s="61" t="s">
        <v>9</v>
      </c>
      <c r="B8" s="62"/>
      <c r="C8" s="62"/>
      <c r="D8" s="62">
        <v>857993.19</v>
      </c>
      <c r="E8" s="62">
        <v>942331.14</v>
      </c>
      <c r="F8" s="62"/>
      <c r="G8" s="62">
        <v>84337.95000000007</v>
      </c>
      <c r="H8" s="2"/>
      <c r="I8" s="66">
        <f>+'122xx1'!M99</f>
        <v>-84337.950000000012</v>
      </c>
      <c r="J8" s="66">
        <f>+G8+I8</f>
        <v>0</v>
      </c>
    </row>
    <row r="9" spans="1:11" x14ac:dyDescent="0.2">
      <c r="A9" s="61" t="s">
        <v>10</v>
      </c>
      <c r="B9" s="62"/>
      <c r="C9" s="62"/>
      <c r="D9" s="62">
        <v>84.59</v>
      </c>
      <c r="E9" s="62">
        <v>29089.79</v>
      </c>
      <c r="F9" s="62"/>
      <c r="G9" s="62">
        <v>29005.200000000001</v>
      </c>
      <c r="H9" s="2"/>
      <c r="I9" s="66">
        <f>+'122xx2'!M5</f>
        <v>-29005.200000000001</v>
      </c>
      <c r="J9" s="66">
        <f>+G9+I9</f>
        <v>0</v>
      </c>
    </row>
    <row r="10" spans="1:11" x14ac:dyDescent="0.2">
      <c r="A10" s="61" t="s">
        <v>11</v>
      </c>
      <c r="B10" s="62"/>
      <c r="C10" s="62"/>
      <c r="D10" s="62">
        <v>10473234.91</v>
      </c>
      <c r="E10" s="62">
        <v>14306947.42</v>
      </c>
      <c r="F10" s="62"/>
      <c r="G10" s="62">
        <v>3833712.51</v>
      </c>
      <c r="H10" s="2"/>
      <c r="I10" s="66">
        <f>+'122xx3'!M130</f>
        <v>-3833712.5099999974</v>
      </c>
      <c r="J10" s="66">
        <f>+G10+I10</f>
        <v>0</v>
      </c>
    </row>
    <row r="11" spans="1:11" x14ac:dyDescent="0.2">
      <c r="A11" s="61" t="s">
        <v>12</v>
      </c>
      <c r="B11" s="62"/>
      <c r="C11" s="62"/>
      <c r="D11" s="62">
        <v>134880.59</v>
      </c>
      <c r="E11" s="62">
        <v>237348.82</v>
      </c>
      <c r="F11" s="62"/>
      <c r="G11" s="62">
        <v>102468.23</v>
      </c>
      <c r="H11" s="2"/>
      <c r="I11" s="66">
        <f>+'122xx4'!M177</f>
        <v>-102468.22999999997</v>
      </c>
      <c r="J11" s="66">
        <f>+G11+I11</f>
        <v>0</v>
      </c>
    </row>
    <row r="12" spans="1:11" x14ac:dyDescent="0.2">
      <c r="A12" s="61" t="s">
        <v>13</v>
      </c>
      <c r="B12" s="62"/>
      <c r="C12" s="62"/>
      <c r="D12" s="62">
        <v>131066.59</v>
      </c>
      <c r="E12" s="62">
        <v>189006.87</v>
      </c>
      <c r="F12" s="62"/>
      <c r="G12" s="62">
        <v>57940.28</v>
      </c>
      <c r="H12" s="2"/>
      <c r="I12" s="66">
        <f>+'122xx5'!M879</f>
        <v>-57940.279999999962</v>
      </c>
      <c r="J12" s="66">
        <f>+G12+I12</f>
        <v>0</v>
      </c>
    </row>
    <row r="13" spans="1:11" s="4" customFormat="1" x14ac:dyDescent="0.2">
      <c r="A13" s="63" t="s">
        <v>14</v>
      </c>
      <c r="B13" s="64"/>
      <c r="C13" s="64"/>
      <c r="D13" s="64">
        <v>128978.39</v>
      </c>
      <c r="E13" s="64">
        <v>128978.39</v>
      </c>
      <c r="F13" s="64"/>
      <c r="G13" s="64"/>
      <c r="H13" s="3"/>
      <c r="I13" s="64">
        <v>0</v>
      </c>
      <c r="J13" s="64"/>
    </row>
    <row r="14" spans="1:11" s="4" customFormat="1" x14ac:dyDescent="0.2">
      <c r="A14" s="63" t="s">
        <v>15</v>
      </c>
      <c r="B14" s="64"/>
      <c r="C14" s="64"/>
      <c r="D14" s="64">
        <v>1236491.48</v>
      </c>
      <c r="E14" s="64">
        <v>1236491.48</v>
      </c>
      <c r="F14" s="64"/>
      <c r="G14" s="64"/>
      <c r="H14" s="3"/>
      <c r="I14" s="64">
        <v>0</v>
      </c>
      <c r="J14" s="64"/>
    </row>
    <row r="15" spans="1:11" x14ac:dyDescent="0.2">
      <c r="A15" s="61" t="s">
        <v>16</v>
      </c>
      <c r="B15" s="62"/>
      <c r="C15" s="62"/>
      <c r="D15" s="62">
        <v>43581619.890000001</v>
      </c>
      <c r="E15" s="62">
        <v>42326585.609999999</v>
      </c>
      <c r="F15" s="62">
        <v>1255034.280000001</v>
      </c>
      <c r="G15" s="62"/>
      <c r="H15" s="2"/>
      <c r="I15" s="66">
        <f>+'1232xx1'!M136</f>
        <v>1255034.2800000003</v>
      </c>
      <c r="J15" s="66">
        <f>+F15-I15</f>
        <v>0</v>
      </c>
    </row>
    <row r="16" spans="1:11" x14ac:dyDescent="0.2">
      <c r="A16" s="63" t="s">
        <v>17</v>
      </c>
      <c r="B16" s="64"/>
      <c r="C16" s="64"/>
      <c r="D16" s="64">
        <v>3956140.86</v>
      </c>
      <c r="E16" s="64">
        <v>3956140.86</v>
      </c>
      <c r="F16" s="64"/>
      <c r="G16" s="64"/>
      <c r="H16" s="3"/>
      <c r="I16" s="64">
        <v>0</v>
      </c>
      <c r="J16" s="64"/>
      <c r="K16" s="4"/>
    </row>
    <row r="17" spans="1:10" x14ac:dyDescent="0.2">
      <c r="A17" s="61" t="s">
        <v>18</v>
      </c>
      <c r="B17" s="62"/>
      <c r="C17" s="62"/>
      <c r="D17" s="62">
        <v>7623115.6299999999</v>
      </c>
      <c r="E17" s="62">
        <v>6227841.4400000004</v>
      </c>
      <c r="F17" s="62">
        <v>1395274.189999999</v>
      </c>
      <c r="G17" s="62"/>
      <c r="H17" s="2"/>
      <c r="I17" s="66">
        <f>+'1233xx1'!M98</f>
        <v>1395274.19</v>
      </c>
      <c r="J17" s="66">
        <f>+F17-I17</f>
        <v>0</v>
      </c>
    </row>
    <row r="18" spans="1:10" x14ac:dyDescent="0.2">
      <c r="A18" s="61" t="s">
        <v>19</v>
      </c>
      <c r="B18" s="62"/>
      <c r="C18" s="62"/>
      <c r="D18" s="62">
        <v>38471361.619999997</v>
      </c>
      <c r="E18" s="62">
        <v>34251057.170000002</v>
      </c>
      <c r="F18" s="65">
        <v>4220304.4499999965</v>
      </c>
      <c r="G18" s="62"/>
      <c r="H18" s="2"/>
      <c r="I18" s="66">
        <f>+'1234xx1'!M586</f>
        <v>4220304.4500000058</v>
      </c>
      <c r="J18" s="66">
        <f>+F18-I18</f>
        <v>-9.3132257461547852E-9</v>
      </c>
    </row>
    <row r="19" spans="1:10" x14ac:dyDescent="0.2">
      <c r="A19" s="61" t="s">
        <v>20</v>
      </c>
      <c r="B19" s="62"/>
      <c r="C19" s="62"/>
      <c r="D19" s="62">
        <v>1130525</v>
      </c>
      <c r="E19" s="62">
        <v>1055020.3600000001</v>
      </c>
      <c r="F19" s="62">
        <v>75504.639999999898</v>
      </c>
      <c r="G19" s="62"/>
      <c r="H19" s="2"/>
      <c r="I19" s="66">
        <f>+'1234xx4'!M41</f>
        <v>75504.639999999999</v>
      </c>
      <c r="J19" s="66">
        <f>+F19-I19</f>
        <v>0</v>
      </c>
    </row>
    <row r="20" spans="1:10" s="4" customFormat="1" x14ac:dyDescent="0.2">
      <c r="A20" s="63" t="s">
        <v>21</v>
      </c>
      <c r="B20" s="64"/>
      <c r="C20" s="64"/>
      <c r="D20" s="64">
        <v>8310857.96</v>
      </c>
      <c r="E20" s="64">
        <v>8310857.96</v>
      </c>
      <c r="F20" s="64"/>
      <c r="G20" s="64"/>
      <c r="H20" s="3"/>
      <c r="I20" s="64"/>
      <c r="J20" s="64"/>
    </row>
    <row r="21" spans="1:10" x14ac:dyDescent="0.2">
      <c r="A21" s="61" t="s">
        <v>22</v>
      </c>
      <c r="B21" s="62"/>
      <c r="C21" s="62"/>
      <c r="D21" s="62">
        <v>5917509.7199999997</v>
      </c>
      <c r="E21" s="62">
        <v>4111974.07</v>
      </c>
      <c r="F21" s="62">
        <v>1806544.49</v>
      </c>
      <c r="G21" s="62"/>
      <c r="H21" s="2"/>
      <c r="I21" s="66">
        <f>+'1312xx1'!M142</f>
        <v>1806544.4900000007</v>
      </c>
      <c r="J21" s="66">
        <f>+F21-I21</f>
        <v>0</v>
      </c>
    </row>
    <row r="22" spans="1:10" x14ac:dyDescent="0.2">
      <c r="A22" s="61" t="s">
        <v>23</v>
      </c>
      <c r="B22" s="62"/>
      <c r="C22" s="62"/>
      <c r="D22" s="62">
        <v>13118.67</v>
      </c>
      <c r="E22" s="62">
        <v>11375.67</v>
      </c>
      <c r="F22" s="62">
        <v>1743</v>
      </c>
      <c r="G22" s="62"/>
      <c r="H22" s="2"/>
      <c r="I22" s="66">
        <f>+'1312xx2'!M8</f>
        <v>1743</v>
      </c>
      <c r="J22" s="66">
        <f>+F22-I22</f>
        <v>0</v>
      </c>
    </row>
    <row r="23" spans="1:10" x14ac:dyDescent="0.2">
      <c r="A23" s="61" t="s">
        <v>24</v>
      </c>
      <c r="B23" s="62"/>
      <c r="C23" s="62"/>
      <c r="D23" s="62">
        <v>33407133.52</v>
      </c>
      <c r="E23" s="62">
        <v>20872451.539999999</v>
      </c>
      <c r="F23" s="62">
        <v>12534681.98</v>
      </c>
      <c r="G23" s="62"/>
      <c r="H23" s="2"/>
      <c r="I23" s="66">
        <f>+'1312xx3'!J59</f>
        <v>12534681.976740003</v>
      </c>
      <c r="J23" s="66">
        <f>+F23-I23</f>
        <v>3.2599978148937225E-3</v>
      </c>
    </row>
    <row r="24" spans="1:10" x14ac:dyDescent="0.2">
      <c r="A24" s="61" t="s">
        <v>25</v>
      </c>
      <c r="B24" s="62"/>
      <c r="C24" s="62"/>
      <c r="D24" s="62">
        <v>4402.9799999999996</v>
      </c>
      <c r="E24" s="62">
        <v>4481.83</v>
      </c>
      <c r="F24" s="62"/>
      <c r="G24" s="62">
        <v>78.850000000000364</v>
      </c>
      <c r="H24" s="2"/>
      <c r="I24" s="66">
        <f>+'1321xx1'!M5</f>
        <v>-78.849999999999994</v>
      </c>
      <c r="J24" s="66">
        <f>+G24+I24</f>
        <v>3.694822225952521E-13</v>
      </c>
    </row>
    <row r="25" spans="1:10" x14ac:dyDescent="0.2">
      <c r="A25" s="63" t="s">
        <v>26</v>
      </c>
      <c r="B25" s="64"/>
      <c r="C25" s="64"/>
      <c r="D25" s="64">
        <v>2909244.94</v>
      </c>
      <c r="E25" s="64">
        <v>2909244.94</v>
      </c>
      <c r="F25" s="62"/>
      <c r="G25" s="62"/>
      <c r="H25" s="2"/>
      <c r="I25" s="66"/>
      <c r="J25" s="66"/>
    </row>
    <row r="26" spans="1:10" x14ac:dyDescent="0.2">
      <c r="A26" s="61" t="s">
        <v>27</v>
      </c>
      <c r="B26" s="62"/>
      <c r="C26" s="62"/>
      <c r="D26" s="62">
        <v>12166.48</v>
      </c>
      <c r="E26" s="62"/>
      <c r="F26" s="62">
        <v>12166.48</v>
      </c>
      <c r="G26" s="62"/>
      <c r="H26" s="2"/>
      <c r="I26" s="66">
        <f>+'1331xx1'!M11</f>
        <v>12166.48</v>
      </c>
      <c r="J26" s="66">
        <f>+F26-I26</f>
        <v>0</v>
      </c>
    </row>
    <row r="27" spans="1:10" x14ac:dyDescent="0.2">
      <c r="A27" s="61" t="s">
        <v>28</v>
      </c>
      <c r="B27" s="62"/>
      <c r="C27" s="62"/>
      <c r="D27" s="62">
        <v>3180.62</v>
      </c>
      <c r="E27" s="62"/>
      <c r="F27" s="62">
        <v>3180.62</v>
      </c>
      <c r="G27" s="62"/>
      <c r="H27" s="2"/>
      <c r="I27" s="66">
        <f>+'1332xx1'!M14</f>
        <v>3180.6200000000003</v>
      </c>
      <c r="J27" s="66">
        <f>+F27-I27</f>
        <v>0</v>
      </c>
    </row>
    <row r="28" spans="1:10" x14ac:dyDescent="0.2">
      <c r="A28" s="61" t="s">
        <v>29</v>
      </c>
      <c r="B28" s="62"/>
      <c r="C28" s="62"/>
      <c r="D28" s="62">
        <v>73693.8</v>
      </c>
      <c r="E28" s="62"/>
      <c r="F28" s="62">
        <v>73693.8</v>
      </c>
      <c r="G28" s="62"/>
      <c r="H28" s="2"/>
      <c r="I28" s="66">
        <f>+'133xx4'!M91</f>
        <v>73693.8</v>
      </c>
      <c r="J28" s="66">
        <f>+F28-I28</f>
        <v>0</v>
      </c>
    </row>
    <row r="29" spans="1:10" x14ac:dyDescent="0.2">
      <c r="A29" s="61" t="s">
        <v>30</v>
      </c>
      <c r="B29" s="62"/>
      <c r="C29" s="62"/>
      <c r="D29" s="62"/>
      <c r="E29" s="62">
        <v>129937.94</v>
      </c>
      <c r="F29" s="62"/>
      <c r="G29" s="62">
        <v>129937.94</v>
      </c>
      <c r="H29" s="2"/>
      <c r="I29" s="66"/>
      <c r="J29" s="66"/>
    </row>
    <row r="30" spans="1:10" x14ac:dyDescent="0.2">
      <c r="A30" s="61" t="s">
        <v>31</v>
      </c>
      <c r="B30" s="62"/>
      <c r="C30" s="62"/>
      <c r="D30" s="62"/>
      <c r="E30" s="62">
        <v>178937.66</v>
      </c>
      <c r="F30" s="62"/>
      <c r="G30" s="62">
        <v>178937.66</v>
      </c>
      <c r="H30" s="2"/>
      <c r="I30" s="66"/>
      <c r="J30" s="66"/>
    </row>
    <row r="31" spans="1:10" x14ac:dyDescent="0.2">
      <c r="A31" s="61" t="s">
        <v>32</v>
      </c>
      <c r="B31" s="62"/>
      <c r="C31" s="62"/>
      <c r="D31" s="62">
        <v>35360332.420000002</v>
      </c>
      <c r="E31" s="62">
        <v>39580636.869999997</v>
      </c>
      <c r="F31" s="62"/>
      <c r="G31" s="65">
        <v>4220304.4499999965</v>
      </c>
      <c r="H31" s="2"/>
      <c r="I31" s="66"/>
      <c r="J31" s="66"/>
    </row>
    <row r="32" spans="1:10" x14ac:dyDescent="0.2">
      <c r="B32" s="2"/>
      <c r="C32" s="2"/>
      <c r="D32" s="2"/>
      <c r="E32" s="2"/>
      <c r="F32" s="2"/>
      <c r="G32" s="2"/>
      <c r="H32" s="2"/>
      <c r="I32" s="2"/>
    </row>
    <row r="33" spans="2:9" x14ac:dyDescent="0.2">
      <c r="B33" s="2"/>
      <c r="C33" s="2"/>
      <c r="D33" s="2"/>
      <c r="E33" s="2"/>
      <c r="F33" s="2"/>
      <c r="G33" s="2"/>
      <c r="H33" s="2"/>
      <c r="I33" s="2"/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49C8-65D1-4320-8902-FC2082EEE5F3}">
  <dimension ref="A1:O2774"/>
  <sheetViews>
    <sheetView showGridLines="0" topLeftCell="A20" workbookViewId="0">
      <selection activeCell="E141" sqref="E141"/>
    </sheetView>
  </sheetViews>
  <sheetFormatPr baseColWidth="10" defaultColWidth="14.140625" defaultRowHeight="11.25" x14ac:dyDescent="0.2"/>
  <cols>
    <col min="1" max="5" width="14.140625" style="8"/>
    <col min="6" max="6" width="30.42578125" style="8" customWidth="1"/>
    <col min="7" max="8" width="14.140625" style="8"/>
    <col min="9" max="9" width="6.140625" style="8" customWidth="1"/>
    <col min="10" max="10" width="9.85546875" style="8" customWidth="1"/>
    <col min="11" max="11" width="10.7109375" style="8" customWidth="1"/>
    <col min="12" max="12" width="7.28515625" style="8" customWidth="1"/>
    <col min="13" max="13" width="13.5703125" style="9" customWidth="1"/>
    <col min="14" max="16384" width="14.140625" style="8"/>
  </cols>
  <sheetData>
    <row r="1" spans="1:15" s="18" customFormat="1" ht="25.5" customHeight="1" x14ac:dyDescent="0.25">
      <c r="A1" s="104" t="s">
        <v>33</v>
      </c>
      <c r="B1" s="104" t="s">
        <v>34</v>
      </c>
      <c r="C1" s="104" t="s">
        <v>35</v>
      </c>
      <c r="D1" s="104" t="s">
        <v>36</v>
      </c>
      <c r="E1" s="104" t="s">
        <v>37</v>
      </c>
      <c r="F1" s="104" t="s">
        <v>38</v>
      </c>
      <c r="G1" s="104" t="s">
        <v>39</v>
      </c>
      <c r="H1" s="104" t="s">
        <v>40</v>
      </c>
      <c r="I1" s="104" t="s">
        <v>41</v>
      </c>
      <c r="J1" s="104" t="s">
        <v>42</v>
      </c>
      <c r="K1" s="104" t="s">
        <v>3</v>
      </c>
      <c r="L1" s="104" t="s">
        <v>4</v>
      </c>
      <c r="M1" s="104" t="s">
        <v>43</v>
      </c>
      <c r="N1" s="104" t="s">
        <v>44</v>
      </c>
      <c r="O1" s="104" t="s">
        <v>45</v>
      </c>
    </row>
    <row r="2" spans="1:15" ht="30" customHeight="1" x14ac:dyDescent="0.2">
      <c r="A2" s="89" t="s">
        <v>46</v>
      </c>
      <c r="B2" s="89"/>
      <c r="C2" s="89"/>
      <c r="D2" s="6"/>
      <c r="E2" s="6"/>
      <c r="F2" s="6"/>
      <c r="G2" s="6"/>
      <c r="H2" s="6"/>
      <c r="I2" s="6"/>
      <c r="J2" s="6"/>
      <c r="K2" s="6"/>
      <c r="L2" s="6"/>
      <c r="M2" s="7"/>
      <c r="N2" s="6"/>
      <c r="O2" s="6"/>
    </row>
    <row r="3" spans="1:15" s="13" customFormat="1" ht="19.5" customHeight="1" x14ac:dyDescent="0.25">
      <c r="A3" s="11" t="s">
        <v>47</v>
      </c>
      <c r="B3" s="11" t="s">
        <v>47</v>
      </c>
      <c r="C3" s="12">
        <v>46112</v>
      </c>
      <c r="D3" s="12">
        <v>46142</v>
      </c>
      <c r="E3" s="11" t="s">
        <v>6</v>
      </c>
      <c r="F3" s="11" t="s">
        <v>48</v>
      </c>
      <c r="G3" s="11" t="s">
        <v>47</v>
      </c>
      <c r="H3" s="11"/>
      <c r="I3" s="11" t="s">
        <v>49</v>
      </c>
      <c r="J3" s="11">
        <v>1318.06</v>
      </c>
      <c r="K3" s="11">
        <v>1318.06</v>
      </c>
      <c r="L3" s="11"/>
      <c r="M3" s="11">
        <v>1318.06</v>
      </c>
      <c r="N3" s="11"/>
      <c r="O3" s="11" t="s">
        <v>50</v>
      </c>
    </row>
    <row r="4" spans="1:15" s="13" customFormat="1" ht="19.5" customHeight="1" x14ac:dyDescent="0.25">
      <c r="A4" s="11" t="s">
        <v>51</v>
      </c>
      <c r="B4" s="11" t="s">
        <v>51</v>
      </c>
      <c r="C4" s="12">
        <v>46112</v>
      </c>
      <c r="D4" s="12">
        <v>46142</v>
      </c>
      <c r="E4" s="11" t="s">
        <v>6</v>
      </c>
      <c r="F4" s="11" t="s">
        <v>48</v>
      </c>
      <c r="G4" s="11" t="s">
        <v>51</v>
      </c>
      <c r="H4" s="11"/>
      <c r="I4" s="11" t="s">
        <v>49</v>
      </c>
      <c r="J4" s="11">
        <v>988.84</v>
      </c>
      <c r="K4" s="11">
        <v>988.84</v>
      </c>
      <c r="L4" s="11"/>
      <c r="M4" s="11">
        <v>988.84</v>
      </c>
      <c r="N4" s="11"/>
      <c r="O4" s="11" t="s">
        <v>50</v>
      </c>
    </row>
    <row r="5" spans="1:15" s="13" customFormat="1" ht="19.5" customHeight="1" x14ac:dyDescent="0.25">
      <c r="A5" s="11" t="s">
        <v>52</v>
      </c>
      <c r="B5" s="11" t="s">
        <v>52</v>
      </c>
      <c r="C5" s="12">
        <v>46112</v>
      </c>
      <c r="D5" s="12">
        <v>46142</v>
      </c>
      <c r="E5" s="11" t="s">
        <v>6</v>
      </c>
      <c r="F5" s="11" t="s">
        <v>53</v>
      </c>
      <c r="G5" s="11" t="s">
        <v>52</v>
      </c>
      <c r="H5" s="11"/>
      <c r="I5" s="11" t="s">
        <v>49</v>
      </c>
      <c r="J5" s="11">
        <v>610.65</v>
      </c>
      <c r="K5" s="11">
        <v>610.65</v>
      </c>
      <c r="L5" s="11"/>
      <c r="M5" s="11">
        <v>610.65</v>
      </c>
      <c r="N5" s="11" t="s">
        <v>54</v>
      </c>
      <c r="O5" s="11" t="s">
        <v>50</v>
      </c>
    </row>
    <row r="6" spans="1:15" s="13" customFormat="1" ht="19.5" customHeight="1" x14ac:dyDescent="0.25">
      <c r="A6" s="11" t="s">
        <v>55</v>
      </c>
      <c r="B6" s="11" t="s">
        <v>55</v>
      </c>
      <c r="C6" s="12">
        <v>46112</v>
      </c>
      <c r="D6" s="12">
        <v>46142</v>
      </c>
      <c r="E6" s="11" t="s">
        <v>6</v>
      </c>
      <c r="F6" s="11" t="s">
        <v>56</v>
      </c>
      <c r="G6" s="11" t="s">
        <v>55</v>
      </c>
      <c r="H6" s="11"/>
      <c r="I6" s="11" t="s">
        <v>49</v>
      </c>
      <c r="J6" s="11">
        <v>3149.35</v>
      </c>
      <c r="K6" s="11">
        <v>3149.35</v>
      </c>
      <c r="L6" s="11"/>
      <c r="M6" s="11">
        <v>3149.35</v>
      </c>
      <c r="N6" s="11" t="s">
        <v>57</v>
      </c>
      <c r="O6" s="11" t="s">
        <v>50</v>
      </c>
    </row>
    <row r="7" spans="1:15" s="13" customFormat="1" ht="19.5" customHeight="1" x14ac:dyDescent="0.25">
      <c r="A7" s="11" t="s">
        <v>58</v>
      </c>
      <c r="B7" s="11" t="s">
        <v>58</v>
      </c>
      <c r="C7" s="12">
        <v>46112</v>
      </c>
      <c r="D7" s="12">
        <v>46202</v>
      </c>
      <c r="E7" s="11" t="s">
        <v>6</v>
      </c>
      <c r="F7" s="11" t="s">
        <v>59</v>
      </c>
      <c r="G7" s="11" t="s">
        <v>58</v>
      </c>
      <c r="H7" s="11"/>
      <c r="I7" s="11" t="s">
        <v>49</v>
      </c>
      <c r="J7" s="11">
        <v>14876.89</v>
      </c>
      <c r="K7" s="11">
        <v>14876.89</v>
      </c>
      <c r="L7" s="11"/>
      <c r="M7" s="11">
        <v>14876.89</v>
      </c>
      <c r="N7" s="11"/>
      <c r="O7" s="11" t="s">
        <v>50</v>
      </c>
    </row>
    <row r="8" spans="1:15" s="13" customFormat="1" ht="19.5" customHeight="1" x14ac:dyDescent="0.25">
      <c r="A8" s="11" t="s">
        <v>60</v>
      </c>
      <c r="B8" s="11" t="s">
        <v>60</v>
      </c>
      <c r="C8" s="12">
        <v>46112</v>
      </c>
      <c r="D8" s="12">
        <v>46142</v>
      </c>
      <c r="E8" s="11" t="s">
        <v>6</v>
      </c>
      <c r="F8" s="11" t="s">
        <v>61</v>
      </c>
      <c r="G8" s="11" t="s">
        <v>60</v>
      </c>
      <c r="H8" s="11"/>
      <c r="I8" s="11" t="s">
        <v>49</v>
      </c>
      <c r="J8" s="11">
        <v>1749.35</v>
      </c>
      <c r="K8" s="11">
        <v>1749.35</v>
      </c>
      <c r="L8" s="11"/>
      <c r="M8" s="11">
        <v>1749.35</v>
      </c>
      <c r="N8" s="11" t="s">
        <v>62</v>
      </c>
      <c r="O8" s="11" t="s">
        <v>50</v>
      </c>
    </row>
    <row r="9" spans="1:15" s="13" customFormat="1" ht="19.5" customHeight="1" x14ac:dyDescent="0.25">
      <c r="A9" s="11" t="s">
        <v>63</v>
      </c>
      <c r="B9" s="11" t="s">
        <v>63</v>
      </c>
      <c r="C9" s="12">
        <v>46112</v>
      </c>
      <c r="D9" s="12">
        <v>46172</v>
      </c>
      <c r="E9" s="11" t="s">
        <v>6</v>
      </c>
      <c r="F9" s="11" t="s">
        <v>64</v>
      </c>
      <c r="G9" s="11" t="s">
        <v>63</v>
      </c>
      <c r="H9" s="11"/>
      <c r="I9" s="11" t="s">
        <v>49</v>
      </c>
      <c r="J9" s="11">
        <v>3707.09</v>
      </c>
      <c r="K9" s="11">
        <v>3707.09</v>
      </c>
      <c r="L9" s="11"/>
      <c r="M9" s="11">
        <v>3707.09</v>
      </c>
      <c r="N9" s="11" t="s">
        <v>65</v>
      </c>
      <c r="O9" s="11" t="s">
        <v>50</v>
      </c>
    </row>
    <row r="10" spans="1:15" s="13" customFormat="1" ht="19.5" customHeight="1" x14ac:dyDescent="0.25">
      <c r="A10" s="11" t="s">
        <v>66</v>
      </c>
      <c r="B10" s="11" t="s">
        <v>66</v>
      </c>
      <c r="C10" s="12">
        <v>46112</v>
      </c>
      <c r="D10" s="12">
        <v>46112</v>
      </c>
      <c r="E10" s="11" t="s">
        <v>6</v>
      </c>
      <c r="F10" s="11" t="s">
        <v>67</v>
      </c>
      <c r="G10" s="11" t="s">
        <v>66</v>
      </c>
      <c r="H10" s="11"/>
      <c r="I10" s="11" t="s">
        <v>49</v>
      </c>
      <c r="J10" s="11">
        <v>71.91</v>
      </c>
      <c r="K10" s="11">
        <v>71.91</v>
      </c>
      <c r="L10" s="11"/>
      <c r="M10" s="11">
        <v>71.91</v>
      </c>
      <c r="N10" s="11"/>
      <c r="O10" s="11" t="s">
        <v>50</v>
      </c>
    </row>
    <row r="11" spans="1:15" s="13" customFormat="1" ht="19.5" customHeight="1" x14ac:dyDescent="0.25">
      <c r="A11" s="11" t="s">
        <v>68</v>
      </c>
      <c r="B11" s="11" t="s">
        <v>68</v>
      </c>
      <c r="C11" s="12">
        <v>46112</v>
      </c>
      <c r="D11" s="12">
        <v>46112</v>
      </c>
      <c r="E11" s="11" t="s">
        <v>6</v>
      </c>
      <c r="F11" s="11" t="s">
        <v>67</v>
      </c>
      <c r="G11" s="11" t="s">
        <v>68</v>
      </c>
      <c r="H11" s="11"/>
      <c r="I11" s="11" t="s">
        <v>49</v>
      </c>
      <c r="J11" s="11">
        <v>180.2</v>
      </c>
      <c r="K11" s="11">
        <v>180.2</v>
      </c>
      <c r="L11" s="11"/>
      <c r="M11" s="11">
        <v>180.2</v>
      </c>
      <c r="N11" s="11"/>
      <c r="O11" s="11" t="s">
        <v>50</v>
      </c>
    </row>
    <row r="12" spans="1:15" s="13" customFormat="1" ht="19.5" customHeight="1" x14ac:dyDescent="0.25">
      <c r="A12" s="11" t="s">
        <v>69</v>
      </c>
      <c r="B12" s="11" t="s">
        <v>69</v>
      </c>
      <c r="C12" s="12">
        <v>46112</v>
      </c>
      <c r="D12" s="12">
        <v>46112</v>
      </c>
      <c r="E12" s="11" t="s">
        <v>6</v>
      </c>
      <c r="F12" s="11" t="s">
        <v>70</v>
      </c>
      <c r="G12" s="11" t="s">
        <v>69</v>
      </c>
      <c r="H12" s="11"/>
      <c r="I12" s="11" t="s">
        <v>49</v>
      </c>
      <c r="J12" s="11">
        <v>860</v>
      </c>
      <c r="K12" s="11">
        <v>860</v>
      </c>
      <c r="L12" s="11"/>
      <c r="M12" s="11">
        <v>860</v>
      </c>
      <c r="N12" s="11" t="s">
        <v>71</v>
      </c>
      <c r="O12" s="11" t="s">
        <v>50</v>
      </c>
    </row>
    <row r="13" spans="1:15" s="13" customFormat="1" ht="19.5" customHeight="1" x14ac:dyDescent="0.25">
      <c r="A13" s="11" t="s">
        <v>72</v>
      </c>
      <c r="B13" s="11" t="s">
        <v>72</v>
      </c>
      <c r="C13" s="12">
        <v>46112</v>
      </c>
      <c r="D13" s="12">
        <v>46112</v>
      </c>
      <c r="E13" s="11" t="s">
        <v>6</v>
      </c>
      <c r="F13" s="11" t="s">
        <v>67</v>
      </c>
      <c r="G13" s="11" t="s">
        <v>72</v>
      </c>
      <c r="H13" s="11"/>
      <c r="I13" s="11" t="s">
        <v>49</v>
      </c>
      <c r="J13" s="11">
        <v>48.96</v>
      </c>
      <c r="K13" s="11">
        <v>48.96</v>
      </c>
      <c r="L13" s="11"/>
      <c r="M13" s="11">
        <v>48.96</v>
      </c>
      <c r="N13" s="11"/>
      <c r="O13" s="11" t="s">
        <v>50</v>
      </c>
    </row>
    <row r="14" spans="1:15" s="13" customFormat="1" ht="19.5" customHeight="1" x14ac:dyDescent="0.25">
      <c r="A14" s="11" t="s">
        <v>73</v>
      </c>
      <c r="B14" s="11" t="s">
        <v>73</v>
      </c>
      <c r="C14" s="12">
        <v>46112</v>
      </c>
      <c r="D14" s="12">
        <v>46112</v>
      </c>
      <c r="E14" s="11" t="s">
        <v>6</v>
      </c>
      <c r="F14" s="11" t="s">
        <v>74</v>
      </c>
      <c r="G14" s="11" t="s">
        <v>73</v>
      </c>
      <c r="H14" s="11"/>
      <c r="I14" s="11" t="s">
        <v>49</v>
      </c>
      <c r="J14" s="11">
        <v>100.92</v>
      </c>
      <c r="K14" s="11">
        <v>100.92</v>
      </c>
      <c r="L14" s="11"/>
      <c r="M14" s="11">
        <v>100.92</v>
      </c>
      <c r="N14" s="11"/>
      <c r="O14" s="11" t="s">
        <v>75</v>
      </c>
    </row>
    <row r="15" spans="1:15" s="13" customFormat="1" ht="19.5" customHeight="1" x14ac:dyDescent="0.25">
      <c r="A15" s="11" t="s">
        <v>76</v>
      </c>
      <c r="B15" s="11" t="s">
        <v>77</v>
      </c>
      <c r="C15" s="12">
        <v>46112</v>
      </c>
      <c r="D15" s="11"/>
      <c r="E15" s="11" t="s">
        <v>6</v>
      </c>
      <c r="F15" s="11"/>
      <c r="G15" s="11" t="s">
        <v>78</v>
      </c>
      <c r="H15" s="11" t="s">
        <v>79</v>
      </c>
      <c r="I15" s="11" t="s">
        <v>80</v>
      </c>
      <c r="J15" s="11"/>
      <c r="K15" s="11">
        <v>8.9</v>
      </c>
      <c r="L15" s="11"/>
      <c r="M15" s="11">
        <v>8.9</v>
      </c>
      <c r="N15" s="11" t="s">
        <v>81</v>
      </c>
      <c r="O15" s="11" t="s">
        <v>82</v>
      </c>
    </row>
    <row r="16" spans="1:15" s="13" customFormat="1" ht="19.5" customHeight="1" x14ac:dyDescent="0.25">
      <c r="A16" s="11" t="s">
        <v>83</v>
      </c>
      <c r="B16" s="11" t="s">
        <v>83</v>
      </c>
      <c r="C16" s="12">
        <v>46112</v>
      </c>
      <c r="D16" s="12">
        <v>46112</v>
      </c>
      <c r="E16" s="11" t="s">
        <v>6</v>
      </c>
      <c r="F16" s="11" t="s">
        <v>84</v>
      </c>
      <c r="G16" s="11" t="s">
        <v>83</v>
      </c>
      <c r="H16" s="11"/>
      <c r="I16" s="11" t="s">
        <v>49</v>
      </c>
      <c r="J16" s="11">
        <v>132.99</v>
      </c>
      <c r="K16" s="11">
        <v>132.99</v>
      </c>
      <c r="L16" s="11"/>
      <c r="M16" s="11">
        <v>132.99</v>
      </c>
      <c r="N16" s="11" t="s">
        <v>85</v>
      </c>
      <c r="O16" s="11" t="s">
        <v>50</v>
      </c>
    </row>
    <row r="17" spans="1:15" s="13" customFormat="1" ht="19.5" customHeight="1" x14ac:dyDescent="0.25">
      <c r="A17" s="11" t="s">
        <v>86</v>
      </c>
      <c r="B17" s="11" t="s">
        <v>86</v>
      </c>
      <c r="C17" s="12">
        <v>46112</v>
      </c>
      <c r="D17" s="12">
        <v>46112</v>
      </c>
      <c r="E17" s="11" t="s">
        <v>6</v>
      </c>
      <c r="F17" s="11" t="s">
        <v>87</v>
      </c>
      <c r="G17" s="11" t="s">
        <v>86</v>
      </c>
      <c r="H17" s="11"/>
      <c r="I17" s="11" t="s">
        <v>49</v>
      </c>
      <c r="J17" s="11">
        <v>162.41</v>
      </c>
      <c r="K17" s="11">
        <v>162.41</v>
      </c>
      <c r="L17" s="11"/>
      <c r="M17" s="11">
        <v>162.41</v>
      </c>
      <c r="N17" s="11" t="s">
        <v>88</v>
      </c>
      <c r="O17" s="11" t="s">
        <v>50</v>
      </c>
    </row>
    <row r="18" spans="1:15" s="13" customFormat="1" ht="19.5" customHeight="1" x14ac:dyDescent="0.25">
      <c r="A18" s="11" t="s">
        <v>89</v>
      </c>
      <c r="B18" s="11" t="s">
        <v>89</v>
      </c>
      <c r="C18" s="12">
        <v>46112</v>
      </c>
      <c r="D18" s="12">
        <v>46112</v>
      </c>
      <c r="E18" s="11" t="s">
        <v>6</v>
      </c>
      <c r="F18" s="11" t="s">
        <v>90</v>
      </c>
      <c r="G18" s="11" t="s">
        <v>89</v>
      </c>
      <c r="H18" s="11"/>
      <c r="I18" s="11" t="s">
        <v>49</v>
      </c>
      <c r="J18" s="11">
        <v>279.17</v>
      </c>
      <c r="K18" s="11">
        <v>279.17</v>
      </c>
      <c r="L18" s="11"/>
      <c r="M18" s="11">
        <v>279.17</v>
      </c>
      <c r="N18" s="11" t="s">
        <v>91</v>
      </c>
      <c r="O18" s="11" t="s">
        <v>50</v>
      </c>
    </row>
    <row r="19" spans="1:15" s="13" customFormat="1" ht="19.5" customHeight="1" x14ac:dyDescent="0.25">
      <c r="A19" s="11" t="s">
        <v>92</v>
      </c>
      <c r="B19" s="11" t="s">
        <v>92</v>
      </c>
      <c r="C19" s="12">
        <v>46112</v>
      </c>
      <c r="D19" s="12">
        <v>46112</v>
      </c>
      <c r="E19" s="11" t="s">
        <v>6</v>
      </c>
      <c r="F19" s="11" t="s">
        <v>93</v>
      </c>
      <c r="G19" s="11" t="s">
        <v>92</v>
      </c>
      <c r="H19" s="11"/>
      <c r="I19" s="11" t="s">
        <v>49</v>
      </c>
      <c r="J19" s="11">
        <v>229.5</v>
      </c>
      <c r="K19" s="11">
        <v>229.5</v>
      </c>
      <c r="L19" s="11"/>
      <c r="M19" s="11">
        <v>229.5</v>
      </c>
      <c r="N19" s="11"/>
      <c r="O19" s="11" t="s">
        <v>50</v>
      </c>
    </row>
    <row r="20" spans="1:15" s="13" customFormat="1" ht="19.5" customHeight="1" x14ac:dyDescent="0.25">
      <c r="A20" s="11" t="s">
        <v>94</v>
      </c>
      <c r="B20" s="11" t="s">
        <v>94</v>
      </c>
      <c r="C20" s="12">
        <v>46112</v>
      </c>
      <c r="D20" s="12">
        <v>46112</v>
      </c>
      <c r="E20" s="11" t="s">
        <v>6</v>
      </c>
      <c r="F20" s="11" t="s">
        <v>95</v>
      </c>
      <c r="G20" s="11" t="s">
        <v>94</v>
      </c>
      <c r="H20" s="11"/>
      <c r="I20" s="11" t="s">
        <v>49</v>
      </c>
      <c r="J20" s="11">
        <v>561.67999999999995</v>
      </c>
      <c r="K20" s="11">
        <v>561.67999999999995</v>
      </c>
      <c r="L20" s="11"/>
      <c r="M20" s="11">
        <v>561.67999999999995</v>
      </c>
      <c r="N20" s="11" t="s">
        <v>96</v>
      </c>
      <c r="O20" s="11" t="s">
        <v>50</v>
      </c>
    </row>
    <row r="21" spans="1:15" s="13" customFormat="1" ht="19.5" customHeight="1" x14ac:dyDescent="0.25">
      <c r="A21" s="11" t="s">
        <v>97</v>
      </c>
      <c r="B21" s="11" t="s">
        <v>97</v>
      </c>
      <c r="C21" s="12">
        <v>46112</v>
      </c>
      <c r="D21" s="12">
        <v>46112</v>
      </c>
      <c r="E21" s="11" t="s">
        <v>6</v>
      </c>
      <c r="F21" s="11" t="s">
        <v>98</v>
      </c>
      <c r="G21" s="11" t="s">
        <v>97</v>
      </c>
      <c r="H21" s="11"/>
      <c r="I21" s="11" t="s">
        <v>49</v>
      </c>
      <c r="J21" s="11">
        <v>88.31</v>
      </c>
      <c r="K21" s="11">
        <v>88.31</v>
      </c>
      <c r="L21" s="11"/>
      <c r="M21" s="11">
        <v>88.31</v>
      </c>
      <c r="N21" s="11" t="s">
        <v>99</v>
      </c>
      <c r="O21" s="11" t="s">
        <v>50</v>
      </c>
    </row>
    <row r="22" spans="1:15" s="13" customFormat="1" ht="19.5" customHeight="1" x14ac:dyDescent="0.25">
      <c r="A22" s="11" t="s">
        <v>100</v>
      </c>
      <c r="B22" s="11" t="s">
        <v>100</v>
      </c>
      <c r="C22" s="12">
        <v>46111</v>
      </c>
      <c r="D22" s="12">
        <v>46186</v>
      </c>
      <c r="E22" s="11" t="s">
        <v>6</v>
      </c>
      <c r="F22" s="11" t="s">
        <v>101</v>
      </c>
      <c r="G22" s="11" t="s">
        <v>100</v>
      </c>
      <c r="H22" s="11"/>
      <c r="I22" s="11" t="s">
        <v>49</v>
      </c>
      <c r="J22" s="11">
        <v>147833.88</v>
      </c>
      <c r="K22" s="11">
        <v>147833.88</v>
      </c>
      <c r="L22" s="11"/>
      <c r="M22" s="11">
        <v>147833.88</v>
      </c>
      <c r="N22" s="11" t="s">
        <v>102</v>
      </c>
      <c r="O22" s="11" t="s">
        <v>50</v>
      </c>
    </row>
    <row r="23" spans="1:15" s="13" customFormat="1" ht="19.5" customHeight="1" x14ac:dyDescent="0.25">
      <c r="A23" s="11" t="s">
        <v>103</v>
      </c>
      <c r="B23" s="11" t="s">
        <v>103</v>
      </c>
      <c r="C23" s="12">
        <v>46111</v>
      </c>
      <c r="D23" s="12">
        <v>46201</v>
      </c>
      <c r="E23" s="11" t="s">
        <v>6</v>
      </c>
      <c r="F23" s="11" t="s">
        <v>104</v>
      </c>
      <c r="G23" s="11" t="s">
        <v>103</v>
      </c>
      <c r="H23" s="11"/>
      <c r="I23" s="11" t="s">
        <v>49</v>
      </c>
      <c r="J23" s="11">
        <v>12845.51</v>
      </c>
      <c r="K23" s="11">
        <v>12845.51</v>
      </c>
      <c r="L23" s="11"/>
      <c r="M23" s="11">
        <v>12845.51</v>
      </c>
      <c r="N23" s="11" t="s">
        <v>105</v>
      </c>
      <c r="O23" s="11" t="s">
        <v>50</v>
      </c>
    </row>
    <row r="24" spans="1:15" s="13" customFormat="1" ht="19.5" customHeight="1" x14ac:dyDescent="0.25">
      <c r="A24" s="11" t="s">
        <v>106</v>
      </c>
      <c r="B24" s="11" t="s">
        <v>106</v>
      </c>
      <c r="C24" s="12">
        <v>46111</v>
      </c>
      <c r="D24" s="12">
        <v>46201</v>
      </c>
      <c r="E24" s="11" t="s">
        <v>6</v>
      </c>
      <c r="F24" s="11" t="s">
        <v>59</v>
      </c>
      <c r="G24" s="11" t="s">
        <v>106</v>
      </c>
      <c r="H24" s="11"/>
      <c r="I24" s="11" t="s">
        <v>49</v>
      </c>
      <c r="J24" s="11">
        <v>31865.51</v>
      </c>
      <c r="K24" s="11">
        <v>31865.51</v>
      </c>
      <c r="L24" s="11"/>
      <c r="M24" s="11">
        <v>31865.51</v>
      </c>
      <c r="N24" s="11"/>
      <c r="O24" s="11" t="s">
        <v>50</v>
      </c>
    </row>
    <row r="25" spans="1:15" s="13" customFormat="1" ht="19.5" customHeight="1" x14ac:dyDescent="0.25">
      <c r="A25" s="11" t="s">
        <v>107</v>
      </c>
      <c r="B25" s="11" t="s">
        <v>107</v>
      </c>
      <c r="C25" s="12">
        <v>46111</v>
      </c>
      <c r="D25" s="12">
        <v>46171</v>
      </c>
      <c r="E25" s="11" t="s">
        <v>6</v>
      </c>
      <c r="F25" s="11" t="s">
        <v>108</v>
      </c>
      <c r="G25" s="11" t="s">
        <v>107</v>
      </c>
      <c r="H25" s="11"/>
      <c r="I25" s="11" t="s">
        <v>49</v>
      </c>
      <c r="J25" s="11">
        <v>3071.33</v>
      </c>
      <c r="K25" s="11">
        <v>3071.33</v>
      </c>
      <c r="L25" s="11"/>
      <c r="M25" s="11">
        <v>3071.33</v>
      </c>
      <c r="N25" s="11" t="s">
        <v>109</v>
      </c>
      <c r="O25" s="11" t="s">
        <v>50</v>
      </c>
    </row>
    <row r="26" spans="1:15" s="13" customFormat="1" ht="19.5" customHeight="1" x14ac:dyDescent="0.25">
      <c r="A26" s="11" t="s">
        <v>110</v>
      </c>
      <c r="B26" s="11" t="s">
        <v>110</v>
      </c>
      <c r="C26" s="12">
        <v>46111</v>
      </c>
      <c r="D26" s="12">
        <v>46141</v>
      </c>
      <c r="E26" s="11" t="s">
        <v>6</v>
      </c>
      <c r="F26" s="11" t="s">
        <v>111</v>
      </c>
      <c r="G26" s="11" t="s">
        <v>110</v>
      </c>
      <c r="H26" s="11"/>
      <c r="I26" s="11" t="s">
        <v>49</v>
      </c>
      <c r="J26" s="11">
        <v>2582.7800000000002</v>
      </c>
      <c r="K26" s="11">
        <v>2582.7800000000002</v>
      </c>
      <c r="L26" s="11"/>
      <c r="M26" s="11">
        <v>2582.7800000000002</v>
      </c>
      <c r="N26" s="11" t="s">
        <v>112</v>
      </c>
      <c r="O26" s="11" t="s">
        <v>50</v>
      </c>
    </row>
    <row r="27" spans="1:15" s="13" customFormat="1" ht="19.5" customHeight="1" x14ac:dyDescent="0.25">
      <c r="A27" s="11" t="s">
        <v>113</v>
      </c>
      <c r="B27" s="11" t="s">
        <v>113</v>
      </c>
      <c r="C27" s="12">
        <v>46111</v>
      </c>
      <c r="D27" s="12">
        <v>46111</v>
      </c>
      <c r="E27" s="11" t="s">
        <v>6</v>
      </c>
      <c r="F27" s="11" t="s">
        <v>67</v>
      </c>
      <c r="G27" s="11" t="s">
        <v>113</v>
      </c>
      <c r="H27" s="11"/>
      <c r="I27" s="11" t="s">
        <v>49</v>
      </c>
      <c r="J27" s="11">
        <v>36.72</v>
      </c>
      <c r="K27" s="11">
        <v>36.72</v>
      </c>
      <c r="L27" s="11"/>
      <c r="M27" s="11">
        <v>36.72</v>
      </c>
      <c r="N27" s="11"/>
      <c r="O27" s="11" t="s">
        <v>50</v>
      </c>
    </row>
    <row r="28" spans="1:15" s="13" customFormat="1" ht="19.5" customHeight="1" x14ac:dyDescent="0.25">
      <c r="A28" s="11" t="s">
        <v>114</v>
      </c>
      <c r="B28" s="11" t="s">
        <v>114</v>
      </c>
      <c r="C28" s="12">
        <v>46111</v>
      </c>
      <c r="D28" s="12">
        <v>46111</v>
      </c>
      <c r="E28" s="11" t="s">
        <v>6</v>
      </c>
      <c r="F28" s="11" t="s">
        <v>115</v>
      </c>
      <c r="G28" s="11" t="s">
        <v>114</v>
      </c>
      <c r="H28" s="11"/>
      <c r="I28" s="11" t="s">
        <v>49</v>
      </c>
      <c r="J28" s="11">
        <v>131.04</v>
      </c>
      <c r="K28" s="11">
        <v>131.04</v>
      </c>
      <c r="L28" s="11"/>
      <c r="M28" s="11">
        <v>131.04</v>
      </c>
      <c r="N28" s="11" t="s">
        <v>116</v>
      </c>
      <c r="O28" s="11" t="s">
        <v>50</v>
      </c>
    </row>
    <row r="29" spans="1:15" s="13" customFormat="1" ht="19.5" customHeight="1" x14ac:dyDescent="0.25">
      <c r="A29" s="11" t="s">
        <v>117</v>
      </c>
      <c r="B29" s="11" t="s">
        <v>117</v>
      </c>
      <c r="C29" s="12">
        <v>46111</v>
      </c>
      <c r="D29" s="12">
        <v>46111</v>
      </c>
      <c r="E29" s="11" t="s">
        <v>6</v>
      </c>
      <c r="F29" s="11" t="s">
        <v>67</v>
      </c>
      <c r="G29" s="11" t="s">
        <v>117</v>
      </c>
      <c r="H29" s="11"/>
      <c r="I29" s="11" t="s">
        <v>49</v>
      </c>
      <c r="J29" s="11">
        <v>180.2</v>
      </c>
      <c r="K29" s="11">
        <v>180.2</v>
      </c>
      <c r="L29" s="11"/>
      <c r="M29" s="11">
        <v>180.2</v>
      </c>
      <c r="N29" s="11"/>
      <c r="O29" s="11" t="s">
        <v>50</v>
      </c>
    </row>
    <row r="30" spans="1:15" s="13" customFormat="1" ht="19.5" customHeight="1" x14ac:dyDescent="0.25">
      <c r="A30" s="11" t="s">
        <v>118</v>
      </c>
      <c r="B30" s="11" t="s">
        <v>118</v>
      </c>
      <c r="C30" s="12">
        <v>46111</v>
      </c>
      <c r="D30" s="12">
        <v>46111</v>
      </c>
      <c r="E30" s="11" t="s">
        <v>6</v>
      </c>
      <c r="F30" s="11" t="s">
        <v>119</v>
      </c>
      <c r="G30" s="11" t="s">
        <v>118</v>
      </c>
      <c r="H30" s="11"/>
      <c r="I30" s="11" t="s">
        <v>49</v>
      </c>
      <c r="J30" s="11">
        <v>168.48</v>
      </c>
      <c r="K30" s="11">
        <v>168.48</v>
      </c>
      <c r="L30" s="11"/>
      <c r="M30" s="11">
        <v>168.48</v>
      </c>
      <c r="N30" s="11" t="s">
        <v>120</v>
      </c>
      <c r="O30" s="11" t="s">
        <v>50</v>
      </c>
    </row>
    <row r="31" spans="1:15" s="13" customFormat="1" ht="19.5" customHeight="1" x14ac:dyDescent="0.25">
      <c r="A31" s="11" t="s">
        <v>121</v>
      </c>
      <c r="B31" s="11" t="s">
        <v>121</v>
      </c>
      <c r="C31" s="12">
        <v>46111</v>
      </c>
      <c r="D31" s="12">
        <v>46111</v>
      </c>
      <c r="E31" s="11" t="s">
        <v>6</v>
      </c>
      <c r="F31" s="11" t="s">
        <v>122</v>
      </c>
      <c r="G31" s="11" t="s">
        <v>121</v>
      </c>
      <c r="H31" s="11"/>
      <c r="I31" s="11" t="s">
        <v>49</v>
      </c>
      <c r="J31" s="11">
        <v>188.2</v>
      </c>
      <c r="K31" s="11">
        <v>188.2</v>
      </c>
      <c r="L31" s="11"/>
      <c r="M31" s="11">
        <v>188.2</v>
      </c>
      <c r="N31" s="11" t="s">
        <v>123</v>
      </c>
      <c r="O31" s="11" t="s">
        <v>50</v>
      </c>
    </row>
    <row r="32" spans="1:15" s="13" customFormat="1" ht="19.5" customHeight="1" x14ac:dyDescent="0.25">
      <c r="A32" s="11" t="s">
        <v>124</v>
      </c>
      <c r="B32" s="11" t="s">
        <v>124</v>
      </c>
      <c r="C32" s="12">
        <v>46111</v>
      </c>
      <c r="D32" s="12">
        <v>46111</v>
      </c>
      <c r="E32" s="11" t="s">
        <v>6</v>
      </c>
      <c r="F32" s="11" t="s">
        <v>125</v>
      </c>
      <c r="G32" s="11" t="s">
        <v>124</v>
      </c>
      <c r="H32" s="11"/>
      <c r="I32" s="11" t="s">
        <v>49</v>
      </c>
      <c r="J32" s="11">
        <v>146.25</v>
      </c>
      <c r="K32" s="11">
        <v>146.25</v>
      </c>
      <c r="L32" s="11"/>
      <c r="M32" s="11">
        <v>146.25</v>
      </c>
      <c r="N32" s="11" t="s">
        <v>126</v>
      </c>
      <c r="O32" s="11" t="s">
        <v>50</v>
      </c>
    </row>
    <row r="33" spans="1:15" s="13" customFormat="1" ht="19.5" customHeight="1" x14ac:dyDescent="0.25">
      <c r="A33" s="11" t="s">
        <v>127</v>
      </c>
      <c r="B33" s="11" t="s">
        <v>127</v>
      </c>
      <c r="C33" s="12">
        <v>46111</v>
      </c>
      <c r="D33" s="12">
        <v>46111</v>
      </c>
      <c r="E33" s="11" t="s">
        <v>6</v>
      </c>
      <c r="F33" s="11" t="s">
        <v>128</v>
      </c>
      <c r="G33" s="11" t="s">
        <v>127</v>
      </c>
      <c r="H33" s="11"/>
      <c r="I33" s="11" t="s">
        <v>49</v>
      </c>
      <c r="J33" s="11">
        <v>55.6</v>
      </c>
      <c r="K33" s="11">
        <v>55.6</v>
      </c>
      <c r="L33" s="11"/>
      <c r="M33" s="11">
        <v>55.6</v>
      </c>
      <c r="N33" s="11" t="s">
        <v>129</v>
      </c>
      <c r="O33" s="11" t="s">
        <v>50</v>
      </c>
    </row>
    <row r="34" spans="1:15" s="13" customFormat="1" ht="19.5" customHeight="1" x14ac:dyDescent="0.25">
      <c r="A34" s="11" t="s">
        <v>130</v>
      </c>
      <c r="B34" s="11" t="s">
        <v>130</v>
      </c>
      <c r="C34" s="12">
        <v>46111</v>
      </c>
      <c r="D34" s="12">
        <v>46111</v>
      </c>
      <c r="E34" s="11" t="s">
        <v>6</v>
      </c>
      <c r="F34" s="11" t="s">
        <v>131</v>
      </c>
      <c r="G34" s="11" t="s">
        <v>130</v>
      </c>
      <c r="H34" s="11"/>
      <c r="I34" s="11" t="s">
        <v>49</v>
      </c>
      <c r="J34" s="11">
        <v>247.15</v>
      </c>
      <c r="K34" s="11">
        <v>247.15</v>
      </c>
      <c r="L34" s="11"/>
      <c r="M34" s="11">
        <v>247.15</v>
      </c>
      <c r="N34" s="11" t="s">
        <v>132</v>
      </c>
      <c r="O34" s="11" t="s">
        <v>50</v>
      </c>
    </row>
    <row r="35" spans="1:15" s="13" customFormat="1" ht="19.5" customHeight="1" x14ac:dyDescent="0.25">
      <c r="A35" s="11" t="s">
        <v>133</v>
      </c>
      <c r="B35" s="11" t="s">
        <v>133</v>
      </c>
      <c r="C35" s="12">
        <v>46111</v>
      </c>
      <c r="D35" s="12">
        <v>46111</v>
      </c>
      <c r="E35" s="11" t="s">
        <v>6</v>
      </c>
      <c r="F35" s="11" t="s">
        <v>134</v>
      </c>
      <c r="G35" s="11" t="s">
        <v>133</v>
      </c>
      <c r="H35" s="11"/>
      <c r="I35" s="11" t="s">
        <v>49</v>
      </c>
      <c r="J35" s="11">
        <v>48.5</v>
      </c>
      <c r="K35" s="11">
        <v>48.5</v>
      </c>
      <c r="L35" s="11"/>
      <c r="M35" s="11">
        <v>48.5</v>
      </c>
      <c r="N35" s="11" t="s">
        <v>135</v>
      </c>
      <c r="O35" s="11" t="s">
        <v>50</v>
      </c>
    </row>
    <row r="36" spans="1:15" s="13" customFormat="1" ht="19.5" customHeight="1" x14ac:dyDescent="0.25">
      <c r="A36" s="11" t="s">
        <v>136</v>
      </c>
      <c r="B36" s="11" t="s">
        <v>136</v>
      </c>
      <c r="C36" s="12">
        <v>46111</v>
      </c>
      <c r="D36" s="12">
        <v>46111</v>
      </c>
      <c r="E36" s="11" t="s">
        <v>6</v>
      </c>
      <c r="F36" s="11" t="s">
        <v>137</v>
      </c>
      <c r="G36" s="11" t="s">
        <v>136</v>
      </c>
      <c r="H36" s="11"/>
      <c r="I36" s="11" t="s">
        <v>49</v>
      </c>
      <c r="J36" s="11">
        <v>719.27</v>
      </c>
      <c r="K36" s="11">
        <v>719.27</v>
      </c>
      <c r="L36" s="11"/>
      <c r="M36" s="11">
        <v>719.27</v>
      </c>
      <c r="N36" s="11" t="s">
        <v>138</v>
      </c>
      <c r="O36" s="11" t="s">
        <v>50</v>
      </c>
    </row>
    <row r="37" spans="1:15" s="13" customFormat="1" ht="19.5" customHeight="1" x14ac:dyDescent="0.25">
      <c r="A37" s="11" t="s">
        <v>139</v>
      </c>
      <c r="B37" s="11" t="s">
        <v>139</v>
      </c>
      <c r="C37" s="12">
        <v>46111</v>
      </c>
      <c r="D37" s="12">
        <v>46111</v>
      </c>
      <c r="E37" s="11" t="s">
        <v>6</v>
      </c>
      <c r="F37" s="11" t="s">
        <v>140</v>
      </c>
      <c r="G37" s="11" t="s">
        <v>139</v>
      </c>
      <c r="H37" s="11"/>
      <c r="I37" s="11" t="s">
        <v>49</v>
      </c>
      <c r="J37" s="11">
        <v>209.43</v>
      </c>
      <c r="K37" s="11">
        <v>209.43</v>
      </c>
      <c r="L37" s="11"/>
      <c r="M37" s="11">
        <v>209.43</v>
      </c>
      <c r="N37" s="11" t="s">
        <v>141</v>
      </c>
      <c r="O37" s="11" t="s">
        <v>50</v>
      </c>
    </row>
    <row r="38" spans="1:15" s="13" customFormat="1" ht="19.5" customHeight="1" x14ac:dyDescent="0.25">
      <c r="A38" s="11" t="s">
        <v>142</v>
      </c>
      <c r="B38" s="11" t="s">
        <v>142</v>
      </c>
      <c r="C38" s="12">
        <v>46111</v>
      </c>
      <c r="D38" s="12">
        <v>46111</v>
      </c>
      <c r="E38" s="11" t="s">
        <v>6</v>
      </c>
      <c r="F38" s="11" t="s">
        <v>143</v>
      </c>
      <c r="G38" s="11" t="s">
        <v>142</v>
      </c>
      <c r="H38" s="11"/>
      <c r="I38" s="11" t="s">
        <v>49</v>
      </c>
      <c r="J38" s="11">
        <v>169.11</v>
      </c>
      <c r="K38" s="11">
        <v>169.11</v>
      </c>
      <c r="L38" s="11"/>
      <c r="M38" s="11">
        <v>169.11</v>
      </c>
      <c r="N38" s="11" t="s">
        <v>144</v>
      </c>
      <c r="O38" s="11" t="s">
        <v>50</v>
      </c>
    </row>
    <row r="39" spans="1:15" s="13" customFormat="1" ht="19.5" customHeight="1" x14ac:dyDescent="0.25">
      <c r="A39" s="11" t="s">
        <v>145</v>
      </c>
      <c r="B39" s="11" t="s">
        <v>145</v>
      </c>
      <c r="C39" s="12">
        <v>46111</v>
      </c>
      <c r="D39" s="12">
        <v>46111</v>
      </c>
      <c r="E39" s="11" t="s">
        <v>6</v>
      </c>
      <c r="F39" s="11" t="s">
        <v>146</v>
      </c>
      <c r="G39" s="11" t="s">
        <v>145</v>
      </c>
      <c r="H39" s="11"/>
      <c r="I39" s="11" t="s">
        <v>49</v>
      </c>
      <c r="J39" s="11">
        <v>107.2</v>
      </c>
      <c r="K39" s="11">
        <v>107.2</v>
      </c>
      <c r="L39" s="11"/>
      <c r="M39" s="11">
        <v>107.2</v>
      </c>
      <c r="N39" s="11" t="s">
        <v>147</v>
      </c>
      <c r="O39" s="11" t="s">
        <v>50</v>
      </c>
    </row>
    <row r="40" spans="1:15" s="13" customFormat="1" ht="19.5" customHeight="1" x14ac:dyDescent="0.25">
      <c r="A40" s="11" t="s">
        <v>148</v>
      </c>
      <c r="B40" s="11" t="s">
        <v>148</v>
      </c>
      <c r="C40" s="12">
        <v>46111</v>
      </c>
      <c r="D40" s="12">
        <v>46111</v>
      </c>
      <c r="E40" s="11" t="s">
        <v>6</v>
      </c>
      <c r="F40" s="11" t="s">
        <v>149</v>
      </c>
      <c r="G40" s="11" t="s">
        <v>148</v>
      </c>
      <c r="H40" s="11"/>
      <c r="I40" s="11" t="s">
        <v>49</v>
      </c>
      <c r="J40" s="11">
        <v>167.6</v>
      </c>
      <c r="K40" s="11">
        <v>167.6</v>
      </c>
      <c r="L40" s="11"/>
      <c r="M40" s="11">
        <v>167.6</v>
      </c>
      <c r="N40" s="11" t="s">
        <v>150</v>
      </c>
      <c r="O40" s="11" t="s">
        <v>50</v>
      </c>
    </row>
    <row r="41" spans="1:15" s="13" customFormat="1" ht="19.5" customHeight="1" x14ac:dyDescent="0.25">
      <c r="A41" s="11" t="s">
        <v>151</v>
      </c>
      <c r="B41" s="11" t="s">
        <v>151</v>
      </c>
      <c r="C41" s="12">
        <v>46111</v>
      </c>
      <c r="D41" s="12">
        <v>46111</v>
      </c>
      <c r="E41" s="11" t="s">
        <v>6</v>
      </c>
      <c r="F41" s="11" t="s">
        <v>152</v>
      </c>
      <c r="G41" s="11" t="s">
        <v>151</v>
      </c>
      <c r="H41" s="11"/>
      <c r="I41" s="11" t="s">
        <v>49</v>
      </c>
      <c r="J41" s="11">
        <v>83.99</v>
      </c>
      <c r="K41" s="11">
        <v>83.99</v>
      </c>
      <c r="L41" s="11"/>
      <c r="M41" s="11">
        <v>83.99</v>
      </c>
      <c r="N41" s="11"/>
      <c r="O41" s="11" t="s">
        <v>50</v>
      </c>
    </row>
    <row r="42" spans="1:15" s="13" customFormat="1" ht="19.5" customHeight="1" x14ac:dyDescent="0.25">
      <c r="A42" s="11" t="s">
        <v>153</v>
      </c>
      <c r="B42" s="11" t="s">
        <v>153</v>
      </c>
      <c r="C42" s="12">
        <v>46111</v>
      </c>
      <c r="D42" s="12">
        <v>46111</v>
      </c>
      <c r="E42" s="11" t="s">
        <v>6</v>
      </c>
      <c r="F42" s="11" t="s">
        <v>154</v>
      </c>
      <c r="G42" s="11" t="s">
        <v>153</v>
      </c>
      <c r="H42" s="11"/>
      <c r="I42" s="11" t="s">
        <v>49</v>
      </c>
      <c r="J42" s="11">
        <v>128.25</v>
      </c>
      <c r="K42" s="11">
        <v>128.25</v>
      </c>
      <c r="L42" s="11"/>
      <c r="M42" s="11">
        <v>128.25</v>
      </c>
      <c r="N42" s="11" t="s">
        <v>155</v>
      </c>
      <c r="O42" s="11" t="s">
        <v>50</v>
      </c>
    </row>
    <row r="43" spans="1:15" s="13" customFormat="1" ht="19.5" customHeight="1" x14ac:dyDescent="0.25">
      <c r="A43" s="11" t="s">
        <v>156</v>
      </c>
      <c r="B43" s="11" t="s">
        <v>156</v>
      </c>
      <c r="C43" s="12">
        <v>46111</v>
      </c>
      <c r="D43" s="12">
        <v>46111</v>
      </c>
      <c r="E43" s="11" t="s">
        <v>6</v>
      </c>
      <c r="F43" s="11" t="s">
        <v>157</v>
      </c>
      <c r="G43" s="11" t="s">
        <v>156</v>
      </c>
      <c r="H43" s="11"/>
      <c r="I43" s="11" t="s">
        <v>49</v>
      </c>
      <c r="J43" s="11">
        <v>128.25</v>
      </c>
      <c r="K43" s="11">
        <v>128.25</v>
      </c>
      <c r="L43" s="11"/>
      <c r="M43" s="11">
        <v>128.25</v>
      </c>
      <c r="N43" s="11" t="s">
        <v>158</v>
      </c>
      <c r="O43" s="11" t="s">
        <v>50</v>
      </c>
    </row>
    <row r="44" spans="1:15" s="13" customFormat="1" ht="19.5" customHeight="1" x14ac:dyDescent="0.25">
      <c r="A44" s="11" t="s">
        <v>159</v>
      </c>
      <c r="B44" s="11" t="s">
        <v>159</v>
      </c>
      <c r="C44" s="12">
        <v>46111</v>
      </c>
      <c r="D44" s="12">
        <v>46111</v>
      </c>
      <c r="E44" s="11" t="s">
        <v>6</v>
      </c>
      <c r="F44" s="11" t="s">
        <v>160</v>
      </c>
      <c r="G44" s="11" t="s">
        <v>159</v>
      </c>
      <c r="H44" s="11"/>
      <c r="I44" s="11" t="s">
        <v>49</v>
      </c>
      <c r="J44" s="11">
        <v>76.72</v>
      </c>
      <c r="K44" s="11">
        <v>76.72</v>
      </c>
      <c r="L44" s="11"/>
      <c r="M44" s="11">
        <v>76.72</v>
      </c>
      <c r="N44" s="11" t="s">
        <v>161</v>
      </c>
      <c r="O44" s="11" t="s">
        <v>50</v>
      </c>
    </row>
    <row r="45" spans="1:15" s="13" customFormat="1" ht="19.5" customHeight="1" x14ac:dyDescent="0.25">
      <c r="A45" s="11" t="s">
        <v>162</v>
      </c>
      <c r="B45" s="11" t="s">
        <v>162</v>
      </c>
      <c r="C45" s="12">
        <v>46111</v>
      </c>
      <c r="D45" s="12">
        <v>46111</v>
      </c>
      <c r="E45" s="11" t="s">
        <v>6</v>
      </c>
      <c r="F45" s="11" t="s">
        <v>163</v>
      </c>
      <c r="G45" s="11" t="s">
        <v>162</v>
      </c>
      <c r="H45" s="11"/>
      <c r="I45" s="11" t="s">
        <v>49</v>
      </c>
      <c r="J45" s="11">
        <v>145.79</v>
      </c>
      <c r="K45" s="11">
        <v>145.79</v>
      </c>
      <c r="L45" s="11"/>
      <c r="M45" s="11">
        <v>145.79</v>
      </c>
      <c r="N45" s="11" t="s">
        <v>164</v>
      </c>
      <c r="O45" s="11" t="s">
        <v>50</v>
      </c>
    </row>
    <row r="46" spans="1:15" s="13" customFormat="1" ht="19.5" customHeight="1" x14ac:dyDescent="0.25">
      <c r="A46" s="11" t="s">
        <v>165</v>
      </c>
      <c r="B46" s="11" t="s">
        <v>165</v>
      </c>
      <c r="C46" s="12">
        <v>46111</v>
      </c>
      <c r="D46" s="12">
        <v>46111</v>
      </c>
      <c r="E46" s="11" t="s">
        <v>6</v>
      </c>
      <c r="F46" s="11" t="s">
        <v>166</v>
      </c>
      <c r="G46" s="11" t="s">
        <v>165</v>
      </c>
      <c r="H46" s="11"/>
      <c r="I46" s="11" t="s">
        <v>49</v>
      </c>
      <c r="J46" s="11">
        <v>67.94</v>
      </c>
      <c r="K46" s="11">
        <v>67.94</v>
      </c>
      <c r="L46" s="11"/>
      <c r="M46" s="11">
        <v>67.94</v>
      </c>
      <c r="N46" s="11" t="s">
        <v>167</v>
      </c>
      <c r="O46" s="11" t="s">
        <v>50</v>
      </c>
    </row>
    <row r="47" spans="1:15" s="13" customFormat="1" ht="19.5" customHeight="1" x14ac:dyDescent="0.25">
      <c r="A47" s="11" t="s">
        <v>168</v>
      </c>
      <c r="B47" s="11" t="s">
        <v>168</v>
      </c>
      <c r="C47" s="12">
        <v>46111</v>
      </c>
      <c r="D47" s="12">
        <v>46111</v>
      </c>
      <c r="E47" s="11" t="s">
        <v>6</v>
      </c>
      <c r="F47" s="11" t="s">
        <v>169</v>
      </c>
      <c r="G47" s="11" t="s">
        <v>168</v>
      </c>
      <c r="H47" s="11"/>
      <c r="I47" s="11" t="s">
        <v>49</v>
      </c>
      <c r="J47" s="11">
        <v>53.9</v>
      </c>
      <c r="K47" s="11">
        <v>53.9</v>
      </c>
      <c r="L47" s="11"/>
      <c r="M47" s="11">
        <v>53.9</v>
      </c>
      <c r="N47" s="11"/>
      <c r="O47" s="11" t="s">
        <v>50</v>
      </c>
    </row>
    <row r="48" spans="1:15" s="13" customFormat="1" ht="19.5" customHeight="1" x14ac:dyDescent="0.25">
      <c r="A48" s="11" t="s">
        <v>170</v>
      </c>
      <c r="B48" s="11" t="s">
        <v>170</v>
      </c>
      <c r="C48" s="12">
        <v>46111</v>
      </c>
      <c r="D48" s="12">
        <v>46111</v>
      </c>
      <c r="E48" s="11" t="s">
        <v>6</v>
      </c>
      <c r="F48" s="11" t="s">
        <v>171</v>
      </c>
      <c r="G48" s="11" t="s">
        <v>170</v>
      </c>
      <c r="H48" s="11"/>
      <c r="I48" s="11" t="s">
        <v>49</v>
      </c>
      <c r="J48" s="11">
        <v>107.2</v>
      </c>
      <c r="K48" s="11">
        <v>107.2</v>
      </c>
      <c r="L48" s="11"/>
      <c r="M48" s="11">
        <v>107.2</v>
      </c>
      <c r="N48" s="11" t="s">
        <v>172</v>
      </c>
      <c r="O48" s="11" t="s">
        <v>50</v>
      </c>
    </row>
    <row r="49" spans="1:15" s="13" customFormat="1" ht="19.5" customHeight="1" x14ac:dyDescent="0.25">
      <c r="A49" s="11" t="s">
        <v>173</v>
      </c>
      <c r="B49" s="11" t="s">
        <v>173</v>
      </c>
      <c r="C49" s="12">
        <v>46111</v>
      </c>
      <c r="D49" s="12">
        <v>46111</v>
      </c>
      <c r="E49" s="11" t="s">
        <v>6</v>
      </c>
      <c r="F49" s="11" t="s">
        <v>174</v>
      </c>
      <c r="G49" s="11" t="s">
        <v>173</v>
      </c>
      <c r="H49" s="11"/>
      <c r="I49" s="11" t="s">
        <v>49</v>
      </c>
      <c r="J49" s="11">
        <v>163.51</v>
      </c>
      <c r="K49" s="11">
        <v>163.51</v>
      </c>
      <c r="L49" s="11"/>
      <c r="M49" s="11">
        <v>163.51</v>
      </c>
      <c r="N49" s="11" t="s">
        <v>175</v>
      </c>
      <c r="O49" s="11" t="s">
        <v>50</v>
      </c>
    </row>
    <row r="50" spans="1:15" s="13" customFormat="1" ht="19.5" customHeight="1" x14ac:dyDescent="0.25">
      <c r="A50" s="11" t="s">
        <v>176</v>
      </c>
      <c r="B50" s="11" t="s">
        <v>176</v>
      </c>
      <c r="C50" s="12">
        <v>46111</v>
      </c>
      <c r="D50" s="12">
        <v>46111</v>
      </c>
      <c r="E50" s="11" t="s">
        <v>6</v>
      </c>
      <c r="F50" s="11" t="s">
        <v>177</v>
      </c>
      <c r="G50" s="11" t="s">
        <v>176</v>
      </c>
      <c r="H50" s="11"/>
      <c r="I50" s="11" t="s">
        <v>49</v>
      </c>
      <c r="J50" s="11">
        <v>51.2</v>
      </c>
      <c r="K50" s="11">
        <v>51.2</v>
      </c>
      <c r="L50" s="11"/>
      <c r="M50" s="11">
        <v>51.2</v>
      </c>
      <c r="N50" s="11" t="s">
        <v>178</v>
      </c>
      <c r="O50" s="11" t="s">
        <v>50</v>
      </c>
    </row>
    <row r="51" spans="1:15" s="13" customFormat="1" ht="19.5" customHeight="1" x14ac:dyDescent="0.25">
      <c r="A51" s="11" t="s">
        <v>179</v>
      </c>
      <c r="B51" s="11" t="s">
        <v>179</v>
      </c>
      <c r="C51" s="12">
        <v>46111</v>
      </c>
      <c r="D51" s="12">
        <v>46111</v>
      </c>
      <c r="E51" s="11" t="s">
        <v>6</v>
      </c>
      <c r="F51" s="11" t="s">
        <v>180</v>
      </c>
      <c r="G51" s="11" t="s">
        <v>179</v>
      </c>
      <c r="H51" s="11"/>
      <c r="I51" s="11" t="s">
        <v>49</v>
      </c>
      <c r="J51" s="11">
        <v>75.83</v>
      </c>
      <c r="K51" s="11">
        <v>75.83</v>
      </c>
      <c r="L51" s="11"/>
      <c r="M51" s="11">
        <v>75.83</v>
      </c>
      <c r="N51" s="11" t="s">
        <v>181</v>
      </c>
      <c r="O51" s="11" t="s">
        <v>50</v>
      </c>
    </row>
    <row r="52" spans="1:15" s="13" customFormat="1" ht="19.5" customHeight="1" x14ac:dyDescent="0.25">
      <c r="A52" s="11" t="s">
        <v>182</v>
      </c>
      <c r="B52" s="11" t="s">
        <v>182</v>
      </c>
      <c r="C52" s="12">
        <v>46111</v>
      </c>
      <c r="D52" s="12">
        <v>46111</v>
      </c>
      <c r="E52" s="11" t="s">
        <v>6</v>
      </c>
      <c r="F52" s="11" t="s">
        <v>183</v>
      </c>
      <c r="G52" s="11" t="s">
        <v>182</v>
      </c>
      <c r="H52" s="11"/>
      <c r="I52" s="11" t="s">
        <v>49</v>
      </c>
      <c r="J52" s="11">
        <v>85.51</v>
      </c>
      <c r="K52" s="11">
        <v>85.51</v>
      </c>
      <c r="L52" s="11"/>
      <c r="M52" s="11">
        <v>85.51</v>
      </c>
      <c r="N52" s="11" t="s">
        <v>184</v>
      </c>
      <c r="O52" s="11" t="s">
        <v>50</v>
      </c>
    </row>
    <row r="53" spans="1:15" s="13" customFormat="1" ht="19.5" customHeight="1" x14ac:dyDescent="0.25">
      <c r="A53" s="11" t="s">
        <v>185</v>
      </c>
      <c r="B53" s="11" t="s">
        <v>185</v>
      </c>
      <c r="C53" s="12">
        <v>46111</v>
      </c>
      <c r="D53" s="12">
        <v>46111</v>
      </c>
      <c r="E53" s="11" t="s">
        <v>6</v>
      </c>
      <c r="F53" s="11" t="s">
        <v>186</v>
      </c>
      <c r="G53" s="11" t="s">
        <v>185</v>
      </c>
      <c r="H53" s="11"/>
      <c r="I53" s="11" t="s">
        <v>49</v>
      </c>
      <c r="J53" s="11">
        <v>53.9</v>
      </c>
      <c r="K53" s="11">
        <v>53.9</v>
      </c>
      <c r="L53" s="11"/>
      <c r="M53" s="11">
        <v>53.9</v>
      </c>
      <c r="N53" s="11" t="s">
        <v>187</v>
      </c>
      <c r="O53" s="11" t="s">
        <v>50</v>
      </c>
    </row>
    <row r="54" spans="1:15" s="13" customFormat="1" ht="19.5" customHeight="1" x14ac:dyDescent="0.25">
      <c r="A54" s="11" t="s">
        <v>188</v>
      </c>
      <c r="B54" s="11" t="s">
        <v>188</v>
      </c>
      <c r="C54" s="12">
        <v>46111</v>
      </c>
      <c r="D54" s="12">
        <v>46111</v>
      </c>
      <c r="E54" s="11" t="s">
        <v>6</v>
      </c>
      <c r="F54" s="11" t="s">
        <v>183</v>
      </c>
      <c r="G54" s="11" t="s">
        <v>188</v>
      </c>
      <c r="H54" s="11"/>
      <c r="I54" s="11" t="s">
        <v>49</v>
      </c>
      <c r="J54" s="11">
        <v>62</v>
      </c>
      <c r="K54" s="11">
        <v>62</v>
      </c>
      <c r="L54" s="11"/>
      <c r="M54" s="11">
        <v>62</v>
      </c>
      <c r="N54" s="11" t="s">
        <v>189</v>
      </c>
      <c r="O54" s="11" t="s">
        <v>50</v>
      </c>
    </row>
    <row r="55" spans="1:15" s="13" customFormat="1" ht="19.5" customHeight="1" x14ac:dyDescent="0.25">
      <c r="A55" s="11" t="s">
        <v>190</v>
      </c>
      <c r="B55" s="11" t="s">
        <v>190</v>
      </c>
      <c r="C55" s="12">
        <v>46111</v>
      </c>
      <c r="D55" s="12">
        <v>46111</v>
      </c>
      <c r="E55" s="11" t="s">
        <v>6</v>
      </c>
      <c r="F55" s="11" t="s">
        <v>191</v>
      </c>
      <c r="G55" s="11" t="s">
        <v>190</v>
      </c>
      <c r="H55" s="11"/>
      <c r="I55" s="11" t="s">
        <v>49</v>
      </c>
      <c r="J55" s="11">
        <v>117.1</v>
      </c>
      <c r="K55" s="11">
        <v>117.1</v>
      </c>
      <c r="L55" s="11"/>
      <c r="M55" s="11">
        <v>117.1</v>
      </c>
      <c r="N55" s="11" t="s">
        <v>192</v>
      </c>
      <c r="O55" s="11" t="s">
        <v>50</v>
      </c>
    </row>
    <row r="56" spans="1:15" s="13" customFormat="1" ht="19.5" customHeight="1" x14ac:dyDescent="0.25">
      <c r="A56" s="11" t="s">
        <v>193</v>
      </c>
      <c r="B56" s="11" t="s">
        <v>193</v>
      </c>
      <c r="C56" s="12">
        <v>46108</v>
      </c>
      <c r="D56" s="12">
        <v>46153</v>
      </c>
      <c r="E56" s="11" t="s">
        <v>6</v>
      </c>
      <c r="F56" s="11" t="s">
        <v>194</v>
      </c>
      <c r="G56" s="11" t="s">
        <v>193</v>
      </c>
      <c r="H56" s="11"/>
      <c r="I56" s="11" t="s">
        <v>49</v>
      </c>
      <c r="J56" s="11">
        <v>8640.43</v>
      </c>
      <c r="K56" s="11">
        <v>8640.43</v>
      </c>
      <c r="L56" s="11"/>
      <c r="M56" s="11">
        <v>8640.43</v>
      </c>
      <c r="N56" s="11" t="s">
        <v>195</v>
      </c>
      <c r="O56" s="11" t="s">
        <v>50</v>
      </c>
    </row>
    <row r="57" spans="1:15" s="13" customFormat="1" ht="19.5" customHeight="1" x14ac:dyDescent="0.25">
      <c r="A57" s="11" t="s">
        <v>196</v>
      </c>
      <c r="B57" s="11" t="s">
        <v>196</v>
      </c>
      <c r="C57" s="12">
        <v>46108</v>
      </c>
      <c r="D57" s="12">
        <v>46108</v>
      </c>
      <c r="E57" s="11" t="s">
        <v>6</v>
      </c>
      <c r="F57" s="11" t="s">
        <v>197</v>
      </c>
      <c r="G57" s="11" t="s">
        <v>196</v>
      </c>
      <c r="H57" s="11"/>
      <c r="I57" s="11" t="s">
        <v>49</v>
      </c>
      <c r="J57" s="11">
        <v>93.49</v>
      </c>
      <c r="K57" s="11">
        <v>93.49</v>
      </c>
      <c r="L57" s="11"/>
      <c r="M57" s="11">
        <v>93.49</v>
      </c>
      <c r="N57" s="11" t="s">
        <v>198</v>
      </c>
      <c r="O57" s="11" t="s">
        <v>50</v>
      </c>
    </row>
    <row r="58" spans="1:15" s="13" customFormat="1" ht="19.5" customHeight="1" x14ac:dyDescent="0.25">
      <c r="A58" s="11" t="s">
        <v>199</v>
      </c>
      <c r="B58" s="11" t="s">
        <v>199</v>
      </c>
      <c r="C58" s="12">
        <v>46108</v>
      </c>
      <c r="D58" s="12">
        <v>46108</v>
      </c>
      <c r="E58" s="11" t="s">
        <v>6</v>
      </c>
      <c r="F58" s="11" t="s">
        <v>200</v>
      </c>
      <c r="G58" s="11" t="s">
        <v>199</v>
      </c>
      <c r="H58" s="11"/>
      <c r="I58" s="11" t="s">
        <v>49</v>
      </c>
      <c r="J58" s="11">
        <v>325.45999999999998</v>
      </c>
      <c r="K58" s="11">
        <v>325.45999999999998</v>
      </c>
      <c r="L58" s="11"/>
      <c r="M58" s="11">
        <v>325.45999999999998</v>
      </c>
      <c r="N58" s="11" t="s">
        <v>201</v>
      </c>
      <c r="O58" s="11" t="s">
        <v>50</v>
      </c>
    </row>
    <row r="59" spans="1:15" s="13" customFormat="1" ht="19.5" customHeight="1" x14ac:dyDescent="0.25">
      <c r="A59" s="11" t="s">
        <v>202</v>
      </c>
      <c r="B59" s="11" t="s">
        <v>202</v>
      </c>
      <c r="C59" s="12">
        <v>46108</v>
      </c>
      <c r="D59" s="12">
        <v>46108</v>
      </c>
      <c r="E59" s="11" t="s">
        <v>6</v>
      </c>
      <c r="F59" s="11" t="s">
        <v>203</v>
      </c>
      <c r="G59" s="11" t="s">
        <v>202</v>
      </c>
      <c r="H59" s="11"/>
      <c r="I59" s="11" t="s">
        <v>49</v>
      </c>
      <c r="J59" s="11">
        <v>128.25</v>
      </c>
      <c r="K59" s="11">
        <v>128.25</v>
      </c>
      <c r="L59" s="11"/>
      <c r="M59" s="11">
        <v>128.25</v>
      </c>
      <c r="N59" s="11" t="s">
        <v>204</v>
      </c>
      <c r="O59" s="11" t="s">
        <v>50</v>
      </c>
    </row>
    <row r="60" spans="1:15" s="13" customFormat="1" ht="19.5" customHeight="1" x14ac:dyDescent="0.25">
      <c r="A60" s="11" t="s">
        <v>205</v>
      </c>
      <c r="B60" s="11" t="s">
        <v>205</v>
      </c>
      <c r="C60" s="12">
        <v>46108</v>
      </c>
      <c r="D60" s="12">
        <v>46108</v>
      </c>
      <c r="E60" s="11" t="s">
        <v>6</v>
      </c>
      <c r="F60" s="11" t="s">
        <v>206</v>
      </c>
      <c r="G60" s="11" t="s">
        <v>205</v>
      </c>
      <c r="H60" s="11"/>
      <c r="I60" s="11" t="s">
        <v>49</v>
      </c>
      <c r="J60" s="11">
        <v>54.52</v>
      </c>
      <c r="K60" s="11">
        <v>54.52</v>
      </c>
      <c r="L60" s="11"/>
      <c r="M60" s="11">
        <v>54.52</v>
      </c>
      <c r="N60" s="11"/>
      <c r="O60" s="11" t="s">
        <v>50</v>
      </c>
    </row>
    <row r="61" spans="1:15" s="13" customFormat="1" ht="19.5" customHeight="1" x14ac:dyDescent="0.25">
      <c r="A61" s="11" t="s">
        <v>207</v>
      </c>
      <c r="B61" s="11" t="s">
        <v>207</v>
      </c>
      <c r="C61" s="12">
        <v>46107</v>
      </c>
      <c r="D61" s="12">
        <v>46182</v>
      </c>
      <c r="E61" s="11" t="s">
        <v>6</v>
      </c>
      <c r="F61" s="11" t="s">
        <v>104</v>
      </c>
      <c r="G61" s="11" t="s">
        <v>207</v>
      </c>
      <c r="H61" s="11"/>
      <c r="I61" s="11" t="s">
        <v>49</v>
      </c>
      <c r="J61" s="11">
        <v>8027.72</v>
      </c>
      <c r="K61" s="11">
        <v>8027.72</v>
      </c>
      <c r="L61" s="11"/>
      <c r="M61" s="11">
        <v>8027.72</v>
      </c>
      <c r="N61" s="11" t="s">
        <v>208</v>
      </c>
      <c r="O61" s="11" t="s">
        <v>50</v>
      </c>
    </row>
    <row r="62" spans="1:15" s="13" customFormat="1" ht="19.5" customHeight="1" x14ac:dyDescent="0.25">
      <c r="A62" s="11" t="s">
        <v>209</v>
      </c>
      <c r="B62" s="11" t="s">
        <v>209</v>
      </c>
      <c r="C62" s="12">
        <v>46107</v>
      </c>
      <c r="D62" s="12">
        <v>46137</v>
      </c>
      <c r="E62" s="11" t="s">
        <v>6</v>
      </c>
      <c r="F62" s="11" t="s">
        <v>210</v>
      </c>
      <c r="G62" s="11" t="s">
        <v>209</v>
      </c>
      <c r="H62" s="11"/>
      <c r="I62" s="11" t="s">
        <v>49</v>
      </c>
      <c r="J62" s="11">
        <v>2001.87</v>
      </c>
      <c r="K62" s="11">
        <v>2001.87</v>
      </c>
      <c r="L62" s="11"/>
      <c r="M62" s="11">
        <v>2001.87</v>
      </c>
      <c r="N62" s="11" t="s">
        <v>211</v>
      </c>
      <c r="O62" s="11" t="s">
        <v>50</v>
      </c>
    </row>
    <row r="63" spans="1:15" s="13" customFormat="1" ht="19.5" customHeight="1" x14ac:dyDescent="0.25">
      <c r="A63" s="11" t="s">
        <v>212</v>
      </c>
      <c r="B63" s="11" t="s">
        <v>212</v>
      </c>
      <c r="C63" s="12">
        <v>46107</v>
      </c>
      <c r="D63" s="12">
        <v>46137</v>
      </c>
      <c r="E63" s="11" t="s">
        <v>6</v>
      </c>
      <c r="F63" s="11" t="s">
        <v>213</v>
      </c>
      <c r="G63" s="11" t="s">
        <v>212</v>
      </c>
      <c r="H63" s="11"/>
      <c r="I63" s="11" t="s">
        <v>49</v>
      </c>
      <c r="J63" s="11">
        <v>3853.43</v>
      </c>
      <c r="K63" s="11">
        <v>3853.43</v>
      </c>
      <c r="L63" s="11"/>
      <c r="M63" s="11">
        <v>3853.43</v>
      </c>
      <c r="N63" s="11" t="s">
        <v>214</v>
      </c>
      <c r="O63" s="11" t="s">
        <v>50</v>
      </c>
    </row>
    <row r="64" spans="1:15" s="13" customFormat="1" ht="19.5" customHeight="1" x14ac:dyDescent="0.25">
      <c r="A64" s="11" t="s">
        <v>215</v>
      </c>
      <c r="B64" s="11" t="s">
        <v>215</v>
      </c>
      <c r="C64" s="12">
        <v>46107</v>
      </c>
      <c r="D64" s="12">
        <v>46137</v>
      </c>
      <c r="E64" s="11" t="s">
        <v>6</v>
      </c>
      <c r="F64" s="11" t="s">
        <v>216</v>
      </c>
      <c r="G64" s="11" t="s">
        <v>215</v>
      </c>
      <c r="H64" s="11"/>
      <c r="I64" s="11" t="s">
        <v>49</v>
      </c>
      <c r="J64" s="11">
        <v>1223.98</v>
      </c>
      <c r="K64" s="11">
        <v>1223.98</v>
      </c>
      <c r="L64" s="11"/>
      <c r="M64" s="11">
        <v>1223.98</v>
      </c>
      <c r="N64" s="11" t="s">
        <v>217</v>
      </c>
      <c r="O64" s="11" t="s">
        <v>50</v>
      </c>
    </row>
    <row r="65" spans="1:15" s="13" customFormat="1" ht="19.5" customHeight="1" x14ac:dyDescent="0.25">
      <c r="A65" s="11" t="s">
        <v>218</v>
      </c>
      <c r="B65" s="11" t="s">
        <v>218</v>
      </c>
      <c r="C65" s="12">
        <v>46107</v>
      </c>
      <c r="D65" s="12">
        <v>46107</v>
      </c>
      <c r="E65" s="11" t="s">
        <v>6</v>
      </c>
      <c r="F65" s="11" t="s">
        <v>219</v>
      </c>
      <c r="G65" s="11" t="s">
        <v>218</v>
      </c>
      <c r="H65" s="11"/>
      <c r="I65" s="11" t="s">
        <v>49</v>
      </c>
      <c r="J65" s="11">
        <v>65.7</v>
      </c>
      <c r="K65" s="11">
        <v>65.7</v>
      </c>
      <c r="L65" s="11"/>
      <c r="M65" s="11">
        <v>65.7</v>
      </c>
      <c r="N65" s="11" t="s">
        <v>220</v>
      </c>
      <c r="O65" s="11" t="s">
        <v>50</v>
      </c>
    </row>
    <row r="66" spans="1:15" s="13" customFormat="1" ht="19.5" customHeight="1" x14ac:dyDescent="0.25">
      <c r="A66" s="11" t="s">
        <v>221</v>
      </c>
      <c r="B66" s="11" t="s">
        <v>221</v>
      </c>
      <c r="C66" s="12">
        <v>46107</v>
      </c>
      <c r="D66" s="12">
        <v>46137</v>
      </c>
      <c r="E66" s="11" t="s">
        <v>6</v>
      </c>
      <c r="F66" s="11" t="s">
        <v>216</v>
      </c>
      <c r="G66" s="11" t="s">
        <v>221</v>
      </c>
      <c r="H66" s="11"/>
      <c r="I66" s="11" t="s">
        <v>49</v>
      </c>
      <c r="J66" s="11">
        <v>4129.0600000000004</v>
      </c>
      <c r="K66" s="11">
        <v>4129.0600000000004</v>
      </c>
      <c r="L66" s="11"/>
      <c r="M66" s="11">
        <v>4129.0600000000004</v>
      </c>
      <c r="N66" s="11" t="s">
        <v>222</v>
      </c>
      <c r="O66" s="11" t="s">
        <v>50</v>
      </c>
    </row>
    <row r="67" spans="1:15" s="13" customFormat="1" ht="19.5" customHeight="1" x14ac:dyDescent="0.25">
      <c r="A67" s="11" t="s">
        <v>223</v>
      </c>
      <c r="B67" s="11" t="s">
        <v>223</v>
      </c>
      <c r="C67" s="12">
        <v>46107</v>
      </c>
      <c r="D67" s="12">
        <v>46137</v>
      </c>
      <c r="E67" s="11" t="s">
        <v>6</v>
      </c>
      <c r="F67" s="11" t="s">
        <v>224</v>
      </c>
      <c r="G67" s="11" t="s">
        <v>223</v>
      </c>
      <c r="H67" s="11"/>
      <c r="I67" s="11" t="s">
        <v>49</v>
      </c>
      <c r="J67" s="11">
        <v>1174.0999999999999</v>
      </c>
      <c r="K67" s="11">
        <v>1174.0999999999999</v>
      </c>
      <c r="L67" s="11"/>
      <c r="M67" s="11">
        <v>1174.0999999999999</v>
      </c>
      <c r="N67" s="11" t="s">
        <v>225</v>
      </c>
      <c r="O67" s="11" t="s">
        <v>50</v>
      </c>
    </row>
    <row r="68" spans="1:15" s="13" customFormat="1" ht="19.5" customHeight="1" x14ac:dyDescent="0.25">
      <c r="A68" s="11" t="s">
        <v>226</v>
      </c>
      <c r="B68" s="11" t="s">
        <v>226</v>
      </c>
      <c r="C68" s="12">
        <v>46107</v>
      </c>
      <c r="D68" s="12">
        <v>46107</v>
      </c>
      <c r="E68" s="11" t="s">
        <v>6</v>
      </c>
      <c r="F68" s="11" t="s">
        <v>67</v>
      </c>
      <c r="G68" s="11" t="s">
        <v>226</v>
      </c>
      <c r="H68" s="11"/>
      <c r="I68" s="11" t="s">
        <v>49</v>
      </c>
      <c r="J68" s="11">
        <v>71.83</v>
      </c>
      <c r="K68" s="11">
        <v>71.83</v>
      </c>
      <c r="L68" s="11"/>
      <c r="M68" s="11">
        <v>71.83</v>
      </c>
      <c r="N68" s="11"/>
      <c r="O68" s="11" t="s">
        <v>50</v>
      </c>
    </row>
    <row r="69" spans="1:15" s="13" customFormat="1" ht="19.5" customHeight="1" x14ac:dyDescent="0.25">
      <c r="A69" s="11" t="s">
        <v>227</v>
      </c>
      <c r="B69" s="11" t="s">
        <v>227</v>
      </c>
      <c r="C69" s="12">
        <v>46107</v>
      </c>
      <c r="D69" s="12">
        <v>46122</v>
      </c>
      <c r="E69" s="11" t="s">
        <v>6</v>
      </c>
      <c r="F69" s="11" t="s">
        <v>228</v>
      </c>
      <c r="G69" s="11" t="s">
        <v>227</v>
      </c>
      <c r="H69" s="11"/>
      <c r="I69" s="11" t="s">
        <v>80</v>
      </c>
      <c r="J69" s="11">
        <v>494.42</v>
      </c>
      <c r="K69" s="11">
        <v>1714.65</v>
      </c>
      <c r="L69" s="11"/>
      <c r="M69" s="11">
        <v>1714.65</v>
      </c>
      <c r="N69" s="11" t="s">
        <v>229</v>
      </c>
      <c r="O69" s="11" t="s">
        <v>50</v>
      </c>
    </row>
    <row r="70" spans="1:15" s="13" customFormat="1" ht="19.5" customHeight="1" x14ac:dyDescent="0.25">
      <c r="A70" s="11" t="s">
        <v>230</v>
      </c>
      <c r="B70" s="11" t="s">
        <v>230</v>
      </c>
      <c r="C70" s="12">
        <v>46107</v>
      </c>
      <c r="D70" s="11"/>
      <c r="E70" s="11" t="s">
        <v>6</v>
      </c>
      <c r="F70" s="11" t="s">
        <v>231</v>
      </c>
      <c r="G70" s="11" t="s">
        <v>232</v>
      </c>
      <c r="H70" s="11"/>
      <c r="I70" s="11" t="s">
        <v>49</v>
      </c>
      <c r="J70" s="11">
        <v>-19.47</v>
      </c>
      <c r="K70" s="11"/>
      <c r="L70" s="11">
        <v>19.47</v>
      </c>
      <c r="M70" s="11">
        <v>-19.47</v>
      </c>
      <c r="N70" s="11" t="s">
        <v>233</v>
      </c>
      <c r="O70" s="11" t="s">
        <v>234</v>
      </c>
    </row>
    <row r="71" spans="1:15" s="13" customFormat="1" ht="19.5" customHeight="1" x14ac:dyDescent="0.25">
      <c r="A71" s="11" t="s">
        <v>235</v>
      </c>
      <c r="B71" s="11" t="s">
        <v>235</v>
      </c>
      <c r="C71" s="12">
        <v>46107</v>
      </c>
      <c r="D71" s="12">
        <v>46107</v>
      </c>
      <c r="E71" s="11" t="s">
        <v>6</v>
      </c>
      <c r="F71" s="11" t="s">
        <v>236</v>
      </c>
      <c r="G71" s="11" t="s">
        <v>235</v>
      </c>
      <c r="H71" s="11"/>
      <c r="I71" s="11" t="s">
        <v>49</v>
      </c>
      <c r="J71" s="11">
        <v>53.9</v>
      </c>
      <c r="K71" s="11">
        <v>53.9</v>
      </c>
      <c r="L71" s="11"/>
      <c r="M71" s="11">
        <v>53.9</v>
      </c>
      <c r="N71" s="11" t="s">
        <v>237</v>
      </c>
      <c r="O71" s="11" t="s">
        <v>50</v>
      </c>
    </row>
    <row r="72" spans="1:15" s="13" customFormat="1" ht="19.5" customHeight="1" x14ac:dyDescent="0.25">
      <c r="A72" s="11" t="s">
        <v>238</v>
      </c>
      <c r="B72" s="11" t="s">
        <v>238</v>
      </c>
      <c r="C72" s="12">
        <v>46107</v>
      </c>
      <c r="D72" s="12">
        <v>46107</v>
      </c>
      <c r="E72" s="11" t="s">
        <v>6</v>
      </c>
      <c r="F72" s="11" t="s">
        <v>239</v>
      </c>
      <c r="G72" s="11" t="s">
        <v>238</v>
      </c>
      <c r="H72" s="11"/>
      <c r="I72" s="11" t="s">
        <v>49</v>
      </c>
      <c r="J72" s="11">
        <v>533.67999999999995</v>
      </c>
      <c r="K72" s="11">
        <v>533.67999999999995</v>
      </c>
      <c r="L72" s="11"/>
      <c r="M72" s="11">
        <v>533.67999999999995</v>
      </c>
      <c r="N72" s="11" t="s">
        <v>240</v>
      </c>
      <c r="O72" s="11" t="s">
        <v>50</v>
      </c>
    </row>
    <row r="73" spans="1:15" s="13" customFormat="1" ht="19.5" customHeight="1" x14ac:dyDescent="0.25">
      <c r="A73" s="11" t="s">
        <v>241</v>
      </c>
      <c r="B73" s="11" t="s">
        <v>241</v>
      </c>
      <c r="C73" s="12">
        <v>46107</v>
      </c>
      <c r="D73" s="12">
        <v>46107</v>
      </c>
      <c r="E73" s="11" t="s">
        <v>6</v>
      </c>
      <c r="F73" s="11" t="s">
        <v>242</v>
      </c>
      <c r="G73" s="11" t="s">
        <v>241</v>
      </c>
      <c r="H73" s="11"/>
      <c r="I73" s="11" t="s">
        <v>49</v>
      </c>
      <c r="J73" s="11">
        <v>107.2</v>
      </c>
      <c r="K73" s="11">
        <v>107.2</v>
      </c>
      <c r="L73" s="11"/>
      <c r="M73" s="11">
        <v>107.2</v>
      </c>
      <c r="N73" s="11" t="s">
        <v>243</v>
      </c>
      <c r="O73" s="11" t="s">
        <v>50</v>
      </c>
    </row>
    <row r="74" spans="1:15" s="13" customFormat="1" ht="19.5" customHeight="1" x14ac:dyDescent="0.25">
      <c r="A74" s="11" t="s">
        <v>244</v>
      </c>
      <c r="B74" s="11" t="s">
        <v>244</v>
      </c>
      <c r="C74" s="12">
        <v>46107</v>
      </c>
      <c r="D74" s="12">
        <v>46107</v>
      </c>
      <c r="E74" s="11" t="s">
        <v>6</v>
      </c>
      <c r="F74" s="11" t="s">
        <v>245</v>
      </c>
      <c r="G74" s="11" t="s">
        <v>244</v>
      </c>
      <c r="H74" s="11"/>
      <c r="I74" s="11" t="s">
        <v>49</v>
      </c>
      <c r="J74" s="11">
        <v>62</v>
      </c>
      <c r="K74" s="11">
        <v>62</v>
      </c>
      <c r="L74" s="11"/>
      <c r="M74" s="11">
        <v>62</v>
      </c>
      <c r="N74" s="11" t="s">
        <v>246</v>
      </c>
      <c r="O74" s="11" t="s">
        <v>50</v>
      </c>
    </row>
    <row r="75" spans="1:15" s="13" customFormat="1" ht="19.5" customHeight="1" x14ac:dyDescent="0.25">
      <c r="A75" s="11" t="s">
        <v>247</v>
      </c>
      <c r="B75" s="11" t="s">
        <v>247</v>
      </c>
      <c r="C75" s="12">
        <v>46107</v>
      </c>
      <c r="D75" s="12">
        <v>46107</v>
      </c>
      <c r="E75" s="11" t="s">
        <v>6</v>
      </c>
      <c r="F75" s="11" t="s">
        <v>248</v>
      </c>
      <c r="G75" s="11" t="s">
        <v>247</v>
      </c>
      <c r="H75" s="11"/>
      <c r="I75" s="11" t="s">
        <v>49</v>
      </c>
      <c r="J75" s="11">
        <v>39.51</v>
      </c>
      <c r="K75" s="11">
        <v>39.51</v>
      </c>
      <c r="L75" s="11"/>
      <c r="M75" s="11">
        <v>39.51</v>
      </c>
      <c r="N75" s="11" t="s">
        <v>249</v>
      </c>
      <c r="O75" s="11" t="s">
        <v>50</v>
      </c>
    </row>
    <row r="76" spans="1:15" s="13" customFormat="1" ht="19.5" customHeight="1" x14ac:dyDescent="0.25">
      <c r="A76" s="11" t="s">
        <v>250</v>
      </c>
      <c r="B76" s="11" t="s">
        <v>250</v>
      </c>
      <c r="C76" s="12">
        <v>46107</v>
      </c>
      <c r="D76" s="12">
        <v>46107</v>
      </c>
      <c r="E76" s="11" t="s">
        <v>6</v>
      </c>
      <c r="F76" s="11" t="s">
        <v>251</v>
      </c>
      <c r="G76" s="11" t="s">
        <v>250</v>
      </c>
      <c r="H76" s="11"/>
      <c r="I76" s="11" t="s">
        <v>49</v>
      </c>
      <c r="J76" s="11">
        <v>53.91</v>
      </c>
      <c r="K76" s="11">
        <v>53.91</v>
      </c>
      <c r="L76" s="11"/>
      <c r="M76" s="11">
        <v>53.91</v>
      </c>
      <c r="N76" s="11" t="s">
        <v>252</v>
      </c>
      <c r="O76" s="11" t="s">
        <v>50</v>
      </c>
    </row>
    <row r="77" spans="1:15" s="13" customFormat="1" ht="19.5" customHeight="1" x14ac:dyDescent="0.25">
      <c r="A77" s="11" t="s">
        <v>253</v>
      </c>
      <c r="B77" s="11" t="s">
        <v>253</v>
      </c>
      <c r="C77" s="12">
        <v>46107</v>
      </c>
      <c r="D77" s="12">
        <v>46107</v>
      </c>
      <c r="E77" s="11" t="s">
        <v>6</v>
      </c>
      <c r="F77" s="11" t="s">
        <v>254</v>
      </c>
      <c r="G77" s="11" t="s">
        <v>253</v>
      </c>
      <c r="H77" s="11"/>
      <c r="I77" s="11" t="s">
        <v>49</v>
      </c>
      <c r="J77" s="11">
        <v>48.41</v>
      </c>
      <c r="K77" s="11">
        <v>48.41</v>
      </c>
      <c r="L77" s="11"/>
      <c r="M77" s="11">
        <v>48.41</v>
      </c>
      <c r="N77" s="11"/>
      <c r="O77" s="11" t="s">
        <v>50</v>
      </c>
    </row>
    <row r="78" spans="1:15" s="13" customFormat="1" ht="19.5" customHeight="1" x14ac:dyDescent="0.25">
      <c r="A78" s="11" t="s">
        <v>255</v>
      </c>
      <c r="B78" s="11" t="s">
        <v>255</v>
      </c>
      <c r="C78" s="12">
        <v>46107</v>
      </c>
      <c r="D78" s="12">
        <v>46107</v>
      </c>
      <c r="E78" s="11" t="s">
        <v>6</v>
      </c>
      <c r="F78" s="11" t="s">
        <v>256</v>
      </c>
      <c r="G78" s="11" t="s">
        <v>255</v>
      </c>
      <c r="H78" s="11"/>
      <c r="I78" s="11" t="s">
        <v>49</v>
      </c>
      <c r="J78" s="11">
        <v>106.65</v>
      </c>
      <c r="K78" s="11">
        <v>106.65</v>
      </c>
      <c r="L78" s="11"/>
      <c r="M78" s="11">
        <v>106.65</v>
      </c>
      <c r="N78" s="11" t="s">
        <v>257</v>
      </c>
      <c r="O78" s="11" t="s">
        <v>50</v>
      </c>
    </row>
    <row r="79" spans="1:15" s="13" customFormat="1" ht="19.5" customHeight="1" x14ac:dyDescent="0.25">
      <c r="A79" s="11" t="s">
        <v>258</v>
      </c>
      <c r="B79" s="11" t="s">
        <v>258</v>
      </c>
      <c r="C79" s="12">
        <v>46107</v>
      </c>
      <c r="D79" s="12">
        <v>46107</v>
      </c>
      <c r="E79" s="11" t="s">
        <v>6</v>
      </c>
      <c r="F79" s="11" t="s">
        <v>259</v>
      </c>
      <c r="G79" s="11" t="s">
        <v>258</v>
      </c>
      <c r="H79" s="11"/>
      <c r="I79" s="11" t="s">
        <v>49</v>
      </c>
      <c r="J79" s="11">
        <v>198.9</v>
      </c>
      <c r="K79" s="11">
        <v>198.9</v>
      </c>
      <c r="L79" s="11"/>
      <c r="M79" s="11">
        <v>198.9</v>
      </c>
      <c r="N79" s="11" t="s">
        <v>260</v>
      </c>
      <c r="O79" s="11" t="s">
        <v>50</v>
      </c>
    </row>
    <row r="80" spans="1:15" s="13" customFormat="1" ht="19.5" customHeight="1" x14ac:dyDescent="0.25">
      <c r="A80" s="11" t="s">
        <v>261</v>
      </c>
      <c r="B80" s="11" t="s">
        <v>261</v>
      </c>
      <c r="C80" s="12">
        <v>46107</v>
      </c>
      <c r="D80" s="12">
        <v>46107</v>
      </c>
      <c r="E80" s="11" t="s">
        <v>6</v>
      </c>
      <c r="F80" s="11" t="s">
        <v>262</v>
      </c>
      <c r="G80" s="11" t="s">
        <v>261</v>
      </c>
      <c r="H80" s="11"/>
      <c r="I80" s="11" t="s">
        <v>49</v>
      </c>
      <c r="J80" s="11">
        <v>85.51</v>
      </c>
      <c r="K80" s="11">
        <v>85.51</v>
      </c>
      <c r="L80" s="11"/>
      <c r="M80" s="11">
        <v>85.51</v>
      </c>
      <c r="N80" s="11" t="s">
        <v>263</v>
      </c>
      <c r="O80" s="11" t="s">
        <v>50</v>
      </c>
    </row>
    <row r="81" spans="1:15" s="13" customFormat="1" ht="19.5" customHeight="1" x14ac:dyDescent="0.25">
      <c r="A81" s="11" t="s">
        <v>264</v>
      </c>
      <c r="B81" s="11" t="s">
        <v>264</v>
      </c>
      <c r="C81" s="12">
        <v>46106</v>
      </c>
      <c r="D81" s="12">
        <v>46196</v>
      </c>
      <c r="E81" s="11" t="s">
        <v>6</v>
      </c>
      <c r="F81" s="11" t="s">
        <v>265</v>
      </c>
      <c r="G81" s="11" t="s">
        <v>264</v>
      </c>
      <c r="H81" s="11"/>
      <c r="I81" s="11" t="s">
        <v>49</v>
      </c>
      <c r="J81" s="11">
        <v>1593.15</v>
      </c>
      <c r="K81" s="11">
        <v>1593.15</v>
      </c>
      <c r="L81" s="11"/>
      <c r="M81" s="11">
        <v>1593.15</v>
      </c>
      <c r="N81" s="11"/>
      <c r="O81" s="11" t="s">
        <v>50</v>
      </c>
    </row>
    <row r="82" spans="1:15" s="13" customFormat="1" ht="19.5" customHeight="1" x14ac:dyDescent="0.25">
      <c r="A82" s="11" t="s">
        <v>266</v>
      </c>
      <c r="B82" s="11" t="s">
        <v>266</v>
      </c>
      <c r="C82" s="12">
        <v>46106</v>
      </c>
      <c r="D82" s="12">
        <v>46136</v>
      </c>
      <c r="E82" s="11" t="s">
        <v>6</v>
      </c>
      <c r="F82" s="11" t="s">
        <v>267</v>
      </c>
      <c r="G82" s="11" t="s">
        <v>266</v>
      </c>
      <c r="H82" s="11"/>
      <c r="I82" s="11" t="s">
        <v>49</v>
      </c>
      <c r="J82" s="11">
        <v>2919.91</v>
      </c>
      <c r="K82" s="11">
        <v>2919.91</v>
      </c>
      <c r="L82" s="11"/>
      <c r="M82" s="11">
        <v>2919.91</v>
      </c>
      <c r="N82" s="11" t="s">
        <v>268</v>
      </c>
      <c r="O82" s="11" t="s">
        <v>50</v>
      </c>
    </row>
    <row r="83" spans="1:15" s="13" customFormat="1" ht="19.5" customHeight="1" x14ac:dyDescent="0.25">
      <c r="A83" s="11" t="s">
        <v>269</v>
      </c>
      <c r="B83" s="11" t="s">
        <v>269</v>
      </c>
      <c r="C83" s="12">
        <v>46106</v>
      </c>
      <c r="D83" s="12">
        <v>46136</v>
      </c>
      <c r="E83" s="11" t="s">
        <v>6</v>
      </c>
      <c r="F83" s="11" t="s">
        <v>224</v>
      </c>
      <c r="G83" s="11" t="s">
        <v>269</v>
      </c>
      <c r="H83" s="11"/>
      <c r="I83" s="11" t="s">
        <v>49</v>
      </c>
      <c r="J83" s="11">
        <v>3584.84</v>
      </c>
      <c r="K83" s="11">
        <v>3584.84</v>
      </c>
      <c r="L83" s="11"/>
      <c r="M83" s="11">
        <v>3584.84</v>
      </c>
      <c r="N83" s="11" t="s">
        <v>270</v>
      </c>
      <c r="O83" s="11" t="s">
        <v>50</v>
      </c>
    </row>
    <row r="84" spans="1:15" s="13" customFormat="1" ht="19.5" customHeight="1" x14ac:dyDescent="0.25">
      <c r="A84" s="11" t="s">
        <v>271</v>
      </c>
      <c r="B84" s="11" t="s">
        <v>271</v>
      </c>
      <c r="C84" s="12">
        <v>46106</v>
      </c>
      <c r="D84" s="12">
        <v>46136</v>
      </c>
      <c r="E84" s="11" t="s">
        <v>6</v>
      </c>
      <c r="F84" s="11" t="s">
        <v>272</v>
      </c>
      <c r="G84" s="11" t="s">
        <v>271</v>
      </c>
      <c r="H84" s="11"/>
      <c r="I84" s="11" t="s">
        <v>49</v>
      </c>
      <c r="J84" s="11">
        <v>1408.92</v>
      </c>
      <c r="K84" s="11">
        <v>1408.92</v>
      </c>
      <c r="L84" s="11"/>
      <c r="M84" s="11">
        <v>1408.92</v>
      </c>
      <c r="N84" s="11" t="s">
        <v>273</v>
      </c>
      <c r="O84" s="11" t="s">
        <v>50</v>
      </c>
    </row>
    <row r="85" spans="1:15" s="13" customFormat="1" ht="19.5" customHeight="1" x14ac:dyDescent="0.25">
      <c r="A85" s="11" t="s">
        <v>274</v>
      </c>
      <c r="B85" s="11" t="s">
        <v>274</v>
      </c>
      <c r="C85" s="12">
        <v>46106</v>
      </c>
      <c r="D85" s="12">
        <v>46166</v>
      </c>
      <c r="E85" s="11" t="s">
        <v>6</v>
      </c>
      <c r="F85" s="11" t="s">
        <v>275</v>
      </c>
      <c r="G85" s="11" t="s">
        <v>274</v>
      </c>
      <c r="H85" s="11"/>
      <c r="I85" s="11" t="s">
        <v>49</v>
      </c>
      <c r="J85" s="11">
        <v>4014.15</v>
      </c>
      <c r="K85" s="11">
        <v>4014.15</v>
      </c>
      <c r="L85" s="11"/>
      <c r="M85" s="11">
        <v>4014.15</v>
      </c>
      <c r="N85" s="11" t="s">
        <v>276</v>
      </c>
      <c r="O85" s="11" t="s">
        <v>50</v>
      </c>
    </row>
    <row r="86" spans="1:15" s="13" customFormat="1" ht="19.5" customHeight="1" x14ac:dyDescent="0.25">
      <c r="A86" s="11" t="s">
        <v>277</v>
      </c>
      <c r="B86" s="11" t="s">
        <v>277</v>
      </c>
      <c r="C86" s="12">
        <v>46106</v>
      </c>
      <c r="D86" s="12">
        <v>46136</v>
      </c>
      <c r="E86" s="11" t="s">
        <v>6</v>
      </c>
      <c r="F86" s="11" t="s">
        <v>56</v>
      </c>
      <c r="G86" s="11" t="s">
        <v>277</v>
      </c>
      <c r="H86" s="11"/>
      <c r="I86" s="11" t="s">
        <v>49</v>
      </c>
      <c r="J86" s="11">
        <v>3651.15</v>
      </c>
      <c r="K86" s="11">
        <v>3651.15</v>
      </c>
      <c r="L86" s="11"/>
      <c r="M86" s="11">
        <v>3651.15</v>
      </c>
      <c r="N86" s="11" t="s">
        <v>278</v>
      </c>
      <c r="O86" s="11" t="s">
        <v>50</v>
      </c>
    </row>
    <row r="87" spans="1:15" s="13" customFormat="1" ht="19.5" customHeight="1" x14ac:dyDescent="0.25">
      <c r="A87" s="11" t="s">
        <v>279</v>
      </c>
      <c r="B87" s="11" t="s">
        <v>279</v>
      </c>
      <c r="C87" s="12">
        <v>46106</v>
      </c>
      <c r="D87" s="12">
        <v>46151</v>
      </c>
      <c r="E87" s="11" t="s">
        <v>6</v>
      </c>
      <c r="F87" s="11" t="s">
        <v>280</v>
      </c>
      <c r="G87" s="11" t="s">
        <v>279</v>
      </c>
      <c r="H87" s="11"/>
      <c r="I87" s="11" t="s">
        <v>49</v>
      </c>
      <c r="J87" s="11">
        <v>1257.8800000000001</v>
      </c>
      <c r="K87" s="11">
        <v>1257.8800000000001</v>
      </c>
      <c r="L87" s="11"/>
      <c r="M87" s="11">
        <v>1257.8800000000001</v>
      </c>
      <c r="N87" s="11" t="s">
        <v>281</v>
      </c>
      <c r="O87" s="11" t="s">
        <v>50</v>
      </c>
    </row>
    <row r="88" spans="1:15" s="13" customFormat="1" ht="19.5" customHeight="1" x14ac:dyDescent="0.25">
      <c r="A88" s="11" t="s">
        <v>282</v>
      </c>
      <c r="B88" s="11" t="s">
        <v>282</v>
      </c>
      <c r="C88" s="12">
        <v>46106</v>
      </c>
      <c r="D88" s="12">
        <v>46151</v>
      </c>
      <c r="E88" s="11" t="s">
        <v>6</v>
      </c>
      <c r="F88" s="11" t="s">
        <v>283</v>
      </c>
      <c r="G88" s="11" t="s">
        <v>282</v>
      </c>
      <c r="H88" s="11"/>
      <c r="I88" s="11" t="s">
        <v>49</v>
      </c>
      <c r="J88" s="11">
        <v>1373.52</v>
      </c>
      <c r="K88" s="11">
        <v>1373.52</v>
      </c>
      <c r="L88" s="11"/>
      <c r="M88" s="11">
        <v>1373.52</v>
      </c>
      <c r="N88" s="11" t="s">
        <v>284</v>
      </c>
      <c r="O88" s="11" t="s">
        <v>50</v>
      </c>
    </row>
    <row r="89" spans="1:15" s="13" customFormat="1" ht="19.5" customHeight="1" x14ac:dyDescent="0.25">
      <c r="A89" s="11" t="s">
        <v>285</v>
      </c>
      <c r="B89" s="11" t="s">
        <v>285</v>
      </c>
      <c r="C89" s="12">
        <v>46106</v>
      </c>
      <c r="D89" s="12">
        <v>46136</v>
      </c>
      <c r="E89" s="11" t="s">
        <v>6</v>
      </c>
      <c r="F89" s="11" t="s">
        <v>286</v>
      </c>
      <c r="G89" s="11" t="s">
        <v>285</v>
      </c>
      <c r="H89" s="11"/>
      <c r="I89" s="11" t="s">
        <v>49</v>
      </c>
      <c r="J89" s="11">
        <v>1408.92</v>
      </c>
      <c r="K89" s="11">
        <v>1408.92</v>
      </c>
      <c r="L89" s="11"/>
      <c r="M89" s="11">
        <v>1408.92</v>
      </c>
      <c r="N89" s="11" t="s">
        <v>287</v>
      </c>
      <c r="O89" s="11" t="s">
        <v>50</v>
      </c>
    </row>
    <row r="90" spans="1:15" s="13" customFormat="1" ht="19.5" customHeight="1" x14ac:dyDescent="0.25">
      <c r="A90" s="11" t="s">
        <v>288</v>
      </c>
      <c r="B90" s="11" t="s">
        <v>288</v>
      </c>
      <c r="C90" s="12">
        <v>46106</v>
      </c>
      <c r="D90" s="12">
        <v>46136</v>
      </c>
      <c r="E90" s="11" t="s">
        <v>6</v>
      </c>
      <c r="F90" s="11" t="s">
        <v>289</v>
      </c>
      <c r="G90" s="11" t="s">
        <v>288</v>
      </c>
      <c r="H90" s="11"/>
      <c r="I90" s="11" t="s">
        <v>49</v>
      </c>
      <c r="J90" s="11">
        <v>792.37</v>
      </c>
      <c r="K90" s="11">
        <v>792.37</v>
      </c>
      <c r="L90" s="11"/>
      <c r="M90" s="11">
        <v>792.37</v>
      </c>
      <c r="N90" s="11" t="s">
        <v>290</v>
      </c>
      <c r="O90" s="11" t="s">
        <v>50</v>
      </c>
    </row>
    <row r="91" spans="1:15" s="13" customFormat="1" ht="19.5" customHeight="1" x14ac:dyDescent="0.25">
      <c r="A91" s="11" t="s">
        <v>291</v>
      </c>
      <c r="B91" s="11" t="s">
        <v>291</v>
      </c>
      <c r="C91" s="12">
        <v>46106</v>
      </c>
      <c r="D91" s="12">
        <v>46106</v>
      </c>
      <c r="E91" s="11" t="s">
        <v>6</v>
      </c>
      <c r="F91" s="11" t="s">
        <v>292</v>
      </c>
      <c r="G91" s="11" t="s">
        <v>291</v>
      </c>
      <c r="H91" s="11"/>
      <c r="I91" s="11" t="s">
        <v>49</v>
      </c>
      <c r="J91" s="11">
        <v>71.900000000000006</v>
      </c>
      <c r="K91" s="11">
        <v>71.900000000000006</v>
      </c>
      <c r="L91" s="11"/>
      <c r="M91" s="11">
        <v>71.900000000000006</v>
      </c>
      <c r="N91" s="11" t="s">
        <v>293</v>
      </c>
      <c r="O91" s="11" t="s">
        <v>50</v>
      </c>
    </row>
    <row r="92" spans="1:15" s="13" customFormat="1" ht="19.5" customHeight="1" x14ac:dyDescent="0.25">
      <c r="A92" s="11" t="s">
        <v>294</v>
      </c>
      <c r="B92" s="11" t="s">
        <v>294</v>
      </c>
      <c r="C92" s="12">
        <v>46106</v>
      </c>
      <c r="D92" s="12">
        <v>46106</v>
      </c>
      <c r="E92" s="11" t="s">
        <v>6</v>
      </c>
      <c r="F92" s="11" t="s">
        <v>295</v>
      </c>
      <c r="G92" s="11" t="s">
        <v>294</v>
      </c>
      <c r="H92" s="11"/>
      <c r="I92" s="11" t="s">
        <v>49</v>
      </c>
      <c r="J92" s="11">
        <v>118</v>
      </c>
      <c r="K92" s="11">
        <v>118</v>
      </c>
      <c r="L92" s="11"/>
      <c r="M92" s="11">
        <v>118</v>
      </c>
      <c r="N92" s="11" t="s">
        <v>296</v>
      </c>
      <c r="O92" s="11" t="s">
        <v>50</v>
      </c>
    </row>
    <row r="93" spans="1:15" s="13" customFormat="1" ht="19.5" customHeight="1" x14ac:dyDescent="0.25">
      <c r="A93" s="11" t="s">
        <v>297</v>
      </c>
      <c r="B93" s="11" t="s">
        <v>297</v>
      </c>
      <c r="C93" s="12">
        <v>46106</v>
      </c>
      <c r="D93" s="12">
        <v>46106</v>
      </c>
      <c r="E93" s="11" t="s">
        <v>6</v>
      </c>
      <c r="F93" s="11" t="s">
        <v>298</v>
      </c>
      <c r="G93" s="11" t="s">
        <v>297</v>
      </c>
      <c r="H93" s="11"/>
      <c r="I93" s="11" t="s">
        <v>49</v>
      </c>
      <c r="J93" s="11">
        <v>128.24</v>
      </c>
      <c r="K93" s="11">
        <v>128.24</v>
      </c>
      <c r="L93" s="11"/>
      <c r="M93" s="11">
        <v>128.24</v>
      </c>
      <c r="N93" s="11" t="s">
        <v>299</v>
      </c>
      <c r="O93" s="11" t="s">
        <v>50</v>
      </c>
    </row>
    <row r="94" spans="1:15" s="13" customFormat="1" ht="19.5" customHeight="1" x14ac:dyDescent="0.25">
      <c r="A94" s="11" t="s">
        <v>300</v>
      </c>
      <c r="B94" s="11" t="s">
        <v>300</v>
      </c>
      <c r="C94" s="12">
        <v>46106</v>
      </c>
      <c r="D94" s="12">
        <v>46106</v>
      </c>
      <c r="E94" s="11" t="s">
        <v>6</v>
      </c>
      <c r="F94" s="11" t="s">
        <v>301</v>
      </c>
      <c r="G94" s="11" t="s">
        <v>300</v>
      </c>
      <c r="H94" s="11"/>
      <c r="I94" s="11" t="s">
        <v>49</v>
      </c>
      <c r="J94" s="11">
        <v>107.2</v>
      </c>
      <c r="K94" s="11">
        <v>107.2</v>
      </c>
      <c r="L94" s="11"/>
      <c r="M94" s="11">
        <v>107.2</v>
      </c>
      <c r="N94" s="11" t="s">
        <v>302</v>
      </c>
      <c r="O94" s="11" t="s">
        <v>50</v>
      </c>
    </row>
    <row r="95" spans="1:15" s="13" customFormat="1" ht="19.5" customHeight="1" x14ac:dyDescent="0.25">
      <c r="A95" s="11" t="s">
        <v>303</v>
      </c>
      <c r="B95" s="11" t="s">
        <v>304</v>
      </c>
      <c r="C95" s="12">
        <v>46106</v>
      </c>
      <c r="D95" s="12">
        <v>46106</v>
      </c>
      <c r="E95" s="11" t="s">
        <v>6</v>
      </c>
      <c r="F95" s="11" t="s">
        <v>305</v>
      </c>
      <c r="G95" s="11" t="s">
        <v>304</v>
      </c>
      <c r="H95" s="11" t="s">
        <v>306</v>
      </c>
      <c r="I95" s="11" t="s">
        <v>49</v>
      </c>
      <c r="J95" s="11">
        <v>204.35</v>
      </c>
      <c r="K95" s="11">
        <v>204.35</v>
      </c>
      <c r="L95" s="11"/>
      <c r="M95" s="11">
        <v>204.35</v>
      </c>
      <c r="N95" s="11" t="s">
        <v>307</v>
      </c>
      <c r="O95" s="11" t="s">
        <v>50</v>
      </c>
    </row>
    <row r="96" spans="1:15" s="13" customFormat="1" ht="19.5" customHeight="1" x14ac:dyDescent="0.25">
      <c r="A96" s="11" t="s">
        <v>308</v>
      </c>
      <c r="B96" s="11" t="s">
        <v>309</v>
      </c>
      <c r="C96" s="12">
        <v>46106</v>
      </c>
      <c r="D96" s="12">
        <v>46106</v>
      </c>
      <c r="E96" s="11" t="s">
        <v>6</v>
      </c>
      <c r="F96" s="11" t="s">
        <v>310</v>
      </c>
      <c r="G96" s="11" t="s">
        <v>309</v>
      </c>
      <c r="H96" s="11" t="s">
        <v>311</v>
      </c>
      <c r="I96" s="11" t="s">
        <v>49</v>
      </c>
      <c r="J96" s="11">
        <v>107.81</v>
      </c>
      <c r="K96" s="11">
        <v>107.81</v>
      </c>
      <c r="L96" s="11"/>
      <c r="M96" s="11">
        <v>107.81</v>
      </c>
      <c r="N96" s="11" t="s">
        <v>312</v>
      </c>
      <c r="O96" s="11" t="s">
        <v>50</v>
      </c>
    </row>
    <row r="97" spans="1:15" s="13" customFormat="1" ht="19.5" customHeight="1" x14ac:dyDescent="0.25">
      <c r="A97" s="11" t="s">
        <v>313</v>
      </c>
      <c r="B97" s="11" t="s">
        <v>313</v>
      </c>
      <c r="C97" s="12">
        <v>46106</v>
      </c>
      <c r="D97" s="12">
        <v>46106</v>
      </c>
      <c r="E97" s="11" t="s">
        <v>6</v>
      </c>
      <c r="F97" s="11" t="s">
        <v>314</v>
      </c>
      <c r="G97" s="11" t="s">
        <v>313</v>
      </c>
      <c r="H97" s="11"/>
      <c r="I97" s="11" t="s">
        <v>49</v>
      </c>
      <c r="J97" s="11">
        <v>106.65</v>
      </c>
      <c r="K97" s="11">
        <v>106.65</v>
      </c>
      <c r="L97" s="11"/>
      <c r="M97" s="11">
        <v>106.65</v>
      </c>
      <c r="N97" s="11" t="s">
        <v>315</v>
      </c>
      <c r="O97" s="11" t="s">
        <v>50</v>
      </c>
    </row>
    <row r="98" spans="1:15" s="13" customFormat="1" ht="19.5" customHeight="1" x14ac:dyDescent="0.25">
      <c r="A98" s="11" t="s">
        <v>316</v>
      </c>
      <c r="B98" s="11" t="s">
        <v>316</v>
      </c>
      <c r="C98" s="12">
        <v>46106</v>
      </c>
      <c r="D98" s="12">
        <v>46106</v>
      </c>
      <c r="E98" s="11" t="s">
        <v>6</v>
      </c>
      <c r="F98" s="11" t="s">
        <v>317</v>
      </c>
      <c r="G98" s="11" t="s">
        <v>316</v>
      </c>
      <c r="H98" s="11"/>
      <c r="I98" s="11" t="s">
        <v>49</v>
      </c>
      <c r="J98" s="11">
        <v>74.8</v>
      </c>
      <c r="K98" s="11">
        <v>74.8</v>
      </c>
      <c r="L98" s="11"/>
      <c r="M98" s="11">
        <v>74.8</v>
      </c>
      <c r="N98" s="11" t="s">
        <v>318</v>
      </c>
      <c r="O98" s="11" t="s">
        <v>50</v>
      </c>
    </row>
    <row r="99" spans="1:15" s="13" customFormat="1" ht="19.5" customHeight="1" x14ac:dyDescent="0.25">
      <c r="A99" s="11" t="s">
        <v>319</v>
      </c>
      <c r="B99" s="11" t="s">
        <v>320</v>
      </c>
      <c r="C99" s="12">
        <v>46106</v>
      </c>
      <c r="D99" s="12">
        <v>46106</v>
      </c>
      <c r="E99" s="11" t="s">
        <v>6</v>
      </c>
      <c r="F99" s="11" t="s">
        <v>321</v>
      </c>
      <c r="G99" s="11" t="s">
        <v>320</v>
      </c>
      <c r="H99" s="11" t="s">
        <v>322</v>
      </c>
      <c r="I99" s="11" t="s">
        <v>49</v>
      </c>
      <c r="J99" s="11">
        <v>64</v>
      </c>
      <c r="K99" s="11">
        <v>64</v>
      </c>
      <c r="L99" s="11"/>
      <c r="M99" s="11">
        <v>64</v>
      </c>
      <c r="N99" s="11" t="s">
        <v>323</v>
      </c>
      <c r="O99" s="11" t="s">
        <v>50</v>
      </c>
    </row>
    <row r="100" spans="1:15" s="13" customFormat="1" ht="19.5" customHeight="1" x14ac:dyDescent="0.25">
      <c r="A100" s="11" t="s">
        <v>324</v>
      </c>
      <c r="B100" s="11" t="s">
        <v>324</v>
      </c>
      <c r="C100" s="12">
        <v>46105</v>
      </c>
      <c r="D100" s="12">
        <v>46150</v>
      </c>
      <c r="E100" s="11" t="s">
        <v>6</v>
      </c>
      <c r="F100" s="11" t="s">
        <v>325</v>
      </c>
      <c r="G100" s="11" t="s">
        <v>324</v>
      </c>
      <c r="H100" s="11"/>
      <c r="I100" s="11" t="s">
        <v>49</v>
      </c>
      <c r="J100" s="11">
        <v>1021.88</v>
      </c>
      <c r="K100" s="11">
        <v>1021.88</v>
      </c>
      <c r="L100" s="11"/>
      <c r="M100" s="11">
        <v>1021.88</v>
      </c>
      <c r="N100" s="11" t="s">
        <v>326</v>
      </c>
      <c r="O100" s="11" t="s">
        <v>50</v>
      </c>
    </row>
    <row r="101" spans="1:15" s="13" customFormat="1" ht="19.5" customHeight="1" x14ac:dyDescent="0.25">
      <c r="A101" s="11" t="s">
        <v>327</v>
      </c>
      <c r="B101" s="11" t="s">
        <v>327</v>
      </c>
      <c r="C101" s="12">
        <v>46105</v>
      </c>
      <c r="D101" s="12">
        <v>46135</v>
      </c>
      <c r="E101" s="11" t="s">
        <v>6</v>
      </c>
      <c r="F101" s="11" t="s">
        <v>286</v>
      </c>
      <c r="G101" s="11" t="s">
        <v>327</v>
      </c>
      <c r="H101" s="11"/>
      <c r="I101" s="11" t="s">
        <v>49</v>
      </c>
      <c r="J101" s="11">
        <v>878.51</v>
      </c>
      <c r="K101" s="11">
        <v>878.51</v>
      </c>
      <c r="L101" s="11"/>
      <c r="M101" s="11">
        <v>878.51</v>
      </c>
      <c r="N101" s="11" t="s">
        <v>328</v>
      </c>
      <c r="O101" s="11" t="s">
        <v>50</v>
      </c>
    </row>
    <row r="102" spans="1:15" s="13" customFormat="1" ht="19.5" customHeight="1" x14ac:dyDescent="0.25">
      <c r="A102" s="11" t="s">
        <v>329</v>
      </c>
      <c r="B102" s="11" t="s">
        <v>329</v>
      </c>
      <c r="C102" s="12">
        <v>46105</v>
      </c>
      <c r="D102" s="12">
        <v>46135</v>
      </c>
      <c r="E102" s="11" t="s">
        <v>6</v>
      </c>
      <c r="F102" s="11" t="s">
        <v>330</v>
      </c>
      <c r="G102" s="11" t="s">
        <v>329</v>
      </c>
      <c r="H102" s="11"/>
      <c r="I102" s="11" t="s">
        <v>49</v>
      </c>
      <c r="J102" s="11">
        <v>1010.67</v>
      </c>
      <c r="K102" s="11">
        <v>1010.67</v>
      </c>
      <c r="L102" s="11"/>
      <c r="M102" s="11">
        <v>1010.67</v>
      </c>
      <c r="N102" s="11" t="s">
        <v>331</v>
      </c>
      <c r="O102" s="11" t="s">
        <v>50</v>
      </c>
    </row>
    <row r="103" spans="1:15" s="13" customFormat="1" ht="19.5" customHeight="1" x14ac:dyDescent="0.25">
      <c r="A103" s="11" t="s">
        <v>332</v>
      </c>
      <c r="B103" s="11" t="s">
        <v>332</v>
      </c>
      <c r="C103" s="12">
        <v>46105</v>
      </c>
      <c r="D103" s="12">
        <v>46135</v>
      </c>
      <c r="E103" s="11" t="s">
        <v>6</v>
      </c>
      <c r="F103" s="11" t="s">
        <v>333</v>
      </c>
      <c r="G103" s="11" t="s">
        <v>332</v>
      </c>
      <c r="H103" s="11"/>
      <c r="I103" s="11" t="s">
        <v>49</v>
      </c>
      <c r="J103" s="11">
        <v>2528.15</v>
      </c>
      <c r="K103" s="11">
        <v>2528.15</v>
      </c>
      <c r="L103" s="11"/>
      <c r="M103" s="11">
        <v>2528.15</v>
      </c>
      <c r="N103" s="11" t="s">
        <v>334</v>
      </c>
      <c r="O103" s="11" t="s">
        <v>50</v>
      </c>
    </row>
    <row r="104" spans="1:15" s="13" customFormat="1" ht="19.5" customHeight="1" x14ac:dyDescent="0.25">
      <c r="A104" s="11" t="s">
        <v>335</v>
      </c>
      <c r="B104" s="11" t="s">
        <v>335</v>
      </c>
      <c r="C104" s="12">
        <v>46105</v>
      </c>
      <c r="D104" s="12">
        <v>46135</v>
      </c>
      <c r="E104" s="11" t="s">
        <v>6</v>
      </c>
      <c r="F104" s="11" t="s">
        <v>336</v>
      </c>
      <c r="G104" s="11" t="s">
        <v>335</v>
      </c>
      <c r="H104" s="11"/>
      <c r="I104" s="11" t="s">
        <v>49</v>
      </c>
      <c r="J104" s="11">
        <v>10509.55</v>
      </c>
      <c r="K104" s="11">
        <v>10509.55</v>
      </c>
      <c r="L104" s="11"/>
      <c r="M104" s="11">
        <v>10509.55</v>
      </c>
      <c r="N104" s="11" t="s">
        <v>337</v>
      </c>
      <c r="O104" s="11" t="s">
        <v>50</v>
      </c>
    </row>
    <row r="105" spans="1:15" s="13" customFormat="1" ht="19.5" customHeight="1" x14ac:dyDescent="0.25">
      <c r="A105" s="11" t="s">
        <v>338</v>
      </c>
      <c r="B105" s="11" t="s">
        <v>338</v>
      </c>
      <c r="C105" s="12">
        <v>46105</v>
      </c>
      <c r="D105" s="12">
        <v>46135</v>
      </c>
      <c r="E105" s="11" t="s">
        <v>6</v>
      </c>
      <c r="F105" s="11" t="s">
        <v>339</v>
      </c>
      <c r="G105" s="11" t="s">
        <v>338</v>
      </c>
      <c r="H105" s="11"/>
      <c r="I105" s="11" t="s">
        <v>49</v>
      </c>
      <c r="J105" s="11">
        <v>1001.82</v>
      </c>
      <c r="K105" s="11">
        <v>1001.82</v>
      </c>
      <c r="L105" s="11"/>
      <c r="M105" s="11">
        <v>1001.82</v>
      </c>
      <c r="N105" s="11" t="s">
        <v>340</v>
      </c>
      <c r="O105" s="11" t="s">
        <v>50</v>
      </c>
    </row>
    <row r="106" spans="1:15" s="13" customFormat="1" ht="19.5" customHeight="1" x14ac:dyDescent="0.25">
      <c r="A106" s="11" t="s">
        <v>341</v>
      </c>
      <c r="B106" s="11" t="s">
        <v>341</v>
      </c>
      <c r="C106" s="12">
        <v>46105</v>
      </c>
      <c r="D106" s="12">
        <v>46135</v>
      </c>
      <c r="E106" s="11" t="s">
        <v>6</v>
      </c>
      <c r="F106" s="11" t="s">
        <v>111</v>
      </c>
      <c r="G106" s="11" t="s">
        <v>341</v>
      </c>
      <c r="H106" s="11"/>
      <c r="I106" s="11" t="s">
        <v>49</v>
      </c>
      <c r="J106" s="11">
        <v>4591.55</v>
      </c>
      <c r="K106" s="11">
        <v>4591.55</v>
      </c>
      <c r="L106" s="11"/>
      <c r="M106" s="11">
        <v>4591.55</v>
      </c>
      <c r="N106" s="11" t="s">
        <v>342</v>
      </c>
      <c r="O106" s="11" t="s">
        <v>50</v>
      </c>
    </row>
    <row r="107" spans="1:15" s="13" customFormat="1" ht="19.5" customHeight="1" x14ac:dyDescent="0.25">
      <c r="A107" s="11" t="s">
        <v>343</v>
      </c>
      <c r="B107" s="11" t="s">
        <v>343</v>
      </c>
      <c r="C107" s="12">
        <v>46105</v>
      </c>
      <c r="D107" s="12">
        <v>46135</v>
      </c>
      <c r="E107" s="11" t="s">
        <v>6</v>
      </c>
      <c r="F107" s="11" t="s">
        <v>61</v>
      </c>
      <c r="G107" s="11" t="s">
        <v>343</v>
      </c>
      <c r="H107" s="11"/>
      <c r="I107" s="11" t="s">
        <v>49</v>
      </c>
      <c r="J107" s="11">
        <v>1069.67</v>
      </c>
      <c r="K107" s="11">
        <v>1069.67</v>
      </c>
      <c r="L107" s="11"/>
      <c r="M107" s="11">
        <v>1069.67</v>
      </c>
      <c r="N107" s="11" t="s">
        <v>344</v>
      </c>
      <c r="O107" s="11" t="s">
        <v>50</v>
      </c>
    </row>
    <row r="108" spans="1:15" s="13" customFormat="1" ht="19.5" customHeight="1" x14ac:dyDescent="0.25">
      <c r="A108" s="11" t="s">
        <v>345</v>
      </c>
      <c r="B108" s="11" t="s">
        <v>346</v>
      </c>
      <c r="C108" s="12">
        <v>46105</v>
      </c>
      <c r="D108" s="12">
        <v>46105</v>
      </c>
      <c r="E108" s="11" t="s">
        <v>6</v>
      </c>
      <c r="F108" s="11" t="s">
        <v>347</v>
      </c>
      <c r="G108" s="11" t="s">
        <v>346</v>
      </c>
      <c r="H108" s="11" t="s">
        <v>348</v>
      </c>
      <c r="I108" s="11" t="s">
        <v>49</v>
      </c>
      <c r="J108" s="11">
        <v>45.02</v>
      </c>
      <c r="K108" s="11">
        <v>45.02</v>
      </c>
      <c r="L108" s="11"/>
      <c r="M108" s="11">
        <v>45.02</v>
      </c>
      <c r="N108" s="11" t="s">
        <v>349</v>
      </c>
      <c r="O108" s="11" t="s">
        <v>50</v>
      </c>
    </row>
    <row r="109" spans="1:15" s="13" customFormat="1" ht="19.5" customHeight="1" x14ac:dyDescent="0.25">
      <c r="A109" s="11" t="s">
        <v>350</v>
      </c>
      <c r="B109" s="11" t="s">
        <v>350</v>
      </c>
      <c r="C109" s="12">
        <v>46105</v>
      </c>
      <c r="D109" s="12">
        <v>46105</v>
      </c>
      <c r="E109" s="11" t="s">
        <v>6</v>
      </c>
      <c r="F109" s="11" t="s">
        <v>351</v>
      </c>
      <c r="G109" s="11" t="s">
        <v>350</v>
      </c>
      <c r="H109" s="11"/>
      <c r="I109" s="11" t="s">
        <v>49</v>
      </c>
      <c r="J109" s="11">
        <v>153.44</v>
      </c>
      <c r="K109" s="11">
        <v>153.44</v>
      </c>
      <c r="L109" s="11"/>
      <c r="M109" s="11">
        <v>153.44</v>
      </c>
      <c r="N109" s="11" t="s">
        <v>352</v>
      </c>
      <c r="O109" s="11" t="s">
        <v>50</v>
      </c>
    </row>
    <row r="110" spans="1:15" s="13" customFormat="1" ht="19.5" customHeight="1" x14ac:dyDescent="0.25">
      <c r="A110" s="11" t="s">
        <v>353</v>
      </c>
      <c r="B110" s="11" t="s">
        <v>354</v>
      </c>
      <c r="C110" s="12">
        <v>46105</v>
      </c>
      <c r="D110" s="12">
        <v>46105</v>
      </c>
      <c r="E110" s="11" t="s">
        <v>6</v>
      </c>
      <c r="F110" s="11" t="s">
        <v>355</v>
      </c>
      <c r="G110" s="11" t="s">
        <v>354</v>
      </c>
      <c r="H110" s="11" t="s">
        <v>356</v>
      </c>
      <c r="I110" s="11" t="s">
        <v>49</v>
      </c>
      <c r="J110" s="11">
        <v>503.94</v>
      </c>
      <c r="K110" s="11">
        <v>503.94</v>
      </c>
      <c r="L110" s="11"/>
      <c r="M110" s="11">
        <v>503.94</v>
      </c>
      <c r="N110" s="11" t="s">
        <v>357</v>
      </c>
      <c r="O110" s="11" t="s">
        <v>50</v>
      </c>
    </row>
    <row r="111" spans="1:15" s="13" customFormat="1" ht="19.5" customHeight="1" x14ac:dyDescent="0.25">
      <c r="A111" s="11" t="s">
        <v>358</v>
      </c>
      <c r="B111" s="11" t="s">
        <v>359</v>
      </c>
      <c r="C111" s="12">
        <v>46105</v>
      </c>
      <c r="D111" s="12">
        <v>46105</v>
      </c>
      <c r="E111" s="11" t="s">
        <v>6</v>
      </c>
      <c r="F111" s="11" t="s">
        <v>360</v>
      </c>
      <c r="G111" s="11" t="s">
        <v>359</v>
      </c>
      <c r="H111" s="11" t="s">
        <v>361</v>
      </c>
      <c r="I111" s="11" t="s">
        <v>49</v>
      </c>
      <c r="J111" s="11">
        <v>108</v>
      </c>
      <c r="K111" s="11">
        <v>108</v>
      </c>
      <c r="L111" s="11"/>
      <c r="M111" s="11">
        <v>108</v>
      </c>
      <c r="N111" s="11" t="s">
        <v>362</v>
      </c>
      <c r="O111" s="11" t="s">
        <v>50</v>
      </c>
    </row>
    <row r="112" spans="1:15" s="13" customFormat="1" ht="19.5" customHeight="1" x14ac:dyDescent="0.25">
      <c r="A112" s="11" t="s">
        <v>363</v>
      </c>
      <c r="B112" s="11" t="s">
        <v>363</v>
      </c>
      <c r="C112" s="12">
        <v>46105</v>
      </c>
      <c r="D112" s="12">
        <v>46105</v>
      </c>
      <c r="E112" s="11" t="s">
        <v>6</v>
      </c>
      <c r="F112" s="11" t="s">
        <v>364</v>
      </c>
      <c r="G112" s="11" t="s">
        <v>363</v>
      </c>
      <c r="H112" s="11"/>
      <c r="I112" s="11" t="s">
        <v>49</v>
      </c>
      <c r="J112" s="11">
        <v>110.71</v>
      </c>
      <c r="K112" s="11">
        <v>110.71</v>
      </c>
      <c r="L112" s="11"/>
      <c r="M112" s="11">
        <v>110.71</v>
      </c>
      <c r="N112" s="11" t="s">
        <v>365</v>
      </c>
      <c r="O112" s="11" t="s">
        <v>50</v>
      </c>
    </row>
    <row r="113" spans="1:15" s="13" customFormat="1" ht="19.5" customHeight="1" x14ac:dyDescent="0.25">
      <c r="A113" s="11" t="s">
        <v>366</v>
      </c>
      <c r="B113" s="11" t="s">
        <v>366</v>
      </c>
      <c r="C113" s="12">
        <v>46105</v>
      </c>
      <c r="D113" s="12">
        <v>46105</v>
      </c>
      <c r="E113" s="11" t="s">
        <v>6</v>
      </c>
      <c r="F113" s="11" t="s">
        <v>367</v>
      </c>
      <c r="G113" s="11" t="s">
        <v>366</v>
      </c>
      <c r="H113" s="11"/>
      <c r="I113" s="11" t="s">
        <v>49</v>
      </c>
      <c r="J113" s="11">
        <v>53.9</v>
      </c>
      <c r="K113" s="11">
        <v>53.9</v>
      </c>
      <c r="L113" s="11"/>
      <c r="M113" s="11">
        <v>53.9</v>
      </c>
      <c r="N113" s="11" t="s">
        <v>368</v>
      </c>
      <c r="O113" s="11" t="s">
        <v>50</v>
      </c>
    </row>
    <row r="114" spans="1:15" s="13" customFormat="1" ht="19.5" customHeight="1" x14ac:dyDescent="0.25">
      <c r="A114" s="11" t="s">
        <v>369</v>
      </c>
      <c r="B114" s="11" t="s">
        <v>369</v>
      </c>
      <c r="C114" s="12">
        <v>46105</v>
      </c>
      <c r="D114" s="12">
        <v>46105</v>
      </c>
      <c r="E114" s="11" t="s">
        <v>6</v>
      </c>
      <c r="F114" s="11" t="s">
        <v>370</v>
      </c>
      <c r="G114" s="11" t="s">
        <v>369</v>
      </c>
      <c r="H114" s="11"/>
      <c r="I114" s="11" t="s">
        <v>49</v>
      </c>
      <c r="J114" s="11">
        <v>62</v>
      </c>
      <c r="K114" s="11">
        <v>62</v>
      </c>
      <c r="L114" s="11"/>
      <c r="M114" s="11">
        <v>62</v>
      </c>
      <c r="N114" s="11" t="s">
        <v>371</v>
      </c>
      <c r="O114" s="11" t="s">
        <v>50</v>
      </c>
    </row>
    <row r="115" spans="1:15" s="13" customFormat="1" ht="19.5" customHeight="1" x14ac:dyDescent="0.25">
      <c r="A115" s="11" t="s">
        <v>372</v>
      </c>
      <c r="B115" s="11" t="s">
        <v>372</v>
      </c>
      <c r="C115" s="12">
        <v>46105</v>
      </c>
      <c r="D115" s="12">
        <v>46105</v>
      </c>
      <c r="E115" s="11" t="s">
        <v>6</v>
      </c>
      <c r="F115" s="11" t="s">
        <v>373</v>
      </c>
      <c r="G115" s="11" t="s">
        <v>372</v>
      </c>
      <c r="H115" s="11"/>
      <c r="I115" s="11" t="s">
        <v>49</v>
      </c>
      <c r="J115" s="11">
        <v>45.9</v>
      </c>
      <c r="K115" s="11">
        <v>45.9</v>
      </c>
      <c r="L115" s="11"/>
      <c r="M115" s="11">
        <v>45.9</v>
      </c>
      <c r="N115" s="11"/>
      <c r="O115" s="11" t="s">
        <v>50</v>
      </c>
    </row>
    <row r="116" spans="1:15" s="13" customFormat="1" ht="19.5" customHeight="1" x14ac:dyDescent="0.25">
      <c r="A116" s="11" t="s">
        <v>374</v>
      </c>
      <c r="B116" s="11" t="s">
        <v>374</v>
      </c>
      <c r="C116" s="12">
        <v>46105</v>
      </c>
      <c r="D116" s="12">
        <v>46105</v>
      </c>
      <c r="E116" s="11" t="s">
        <v>6</v>
      </c>
      <c r="F116" s="11" t="s">
        <v>375</v>
      </c>
      <c r="G116" s="11" t="s">
        <v>374</v>
      </c>
      <c r="H116" s="11"/>
      <c r="I116" s="11" t="s">
        <v>49</v>
      </c>
      <c r="J116" s="11">
        <v>389.25</v>
      </c>
      <c r="K116" s="11">
        <v>389.25</v>
      </c>
      <c r="L116" s="11"/>
      <c r="M116" s="11">
        <v>389.25</v>
      </c>
      <c r="N116" s="11"/>
      <c r="O116" s="11" t="s">
        <v>50</v>
      </c>
    </row>
    <row r="117" spans="1:15" s="13" customFormat="1" ht="19.5" customHeight="1" x14ac:dyDescent="0.25">
      <c r="A117" s="11" t="s">
        <v>376</v>
      </c>
      <c r="B117" s="11" t="s">
        <v>376</v>
      </c>
      <c r="C117" s="12">
        <v>46105</v>
      </c>
      <c r="D117" s="12">
        <v>46105</v>
      </c>
      <c r="E117" s="11" t="s">
        <v>6</v>
      </c>
      <c r="F117" s="11" t="s">
        <v>377</v>
      </c>
      <c r="G117" s="11" t="s">
        <v>376</v>
      </c>
      <c r="H117" s="11"/>
      <c r="I117" s="11" t="s">
        <v>49</v>
      </c>
      <c r="J117" s="11">
        <v>128.25</v>
      </c>
      <c r="K117" s="11">
        <v>128.25</v>
      </c>
      <c r="L117" s="11"/>
      <c r="M117" s="11">
        <v>128.25</v>
      </c>
      <c r="N117" s="11" t="s">
        <v>378</v>
      </c>
      <c r="O117" s="11" t="s">
        <v>50</v>
      </c>
    </row>
    <row r="118" spans="1:15" s="13" customFormat="1" ht="19.5" customHeight="1" x14ac:dyDescent="0.25">
      <c r="A118" s="11" t="s">
        <v>379</v>
      </c>
      <c r="B118" s="11" t="s">
        <v>379</v>
      </c>
      <c r="C118" s="12">
        <v>46105</v>
      </c>
      <c r="D118" s="12">
        <v>46105</v>
      </c>
      <c r="E118" s="11" t="s">
        <v>6</v>
      </c>
      <c r="F118" s="11" t="s">
        <v>380</v>
      </c>
      <c r="G118" s="11" t="s">
        <v>379</v>
      </c>
      <c r="H118" s="11"/>
      <c r="I118" s="11" t="s">
        <v>49</v>
      </c>
      <c r="J118" s="11">
        <v>117.1</v>
      </c>
      <c r="K118" s="11">
        <v>117.1</v>
      </c>
      <c r="L118" s="11"/>
      <c r="M118" s="11">
        <v>117.1</v>
      </c>
      <c r="N118" s="11" t="s">
        <v>381</v>
      </c>
      <c r="O118" s="11" t="s">
        <v>50</v>
      </c>
    </row>
    <row r="119" spans="1:15" s="13" customFormat="1" ht="19.5" customHeight="1" x14ac:dyDescent="0.25">
      <c r="A119" s="11" t="s">
        <v>382</v>
      </c>
      <c r="B119" s="11" t="s">
        <v>383</v>
      </c>
      <c r="C119" s="12">
        <v>46105</v>
      </c>
      <c r="D119" s="12">
        <v>46105</v>
      </c>
      <c r="E119" s="11" t="s">
        <v>6</v>
      </c>
      <c r="F119" s="11" t="s">
        <v>384</v>
      </c>
      <c r="G119" s="11" t="s">
        <v>383</v>
      </c>
      <c r="H119" s="11" t="s">
        <v>385</v>
      </c>
      <c r="I119" s="11" t="s">
        <v>49</v>
      </c>
      <c r="J119" s="11">
        <v>104</v>
      </c>
      <c r="K119" s="11">
        <v>104</v>
      </c>
      <c r="L119" s="11"/>
      <c r="M119" s="11">
        <v>104</v>
      </c>
      <c r="N119" s="11" t="s">
        <v>386</v>
      </c>
      <c r="O119" s="11" t="s">
        <v>50</v>
      </c>
    </row>
    <row r="120" spans="1:15" s="13" customFormat="1" ht="19.5" customHeight="1" x14ac:dyDescent="0.25">
      <c r="A120" s="11" t="s">
        <v>387</v>
      </c>
      <c r="B120" s="11" t="s">
        <v>387</v>
      </c>
      <c r="C120" s="12">
        <v>46105</v>
      </c>
      <c r="D120" s="12">
        <v>46105</v>
      </c>
      <c r="E120" s="11" t="s">
        <v>6</v>
      </c>
      <c r="F120" s="11" t="s">
        <v>388</v>
      </c>
      <c r="G120" s="11" t="s">
        <v>387</v>
      </c>
      <c r="H120" s="11"/>
      <c r="I120" s="11" t="s">
        <v>49</v>
      </c>
      <c r="J120" s="11">
        <v>359.76</v>
      </c>
      <c r="K120" s="11">
        <v>359.76</v>
      </c>
      <c r="L120" s="11"/>
      <c r="M120" s="11">
        <v>359.76</v>
      </c>
      <c r="N120" s="11" t="s">
        <v>389</v>
      </c>
      <c r="O120" s="11" t="s">
        <v>50</v>
      </c>
    </row>
    <row r="121" spans="1:15" s="13" customFormat="1" ht="19.5" customHeight="1" x14ac:dyDescent="0.25">
      <c r="A121" s="11" t="s">
        <v>390</v>
      </c>
      <c r="B121" s="11" t="s">
        <v>390</v>
      </c>
      <c r="C121" s="12">
        <v>46105</v>
      </c>
      <c r="D121" s="12">
        <v>46105</v>
      </c>
      <c r="E121" s="11" t="s">
        <v>6</v>
      </c>
      <c r="F121" s="11" t="s">
        <v>391</v>
      </c>
      <c r="G121" s="11" t="s">
        <v>390</v>
      </c>
      <c r="H121" s="11"/>
      <c r="I121" s="11" t="s">
        <v>49</v>
      </c>
      <c r="J121" s="11">
        <v>160.37</v>
      </c>
      <c r="K121" s="11">
        <v>160.37</v>
      </c>
      <c r="L121" s="11"/>
      <c r="M121" s="11">
        <v>160.37</v>
      </c>
      <c r="N121" s="11" t="s">
        <v>392</v>
      </c>
      <c r="O121" s="11" t="s">
        <v>50</v>
      </c>
    </row>
    <row r="122" spans="1:15" s="13" customFormat="1" ht="19.5" customHeight="1" x14ac:dyDescent="0.25">
      <c r="A122" s="11" t="s">
        <v>393</v>
      </c>
      <c r="B122" s="11" t="s">
        <v>393</v>
      </c>
      <c r="C122" s="12">
        <v>46105</v>
      </c>
      <c r="D122" s="12">
        <v>46105</v>
      </c>
      <c r="E122" s="11" t="s">
        <v>6</v>
      </c>
      <c r="F122" s="11" t="s">
        <v>394</v>
      </c>
      <c r="G122" s="11" t="s">
        <v>393</v>
      </c>
      <c r="H122" s="11"/>
      <c r="I122" s="11" t="s">
        <v>49</v>
      </c>
      <c r="J122" s="11">
        <v>85.51</v>
      </c>
      <c r="K122" s="11">
        <v>85.51</v>
      </c>
      <c r="L122" s="11"/>
      <c r="M122" s="11">
        <v>85.51</v>
      </c>
      <c r="N122" s="11" t="s">
        <v>395</v>
      </c>
      <c r="O122" s="11" t="s">
        <v>50</v>
      </c>
    </row>
    <row r="123" spans="1:15" s="13" customFormat="1" ht="19.5" customHeight="1" x14ac:dyDescent="0.25">
      <c r="A123" s="11" t="s">
        <v>396</v>
      </c>
      <c r="B123" s="11" t="s">
        <v>396</v>
      </c>
      <c r="C123" s="12">
        <v>46104</v>
      </c>
      <c r="D123" s="12">
        <v>46194</v>
      </c>
      <c r="E123" s="11" t="s">
        <v>6</v>
      </c>
      <c r="F123" s="11" t="s">
        <v>59</v>
      </c>
      <c r="G123" s="11" t="s">
        <v>396</v>
      </c>
      <c r="H123" s="11"/>
      <c r="I123" s="11" t="s">
        <v>49</v>
      </c>
      <c r="J123" s="11">
        <v>20656.96</v>
      </c>
      <c r="K123" s="11">
        <v>20656.96</v>
      </c>
      <c r="L123" s="11"/>
      <c r="M123" s="11">
        <v>20656.96</v>
      </c>
      <c r="N123" s="11"/>
      <c r="O123" s="11" t="s">
        <v>50</v>
      </c>
    </row>
    <row r="124" spans="1:15" s="13" customFormat="1" ht="19.5" customHeight="1" x14ac:dyDescent="0.25">
      <c r="A124" s="11" t="s">
        <v>397</v>
      </c>
      <c r="B124" s="11" t="s">
        <v>397</v>
      </c>
      <c r="C124" s="12">
        <v>46104</v>
      </c>
      <c r="D124" s="12">
        <v>46104</v>
      </c>
      <c r="E124" s="11" t="s">
        <v>6</v>
      </c>
      <c r="F124" s="11" t="s">
        <v>398</v>
      </c>
      <c r="G124" s="11" t="s">
        <v>397</v>
      </c>
      <c r="H124" s="11"/>
      <c r="I124" s="11" t="s">
        <v>49</v>
      </c>
      <c r="J124" s="11">
        <v>145.49</v>
      </c>
      <c r="K124" s="11">
        <v>145.49</v>
      </c>
      <c r="L124" s="11"/>
      <c r="M124" s="11">
        <v>145.49</v>
      </c>
      <c r="N124" s="11" t="s">
        <v>399</v>
      </c>
      <c r="O124" s="11" t="s">
        <v>50</v>
      </c>
    </row>
    <row r="125" spans="1:15" s="13" customFormat="1" ht="19.5" customHeight="1" x14ac:dyDescent="0.25">
      <c r="A125" s="11" t="s">
        <v>400</v>
      </c>
      <c r="B125" s="11" t="s">
        <v>400</v>
      </c>
      <c r="C125" s="12">
        <v>46104</v>
      </c>
      <c r="D125" s="12">
        <v>46104</v>
      </c>
      <c r="E125" s="11" t="s">
        <v>6</v>
      </c>
      <c r="F125" s="11" t="s">
        <v>401</v>
      </c>
      <c r="G125" s="11" t="s">
        <v>400</v>
      </c>
      <c r="H125" s="11"/>
      <c r="I125" s="11" t="s">
        <v>49</v>
      </c>
      <c r="J125" s="11">
        <v>5016.25</v>
      </c>
      <c r="K125" s="11">
        <v>5016.25</v>
      </c>
      <c r="L125" s="11"/>
      <c r="M125" s="11">
        <v>5016.25</v>
      </c>
      <c r="N125" s="11" t="s">
        <v>402</v>
      </c>
      <c r="O125" s="11" t="s">
        <v>50</v>
      </c>
    </row>
    <row r="126" spans="1:15" s="13" customFormat="1" ht="19.5" customHeight="1" x14ac:dyDescent="0.25">
      <c r="A126" s="11" t="s">
        <v>403</v>
      </c>
      <c r="B126" s="11" t="s">
        <v>403</v>
      </c>
      <c r="C126" s="12">
        <v>46104</v>
      </c>
      <c r="D126" s="12">
        <v>46104</v>
      </c>
      <c r="E126" s="11" t="s">
        <v>6</v>
      </c>
      <c r="F126" s="11" t="s">
        <v>404</v>
      </c>
      <c r="G126" s="11" t="s">
        <v>403</v>
      </c>
      <c r="H126" s="11"/>
      <c r="I126" s="11" t="s">
        <v>49</v>
      </c>
      <c r="J126" s="11">
        <v>383.95</v>
      </c>
      <c r="K126" s="11">
        <v>383.95</v>
      </c>
      <c r="L126" s="11"/>
      <c r="M126" s="11">
        <v>383.95</v>
      </c>
      <c r="N126" s="11" t="s">
        <v>405</v>
      </c>
      <c r="O126" s="11" t="s">
        <v>50</v>
      </c>
    </row>
    <row r="127" spans="1:15" s="13" customFormat="1" ht="19.5" customHeight="1" x14ac:dyDescent="0.25">
      <c r="A127" s="11" t="s">
        <v>406</v>
      </c>
      <c r="B127" s="11" t="s">
        <v>406</v>
      </c>
      <c r="C127" s="12">
        <v>46104</v>
      </c>
      <c r="D127" s="12">
        <v>46104</v>
      </c>
      <c r="E127" s="11" t="s">
        <v>6</v>
      </c>
      <c r="F127" s="11" t="s">
        <v>407</v>
      </c>
      <c r="G127" s="11" t="s">
        <v>406</v>
      </c>
      <c r="H127" s="11"/>
      <c r="I127" s="11" t="s">
        <v>49</v>
      </c>
      <c r="J127" s="11">
        <v>164.7</v>
      </c>
      <c r="K127" s="11">
        <v>164.7</v>
      </c>
      <c r="L127" s="11"/>
      <c r="M127" s="11">
        <v>164.7</v>
      </c>
      <c r="N127" s="11" t="s">
        <v>408</v>
      </c>
      <c r="O127" s="11" t="s">
        <v>50</v>
      </c>
    </row>
    <row r="128" spans="1:15" s="13" customFormat="1" ht="19.5" customHeight="1" x14ac:dyDescent="0.25">
      <c r="A128" s="11" t="s">
        <v>409</v>
      </c>
      <c r="B128" s="11" t="s">
        <v>410</v>
      </c>
      <c r="C128" s="12">
        <v>46104</v>
      </c>
      <c r="D128" s="12">
        <v>46104</v>
      </c>
      <c r="E128" s="11" t="s">
        <v>6</v>
      </c>
      <c r="F128" s="11" t="s">
        <v>411</v>
      </c>
      <c r="G128" s="11" t="s">
        <v>410</v>
      </c>
      <c r="H128" s="11" t="s">
        <v>412</v>
      </c>
      <c r="I128" s="11" t="s">
        <v>49</v>
      </c>
      <c r="J128" s="11">
        <v>214.93</v>
      </c>
      <c r="K128" s="11">
        <v>214.93</v>
      </c>
      <c r="L128" s="11"/>
      <c r="M128" s="11">
        <v>214.93</v>
      </c>
      <c r="N128" s="11" t="s">
        <v>413</v>
      </c>
      <c r="O128" s="11" t="s">
        <v>50</v>
      </c>
    </row>
    <row r="129" spans="1:15" s="13" customFormat="1" ht="19.5" customHeight="1" x14ac:dyDescent="0.25">
      <c r="A129" s="11" t="s">
        <v>414</v>
      </c>
      <c r="B129" s="11" t="s">
        <v>414</v>
      </c>
      <c r="C129" s="12">
        <v>46104</v>
      </c>
      <c r="D129" s="12">
        <v>46104</v>
      </c>
      <c r="E129" s="11" t="s">
        <v>6</v>
      </c>
      <c r="F129" s="11" t="s">
        <v>415</v>
      </c>
      <c r="G129" s="11" t="s">
        <v>414</v>
      </c>
      <c r="H129" s="11"/>
      <c r="I129" s="11" t="s">
        <v>49</v>
      </c>
      <c r="J129" s="11">
        <v>99</v>
      </c>
      <c r="K129" s="11">
        <v>99</v>
      </c>
      <c r="L129" s="11"/>
      <c r="M129" s="11">
        <v>99</v>
      </c>
      <c r="N129" s="11" t="s">
        <v>416</v>
      </c>
      <c r="O129" s="11" t="s">
        <v>50</v>
      </c>
    </row>
    <row r="130" spans="1:15" s="13" customFormat="1" ht="19.5" customHeight="1" x14ac:dyDescent="0.25">
      <c r="A130" s="11" t="s">
        <v>417</v>
      </c>
      <c r="B130" s="11" t="s">
        <v>418</v>
      </c>
      <c r="C130" s="12">
        <v>46104</v>
      </c>
      <c r="D130" s="12">
        <v>46104</v>
      </c>
      <c r="E130" s="11" t="s">
        <v>6</v>
      </c>
      <c r="F130" s="11" t="s">
        <v>419</v>
      </c>
      <c r="G130" s="11" t="s">
        <v>418</v>
      </c>
      <c r="H130" s="11" t="s">
        <v>420</v>
      </c>
      <c r="I130" s="11" t="s">
        <v>49</v>
      </c>
      <c r="J130" s="11">
        <v>278.19</v>
      </c>
      <c r="K130" s="11">
        <v>278.19</v>
      </c>
      <c r="L130" s="11"/>
      <c r="M130" s="11">
        <v>278.19</v>
      </c>
      <c r="N130" s="11" t="s">
        <v>421</v>
      </c>
      <c r="O130" s="11" t="s">
        <v>50</v>
      </c>
    </row>
    <row r="131" spans="1:15" s="13" customFormat="1" ht="19.5" customHeight="1" x14ac:dyDescent="0.25">
      <c r="A131" s="11" t="s">
        <v>422</v>
      </c>
      <c r="B131" s="11" t="s">
        <v>422</v>
      </c>
      <c r="C131" s="12">
        <v>46104</v>
      </c>
      <c r="D131" s="12">
        <v>46104</v>
      </c>
      <c r="E131" s="11" t="s">
        <v>6</v>
      </c>
      <c r="F131" s="11" t="s">
        <v>423</v>
      </c>
      <c r="G131" s="11" t="s">
        <v>422</v>
      </c>
      <c r="H131" s="11"/>
      <c r="I131" s="11" t="s">
        <v>49</v>
      </c>
      <c r="J131" s="11">
        <v>85.52</v>
      </c>
      <c r="K131" s="11">
        <v>85.52</v>
      </c>
      <c r="L131" s="11"/>
      <c r="M131" s="11">
        <v>85.52</v>
      </c>
      <c r="N131" s="11" t="s">
        <v>424</v>
      </c>
      <c r="O131" s="11" t="s">
        <v>50</v>
      </c>
    </row>
    <row r="132" spans="1:15" s="13" customFormat="1" ht="19.5" customHeight="1" x14ac:dyDescent="0.25">
      <c r="A132" s="11" t="s">
        <v>425</v>
      </c>
      <c r="B132" s="11" t="s">
        <v>425</v>
      </c>
      <c r="C132" s="12">
        <v>46104</v>
      </c>
      <c r="D132" s="12">
        <v>46104</v>
      </c>
      <c r="E132" s="11" t="s">
        <v>6</v>
      </c>
      <c r="F132" s="11" t="s">
        <v>426</v>
      </c>
      <c r="G132" s="11" t="s">
        <v>425</v>
      </c>
      <c r="H132" s="11"/>
      <c r="I132" s="11" t="s">
        <v>49</v>
      </c>
      <c r="J132" s="11">
        <v>462.6</v>
      </c>
      <c r="K132" s="11">
        <v>462.6</v>
      </c>
      <c r="L132" s="11"/>
      <c r="M132" s="11">
        <v>462.6</v>
      </c>
      <c r="N132" s="11"/>
      <c r="O132" s="11" t="s">
        <v>50</v>
      </c>
    </row>
    <row r="133" spans="1:15" s="13" customFormat="1" ht="19.5" customHeight="1" x14ac:dyDescent="0.25">
      <c r="A133" s="11" t="s">
        <v>427</v>
      </c>
      <c r="B133" s="11" t="s">
        <v>427</v>
      </c>
      <c r="C133" s="12">
        <v>46104</v>
      </c>
      <c r="D133" s="12">
        <v>46104</v>
      </c>
      <c r="E133" s="11" t="s">
        <v>6</v>
      </c>
      <c r="F133" s="11" t="s">
        <v>428</v>
      </c>
      <c r="G133" s="11" t="s">
        <v>427</v>
      </c>
      <c r="H133" s="11"/>
      <c r="I133" s="11" t="s">
        <v>49</v>
      </c>
      <c r="J133" s="11">
        <v>39.51</v>
      </c>
      <c r="K133" s="11">
        <v>39.51</v>
      </c>
      <c r="L133" s="11"/>
      <c r="M133" s="11">
        <v>39.51</v>
      </c>
      <c r="N133" s="11"/>
      <c r="O133" s="11" t="s">
        <v>50</v>
      </c>
    </row>
    <row r="134" spans="1:15" s="13" customFormat="1" ht="19.5" customHeight="1" x14ac:dyDescent="0.25">
      <c r="A134" s="11" t="s">
        <v>429</v>
      </c>
      <c r="B134" s="11" t="s">
        <v>429</v>
      </c>
      <c r="C134" s="12">
        <v>46104</v>
      </c>
      <c r="D134" s="12">
        <v>46104</v>
      </c>
      <c r="E134" s="11" t="s">
        <v>6</v>
      </c>
      <c r="F134" s="11" t="s">
        <v>430</v>
      </c>
      <c r="G134" s="11" t="s">
        <v>429</v>
      </c>
      <c r="H134" s="11"/>
      <c r="I134" s="11" t="s">
        <v>49</v>
      </c>
      <c r="J134" s="11">
        <v>45.91</v>
      </c>
      <c r="K134" s="11">
        <v>45.91</v>
      </c>
      <c r="L134" s="11"/>
      <c r="M134" s="11">
        <v>45.91</v>
      </c>
      <c r="N134" s="11" t="s">
        <v>431</v>
      </c>
      <c r="O134" s="11" t="s">
        <v>50</v>
      </c>
    </row>
    <row r="135" spans="1:15" s="13" customFormat="1" ht="19.5" customHeight="1" x14ac:dyDescent="0.25">
      <c r="A135" s="11" t="s">
        <v>432</v>
      </c>
      <c r="B135" s="11" t="s">
        <v>432</v>
      </c>
      <c r="C135" s="12">
        <v>46104</v>
      </c>
      <c r="D135" s="12">
        <v>46104</v>
      </c>
      <c r="E135" s="11" t="s">
        <v>6</v>
      </c>
      <c r="F135" s="11" t="s">
        <v>433</v>
      </c>
      <c r="G135" s="11" t="s">
        <v>432</v>
      </c>
      <c r="H135" s="11"/>
      <c r="I135" s="11" t="s">
        <v>49</v>
      </c>
      <c r="J135" s="11">
        <v>107.2</v>
      </c>
      <c r="K135" s="11">
        <v>107.2</v>
      </c>
      <c r="L135" s="11"/>
      <c r="M135" s="11">
        <v>107.2</v>
      </c>
      <c r="N135" s="11" t="s">
        <v>434</v>
      </c>
      <c r="O135" s="11" t="s">
        <v>50</v>
      </c>
    </row>
    <row r="136" spans="1:15" s="13" customFormat="1" ht="19.5" customHeight="1" x14ac:dyDescent="0.25">
      <c r="A136" s="11" t="s">
        <v>435</v>
      </c>
      <c r="B136" s="11" t="s">
        <v>435</v>
      </c>
      <c r="C136" s="12">
        <v>46101</v>
      </c>
      <c r="D136" s="12">
        <v>46101</v>
      </c>
      <c r="E136" s="11" t="s">
        <v>6</v>
      </c>
      <c r="F136" s="11" t="s">
        <v>436</v>
      </c>
      <c r="G136" s="11" t="s">
        <v>435</v>
      </c>
      <c r="H136" s="11"/>
      <c r="I136" s="11" t="s">
        <v>49</v>
      </c>
      <c r="J136" s="11">
        <v>229.5</v>
      </c>
      <c r="K136" s="11">
        <v>229.5</v>
      </c>
      <c r="L136" s="11"/>
      <c r="M136" s="11">
        <v>229.5</v>
      </c>
      <c r="N136" s="11"/>
      <c r="O136" s="11" t="s">
        <v>50</v>
      </c>
    </row>
    <row r="137" spans="1:15" s="13" customFormat="1" ht="19.5" customHeight="1" x14ac:dyDescent="0.25">
      <c r="A137" s="11" t="s">
        <v>437</v>
      </c>
      <c r="B137" s="11" t="s">
        <v>437</v>
      </c>
      <c r="C137" s="12">
        <v>46101</v>
      </c>
      <c r="D137" s="12">
        <v>46101</v>
      </c>
      <c r="E137" s="11" t="s">
        <v>6</v>
      </c>
      <c r="F137" s="11" t="s">
        <v>438</v>
      </c>
      <c r="G137" s="11" t="s">
        <v>437</v>
      </c>
      <c r="H137" s="11"/>
      <c r="I137" s="11" t="s">
        <v>49</v>
      </c>
      <c r="J137" s="11">
        <v>177.74</v>
      </c>
      <c r="K137" s="11">
        <v>177.74</v>
      </c>
      <c r="L137" s="11"/>
      <c r="M137" s="11">
        <v>177.74</v>
      </c>
      <c r="N137" s="11" t="s">
        <v>439</v>
      </c>
      <c r="O137" s="11" t="s">
        <v>50</v>
      </c>
    </row>
    <row r="138" spans="1:15" s="13" customFormat="1" ht="19.5" customHeight="1" x14ac:dyDescent="0.25">
      <c r="A138" s="11" t="s">
        <v>440</v>
      </c>
      <c r="B138" s="11" t="s">
        <v>440</v>
      </c>
      <c r="C138" s="12">
        <v>46101</v>
      </c>
      <c r="D138" s="12">
        <v>46101</v>
      </c>
      <c r="E138" s="11" t="s">
        <v>6</v>
      </c>
      <c r="F138" s="11" t="s">
        <v>441</v>
      </c>
      <c r="G138" s="11" t="s">
        <v>440</v>
      </c>
      <c r="H138" s="11"/>
      <c r="I138" s="11" t="s">
        <v>49</v>
      </c>
      <c r="J138" s="11">
        <v>75.5</v>
      </c>
      <c r="K138" s="11">
        <v>75.5</v>
      </c>
      <c r="L138" s="11"/>
      <c r="M138" s="11">
        <v>75.5</v>
      </c>
      <c r="N138" s="11" t="s">
        <v>442</v>
      </c>
      <c r="O138" s="11" t="s">
        <v>50</v>
      </c>
    </row>
    <row r="139" spans="1:15" s="13" customFormat="1" ht="19.5" customHeight="1" x14ac:dyDescent="0.25">
      <c r="A139" s="11" t="s">
        <v>443</v>
      </c>
      <c r="B139" s="11" t="s">
        <v>443</v>
      </c>
      <c r="C139" s="12">
        <v>46101</v>
      </c>
      <c r="D139" s="12">
        <v>46101</v>
      </c>
      <c r="E139" s="11" t="s">
        <v>6</v>
      </c>
      <c r="F139" s="11" t="s">
        <v>444</v>
      </c>
      <c r="G139" s="11" t="s">
        <v>443</v>
      </c>
      <c r="H139" s="11"/>
      <c r="I139" s="11" t="s">
        <v>49</v>
      </c>
      <c r="J139" s="11">
        <v>90.86</v>
      </c>
      <c r="K139" s="11">
        <v>90.86</v>
      </c>
      <c r="L139" s="11"/>
      <c r="M139" s="11">
        <v>90.86</v>
      </c>
      <c r="N139" s="11" t="s">
        <v>445</v>
      </c>
      <c r="O139" s="11" t="s">
        <v>50</v>
      </c>
    </row>
    <row r="140" spans="1:15" s="13" customFormat="1" ht="19.5" customHeight="1" x14ac:dyDescent="0.25">
      <c r="A140" s="11" t="s">
        <v>446</v>
      </c>
      <c r="B140" s="11" t="s">
        <v>446</v>
      </c>
      <c r="C140" s="12">
        <v>46101</v>
      </c>
      <c r="D140" s="12">
        <v>46101</v>
      </c>
      <c r="E140" s="11" t="s">
        <v>6</v>
      </c>
      <c r="F140" s="11" t="s">
        <v>447</v>
      </c>
      <c r="G140" s="11" t="s">
        <v>446</v>
      </c>
      <c r="H140" s="11"/>
      <c r="I140" s="11" t="s">
        <v>49</v>
      </c>
      <c r="J140" s="11">
        <v>90.86</v>
      </c>
      <c r="K140" s="11">
        <v>90.86</v>
      </c>
      <c r="L140" s="11"/>
      <c r="M140" s="11">
        <v>90.86</v>
      </c>
      <c r="N140" s="11" t="s">
        <v>448</v>
      </c>
      <c r="O140" s="11" t="s">
        <v>50</v>
      </c>
    </row>
    <row r="141" spans="1:15" s="13" customFormat="1" ht="19.5" customHeight="1" x14ac:dyDescent="0.25">
      <c r="A141" s="11" t="s">
        <v>449</v>
      </c>
      <c r="B141" s="11" t="s">
        <v>449</v>
      </c>
      <c r="C141" s="12">
        <v>46101</v>
      </c>
      <c r="D141" s="12">
        <v>46101</v>
      </c>
      <c r="E141" s="11" t="s">
        <v>6</v>
      </c>
      <c r="F141" s="11" t="s">
        <v>450</v>
      </c>
      <c r="G141" s="11" t="s">
        <v>449</v>
      </c>
      <c r="H141" s="11"/>
      <c r="I141" s="11" t="s">
        <v>49</v>
      </c>
      <c r="J141" s="11">
        <v>53.9</v>
      </c>
      <c r="K141" s="11">
        <v>53.9</v>
      </c>
      <c r="L141" s="11"/>
      <c r="M141" s="11">
        <v>53.9</v>
      </c>
      <c r="N141" s="11" t="s">
        <v>451</v>
      </c>
      <c r="O141" s="11" t="s">
        <v>50</v>
      </c>
    </row>
    <row r="142" spans="1:15" s="13" customFormat="1" ht="19.5" customHeight="1" x14ac:dyDescent="0.25">
      <c r="A142" s="11" t="s">
        <v>452</v>
      </c>
      <c r="B142" s="11" t="s">
        <v>453</v>
      </c>
      <c r="C142" s="12">
        <v>46101</v>
      </c>
      <c r="D142" s="12">
        <v>46101</v>
      </c>
      <c r="E142" s="11" t="s">
        <v>6</v>
      </c>
      <c r="F142" s="11" t="s">
        <v>454</v>
      </c>
      <c r="G142" s="11" t="s">
        <v>453</v>
      </c>
      <c r="H142" s="11" t="s">
        <v>455</v>
      </c>
      <c r="I142" s="11" t="s">
        <v>49</v>
      </c>
      <c r="J142" s="11">
        <v>127.41</v>
      </c>
      <c r="K142" s="11">
        <v>127.41</v>
      </c>
      <c r="L142" s="11"/>
      <c r="M142" s="11">
        <v>127.41</v>
      </c>
      <c r="N142" s="11" t="s">
        <v>456</v>
      </c>
      <c r="O142" s="11" t="s">
        <v>50</v>
      </c>
    </row>
    <row r="143" spans="1:15" s="13" customFormat="1" ht="19.5" customHeight="1" x14ac:dyDescent="0.25">
      <c r="A143" s="11" t="s">
        <v>457</v>
      </c>
      <c r="B143" s="11" t="s">
        <v>457</v>
      </c>
      <c r="C143" s="12">
        <v>46101</v>
      </c>
      <c r="D143" s="12">
        <v>46101</v>
      </c>
      <c r="E143" s="11" t="s">
        <v>6</v>
      </c>
      <c r="F143" s="11" t="s">
        <v>458</v>
      </c>
      <c r="G143" s="11" t="s">
        <v>457</v>
      </c>
      <c r="H143" s="11"/>
      <c r="I143" s="11" t="s">
        <v>49</v>
      </c>
      <c r="J143" s="11">
        <v>61.21</v>
      </c>
      <c r="K143" s="11">
        <v>61.21</v>
      </c>
      <c r="L143" s="11"/>
      <c r="M143" s="11">
        <v>61.21</v>
      </c>
      <c r="N143" s="11" t="s">
        <v>459</v>
      </c>
      <c r="O143" s="11" t="s">
        <v>50</v>
      </c>
    </row>
    <row r="144" spans="1:15" s="13" customFormat="1" ht="19.5" customHeight="1" x14ac:dyDescent="0.25">
      <c r="A144" s="11" t="s">
        <v>460</v>
      </c>
      <c r="B144" s="11" t="s">
        <v>460</v>
      </c>
      <c r="C144" s="12">
        <v>46101</v>
      </c>
      <c r="D144" s="12">
        <v>46101</v>
      </c>
      <c r="E144" s="11" t="s">
        <v>6</v>
      </c>
      <c r="F144" s="11" t="s">
        <v>461</v>
      </c>
      <c r="G144" s="11" t="s">
        <v>460</v>
      </c>
      <c r="H144" s="11"/>
      <c r="I144" s="11" t="s">
        <v>49</v>
      </c>
      <c r="J144" s="11">
        <v>53.9</v>
      </c>
      <c r="K144" s="11">
        <v>53.9</v>
      </c>
      <c r="L144" s="11"/>
      <c r="M144" s="11">
        <v>53.9</v>
      </c>
      <c r="N144" s="11" t="s">
        <v>462</v>
      </c>
      <c r="O144" s="11" t="s">
        <v>50</v>
      </c>
    </row>
    <row r="145" spans="1:15" s="13" customFormat="1" ht="19.5" customHeight="1" x14ac:dyDescent="0.25">
      <c r="A145" s="11" t="s">
        <v>463</v>
      </c>
      <c r="B145" s="11" t="s">
        <v>463</v>
      </c>
      <c r="C145" s="12">
        <v>46101</v>
      </c>
      <c r="D145" s="12">
        <v>46101</v>
      </c>
      <c r="E145" s="11" t="s">
        <v>6</v>
      </c>
      <c r="F145" s="11" t="s">
        <v>464</v>
      </c>
      <c r="G145" s="11" t="s">
        <v>463</v>
      </c>
      <c r="H145" s="11"/>
      <c r="I145" s="11" t="s">
        <v>49</v>
      </c>
      <c r="J145" s="11">
        <v>63.9</v>
      </c>
      <c r="K145" s="11">
        <v>63.9</v>
      </c>
      <c r="L145" s="11"/>
      <c r="M145" s="11">
        <v>63.9</v>
      </c>
      <c r="N145" s="11"/>
      <c r="O145" s="11" t="s">
        <v>50</v>
      </c>
    </row>
    <row r="146" spans="1:15" s="13" customFormat="1" ht="19.5" customHeight="1" x14ac:dyDescent="0.25">
      <c r="A146" s="11" t="s">
        <v>465</v>
      </c>
      <c r="B146" s="11" t="s">
        <v>465</v>
      </c>
      <c r="C146" s="12">
        <v>46101</v>
      </c>
      <c r="D146" s="12">
        <v>46101</v>
      </c>
      <c r="E146" s="11" t="s">
        <v>6</v>
      </c>
      <c r="F146" s="11" t="s">
        <v>466</v>
      </c>
      <c r="G146" s="11" t="s">
        <v>465</v>
      </c>
      <c r="H146" s="11"/>
      <c r="I146" s="11" t="s">
        <v>49</v>
      </c>
      <c r="J146" s="11">
        <v>47.25</v>
      </c>
      <c r="K146" s="11">
        <v>47.25</v>
      </c>
      <c r="L146" s="11"/>
      <c r="M146" s="11">
        <v>47.25</v>
      </c>
      <c r="N146" s="11" t="s">
        <v>467</v>
      </c>
      <c r="O146" s="11" t="s">
        <v>50</v>
      </c>
    </row>
    <row r="147" spans="1:15" s="13" customFormat="1" ht="19.5" customHeight="1" x14ac:dyDescent="0.25">
      <c r="A147" s="11" t="s">
        <v>468</v>
      </c>
      <c r="B147" s="11" t="s">
        <v>469</v>
      </c>
      <c r="C147" s="12">
        <v>46101</v>
      </c>
      <c r="D147" s="12">
        <v>46101</v>
      </c>
      <c r="E147" s="11" t="s">
        <v>6</v>
      </c>
      <c r="F147" s="11" t="s">
        <v>470</v>
      </c>
      <c r="G147" s="11" t="s">
        <v>469</v>
      </c>
      <c r="H147" s="11" t="s">
        <v>471</v>
      </c>
      <c r="I147" s="11" t="s">
        <v>49</v>
      </c>
      <c r="J147" s="11">
        <v>54.81</v>
      </c>
      <c r="K147" s="11">
        <v>54.81</v>
      </c>
      <c r="L147" s="11"/>
      <c r="M147" s="11">
        <v>54.81</v>
      </c>
      <c r="N147" s="11" t="s">
        <v>472</v>
      </c>
      <c r="O147" s="11" t="s">
        <v>50</v>
      </c>
    </row>
    <row r="148" spans="1:15" s="13" customFormat="1" ht="19.5" customHeight="1" x14ac:dyDescent="0.25">
      <c r="A148" s="11" t="s">
        <v>473</v>
      </c>
      <c r="B148" s="11" t="s">
        <v>474</v>
      </c>
      <c r="C148" s="12">
        <v>46101</v>
      </c>
      <c r="D148" s="12">
        <v>46101</v>
      </c>
      <c r="E148" s="11" t="s">
        <v>6</v>
      </c>
      <c r="F148" s="11" t="s">
        <v>475</v>
      </c>
      <c r="G148" s="11" t="s">
        <v>474</v>
      </c>
      <c r="H148" s="11" t="s">
        <v>476</v>
      </c>
      <c r="I148" s="11" t="s">
        <v>49</v>
      </c>
      <c r="J148" s="11">
        <v>327.24</v>
      </c>
      <c r="K148" s="11">
        <v>327.24</v>
      </c>
      <c r="L148" s="11"/>
      <c r="M148" s="11">
        <v>327.24</v>
      </c>
      <c r="N148" s="11" t="s">
        <v>477</v>
      </c>
      <c r="O148" s="11" t="s">
        <v>50</v>
      </c>
    </row>
    <row r="149" spans="1:15" s="13" customFormat="1" ht="19.5" customHeight="1" x14ac:dyDescent="0.25">
      <c r="A149" s="11" t="s">
        <v>478</v>
      </c>
      <c r="B149" s="11" t="s">
        <v>478</v>
      </c>
      <c r="C149" s="12">
        <v>46100</v>
      </c>
      <c r="D149" s="12">
        <v>46130</v>
      </c>
      <c r="E149" s="11" t="s">
        <v>6</v>
      </c>
      <c r="F149" s="11" t="s">
        <v>479</v>
      </c>
      <c r="G149" s="11" t="s">
        <v>478</v>
      </c>
      <c r="H149" s="11"/>
      <c r="I149" s="11" t="s">
        <v>49</v>
      </c>
      <c r="J149" s="11">
        <v>582.58000000000004</v>
      </c>
      <c r="K149" s="11">
        <v>582.58000000000004</v>
      </c>
      <c r="L149" s="11"/>
      <c r="M149" s="11">
        <v>582.58000000000004</v>
      </c>
      <c r="N149" s="11" t="s">
        <v>480</v>
      </c>
      <c r="O149" s="11" t="s">
        <v>50</v>
      </c>
    </row>
    <row r="150" spans="1:15" s="13" customFormat="1" ht="19.5" customHeight="1" x14ac:dyDescent="0.25">
      <c r="A150" s="11" t="s">
        <v>481</v>
      </c>
      <c r="B150" s="11" t="s">
        <v>481</v>
      </c>
      <c r="C150" s="12">
        <v>46100</v>
      </c>
      <c r="D150" s="12">
        <v>46145</v>
      </c>
      <c r="E150" s="11" t="s">
        <v>6</v>
      </c>
      <c r="F150" s="11" t="s">
        <v>482</v>
      </c>
      <c r="G150" s="11" t="s">
        <v>481</v>
      </c>
      <c r="H150" s="11"/>
      <c r="I150" s="11" t="s">
        <v>49</v>
      </c>
      <c r="J150" s="11">
        <v>6401.5</v>
      </c>
      <c r="K150" s="11">
        <v>6401.5</v>
      </c>
      <c r="L150" s="11"/>
      <c r="M150" s="11">
        <v>6401.5</v>
      </c>
      <c r="N150" s="11" t="s">
        <v>483</v>
      </c>
      <c r="O150" s="11" t="s">
        <v>50</v>
      </c>
    </row>
    <row r="151" spans="1:15" s="13" customFormat="1" ht="19.5" customHeight="1" x14ac:dyDescent="0.25">
      <c r="A151" s="11" t="s">
        <v>484</v>
      </c>
      <c r="B151" s="11" t="s">
        <v>484</v>
      </c>
      <c r="C151" s="12">
        <v>46100</v>
      </c>
      <c r="D151" s="12">
        <v>46130</v>
      </c>
      <c r="E151" s="11" t="s">
        <v>6</v>
      </c>
      <c r="F151" s="11" t="s">
        <v>485</v>
      </c>
      <c r="G151" s="11" t="s">
        <v>484</v>
      </c>
      <c r="H151" s="11"/>
      <c r="I151" s="11" t="s">
        <v>49</v>
      </c>
      <c r="J151" s="11">
        <v>1253.1600000000001</v>
      </c>
      <c r="K151" s="11">
        <v>1253.1600000000001</v>
      </c>
      <c r="L151" s="11"/>
      <c r="M151" s="11">
        <v>1253.1600000000001</v>
      </c>
      <c r="N151" s="11" t="s">
        <v>486</v>
      </c>
      <c r="O151" s="11" t="s">
        <v>50</v>
      </c>
    </row>
    <row r="152" spans="1:15" s="13" customFormat="1" ht="19.5" customHeight="1" x14ac:dyDescent="0.25">
      <c r="A152" s="11" t="s">
        <v>487</v>
      </c>
      <c r="B152" s="11" t="s">
        <v>487</v>
      </c>
      <c r="C152" s="12">
        <v>46100</v>
      </c>
      <c r="D152" s="12">
        <v>46100</v>
      </c>
      <c r="E152" s="11" t="s">
        <v>6</v>
      </c>
      <c r="F152" s="11" t="s">
        <v>488</v>
      </c>
      <c r="G152" s="11" t="s">
        <v>487</v>
      </c>
      <c r="H152" s="11"/>
      <c r="I152" s="11" t="s">
        <v>49</v>
      </c>
      <c r="J152" s="11">
        <v>58.04</v>
      </c>
      <c r="K152" s="11">
        <v>58.04</v>
      </c>
      <c r="L152" s="11"/>
      <c r="M152" s="11">
        <v>58.04</v>
      </c>
      <c r="N152" s="11" t="s">
        <v>489</v>
      </c>
      <c r="O152" s="11" t="s">
        <v>50</v>
      </c>
    </row>
    <row r="153" spans="1:15" s="13" customFormat="1" ht="19.5" customHeight="1" x14ac:dyDescent="0.25">
      <c r="A153" s="11" t="s">
        <v>490</v>
      </c>
      <c r="B153" s="11" t="s">
        <v>490</v>
      </c>
      <c r="C153" s="12">
        <v>46100</v>
      </c>
      <c r="D153" s="12">
        <v>46100</v>
      </c>
      <c r="E153" s="11" t="s">
        <v>6</v>
      </c>
      <c r="F153" s="11" t="s">
        <v>491</v>
      </c>
      <c r="G153" s="11" t="s">
        <v>490</v>
      </c>
      <c r="H153" s="11"/>
      <c r="I153" s="11" t="s">
        <v>49</v>
      </c>
      <c r="J153" s="11">
        <v>43.2</v>
      </c>
      <c r="K153" s="11">
        <v>43.2</v>
      </c>
      <c r="L153" s="11"/>
      <c r="M153" s="11">
        <v>43.2</v>
      </c>
      <c r="N153" s="11" t="s">
        <v>492</v>
      </c>
      <c r="O153" s="11" t="s">
        <v>50</v>
      </c>
    </row>
    <row r="154" spans="1:15" s="13" customFormat="1" ht="19.5" customHeight="1" x14ac:dyDescent="0.25">
      <c r="A154" s="11" t="s">
        <v>493</v>
      </c>
      <c r="B154" s="11" t="s">
        <v>493</v>
      </c>
      <c r="C154" s="12">
        <v>46100</v>
      </c>
      <c r="D154" s="12">
        <v>46100</v>
      </c>
      <c r="E154" s="11" t="s">
        <v>6</v>
      </c>
      <c r="F154" s="11" t="s">
        <v>494</v>
      </c>
      <c r="G154" s="11" t="s">
        <v>493</v>
      </c>
      <c r="H154" s="11"/>
      <c r="I154" s="11" t="s">
        <v>49</v>
      </c>
      <c r="J154" s="11">
        <v>383.41</v>
      </c>
      <c r="K154" s="11">
        <v>383.41</v>
      </c>
      <c r="L154" s="11"/>
      <c r="M154" s="11">
        <v>383.41</v>
      </c>
      <c r="N154" s="11" t="s">
        <v>495</v>
      </c>
      <c r="O154" s="11" t="s">
        <v>50</v>
      </c>
    </row>
    <row r="155" spans="1:15" s="13" customFormat="1" ht="19.5" customHeight="1" x14ac:dyDescent="0.25">
      <c r="A155" s="11" t="s">
        <v>496</v>
      </c>
      <c r="B155" s="11" t="s">
        <v>497</v>
      </c>
      <c r="C155" s="12">
        <v>46100</v>
      </c>
      <c r="D155" s="12">
        <v>46100</v>
      </c>
      <c r="E155" s="11" t="s">
        <v>6</v>
      </c>
      <c r="F155" s="11" t="s">
        <v>498</v>
      </c>
      <c r="G155" s="11" t="s">
        <v>497</v>
      </c>
      <c r="H155" s="11" t="s">
        <v>499</v>
      </c>
      <c r="I155" s="11" t="s">
        <v>49</v>
      </c>
      <c r="J155" s="11">
        <v>181.14</v>
      </c>
      <c r="K155" s="11">
        <v>181.14</v>
      </c>
      <c r="L155" s="11"/>
      <c r="M155" s="11">
        <v>181.14</v>
      </c>
      <c r="N155" s="11" t="s">
        <v>500</v>
      </c>
      <c r="O155" s="11" t="s">
        <v>50</v>
      </c>
    </row>
    <row r="156" spans="1:15" s="13" customFormat="1" ht="19.5" customHeight="1" x14ac:dyDescent="0.25">
      <c r="A156" s="11" t="s">
        <v>501</v>
      </c>
      <c r="B156" s="11" t="s">
        <v>501</v>
      </c>
      <c r="C156" s="12">
        <v>46100</v>
      </c>
      <c r="D156" s="12">
        <v>46100</v>
      </c>
      <c r="E156" s="11" t="s">
        <v>6</v>
      </c>
      <c r="F156" s="11" t="s">
        <v>140</v>
      </c>
      <c r="G156" s="11" t="s">
        <v>501</v>
      </c>
      <c r="H156" s="11"/>
      <c r="I156" s="11" t="s">
        <v>49</v>
      </c>
      <c r="J156" s="11">
        <v>95.11</v>
      </c>
      <c r="K156" s="11">
        <v>95.11</v>
      </c>
      <c r="L156" s="11"/>
      <c r="M156" s="11">
        <v>95.11</v>
      </c>
      <c r="N156" s="11" t="s">
        <v>502</v>
      </c>
      <c r="O156" s="11" t="s">
        <v>50</v>
      </c>
    </row>
    <row r="157" spans="1:15" s="13" customFormat="1" ht="19.5" customHeight="1" x14ac:dyDescent="0.25">
      <c r="A157" s="11" t="s">
        <v>503</v>
      </c>
      <c r="B157" s="11" t="s">
        <v>504</v>
      </c>
      <c r="C157" s="12">
        <v>46100</v>
      </c>
      <c r="D157" s="12">
        <v>46100</v>
      </c>
      <c r="E157" s="11" t="s">
        <v>6</v>
      </c>
      <c r="F157" s="11" t="s">
        <v>505</v>
      </c>
      <c r="G157" s="11" t="s">
        <v>504</v>
      </c>
      <c r="H157" s="11" t="s">
        <v>506</v>
      </c>
      <c r="I157" s="11" t="s">
        <v>49</v>
      </c>
      <c r="J157" s="11">
        <v>94.02</v>
      </c>
      <c r="K157" s="11">
        <v>94.02</v>
      </c>
      <c r="L157" s="11"/>
      <c r="M157" s="11">
        <v>94.02</v>
      </c>
      <c r="N157" s="11" t="s">
        <v>507</v>
      </c>
      <c r="O157" s="11" t="s">
        <v>50</v>
      </c>
    </row>
    <row r="158" spans="1:15" s="13" customFormat="1" ht="19.5" customHeight="1" x14ac:dyDescent="0.25">
      <c r="A158" s="11" t="s">
        <v>508</v>
      </c>
      <c r="B158" s="11" t="s">
        <v>508</v>
      </c>
      <c r="C158" s="12">
        <v>46100</v>
      </c>
      <c r="D158" s="12">
        <v>46100</v>
      </c>
      <c r="E158" s="11" t="s">
        <v>6</v>
      </c>
      <c r="F158" s="11" t="s">
        <v>509</v>
      </c>
      <c r="G158" s="11" t="s">
        <v>508</v>
      </c>
      <c r="H158" s="11"/>
      <c r="I158" s="11" t="s">
        <v>49</v>
      </c>
      <c r="J158" s="11">
        <v>53.9</v>
      </c>
      <c r="K158" s="11">
        <v>53.9</v>
      </c>
      <c r="L158" s="11"/>
      <c r="M158" s="11">
        <v>53.9</v>
      </c>
      <c r="N158" s="11" t="s">
        <v>510</v>
      </c>
      <c r="O158" s="11" t="s">
        <v>50</v>
      </c>
    </row>
    <row r="159" spans="1:15" s="13" customFormat="1" ht="19.5" customHeight="1" x14ac:dyDescent="0.25">
      <c r="A159" s="11" t="s">
        <v>511</v>
      </c>
      <c r="B159" s="11" t="s">
        <v>511</v>
      </c>
      <c r="C159" s="12">
        <v>46100</v>
      </c>
      <c r="D159" s="12">
        <v>46100</v>
      </c>
      <c r="E159" s="11" t="s">
        <v>6</v>
      </c>
      <c r="F159" s="11" t="s">
        <v>512</v>
      </c>
      <c r="G159" s="11" t="s">
        <v>511</v>
      </c>
      <c r="H159" s="11"/>
      <c r="I159" s="11" t="s">
        <v>49</v>
      </c>
      <c r="J159" s="11">
        <v>62.49</v>
      </c>
      <c r="K159" s="11">
        <v>62.49</v>
      </c>
      <c r="L159" s="11"/>
      <c r="M159" s="11">
        <v>62.49</v>
      </c>
      <c r="N159" s="11" t="s">
        <v>513</v>
      </c>
      <c r="O159" s="11" t="s">
        <v>50</v>
      </c>
    </row>
    <row r="160" spans="1:15" s="13" customFormat="1" ht="19.5" customHeight="1" x14ac:dyDescent="0.25">
      <c r="A160" s="11" t="s">
        <v>514</v>
      </c>
      <c r="B160" s="11" t="s">
        <v>514</v>
      </c>
      <c r="C160" s="12">
        <v>46100</v>
      </c>
      <c r="D160" s="12">
        <v>46100</v>
      </c>
      <c r="E160" s="11" t="s">
        <v>6</v>
      </c>
      <c r="F160" s="11" t="s">
        <v>515</v>
      </c>
      <c r="G160" s="11" t="s">
        <v>514</v>
      </c>
      <c r="H160" s="11"/>
      <c r="I160" s="11" t="s">
        <v>49</v>
      </c>
      <c r="J160" s="11">
        <v>1868.03</v>
      </c>
      <c r="K160" s="11">
        <v>1868.03</v>
      </c>
      <c r="L160" s="11"/>
      <c r="M160" s="11">
        <v>1868.03</v>
      </c>
      <c r="N160" s="11" t="s">
        <v>516</v>
      </c>
      <c r="O160" s="11" t="s">
        <v>50</v>
      </c>
    </row>
    <row r="161" spans="1:15" s="13" customFormat="1" ht="19.5" customHeight="1" x14ac:dyDescent="0.25">
      <c r="A161" s="11" t="s">
        <v>517</v>
      </c>
      <c r="B161" s="11" t="s">
        <v>517</v>
      </c>
      <c r="C161" s="12">
        <v>46099</v>
      </c>
      <c r="D161" s="12">
        <v>46129</v>
      </c>
      <c r="E161" s="11" t="s">
        <v>6</v>
      </c>
      <c r="F161" s="11" t="s">
        <v>518</v>
      </c>
      <c r="G161" s="11" t="s">
        <v>517</v>
      </c>
      <c r="H161" s="11"/>
      <c r="I161" s="11" t="s">
        <v>49</v>
      </c>
      <c r="J161" s="11">
        <v>6422.67</v>
      </c>
      <c r="K161" s="11">
        <v>6422.67</v>
      </c>
      <c r="L161" s="11"/>
      <c r="M161" s="11">
        <v>6422.67</v>
      </c>
      <c r="N161" s="11" t="s">
        <v>519</v>
      </c>
      <c r="O161" s="11" t="s">
        <v>50</v>
      </c>
    </row>
    <row r="162" spans="1:15" s="13" customFormat="1" ht="19.5" customHeight="1" x14ac:dyDescent="0.25">
      <c r="A162" s="11" t="s">
        <v>520</v>
      </c>
      <c r="B162" s="11" t="s">
        <v>520</v>
      </c>
      <c r="C162" s="12">
        <v>46099</v>
      </c>
      <c r="D162" s="12">
        <v>46129</v>
      </c>
      <c r="E162" s="11" t="s">
        <v>6</v>
      </c>
      <c r="F162" s="11" t="s">
        <v>521</v>
      </c>
      <c r="G162" s="11" t="s">
        <v>520</v>
      </c>
      <c r="H162" s="11"/>
      <c r="I162" s="11" t="s">
        <v>49</v>
      </c>
      <c r="J162" s="11">
        <v>1012.44</v>
      </c>
      <c r="K162" s="11">
        <v>1012.44</v>
      </c>
      <c r="L162" s="11"/>
      <c r="M162" s="11">
        <v>1012.44</v>
      </c>
      <c r="N162" s="11" t="s">
        <v>522</v>
      </c>
      <c r="O162" s="11" t="s">
        <v>50</v>
      </c>
    </row>
    <row r="163" spans="1:15" s="13" customFormat="1" ht="19.5" customHeight="1" x14ac:dyDescent="0.25">
      <c r="A163" s="11" t="s">
        <v>523</v>
      </c>
      <c r="B163" s="11" t="s">
        <v>523</v>
      </c>
      <c r="C163" s="12">
        <v>46099</v>
      </c>
      <c r="D163" s="12">
        <v>46099</v>
      </c>
      <c r="E163" s="11" t="s">
        <v>6</v>
      </c>
      <c r="F163" s="11" t="s">
        <v>524</v>
      </c>
      <c r="G163" s="11"/>
      <c r="H163" s="11"/>
      <c r="I163" s="11" t="s">
        <v>49</v>
      </c>
      <c r="J163" s="11">
        <v>-29.19</v>
      </c>
      <c r="K163" s="11"/>
      <c r="L163" s="11">
        <v>29.19</v>
      </c>
      <c r="M163" s="11">
        <v>-29.19</v>
      </c>
      <c r="N163" s="11"/>
      <c r="O163" s="11" t="s">
        <v>50</v>
      </c>
    </row>
    <row r="164" spans="1:15" s="13" customFormat="1" ht="19.5" customHeight="1" x14ac:dyDescent="0.25">
      <c r="A164" s="11" t="s">
        <v>525</v>
      </c>
      <c r="B164" s="11" t="s">
        <v>525</v>
      </c>
      <c r="C164" s="12">
        <v>46099</v>
      </c>
      <c r="D164" s="12">
        <v>46099</v>
      </c>
      <c r="E164" s="11" t="s">
        <v>6</v>
      </c>
      <c r="F164" s="11" t="s">
        <v>526</v>
      </c>
      <c r="G164" s="11" t="s">
        <v>525</v>
      </c>
      <c r="H164" s="11"/>
      <c r="I164" s="11" t="s">
        <v>49</v>
      </c>
      <c r="J164" s="11">
        <v>118.5</v>
      </c>
      <c r="K164" s="11">
        <v>118.5</v>
      </c>
      <c r="L164" s="11"/>
      <c r="M164" s="11">
        <v>118.5</v>
      </c>
      <c r="N164" s="11" t="s">
        <v>527</v>
      </c>
      <c r="O164" s="11" t="s">
        <v>50</v>
      </c>
    </row>
    <row r="165" spans="1:15" s="13" customFormat="1" ht="19.5" customHeight="1" x14ac:dyDescent="0.25">
      <c r="A165" s="11" t="s">
        <v>528</v>
      </c>
      <c r="B165" s="11" t="s">
        <v>528</v>
      </c>
      <c r="C165" s="12">
        <v>46099</v>
      </c>
      <c r="D165" s="12">
        <v>46099</v>
      </c>
      <c r="E165" s="11" t="s">
        <v>6</v>
      </c>
      <c r="F165" s="11" t="s">
        <v>529</v>
      </c>
      <c r="G165" s="11" t="s">
        <v>528</v>
      </c>
      <c r="H165" s="11"/>
      <c r="I165" s="11" t="s">
        <v>49</v>
      </c>
      <c r="J165" s="11">
        <v>75.5</v>
      </c>
      <c r="K165" s="11">
        <v>75.5</v>
      </c>
      <c r="L165" s="11"/>
      <c r="M165" s="11">
        <v>75.5</v>
      </c>
      <c r="N165" s="11" t="s">
        <v>530</v>
      </c>
      <c r="O165" s="11" t="s">
        <v>50</v>
      </c>
    </row>
    <row r="166" spans="1:15" s="13" customFormat="1" ht="19.5" customHeight="1" x14ac:dyDescent="0.25">
      <c r="A166" s="11" t="s">
        <v>531</v>
      </c>
      <c r="B166" s="11" t="s">
        <v>531</v>
      </c>
      <c r="C166" s="12">
        <v>46099</v>
      </c>
      <c r="D166" s="12">
        <v>46099</v>
      </c>
      <c r="E166" s="11" t="s">
        <v>6</v>
      </c>
      <c r="F166" s="11" t="s">
        <v>532</v>
      </c>
      <c r="G166" s="11" t="s">
        <v>531</v>
      </c>
      <c r="H166" s="11"/>
      <c r="I166" s="11" t="s">
        <v>49</v>
      </c>
      <c r="J166" s="11">
        <v>109.8</v>
      </c>
      <c r="K166" s="11">
        <v>109.8</v>
      </c>
      <c r="L166" s="11"/>
      <c r="M166" s="11">
        <v>109.8</v>
      </c>
      <c r="N166" s="11" t="s">
        <v>533</v>
      </c>
      <c r="O166" s="11" t="s">
        <v>50</v>
      </c>
    </row>
    <row r="167" spans="1:15" s="13" customFormat="1" ht="19.5" customHeight="1" x14ac:dyDescent="0.25">
      <c r="A167" s="11" t="s">
        <v>534</v>
      </c>
      <c r="B167" s="11" t="s">
        <v>534</v>
      </c>
      <c r="C167" s="12">
        <v>46099</v>
      </c>
      <c r="D167" s="12">
        <v>46099</v>
      </c>
      <c r="E167" s="11" t="s">
        <v>6</v>
      </c>
      <c r="F167" s="11" t="s">
        <v>535</v>
      </c>
      <c r="G167" s="11" t="s">
        <v>534</v>
      </c>
      <c r="H167" s="11"/>
      <c r="I167" s="11" t="s">
        <v>49</v>
      </c>
      <c r="J167" s="11">
        <v>223.95</v>
      </c>
      <c r="K167" s="11">
        <v>223.95</v>
      </c>
      <c r="L167" s="11"/>
      <c r="M167" s="11">
        <v>223.95</v>
      </c>
      <c r="N167" s="11"/>
      <c r="O167" s="11" t="s">
        <v>50</v>
      </c>
    </row>
    <row r="168" spans="1:15" s="13" customFormat="1" ht="19.5" customHeight="1" x14ac:dyDescent="0.25">
      <c r="A168" s="11" t="s">
        <v>536</v>
      </c>
      <c r="B168" s="11" t="s">
        <v>536</v>
      </c>
      <c r="C168" s="12">
        <v>46099</v>
      </c>
      <c r="D168" s="12">
        <v>46099</v>
      </c>
      <c r="E168" s="11" t="s">
        <v>6</v>
      </c>
      <c r="F168" s="11" t="s">
        <v>537</v>
      </c>
      <c r="G168" s="11" t="s">
        <v>536</v>
      </c>
      <c r="H168" s="11"/>
      <c r="I168" s="11" t="s">
        <v>49</v>
      </c>
      <c r="J168" s="11">
        <v>204.77</v>
      </c>
      <c r="K168" s="11">
        <v>204.77</v>
      </c>
      <c r="L168" s="11"/>
      <c r="M168" s="11">
        <v>204.77</v>
      </c>
      <c r="N168" s="11" t="s">
        <v>538</v>
      </c>
      <c r="O168" s="11" t="s">
        <v>50</v>
      </c>
    </row>
    <row r="169" spans="1:15" s="13" customFormat="1" ht="19.5" customHeight="1" x14ac:dyDescent="0.25">
      <c r="A169" s="11" t="s">
        <v>539</v>
      </c>
      <c r="B169" s="11" t="s">
        <v>539</v>
      </c>
      <c r="C169" s="12">
        <v>46099</v>
      </c>
      <c r="D169" s="12">
        <v>46099</v>
      </c>
      <c r="E169" s="11" t="s">
        <v>6</v>
      </c>
      <c r="F169" s="11" t="s">
        <v>540</v>
      </c>
      <c r="G169" s="11" t="s">
        <v>539</v>
      </c>
      <c r="H169" s="11"/>
      <c r="I169" s="11" t="s">
        <v>49</v>
      </c>
      <c r="J169" s="11">
        <v>118.5</v>
      </c>
      <c r="K169" s="11">
        <v>118.5</v>
      </c>
      <c r="L169" s="11"/>
      <c r="M169" s="11">
        <v>118.5</v>
      </c>
      <c r="N169" s="11" t="s">
        <v>541</v>
      </c>
      <c r="O169" s="11" t="s">
        <v>50</v>
      </c>
    </row>
    <row r="170" spans="1:15" s="13" customFormat="1" ht="19.5" customHeight="1" x14ac:dyDescent="0.25">
      <c r="A170" s="11" t="s">
        <v>542</v>
      </c>
      <c r="B170" s="11" t="s">
        <v>542</v>
      </c>
      <c r="C170" s="12">
        <v>46099</v>
      </c>
      <c r="D170" s="12">
        <v>46099</v>
      </c>
      <c r="E170" s="11" t="s">
        <v>6</v>
      </c>
      <c r="F170" s="11" t="s">
        <v>543</v>
      </c>
      <c r="G170" s="11" t="s">
        <v>542</v>
      </c>
      <c r="H170" s="11"/>
      <c r="I170" s="11" t="s">
        <v>49</v>
      </c>
      <c r="J170" s="11">
        <v>136.16</v>
      </c>
      <c r="K170" s="11">
        <v>136.16</v>
      </c>
      <c r="L170" s="11"/>
      <c r="M170" s="11">
        <v>136.16</v>
      </c>
      <c r="N170" s="11"/>
      <c r="O170" s="11" t="s">
        <v>50</v>
      </c>
    </row>
    <row r="171" spans="1:15" s="13" customFormat="1" ht="19.5" customHeight="1" x14ac:dyDescent="0.25">
      <c r="A171" s="11" t="s">
        <v>544</v>
      </c>
      <c r="B171" s="11" t="s">
        <v>544</v>
      </c>
      <c r="C171" s="12">
        <v>46098</v>
      </c>
      <c r="D171" s="12">
        <v>46128</v>
      </c>
      <c r="E171" s="11" t="s">
        <v>6</v>
      </c>
      <c r="F171" s="11" t="s">
        <v>56</v>
      </c>
      <c r="G171" s="11" t="s">
        <v>544</v>
      </c>
      <c r="H171" s="11"/>
      <c r="I171" s="11" t="s">
        <v>49</v>
      </c>
      <c r="J171" s="11">
        <v>2496.88</v>
      </c>
      <c r="K171" s="11">
        <v>2496.88</v>
      </c>
      <c r="L171" s="11"/>
      <c r="M171" s="11">
        <v>2496.88</v>
      </c>
      <c r="N171" s="11" t="s">
        <v>545</v>
      </c>
      <c r="O171" s="11" t="s">
        <v>50</v>
      </c>
    </row>
    <row r="172" spans="1:15" s="13" customFormat="1" ht="19.5" customHeight="1" x14ac:dyDescent="0.25">
      <c r="A172" s="11" t="s">
        <v>546</v>
      </c>
      <c r="B172" s="11" t="s">
        <v>546</v>
      </c>
      <c r="C172" s="12">
        <v>46098</v>
      </c>
      <c r="D172" s="12">
        <v>46143</v>
      </c>
      <c r="E172" s="11" t="s">
        <v>6</v>
      </c>
      <c r="F172" s="11" t="s">
        <v>482</v>
      </c>
      <c r="G172" s="11" t="s">
        <v>546</v>
      </c>
      <c r="H172" s="11"/>
      <c r="I172" s="11" t="s">
        <v>49</v>
      </c>
      <c r="J172" s="11">
        <v>6205.12</v>
      </c>
      <c r="K172" s="11">
        <v>6205.12</v>
      </c>
      <c r="L172" s="11"/>
      <c r="M172" s="11">
        <v>6205.12</v>
      </c>
      <c r="N172" s="11" t="s">
        <v>547</v>
      </c>
      <c r="O172" s="11" t="s">
        <v>50</v>
      </c>
    </row>
    <row r="173" spans="1:15" s="13" customFormat="1" ht="19.5" customHeight="1" x14ac:dyDescent="0.25">
      <c r="A173" s="11" t="s">
        <v>548</v>
      </c>
      <c r="B173" s="11" t="s">
        <v>548</v>
      </c>
      <c r="C173" s="12">
        <v>46098</v>
      </c>
      <c r="D173" s="12">
        <v>46128</v>
      </c>
      <c r="E173" s="11" t="s">
        <v>6</v>
      </c>
      <c r="F173" s="11" t="s">
        <v>549</v>
      </c>
      <c r="G173" s="11" t="s">
        <v>548</v>
      </c>
      <c r="H173" s="11"/>
      <c r="I173" s="11" t="s">
        <v>49</v>
      </c>
      <c r="J173" s="11">
        <v>1722.8</v>
      </c>
      <c r="K173" s="11">
        <v>1722.8</v>
      </c>
      <c r="L173" s="11"/>
      <c r="M173" s="11">
        <v>1722.8</v>
      </c>
      <c r="N173" s="11" t="s">
        <v>550</v>
      </c>
      <c r="O173" s="11" t="s">
        <v>50</v>
      </c>
    </row>
    <row r="174" spans="1:15" s="13" customFormat="1" ht="19.5" customHeight="1" x14ac:dyDescent="0.25">
      <c r="A174" s="11" t="s">
        <v>551</v>
      </c>
      <c r="B174" s="11" t="s">
        <v>551</v>
      </c>
      <c r="C174" s="12">
        <v>46098</v>
      </c>
      <c r="D174" s="12">
        <v>46128</v>
      </c>
      <c r="E174" s="11" t="s">
        <v>6</v>
      </c>
      <c r="F174" s="11" t="s">
        <v>552</v>
      </c>
      <c r="G174" s="11" t="s">
        <v>551</v>
      </c>
      <c r="H174" s="11"/>
      <c r="I174" s="11" t="s">
        <v>49</v>
      </c>
      <c r="J174" s="11">
        <v>1539.9</v>
      </c>
      <c r="K174" s="11">
        <v>1539.9</v>
      </c>
      <c r="L174" s="11"/>
      <c r="M174" s="11">
        <v>1539.9</v>
      </c>
      <c r="N174" s="11" t="s">
        <v>553</v>
      </c>
      <c r="O174" s="11" t="s">
        <v>50</v>
      </c>
    </row>
    <row r="175" spans="1:15" s="13" customFormat="1" ht="19.5" customHeight="1" x14ac:dyDescent="0.25">
      <c r="A175" s="11" t="s">
        <v>554</v>
      </c>
      <c r="B175" s="11" t="s">
        <v>554</v>
      </c>
      <c r="C175" s="12">
        <v>46098</v>
      </c>
      <c r="D175" s="12">
        <v>46158</v>
      </c>
      <c r="E175" s="11" t="s">
        <v>6</v>
      </c>
      <c r="F175" s="11" t="s">
        <v>555</v>
      </c>
      <c r="G175" s="11" t="s">
        <v>554</v>
      </c>
      <c r="H175" s="11"/>
      <c r="I175" s="11" t="s">
        <v>49</v>
      </c>
      <c r="J175" s="11">
        <v>10780.36</v>
      </c>
      <c r="K175" s="11">
        <v>10780.36</v>
      </c>
      <c r="L175" s="11"/>
      <c r="M175" s="11">
        <v>10780.36</v>
      </c>
      <c r="N175" s="11" t="s">
        <v>556</v>
      </c>
      <c r="O175" s="11" t="s">
        <v>50</v>
      </c>
    </row>
    <row r="176" spans="1:15" s="13" customFormat="1" ht="19.5" customHeight="1" x14ac:dyDescent="0.25">
      <c r="A176" s="11" t="s">
        <v>557</v>
      </c>
      <c r="B176" s="11" t="s">
        <v>557</v>
      </c>
      <c r="C176" s="12">
        <v>46098</v>
      </c>
      <c r="D176" s="12">
        <v>46128</v>
      </c>
      <c r="E176" s="11" t="s">
        <v>6</v>
      </c>
      <c r="F176" s="11" t="s">
        <v>558</v>
      </c>
      <c r="G176" s="11" t="s">
        <v>557</v>
      </c>
      <c r="H176" s="11"/>
      <c r="I176" s="11" t="s">
        <v>49</v>
      </c>
      <c r="J176" s="11">
        <v>649</v>
      </c>
      <c r="K176" s="11">
        <v>649</v>
      </c>
      <c r="L176" s="11"/>
      <c r="M176" s="11">
        <v>649</v>
      </c>
      <c r="N176" s="11" t="s">
        <v>559</v>
      </c>
      <c r="O176" s="11" t="s">
        <v>50</v>
      </c>
    </row>
    <row r="177" spans="1:15" s="13" customFormat="1" ht="19.5" customHeight="1" x14ac:dyDescent="0.25">
      <c r="A177" s="11" t="s">
        <v>560</v>
      </c>
      <c r="B177" s="11" t="s">
        <v>560</v>
      </c>
      <c r="C177" s="12">
        <v>46098</v>
      </c>
      <c r="D177" s="12">
        <v>46098</v>
      </c>
      <c r="E177" s="11" t="s">
        <v>6</v>
      </c>
      <c r="F177" s="11" t="s">
        <v>561</v>
      </c>
      <c r="G177" s="11" t="s">
        <v>560</v>
      </c>
      <c r="H177" s="11"/>
      <c r="I177" s="11" t="s">
        <v>49</v>
      </c>
      <c r="J177" s="11">
        <v>53.9</v>
      </c>
      <c r="K177" s="11">
        <v>53.9</v>
      </c>
      <c r="L177" s="11"/>
      <c r="M177" s="11">
        <v>53.9</v>
      </c>
      <c r="N177" s="11" t="s">
        <v>562</v>
      </c>
      <c r="O177" s="11" t="s">
        <v>50</v>
      </c>
    </row>
    <row r="178" spans="1:15" s="13" customFormat="1" ht="19.5" customHeight="1" x14ac:dyDescent="0.25">
      <c r="A178" s="11" t="s">
        <v>563</v>
      </c>
      <c r="B178" s="11" t="s">
        <v>564</v>
      </c>
      <c r="C178" s="12">
        <v>46098</v>
      </c>
      <c r="D178" s="12">
        <v>46098</v>
      </c>
      <c r="E178" s="11" t="s">
        <v>6</v>
      </c>
      <c r="F178" s="11" t="s">
        <v>565</v>
      </c>
      <c r="G178" s="11" t="s">
        <v>564</v>
      </c>
      <c r="H178" s="11" t="s">
        <v>566</v>
      </c>
      <c r="I178" s="11" t="s">
        <v>49</v>
      </c>
      <c r="J178" s="11">
        <v>140.49</v>
      </c>
      <c r="K178" s="11">
        <v>140.49</v>
      </c>
      <c r="L178" s="11"/>
      <c r="M178" s="11">
        <v>140.49</v>
      </c>
      <c r="N178" s="11" t="s">
        <v>567</v>
      </c>
      <c r="O178" s="11" t="s">
        <v>50</v>
      </c>
    </row>
    <row r="179" spans="1:15" s="13" customFormat="1" ht="19.5" customHeight="1" x14ac:dyDescent="0.25">
      <c r="A179" s="11" t="s">
        <v>568</v>
      </c>
      <c r="B179" s="11" t="s">
        <v>568</v>
      </c>
      <c r="C179" s="12">
        <v>46098</v>
      </c>
      <c r="D179" s="12">
        <v>46098</v>
      </c>
      <c r="E179" s="11" t="s">
        <v>6</v>
      </c>
      <c r="F179" s="11" t="s">
        <v>569</v>
      </c>
      <c r="G179" s="11" t="s">
        <v>568</v>
      </c>
      <c r="H179" s="11"/>
      <c r="I179" s="11" t="s">
        <v>49</v>
      </c>
      <c r="J179" s="11">
        <v>94.05</v>
      </c>
      <c r="K179" s="11">
        <v>94.05</v>
      </c>
      <c r="L179" s="11"/>
      <c r="M179" s="11">
        <v>94.05</v>
      </c>
      <c r="N179" s="11" t="s">
        <v>570</v>
      </c>
      <c r="O179" s="11" t="s">
        <v>50</v>
      </c>
    </row>
    <row r="180" spans="1:15" s="13" customFormat="1" ht="19.5" customHeight="1" x14ac:dyDescent="0.25">
      <c r="A180" s="11" t="s">
        <v>571</v>
      </c>
      <c r="B180" s="11" t="s">
        <v>571</v>
      </c>
      <c r="C180" s="12">
        <v>46098</v>
      </c>
      <c r="D180" s="12">
        <v>46098</v>
      </c>
      <c r="E180" s="11" t="s">
        <v>6</v>
      </c>
      <c r="F180" s="11" t="s">
        <v>572</v>
      </c>
      <c r="G180" s="11" t="s">
        <v>571</v>
      </c>
      <c r="H180" s="11"/>
      <c r="I180" s="11" t="s">
        <v>49</v>
      </c>
      <c r="J180" s="11">
        <v>75.5</v>
      </c>
      <c r="K180" s="11">
        <v>75.5</v>
      </c>
      <c r="L180" s="11"/>
      <c r="M180" s="11">
        <v>75.5</v>
      </c>
      <c r="N180" s="11" t="s">
        <v>573</v>
      </c>
      <c r="O180" s="11" t="s">
        <v>50</v>
      </c>
    </row>
    <row r="181" spans="1:15" s="13" customFormat="1" ht="19.5" customHeight="1" x14ac:dyDescent="0.25">
      <c r="A181" s="11" t="s">
        <v>574</v>
      </c>
      <c r="B181" s="11" t="s">
        <v>574</v>
      </c>
      <c r="C181" s="12">
        <v>46098</v>
      </c>
      <c r="D181" s="12">
        <v>46098</v>
      </c>
      <c r="E181" s="11" t="s">
        <v>6</v>
      </c>
      <c r="F181" s="11" t="s">
        <v>575</v>
      </c>
      <c r="G181" s="11" t="s">
        <v>574</v>
      </c>
      <c r="H181" s="11"/>
      <c r="I181" s="11" t="s">
        <v>49</v>
      </c>
      <c r="J181" s="11">
        <v>53.9</v>
      </c>
      <c r="K181" s="11">
        <v>53.9</v>
      </c>
      <c r="L181" s="11"/>
      <c r="M181" s="11">
        <v>53.9</v>
      </c>
      <c r="N181" s="11" t="s">
        <v>576</v>
      </c>
      <c r="O181" s="11" t="s">
        <v>50</v>
      </c>
    </row>
    <row r="182" spans="1:15" s="13" customFormat="1" ht="19.5" customHeight="1" x14ac:dyDescent="0.25">
      <c r="A182" s="11" t="s">
        <v>577</v>
      </c>
      <c r="B182" s="11" t="s">
        <v>577</v>
      </c>
      <c r="C182" s="12">
        <v>46098</v>
      </c>
      <c r="D182" s="12">
        <v>46098</v>
      </c>
      <c r="E182" s="11" t="s">
        <v>6</v>
      </c>
      <c r="F182" s="11" t="s">
        <v>578</v>
      </c>
      <c r="G182" s="11" t="s">
        <v>577</v>
      </c>
      <c r="H182" s="11"/>
      <c r="I182" s="11" t="s">
        <v>49</v>
      </c>
      <c r="J182" s="11">
        <v>61.21</v>
      </c>
      <c r="K182" s="11">
        <v>61.21</v>
      </c>
      <c r="L182" s="11"/>
      <c r="M182" s="11">
        <v>61.21</v>
      </c>
      <c r="N182" s="11" t="s">
        <v>579</v>
      </c>
      <c r="O182" s="11" t="s">
        <v>50</v>
      </c>
    </row>
    <row r="183" spans="1:15" s="13" customFormat="1" ht="19.5" customHeight="1" x14ac:dyDescent="0.25">
      <c r="A183" s="11" t="s">
        <v>580</v>
      </c>
      <c r="B183" s="11" t="s">
        <v>580</v>
      </c>
      <c r="C183" s="12">
        <v>46098</v>
      </c>
      <c r="D183" s="12">
        <v>46098</v>
      </c>
      <c r="E183" s="11" t="s">
        <v>6</v>
      </c>
      <c r="F183" s="11" t="s">
        <v>581</v>
      </c>
      <c r="G183" s="11" t="s">
        <v>580</v>
      </c>
      <c r="H183" s="11"/>
      <c r="I183" s="11" t="s">
        <v>49</v>
      </c>
      <c r="J183" s="11">
        <v>216.33</v>
      </c>
      <c r="K183" s="11">
        <v>216.33</v>
      </c>
      <c r="L183" s="11"/>
      <c r="M183" s="11">
        <v>216.33</v>
      </c>
      <c r="N183" s="11" t="s">
        <v>582</v>
      </c>
      <c r="O183" s="11" t="s">
        <v>50</v>
      </c>
    </row>
    <row r="184" spans="1:15" s="13" customFormat="1" ht="19.5" customHeight="1" x14ac:dyDescent="0.25">
      <c r="A184" s="11" t="s">
        <v>583</v>
      </c>
      <c r="B184" s="11" t="s">
        <v>583</v>
      </c>
      <c r="C184" s="12">
        <v>46098</v>
      </c>
      <c r="D184" s="12">
        <v>46098</v>
      </c>
      <c r="E184" s="11" t="s">
        <v>6</v>
      </c>
      <c r="F184" s="11" t="s">
        <v>584</v>
      </c>
      <c r="G184" s="11" t="s">
        <v>583</v>
      </c>
      <c r="H184" s="11"/>
      <c r="I184" s="11" t="s">
        <v>49</v>
      </c>
      <c r="J184" s="11">
        <v>140.51</v>
      </c>
      <c r="K184" s="11">
        <v>140.51</v>
      </c>
      <c r="L184" s="11"/>
      <c r="M184" s="11">
        <v>140.51</v>
      </c>
      <c r="N184" s="11" t="s">
        <v>585</v>
      </c>
      <c r="O184" s="11" t="s">
        <v>50</v>
      </c>
    </row>
    <row r="185" spans="1:15" s="13" customFormat="1" ht="19.5" customHeight="1" x14ac:dyDescent="0.25">
      <c r="A185" s="11" t="s">
        <v>586</v>
      </c>
      <c r="B185" s="11" t="s">
        <v>587</v>
      </c>
      <c r="C185" s="12">
        <v>46097</v>
      </c>
      <c r="D185" s="12">
        <v>46097</v>
      </c>
      <c r="E185" s="11" t="s">
        <v>6</v>
      </c>
      <c r="F185" s="11" t="s">
        <v>588</v>
      </c>
      <c r="G185" s="11" t="s">
        <v>589</v>
      </c>
      <c r="H185" s="11" t="s">
        <v>590</v>
      </c>
      <c r="I185" s="11" t="s">
        <v>49</v>
      </c>
      <c r="J185" s="11">
        <v>-11987.76</v>
      </c>
      <c r="K185" s="11"/>
      <c r="L185" s="11">
        <v>11987.76</v>
      </c>
      <c r="M185" s="11">
        <v>-11987.76</v>
      </c>
      <c r="N185" s="11"/>
      <c r="O185" s="11" t="s">
        <v>75</v>
      </c>
    </row>
    <row r="186" spans="1:15" s="13" customFormat="1" ht="19.5" customHeight="1" x14ac:dyDescent="0.25">
      <c r="A186" s="11" t="s">
        <v>591</v>
      </c>
      <c r="B186" s="11" t="s">
        <v>592</v>
      </c>
      <c r="C186" s="12">
        <v>46097</v>
      </c>
      <c r="D186" s="12">
        <v>46097</v>
      </c>
      <c r="E186" s="11" t="s">
        <v>6</v>
      </c>
      <c r="F186" s="11" t="s">
        <v>593</v>
      </c>
      <c r="G186" s="11" t="s">
        <v>594</v>
      </c>
      <c r="H186" s="11" t="s">
        <v>595</v>
      </c>
      <c r="I186" s="11" t="s">
        <v>49</v>
      </c>
      <c r="J186" s="11">
        <v>-16612.259999999998</v>
      </c>
      <c r="K186" s="11"/>
      <c r="L186" s="11">
        <v>16612.259999999998</v>
      </c>
      <c r="M186" s="11">
        <v>-16612.259999999998</v>
      </c>
      <c r="N186" s="11"/>
      <c r="O186" s="11" t="s">
        <v>75</v>
      </c>
    </row>
    <row r="187" spans="1:15" s="13" customFormat="1" ht="19.5" customHeight="1" x14ac:dyDescent="0.25">
      <c r="A187" s="11" t="s">
        <v>596</v>
      </c>
      <c r="B187" s="11" t="s">
        <v>597</v>
      </c>
      <c r="C187" s="12">
        <v>46097</v>
      </c>
      <c r="D187" s="12">
        <v>46097</v>
      </c>
      <c r="E187" s="11" t="s">
        <v>6</v>
      </c>
      <c r="F187" s="11" t="s">
        <v>598</v>
      </c>
      <c r="G187" s="11" t="s">
        <v>599</v>
      </c>
      <c r="H187" s="11" t="s">
        <v>600</v>
      </c>
      <c r="I187" s="11" t="s">
        <v>49</v>
      </c>
      <c r="J187" s="11">
        <v>-30107.599999999999</v>
      </c>
      <c r="K187" s="11"/>
      <c r="L187" s="11">
        <v>30107.599999999999</v>
      </c>
      <c r="M187" s="11">
        <v>-30107.599999999999</v>
      </c>
      <c r="N187" s="11"/>
      <c r="O187" s="11" t="s">
        <v>75</v>
      </c>
    </row>
    <row r="188" spans="1:15" s="13" customFormat="1" ht="19.5" customHeight="1" x14ac:dyDescent="0.25">
      <c r="A188" s="11" t="s">
        <v>601</v>
      </c>
      <c r="B188" s="11" t="s">
        <v>601</v>
      </c>
      <c r="C188" s="12">
        <v>46097</v>
      </c>
      <c r="D188" s="12">
        <v>46127</v>
      </c>
      <c r="E188" s="11" t="s">
        <v>6</v>
      </c>
      <c r="F188" s="11" t="s">
        <v>602</v>
      </c>
      <c r="G188" s="11" t="s">
        <v>601</v>
      </c>
      <c r="H188" s="11"/>
      <c r="I188" s="11" t="s">
        <v>49</v>
      </c>
      <c r="J188" s="11">
        <v>1910.42</v>
      </c>
      <c r="K188" s="11">
        <v>1910.42</v>
      </c>
      <c r="L188" s="11"/>
      <c r="M188" s="11">
        <v>1910.42</v>
      </c>
      <c r="N188" s="11" t="s">
        <v>603</v>
      </c>
      <c r="O188" s="11" t="s">
        <v>50</v>
      </c>
    </row>
    <row r="189" spans="1:15" s="13" customFormat="1" ht="19.5" customHeight="1" x14ac:dyDescent="0.25">
      <c r="A189" s="11" t="s">
        <v>604</v>
      </c>
      <c r="B189" s="11" t="s">
        <v>604</v>
      </c>
      <c r="C189" s="12">
        <v>46097</v>
      </c>
      <c r="D189" s="12">
        <v>46097</v>
      </c>
      <c r="E189" s="11" t="s">
        <v>6</v>
      </c>
      <c r="F189" s="11" t="s">
        <v>605</v>
      </c>
      <c r="G189" s="11"/>
      <c r="H189" s="11"/>
      <c r="I189" s="11" t="s">
        <v>49</v>
      </c>
      <c r="J189" s="11">
        <v>-451.35</v>
      </c>
      <c r="K189" s="11"/>
      <c r="L189" s="11">
        <v>451.35</v>
      </c>
      <c r="M189" s="11">
        <v>-451.35</v>
      </c>
      <c r="N189" s="11"/>
      <c r="O189" s="11" t="s">
        <v>50</v>
      </c>
    </row>
    <row r="190" spans="1:15" s="13" customFormat="1" ht="19.5" customHeight="1" x14ac:dyDescent="0.25">
      <c r="A190" s="11" t="s">
        <v>606</v>
      </c>
      <c r="B190" s="11" t="s">
        <v>606</v>
      </c>
      <c r="C190" s="12">
        <v>46097</v>
      </c>
      <c r="D190" s="12">
        <v>46097</v>
      </c>
      <c r="E190" s="11" t="s">
        <v>6</v>
      </c>
      <c r="F190" s="11" t="s">
        <v>607</v>
      </c>
      <c r="G190" s="11"/>
      <c r="H190" s="11"/>
      <c r="I190" s="11" t="s">
        <v>49</v>
      </c>
      <c r="J190" s="11">
        <v>-11823.26</v>
      </c>
      <c r="K190" s="11"/>
      <c r="L190" s="11">
        <v>11823.26</v>
      </c>
      <c r="M190" s="11">
        <v>-11823.26</v>
      </c>
      <c r="N190" s="11" t="s">
        <v>608</v>
      </c>
      <c r="O190" s="11" t="s">
        <v>50</v>
      </c>
    </row>
    <row r="191" spans="1:15" s="13" customFormat="1" ht="19.5" customHeight="1" x14ac:dyDescent="0.25">
      <c r="A191" s="11" t="s">
        <v>609</v>
      </c>
      <c r="B191" s="11" t="s">
        <v>610</v>
      </c>
      <c r="C191" s="12">
        <v>46097</v>
      </c>
      <c r="D191" s="12">
        <v>46097</v>
      </c>
      <c r="E191" s="11" t="s">
        <v>6</v>
      </c>
      <c r="F191" s="11" t="s">
        <v>611</v>
      </c>
      <c r="G191" s="11" t="s">
        <v>610</v>
      </c>
      <c r="H191" s="11" t="s">
        <v>612</v>
      </c>
      <c r="I191" s="11" t="s">
        <v>49</v>
      </c>
      <c r="J191" s="11">
        <v>70.5</v>
      </c>
      <c r="K191" s="11">
        <v>70.5</v>
      </c>
      <c r="L191" s="11"/>
      <c r="M191" s="11">
        <v>70.5</v>
      </c>
      <c r="N191" s="11" t="s">
        <v>613</v>
      </c>
      <c r="O191" s="11" t="s">
        <v>50</v>
      </c>
    </row>
    <row r="192" spans="1:15" s="13" customFormat="1" ht="19.5" customHeight="1" x14ac:dyDescent="0.25">
      <c r="A192" s="11" t="s">
        <v>614</v>
      </c>
      <c r="B192" s="11" t="s">
        <v>614</v>
      </c>
      <c r="C192" s="12">
        <v>46097</v>
      </c>
      <c r="D192" s="12">
        <v>46097</v>
      </c>
      <c r="E192" s="11" t="s">
        <v>6</v>
      </c>
      <c r="F192" s="11" t="s">
        <v>615</v>
      </c>
      <c r="G192" s="11" t="s">
        <v>614</v>
      </c>
      <c r="H192" s="11"/>
      <c r="I192" s="11" t="s">
        <v>49</v>
      </c>
      <c r="J192" s="11">
        <v>178.11</v>
      </c>
      <c r="K192" s="11">
        <v>178.11</v>
      </c>
      <c r="L192" s="11"/>
      <c r="M192" s="11">
        <v>178.11</v>
      </c>
      <c r="N192" s="11" t="s">
        <v>616</v>
      </c>
      <c r="O192" s="11" t="s">
        <v>50</v>
      </c>
    </row>
    <row r="193" spans="1:15" s="13" customFormat="1" ht="19.5" customHeight="1" x14ac:dyDescent="0.25">
      <c r="A193" s="11" t="s">
        <v>617</v>
      </c>
      <c r="B193" s="11" t="s">
        <v>617</v>
      </c>
      <c r="C193" s="12">
        <v>46097</v>
      </c>
      <c r="D193" s="12">
        <v>46097</v>
      </c>
      <c r="E193" s="11" t="s">
        <v>6</v>
      </c>
      <c r="F193" s="11" t="s">
        <v>618</v>
      </c>
      <c r="G193" s="11" t="s">
        <v>617</v>
      </c>
      <c r="H193" s="11"/>
      <c r="I193" s="11" t="s">
        <v>49</v>
      </c>
      <c r="J193" s="11">
        <v>44.63</v>
      </c>
      <c r="K193" s="11">
        <v>44.63</v>
      </c>
      <c r="L193" s="11"/>
      <c r="M193" s="11">
        <v>44.63</v>
      </c>
      <c r="N193" s="11"/>
      <c r="O193" s="11" t="s">
        <v>50</v>
      </c>
    </row>
    <row r="194" spans="1:15" s="13" customFormat="1" ht="19.5" customHeight="1" x14ac:dyDescent="0.25">
      <c r="A194" s="11" t="s">
        <v>619</v>
      </c>
      <c r="B194" s="11" t="s">
        <v>619</v>
      </c>
      <c r="C194" s="12">
        <v>46097</v>
      </c>
      <c r="D194" s="12">
        <v>46097</v>
      </c>
      <c r="E194" s="11" t="s">
        <v>6</v>
      </c>
      <c r="F194" s="11" t="s">
        <v>620</v>
      </c>
      <c r="G194" s="11" t="s">
        <v>619</v>
      </c>
      <c r="H194" s="11"/>
      <c r="I194" s="11" t="s">
        <v>49</v>
      </c>
      <c r="J194" s="11">
        <v>128.25</v>
      </c>
      <c r="K194" s="11">
        <v>128.25</v>
      </c>
      <c r="L194" s="11"/>
      <c r="M194" s="11">
        <v>128.25</v>
      </c>
      <c r="N194" s="11" t="s">
        <v>621</v>
      </c>
      <c r="O194" s="11" t="s">
        <v>50</v>
      </c>
    </row>
    <row r="195" spans="1:15" s="13" customFormat="1" ht="19.5" customHeight="1" x14ac:dyDescent="0.25">
      <c r="A195" s="11" t="s">
        <v>622</v>
      </c>
      <c r="B195" s="11" t="s">
        <v>622</v>
      </c>
      <c r="C195" s="12">
        <v>46097</v>
      </c>
      <c r="D195" s="12">
        <v>46097</v>
      </c>
      <c r="E195" s="11" t="s">
        <v>6</v>
      </c>
      <c r="F195" s="11" t="s">
        <v>623</v>
      </c>
      <c r="G195" s="11" t="s">
        <v>622</v>
      </c>
      <c r="H195" s="11"/>
      <c r="I195" s="11" t="s">
        <v>49</v>
      </c>
      <c r="J195" s="11">
        <v>61.63</v>
      </c>
      <c r="K195" s="11">
        <v>61.63</v>
      </c>
      <c r="L195" s="11"/>
      <c r="M195" s="11">
        <v>61.63</v>
      </c>
      <c r="N195" s="11" t="s">
        <v>624</v>
      </c>
      <c r="O195" s="11" t="s">
        <v>50</v>
      </c>
    </row>
    <row r="196" spans="1:15" s="13" customFormat="1" ht="19.5" customHeight="1" x14ac:dyDescent="0.25">
      <c r="A196" s="11" t="s">
        <v>625</v>
      </c>
      <c r="B196" s="11" t="s">
        <v>625</v>
      </c>
      <c r="C196" s="12">
        <v>46097</v>
      </c>
      <c r="D196" s="12">
        <v>46097</v>
      </c>
      <c r="E196" s="11" t="s">
        <v>6</v>
      </c>
      <c r="F196" s="11" t="s">
        <v>626</v>
      </c>
      <c r="G196" s="11" t="s">
        <v>625</v>
      </c>
      <c r="H196" s="11"/>
      <c r="I196" s="11" t="s">
        <v>49</v>
      </c>
      <c r="J196" s="11">
        <v>140.24</v>
      </c>
      <c r="K196" s="11">
        <v>140.24</v>
      </c>
      <c r="L196" s="11"/>
      <c r="M196" s="11">
        <v>140.24</v>
      </c>
      <c r="N196" s="11"/>
      <c r="O196" s="11" t="s">
        <v>50</v>
      </c>
    </row>
    <row r="197" spans="1:15" s="13" customFormat="1" ht="19.5" customHeight="1" x14ac:dyDescent="0.25">
      <c r="A197" s="11" t="s">
        <v>627</v>
      </c>
      <c r="B197" s="11" t="s">
        <v>627</v>
      </c>
      <c r="C197" s="12">
        <v>46097</v>
      </c>
      <c r="D197" s="12">
        <v>46097</v>
      </c>
      <c r="E197" s="11" t="s">
        <v>6</v>
      </c>
      <c r="F197" s="11" t="s">
        <v>628</v>
      </c>
      <c r="G197" s="11" t="s">
        <v>627</v>
      </c>
      <c r="H197" s="11"/>
      <c r="I197" s="11" t="s">
        <v>49</v>
      </c>
      <c r="J197" s="11">
        <v>167.6</v>
      </c>
      <c r="K197" s="11">
        <v>167.6</v>
      </c>
      <c r="L197" s="11"/>
      <c r="M197" s="11">
        <v>167.6</v>
      </c>
      <c r="N197" s="11" t="s">
        <v>629</v>
      </c>
      <c r="O197" s="11" t="s">
        <v>50</v>
      </c>
    </row>
    <row r="198" spans="1:15" s="13" customFormat="1" ht="19.5" customHeight="1" x14ac:dyDescent="0.25">
      <c r="A198" s="11" t="s">
        <v>630</v>
      </c>
      <c r="B198" s="11" t="s">
        <v>630</v>
      </c>
      <c r="C198" s="12">
        <v>46097</v>
      </c>
      <c r="D198" s="12">
        <v>46097</v>
      </c>
      <c r="E198" s="11" t="s">
        <v>6</v>
      </c>
      <c r="F198" s="11" t="s">
        <v>631</v>
      </c>
      <c r="G198" s="11" t="s">
        <v>630</v>
      </c>
      <c r="H198" s="11"/>
      <c r="I198" s="11" t="s">
        <v>49</v>
      </c>
      <c r="J198" s="11">
        <v>223.95</v>
      </c>
      <c r="K198" s="11">
        <v>223.95</v>
      </c>
      <c r="L198" s="11"/>
      <c r="M198" s="11">
        <v>223.95</v>
      </c>
      <c r="N198" s="11"/>
      <c r="O198" s="11" t="s">
        <v>50</v>
      </c>
    </row>
    <row r="199" spans="1:15" s="13" customFormat="1" ht="19.5" customHeight="1" x14ac:dyDescent="0.25">
      <c r="A199" s="11" t="s">
        <v>632</v>
      </c>
      <c r="B199" s="11" t="s">
        <v>633</v>
      </c>
      <c r="C199" s="12">
        <v>46097</v>
      </c>
      <c r="D199" s="12">
        <v>46097</v>
      </c>
      <c r="E199" s="11" t="s">
        <v>6</v>
      </c>
      <c r="F199" s="11" t="s">
        <v>634</v>
      </c>
      <c r="G199" s="11" t="s">
        <v>633</v>
      </c>
      <c r="H199" s="11" t="s">
        <v>635</v>
      </c>
      <c r="I199" s="11" t="s">
        <v>49</v>
      </c>
      <c r="J199" s="11">
        <v>265.25</v>
      </c>
      <c r="K199" s="11">
        <v>265.25</v>
      </c>
      <c r="L199" s="11"/>
      <c r="M199" s="11">
        <v>265.25</v>
      </c>
      <c r="N199" s="11" t="s">
        <v>636</v>
      </c>
      <c r="O199" s="11" t="s">
        <v>50</v>
      </c>
    </row>
    <row r="200" spans="1:15" s="13" customFormat="1" ht="19.5" customHeight="1" x14ac:dyDescent="0.25">
      <c r="A200" s="11" t="s">
        <v>637</v>
      </c>
      <c r="B200" s="11" t="s">
        <v>637</v>
      </c>
      <c r="C200" s="12">
        <v>46097</v>
      </c>
      <c r="D200" s="12">
        <v>46097</v>
      </c>
      <c r="E200" s="11" t="s">
        <v>6</v>
      </c>
      <c r="F200" s="11" t="s">
        <v>638</v>
      </c>
      <c r="G200" s="11" t="s">
        <v>637</v>
      </c>
      <c r="H200" s="11"/>
      <c r="I200" s="11" t="s">
        <v>49</v>
      </c>
      <c r="J200" s="11">
        <v>54.81</v>
      </c>
      <c r="K200" s="11">
        <v>54.81</v>
      </c>
      <c r="L200" s="11"/>
      <c r="M200" s="11">
        <v>54.81</v>
      </c>
      <c r="N200" s="11" t="s">
        <v>639</v>
      </c>
      <c r="O200" s="11" t="s">
        <v>50</v>
      </c>
    </row>
    <row r="201" spans="1:15" s="13" customFormat="1" ht="19.5" customHeight="1" x14ac:dyDescent="0.25">
      <c r="A201" s="11" t="s">
        <v>640</v>
      </c>
      <c r="B201" s="11" t="s">
        <v>640</v>
      </c>
      <c r="C201" s="12">
        <v>46097</v>
      </c>
      <c r="D201" s="12">
        <v>46097</v>
      </c>
      <c r="E201" s="11" t="s">
        <v>6</v>
      </c>
      <c r="F201" s="11" t="s">
        <v>641</v>
      </c>
      <c r="G201" s="11" t="s">
        <v>640</v>
      </c>
      <c r="H201" s="11"/>
      <c r="I201" s="11" t="s">
        <v>49</v>
      </c>
      <c r="J201" s="11">
        <v>63.8</v>
      </c>
      <c r="K201" s="11">
        <v>63.8</v>
      </c>
      <c r="L201" s="11"/>
      <c r="M201" s="11">
        <v>63.8</v>
      </c>
      <c r="N201" s="11" t="s">
        <v>642</v>
      </c>
      <c r="O201" s="11" t="s">
        <v>50</v>
      </c>
    </row>
    <row r="202" spans="1:15" s="13" customFormat="1" ht="19.5" customHeight="1" x14ac:dyDescent="0.25">
      <c r="A202" s="11" t="s">
        <v>643</v>
      </c>
      <c r="B202" s="11" t="s">
        <v>644</v>
      </c>
      <c r="C202" s="12">
        <v>46097</v>
      </c>
      <c r="D202" s="12">
        <v>46097</v>
      </c>
      <c r="E202" s="11" t="s">
        <v>6</v>
      </c>
      <c r="F202" s="11" t="s">
        <v>645</v>
      </c>
      <c r="G202" s="11" t="s">
        <v>644</v>
      </c>
      <c r="H202" s="11" t="s">
        <v>646</v>
      </c>
      <c r="I202" s="11" t="s">
        <v>49</v>
      </c>
      <c r="J202" s="11">
        <v>153.19</v>
      </c>
      <c r="K202" s="11">
        <v>153.19</v>
      </c>
      <c r="L202" s="11"/>
      <c r="M202" s="11">
        <v>153.19</v>
      </c>
      <c r="N202" s="11" t="s">
        <v>647</v>
      </c>
      <c r="O202" s="11" t="s">
        <v>50</v>
      </c>
    </row>
    <row r="203" spans="1:15" s="13" customFormat="1" ht="19.5" customHeight="1" x14ac:dyDescent="0.25">
      <c r="A203" s="11" t="s">
        <v>648</v>
      </c>
      <c r="B203" s="11" t="s">
        <v>649</v>
      </c>
      <c r="C203" s="12">
        <v>46097</v>
      </c>
      <c r="D203" s="12">
        <v>46097</v>
      </c>
      <c r="E203" s="11" t="s">
        <v>6</v>
      </c>
      <c r="F203" s="11" t="s">
        <v>650</v>
      </c>
      <c r="G203" s="11" t="s">
        <v>649</v>
      </c>
      <c r="H203" s="11" t="s">
        <v>651</v>
      </c>
      <c r="I203" s="11" t="s">
        <v>49</v>
      </c>
      <c r="J203" s="11">
        <v>107.81</v>
      </c>
      <c r="K203" s="11">
        <v>107.81</v>
      </c>
      <c r="L203" s="11"/>
      <c r="M203" s="11">
        <v>107.81</v>
      </c>
      <c r="N203" s="11" t="s">
        <v>652</v>
      </c>
      <c r="O203" s="11" t="s">
        <v>50</v>
      </c>
    </row>
    <row r="204" spans="1:15" s="13" customFormat="1" ht="19.5" customHeight="1" x14ac:dyDescent="0.25">
      <c r="A204" s="11" t="s">
        <v>653</v>
      </c>
      <c r="B204" s="11" t="s">
        <v>653</v>
      </c>
      <c r="C204" s="12">
        <v>46097</v>
      </c>
      <c r="D204" s="12">
        <v>46097</v>
      </c>
      <c r="E204" s="11" t="s">
        <v>6</v>
      </c>
      <c r="F204" s="11" t="s">
        <v>654</v>
      </c>
      <c r="G204" s="11" t="s">
        <v>653</v>
      </c>
      <c r="H204" s="11"/>
      <c r="I204" s="11" t="s">
        <v>49</v>
      </c>
      <c r="J204" s="11">
        <v>127.41</v>
      </c>
      <c r="K204" s="11">
        <v>127.41</v>
      </c>
      <c r="L204" s="11"/>
      <c r="M204" s="11">
        <v>127.41</v>
      </c>
      <c r="N204" s="11" t="s">
        <v>655</v>
      </c>
      <c r="O204" s="11" t="s">
        <v>50</v>
      </c>
    </row>
    <row r="205" spans="1:15" s="13" customFormat="1" ht="19.5" customHeight="1" x14ac:dyDescent="0.25">
      <c r="A205" s="11" t="s">
        <v>656</v>
      </c>
      <c r="B205" s="11" t="s">
        <v>657</v>
      </c>
      <c r="C205" s="12">
        <v>46097</v>
      </c>
      <c r="D205" s="12">
        <v>46097</v>
      </c>
      <c r="E205" s="11" t="s">
        <v>6</v>
      </c>
      <c r="F205" s="11" t="s">
        <v>658</v>
      </c>
      <c r="G205" s="11" t="s">
        <v>657</v>
      </c>
      <c r="H205" s="11" t="s">
        <v>659</v>
      </c>
      <c r="I205" s="11" t="s">
        <v>49</v>
      </c>
      <c r="J205" s="11">
        <v>161.33000000000001</v>
      </c>
      <c r="K205" s="11">
        <v>161.33000000000001</v>
      </c>
      <c r="L205" s="11"/>
      <c r="M205" s="11">
        <v>161.33000000000001</v>
      </c>
      <c r="N205" s="11" t="s">
        <v>660</v>
      </c>
      <c r="O205" s="11" t="s">
        <v>50</v>
      </c>
    </row>
    <row r="206" spans="1:15" s="13" customFormat="1" ht="19.5" customHeight="1" x14ac:dyDescent="0.25">
      <c r="A206" s="11" t="s">
        <v>661</v>
      </c>
      <c r="B206" s="11" t="s">
        <v>661</v>
      </c>
      <c r="C206" s="12">
        <v>46094</v>
      </c>
      <c r="D206" s="12">
        <v>46139</v>
      </c>
      <c r="E206" s="11" t="s">
        <v>6</v>
      </c>
      <c r="F206" s="11" t="s">
        <v>662</v>
      </c>
      <c r="G206" s="11" t="s">
        <v>661</v>
      </c>
      <c r="H206" s="11"/>
      <c r="I206" s="11" t="s">
        <v>49</v>
      </c>
      <c r="J206" s="11">
        <v>2296.2800000000002</v>
      </c>
      <c r="K206" s="11">
        <v>2296.2800000000002</v>
      </c>
      <c r="L206" s="11"/>
      <c r="M206" s="11">
        <v>2296.2800000000002</v>
      </c>
      <c r="N206" s="11" t="s">
        <v>663</v>
      </c>
      <c r="O206" s="11" t="s">
        <v>50</v>
      </c>
    </row>
    <row r="207" spans="1:15" s="13" customFormat="1" ht="19.5" customHeight="1" x14ac:dyDescent="0.25">
      <c r="A207" s="11" t="s">
        <v>664</v>
      </c>
      <c r="B207" s="11" t="s">
        <v>664</v>
      </c>
      <c r="C207" s="12">
        <v>46094</v>
      </c>
      <c r="D207" s="12">
        <v>46094</v>
      </c>
      <c r="E207" s="11" t="s">
        <v>6</v>
      </c>
      <c r="F207" s="11" t="s">
        <v>67</v>
      </c>
      <c r="G207" s="11" t="s">
        <v>664</v>
      </c>
      <c r="H207" s="11"/>
      <c r="I207" s="11" t="s">
        <v>49</v>
      </c>
      <c r="J207" s="11">
        <v>124.36</v>
      </c>
      <c r="K207" s="11">
        <v>124.36</v>
      </c>
      <c r="L207" s="11"/>
      <c r="M207" s="11">
        <v>124.36</v>
      </c>
      <c r="N207" s="11" t="s">
        <v>665</v>
      </c>
      <c r="O207" s="11" t="s">
        <v>50</v>
      </c>
    </row>
    <row r="208" spans="1:15" s="13" customFormat="1" ht="19.5" customHeight="1" x14ac:dyDescent="0.25">
      <c r="A208" s="11" t="s">
        <v>666</v>
      </c>
      <c r="B208" s="11" t="s">
        <v>666</v>
      </c>
      <c r="C208" s="12">
        <v>46094</v>
      </c>
      <c r="D208" s="12">
        <v>46094</v>
      </c>
      <c r="E208" s="11" t="s">
        <v>6</v>
      </c>
      <c r="F208" s="11" t="s">
        <v>667</v>
      </c>
      <c r="G208" s="11" t="s">
        <v>666</v>
      </c>
      <c r="H208" s="11"/>
      <c r="I208" s="11" t="s">
        <v>49</v>
      </c>
      <c r="J208" s="11">
        <v>54.4</v>
      </c>
      <c r="K208" s="11">
        <v>54.4</v>
      </c>
      <c r="L208" s="11"/>
      <c r="M208" s="11">
        <v>54.4</v>
      </c>
      <c r="N208" s="11" t="s">
        <v>668</v>
      </c>
      <c r="O208" s="11" t="s">
        <v>50</v>
      </c>
    </row>
    <row r="209" spans="1:15" s="13" customFormat="1" ht="19.5" customHeight="1" x14ac:dyDescent="0.25">
      <c r="A209" s="11" t="s">
        <v>669</v>
      </c>
      <c r="B209" s="11" t="s">
        <v>669</v>
      </c>
      <c r="C209" s="12">
        <v>46094</v>
      </c>
      <c r="D209" s="12">
        <v>46094</v>
      </c>
      <c r="E209" s="11" t="s">
        <v>6</v>
      </c>
      <c r="F209" s="11" t="s">
        <v>670</v>
      </c>
      <c r="G209" s="11" t="s">
        <v>669</v>
      </c>
      <c r="H209" s="11"/>
      <c r="I209" s="11" t="s">
        <v>49</v>
      </c>
      <c r="J209" s="11">
        <v>72.680000000000007</v>
      </c>
      <c r="K209" s="11">
        <v>72.680000000000007</v>
      </c>
      <c r="L209" s="11"/>
      <c r="M209" s="11">
        <v>72.680000000000007</v>
      </c>
      <c r="N209" s="11" t="s">
        <v>671</v>
      </c>
      <c r="O209" s="11" t="s">
        <v>50</v>
      </c>
    </row>
    <row r="210" spans="1:15" s="13" customFormat="1" ht="19.5" customHeight="1" x14ac:dyDescent="0.25">
      <c r="A210" s="11" t="s">
        <v>672</v>
      </c>
      <c r="B210" s="11" t="s">
        <v>673</v>
      </c>
      <c r="C210" s="12">
        <v>46094</v>
      </c>
      <c r="D210" s="12">
        <v>46094</v>
      </c>
      <c r="E210" s="11" t="s">
        <v>6</v>
      </c>
      <c r="F210" s="11" t="s">
        <v>674</v>
      </c>
      <c r="G210" s="11" t="s">
        <v>673</v>
      </c>
      <c r="H210" s="11" t="s">
        <v>675</v>
      </c>
      <c r="I210" s="11" t="s">
        <v>49</v>
      </c>
      <c r="J210" s="11">
        <v>63.9</v>
      </c>
      <c r="K210" s="11">
        <v>63.9</v>
      </c>
      <c r="L210" s="11"/>
      <c r="M210" s="11">
        <v>63.9</v>
      </c>
      <c r="N210" s="11" t="s">
        <v>676</v>
      </c>
      <c r="O210" s="11" t="s">
        <v>50</v>
      </c>
    </row>
    <row r="211" spans="1:15" s="13" customFormat="1" ht="19.5" customHeight="1" x14ac:dyDescent="0.25">
      <c r="A211" s="11" t="s">
        <v>677</v>
      </c>
      <c r="B211" s="11" t="s">
        <v>677</v>
      </c>
      <c r="C211" s="12">
        <v>46094</v>
      </c>
      <c r="D211" s="12">
        <v>46094</v>
      </c>
      <c r="E211" s="11" t="s">
        <v>6</v>
      </c>
      <c r="F211" s="11" t="s">
        <v>678</v>
      </c>
      <c r="G211" s="11" t="s">
        <v>677</v>
      </c>
      <c r="H211" s="11"/>
      <c r="I211" s="11" t="s">
        <v>49</v>
      </c>
      <c r="J211" s="11">
        <v>94.05</v>
      </c>
      <c r="K211" s="11">
        <v>94.05</v>
      </c>
      <c r="L211" s="11"/>
      <c r="M211" s="11">
        <v>94.05</v>
      </c>
      <c r="N211" s="11" t="s">
        <v>679</v>
      </c>
      <c r="O211" s="11" t="s">
        <v>50</v>
      </c>
    </row>
    <row r="212" spans="1:15" s="13" customFormat="1" ht="19.5" customHeight="1" x14ac:dyDescent="0.25">
      <c r="A212" s="11" t="s">
        <v>680</v>
      </c>
      <c r="B212" s="11" t="s">
        <v>680</v>
      </c>
      <c r="C212" s="12">
        <v>46094</v>
      </c>
      <c r="D212" s="12">
        <v>46094</v>
      </c>
      <c r="E212" s="11" t="s">
        <v>6</v>
      </c>
      <c r="F212" s="11" t="s">
        <v>681</v>
      </c>
      <c r="G212" s="11" t="s">
        <v>680</v>
      </c>
      <c r="H212" s="11"/>
      <c r="I212" s="11" t="s">
        <v>49</v>
      </c>
      <c r="J212" s="11">
        <v>47.25</v>
      </c>
      <c r="K212" s="11">
        <v>47.25</v>
      </c>
      <c r="L212" s="11"/>
      <c r="M212" s="11">
        <v>47.25</v>
      </c>
      <c r="N212" s="11" t="s">
        <v>682</v>
      </c>
      <c r="O212" s="11" t="s">
        <v>50</v>
      </c>
    </row>
    <row r="213" spans="1:15" s="13" customFormat="1" ht="19.5" customHeight="1" x14ac:dyDescent="0.25">
      <c r="A213" s="11" t="s">
        <v>683</v>
      </c>
      <c r="B213" s="11" t="s">
        <v>683</v>
      </c>
      <c r="C213" s="12">
        <v>46094</v>
      </c>
      <c r="D213" s="12">
        <v>46094</v>
      </c>
      <c r="E213" s="11" t="s">
        <v>6</v>
      </c>
      <c r="F213" s="11" t="s">
        <v>684</v>
      </c>
      <c r="G213" s="11" t="s">
        <v>683</v>
      </c>
      <c r="H213" s="11"/>
      <c r="I213" s="11" t="s">
        <v>49</v>
      </c>
      <c r="J213" s="11">
        <v>79.47</v>
      </c>
      <c r="K213" s="11">
        <v>79.47</v>
      </c>
      <c r="L213" s="11"/>
      <c r="M213" s="11">
        <v>79.47</v>
      </c>
      <c r="N213" s="11" t="s">
        <v>685</v>
      </c>
      <c r="O213" s="11" t="s">
        <v>50</v>
      </c>
    </row>
    <row r="214" spans="1:15" s="13" customFormat="1" ht="19.5" customHeight="1" x14ac:dyDescent="0.25">
      <c r="A214" s="11" t="s">
        <v>686</v>
      </c>
      <c r="B214" s="11" t="s">
        <v>686</v>
      </c>
      <c r="C214" s="12">
        <v>46094</v>
      </c>
      <c r="D214" s="12">
        <v>46094</v>
      </c>
      <c r="E214" s="11" t="s">
        <v>6</v>
      </c>
      <c r="F214" s="11" t="s">
        <v>687</v>
      </c>
      <c r="G214" s="11" t="s">
        <v>686</v>
      </c>
      <c r="H214" s="11"/>
      <c r="I214" s="11" t="s">
        <v>49</v>
      </c>
      <c r="J214" s="11">
        <v>61.62</v>
      </c>
      <c r="K214" s="11">
        <v>61.62</v>
      </c>
      <c r="L214" s="11"/>
      <c r="M214" s="11">
        <v>61.62</v>
      </c>
      <c r="N214" s="11" t="s">
        <v>688</v>
      </c>
      <c r="O214" s="11" t="s">
        <v>50</v>
      </c>
    </row>
    <row r="215" spans="1:15" s="13" customFormat="1" ht="19.5" customHeight="1" x14ac:dyDescent="0.25">
      <c r="A215" s="11" t="s">
        <v>689</v>
      </c>
      <c r="B215" s="11" t="s">
        <v>690</v>
      </c>
      <c r="C215" s="12">
        <v>46094</v>
      </c>
      <c r="D215" s="12">
        <v>46094</v>
      </c>
      <c r="E215" s="11" t="s">
        <v>6</v>
      </c>
      <c r="F215" s="11" t="s">
        <v>691</v>
      </c>
      <c r="G215" s="11" t="s">
        <v>690</v>
      </c>
      <c r="H215" s="11" t="s">
        <v>692</v>
      </c>
      <c r="I215" s="11" t="s">
        <v>49</v>
      </c>
      <c r="J215" s="11">
        <v>285.41000000000003</v>
      </c>
      <c r="K215" s="11">
        <v>285.41000000000003</v>
      </c>
      <c r="L215" s="11"/>
      <c r="M215" s="11">
        <v>285.41000000000003</v>
      </c>
      <c r="N215" s="11" t="s">
        <v>693</v>
      </c>
      <c r="O215" s="11" t="s">
        <v>50</v>
      </c>
    </row>
    <row r="216" spans="1:15" s="13" customFormat="1" ht="19.5" customHeight="1" x14ac:dyDescent="0.25">
      <c r="A216" s="11" t="s">
        <v>694</v>
      </c>
      <c r="B216" s="11" t="s">
        <v>694</v>
      </c>
      <c r="C216" s="12">
        <v>46094</v>
      </c>
      <c r="D216" s="12">
        <v>46094</v>
      </c>
      <c r="E216" s="11" t="s">
        <v>6</v>
      </c>
      <c r="F216" s="11" t="s">
        <v>695</v>
      </c>
      <c r="G216" s="11" t="s">
        <v>694</v>
      </c>
      <c r="H216" s="11"/>
      <c r="I216" s="11" t="s">
        <v>49</v>
      </c>
      <c r="J216" s="11">
        <v>128.24</v>
      </c>
      <c r="K216" s="11">
        <v>128.24</v>
      </c>
      <c r="L216" s="11"/>
      <c r="M216" s="11">
        <v>128.24</v>
      </c>
      <c r="N216" s="11" t="s">
        <v>696</v>
      </c>
      <c r="O216" s="11" t="s">
        <v>50</v>
      </c>
    </row>
    <row r="217" spans="1:15" s="13" customFormat="1" ht="19.5" customHeight="1" x14ac:dyDescent="0.25">
      <c r="A217" s="11" t="s">
        <v>697</v>
      </c>
      <c r="B217" s="11" t="s">
        <v>697</v>
      </c>
      <c r="C217" s="12">
        <v>46094</v>
      </c>
      <c r="D217" s="12">
        <v>46094</v>
      </c>
      <c r="E217" s="11" t="s">
        <v>6</v>
      </c>
      <c r="F217" s="11" t="s">
        <v>698</v>
      </c>
      <c r="G217" s="11" t="s">
        <v>697</v>
      </c>
      <c r="H217" s="11"/>
      <c r="I217" s="11" t="s">
        <v>49</v>
      </c>
      <c r="J217" s="11">
        <v>57.61</v>
      </c>
      <c r="K217" s="11">
        <v>57.61</v>
      </c>
      <c r="L217" s="11"/>
      <c r="M217" s="11">
        <v>57.61</v>
      </c>
      <c r="N217" s="11"/>
      <c r="O217" s="11" t="s">
        <v>50</v>
      </c>
    </row>
    <row r="218" spans="1:15" s="13" customFormat="1" ht="19.5" customHeight="1" x14ac:dyDescent="0.25">
      <c r="A218" s="11" t="s">
        <v>699</v>
      </c>
      <c r="B218" s="11" t="s">
        <v>699</v>
      </c>
      <c r="C218" s="12">
        <v>46094</v>
      </c>
      <c r="D218" s="12">
        <v>46094</v>
      </c>
      <c r="E218" s="11" t="s">
        <v>6</v>
      </c>
      <c r="F218" s="11" t="s">
        <v>584</v>
      </c>
      <c r="G218" s="11" t="s">
        <v>699</v>
      </c>
      <c r="H218" s="11"/>
      <c r="I218" s="11" t="s">
        <v>49</v>
      </c>
      <c r="J218" s="11">
        <v>140.51</v>
      </c>
      <c r="K218" s="11">
        <v>140.51</v>
      </c>
      <c r="L218" s="11"/>
      <c r="M218" s="11">
        <v>140.51</v>
      </c>
      <c r="N218" s="11" t="s">
        <v>700</v>
      </c>
      <c r="O218" s="11" t="s">
        <v>50</v>
      </c>
    </row>
    <row r="219" spans="1:15" s="13" customFormat="1" ht="19.5" customHeight="1" x14ac:dyDescent="0.25">
      <c r="A219" s="11" t="s">
        <v>701</v>
      </c>
      <c r="B219" s="11" t="s">
        <v>701</v>
      </c>
      <c r="C219" s="12">
        <v>46093</v>
      </c>
      <c r="D219" s="12">
        <v>46123</v>
      </c>
      <c r="E219" s="11" t="s">
        <v>6</v>
      </c>
      <c r="F219" s="11" t="s">
        <v>602</v>
      </c>
      <c r="G219" s="11" t="s">
        <v>701</v>
      </c>
      <c r="H219" s="11"/>
      <c r="I219" s="11" t="s">
        <v>49</v>
      </c>
      <c r="J219" s="11">
        <v>2682.14</v>
      </c>
      <c r="K219" s="11">
        <v>2682.14</v>
      </c>
      <c r="L219" s="11"/>
      <c r="M219" s="11">
        <v>2682.14</v>
      </c>
      <c r="N219" s="11" t="s">
        <v>702</v>
      </c>
      <c r="O219" s="11" t="s">
        <v>50</v>
      </c>
    </row>
    <row r="220" spans="1:15" s="13" customFormat="1" ht="19.5" customHeight="1" x14ac:dyDescent="0.25">
      <c r="A220" s="11" t="s">
        <v>703</v>
      </c>
      <c r="B220" s="11" t="s">
        <v>703</v>
      </c>
      <c r="C220" s="12">
        <v>46093</v>
      </c>
      <c r="D220" s="12">
        <v>46093</v>
      </c>
      <c r="E220" s="11" t="s">
        <v>6</v>
      </c>
      <c r="F220" s="11" t="s">
        <v>704</v>
      </c>
      <c r="G220" s="11" t="s">
        <v>703</v>
      </c>
      <c r="H220" s="11"/>
      <c r="I220" s="11" t="s">
        <v>49</v>
      </c>
      <c r="J220" s="11">
        <v>54.4</v>
      </c>
      <c r="K220" s="11">
        <v>54.4</v>
      </c>
      <c r="L220" s="11"/>
      <c r="M220" s="11">
        <v>54.4</v>
      </c>
      <c r="N220" s="11" t="s">
        <v>705</v>
      </c>
      <c r="O220" s="11" t="s">
        <v>50</v>
      </c>
    </row>
    <row r="221" spans="1:15" s="13" customFormat="1" ht="19.5" customHeight="1" x14ac:dyDescent="0.25">
      <c r="A221" s="11" t="s">
        <v>706</v>
      </c>
      <c r="B221" s="11" t="s">
        <v>707</v>
      </c>
      <c r="C221" s="12">
        <v>46093</v>
      </c>
      <c r="D221" s="12">
        <v>46093</v>
      </c>
      <c r="E221" s="11" t="s">
        <v>6</v>
      </c>
      <c r="F221" s="11" t="s">
        <v>708</v>
      </c>
      <c r="G221" s="11" t="s">
        <v>707</v>
      </c>
      <c r="H221" s="11" t="s">
        <v>709</v>
      </c>
      <c r="I221" s="11" t="s">
        <v>49</v>
      </c>
      <c r="J221" s="11">
        <v>347.4</v>
      </c>
      <c r="K221" s="11">
        <v>347.4</v>
      </c>
      <c r="L221" s="11"/>
      <c r="M221" s="11">
        <v>347.4</v>
      </c>
      <c r="N221" s="11" t="s">
        <v>710</v>
      </c>
      <c r="O221" s="11" t="s">
        <v>50</v>
      </c>
    </row>
    <row r="222" spans="1:15" s="13" customFormat="1" ht="19.5" customHeight="1" x14ac:dyDescent="0.25">
      <c r="A222" s="11" t="s">
        <v>711</v>
      </c>
      <c r="B222" s="11" t="s">
        <v>712</v>
      </c>
      <c r="C222" s="12">
        <v>46093</v>
      </c>
      <c r="D222" s="12">
        <v>46093</v>
      </c>
      <c r="E222" s="11" t="s">
        <v>6</v>
      </c>
      <c r="F222" s="11" t="s">
        <v>713</v>
      </c>
      <c r="G222" s="11" t="s">
        <v>712</v>
      </c>
      <c r="H222" s="11" t="s">
        <v>714</v>
      </c>
      <c r="I222" s="11" t="s">
        <v>49</v>
      </c>
      <c r="J222" s="11">
        <v>94.05</v>
      </c>
      <c r="K222" s="11">
        <v>94.05</v>
      </c>
      <c r="L222" s="11"/>
      <c r="M222" s="11">
        <v>94.05</v>
      </c>
      <c r="N222" s="11" t="s">
        <v>715</v>
      </c>
      <c r="O222" s="11" t="s">
        <v>50</v>
      </c>
    </row>
    <row r="223" spans="1:15" s="13" customFormat="1" ht="19.5" customHeight="1" x14ac:dyDescent="0.25">
      <c r="A223" s="11" t="s">
        <v>716</v>
      </c>
      <c r="B223" s="11" t="s">
        <v>717</v>
      </c>
      <c r="C223" s="12">
        <v>46093</v>
      </c>
      <c r="D223" s="12">
        <v>46093</v>
      </c>
      <c r="E223" s="11" t="s">
        <v>6</v>
      </c>
      <c r="F223" s="11" t="s">
        <v>718</v>
      </c>
      <c r="G223" s="11" t="s">
        <v>717</v>
      </c>
      <c r="H223" s="11" t="s">
        <v>719</v>
      </c>
      <c r="I223" s="11" t="s">
        <v>49</v>
      </c>
      <c r="J223" s="11">
        <v>63.9</v>
      </c>
      <c r="K223" s="11">
        <v>63.9</v>
      </c>
      <c r="L223" s="11"/>
      <c r="M223" s="11">
        <v>63.9</v>
      </c>
      <c r="N223" s="11" t="s">
        <v>720</v>
      </c>
      <c r="O223" s="11" t="s">
        <v>50</v>
      </c>
    </row>
    <row r="224" spans="1:15" s="13" customFormat="1" ht="19.5" customHeight="1" x14ac:dyDescent="0.25">
      <c r="A224" s="11" t="s">
        <v>721</v>
      </c>
      <c r="B224" s="11" t="s">
        <v>722</v>
      </c>
      <c r="C224" s="12">
        <v>46093</v>
      </c>
      <c r="D224" s="12">
        <v>46093</v>
      </c>
      <c r="E224" s="11" t="s">
        <v>6</v>
      </c>
      <c r="F224" s="11" t="s">
        <v>723</v>
      </c>
      <c r="G224" s="11" t="s">
        <v>722</v>
      </c>
      <c r="H224" s="11" t="s">
        <v>724</v>
      </c>
      <c r="I224" s="11" t="s">
        <v>49</v>
      </c>
      <c r="J224" s="11">
        <v>1512.26</v>
      </c>
      <c r="K224" s="11">
        <v>1512.26</v>
      </c>
      <c r="L224" s="11"/>
      <c r="M224" s="11">
        <v>1512.26</v>
      </c>
      <c r="N224" s="11" t="s">
        <v>725</v>
      </c>
      <c r="O224" s="11" t="s">
        <v>50</v>
      </c>
    </row>
    <row r="225" spans="1:15" s="13" customFormat="1" ht="19.5" customHeight="1" x14ac:dyDescent="0.25">
      <c r="A225" s="11" t="s">
        <v>726</v>
      </c>
      <c r="B225" s="11" t="s">
        <v>727</v>
      </c>
      <c r="C225" s="12">
        <v>46093</v>
      </c>
      <c r="D225" s="12">
        <v>46093</v>
      </c>
      <c r="E225" s="11" t="s">
        <v>6</v>
      </c>
      <c r="F225" s="11" t="s">
        <v>728</v>
      </c>
      <c r="G225" s="11" t="s">
        <v>727</v>
      </c>
      <c r="H225" s="11" t="s">
        <v>729</v>
      </c>
      <c r="I225" s="11" t="s">
        <v>49</v>
      </c>
      <c r="J225" s="11">
        <v>73.81</v>
      </c>
      <c r="K225" s="11">
        <v>73.81</v>
      </c>
      <c r="L225" s="11"/>
      <c r="M225" s="11">
        <v>73.81</v>
      </c>
      <c r="N225" s="11" t="s">
        <v>730</v>
      </c>
      <c r="O225" s="11" t="s">
        <v>50</v>
      </c>
    </row>
    <row r="226" spans="1:15" s="13" customFormat="1" ht="19.5" customHeight="1" x14ac:dyDescent="0.25">
      <c r="A226" s="11" t="s">
        <v>731</v>
      </c>
      <c r="B226" s="11" t="s">
        <v>731</v>
      </c>
      <c r="C226" s="12">
        <v>46093</v>
      </c>
      <c r="D226" s="12">
        <v>46093</v>
      </c>
      <c r="E226" s="11" t="s">
        <v>6</v>
      </c>
      <c r="F226" s="11" t="s">
        <v>732</v>
      </c>
      <c r="G226" s="11" t="s">
        <v>731</v>
      </c>
      <c r="H226" s="11"/>
      <c r="I226" s="11" t="s">
        <v>49</v>
      </c>
      <c r="J226" s="11">
        <v>104.95</v>
      </c>
      <c r="K226" s="11">
        <v>104.95</v>
      </c>
      <c r="L226" s="11"/>
      <c r="M226" s="11">
        <v>104.95</v>
      </c>
      <c r="N226" s="11" t="s">
        <v>733</v>
      </c>
      <c r="O226" s="11" t="s">
        <v>50</v>
      </c>
    </row>
    <row r="227" spans="1:15" s="13" customFormat="1" ht="19.5" customHeight="1" x14ac:dyDescent="0.25">
      <c r="A227" s="11" t="s">
        <v>734</v>
      </c>
      <c r="B227" s="11" t="s">
        <v>734</v>
      </c>
      <c r="C227" s="12">
        <v>46093</v>
      </c>
      <c r="D227" s="12">
        <v>46093</v>
      </c>
      <c r="E227" s="11" t="s">
        <v>6</v>
      </c>
      <c r="F227" s="11" t="s">
        <v>735</v>
      </c>
      <c r="G227" s="11" t="s">
        <v>734</v>
      </c>
      <c r="H227" s="11"/>
      <c r="I227" s="11" t="s">
        <v>49</v>
      </c>
      <c r="J227" s="11">
        <v>115.65</v>
      </c>
      <c r="K227" s="11">
        <v>115.65</v>
      </c>
      <c r="L227" s="11"/>
      <c r="M227" s="11">
        <v>115.65</v>
      </c>
      <c r="N227" s="11" t="s">
        <v>736</v>
      </c>
      <c r="O227" s="11" t="s">
        <v>50</v>
      </c>
    </row>
    <row r="228" spans="1:15" s="13" customFormat="1" ht="19.5" customHeight="1" x14ac:dyDescent="0.25">
      <c r="A228" s="11" t="s">
        <v>737</v>
      </c>
      <c r="B228" s="11" t="s">
        <v>738</v>
      </c>
      <c r="C228" s="12">
        <v>46093</v>
      </c>
      <c r="D228" s="12">
        <v>46093</v>
      </c>
      <c r="E228" s="11" t="s">
        <v>6</v>
      </c>
      <c r="F228" s="11" t="s">
        <v>739</v>
      </c>
      <c r="G228" s="11" t="s">
        <v>738</v>
      </c>
      <c r="H228" s="11" t="s">
        <v>740</v>
      </c>
      <c r="I228" s="11" t="s">
        <v>49</v>
      </c>
      <c r="J228" s="11">
        <v>94.5</v>
      </c>
      <c r="K228" s="11">
        <v>94.5</v>
      </c>
      <c r="L228" s="11"/>
      <c r="M228" s="11">
        <v>94.5</v>
      </c>
      <c r="N228" s="11" t="s">
        <v>741</v>
      </c>
      <c r="O228" s="11" t="s">
        <v>50</v>
      </c>
    </row>
    <row r="229" spans="1:15" s="13" customFormat="1" ht="19.5" customHeight="1" x14ac:dyDescent="0.25">
      <c r="A229" s="11" t="s">
        <v>742</v>
      </c>
      <c r="B229" s="11" t="s">
        <v>743</v>
      </c>
      <c r="C229" s="12">
        <v>46093</v>
      </c>
      <c r="D229" s="12">
        <v>46093</v>
      </c>
      <c r="E229" s="11" t="s">
        <v>6</v>
      </c>
      <c r="F229" s="11" t="s">
        <v>498</v>
      </c>
      <c r="G229" s="11" t="s">
        <v>743</v>
      </c>
      <c r="H229" s="11" t="s">
        <v>744</v>
      </c>
      <c r="I229" s="11" t="s">
        <v>49</v>
      </c>
      <c r="J229" s="11">
        <v>117.46</v>
      </c>
      <c r="K229" s="11">
        <v>117.46</v>
      </c>
      <c r="L229" s="11"/>
      <c r="M229" s="11">
        <v>117.46</v>
      </c>
      <c r="N229" s="11" t="s">
        <v>745</v>
      </c>
      <c r="O229" s="11" t="s">
        <v>50</v>
      </c>
    </row>
    <row r="230" spans="1:15" s="13" customFormat="1" ht="19.5" customHeight="1" x14ac:dyDescent="0.25">
      <c r="A230" s="11" t="s">
        <v>746</v>
      </c>
      <c r="B230" s="11" t="s">
        <v>747</v>
      </c>
      <c r="C230" s="12">
        <v>46093</v>
      </c>
      <c r="D230" s="12">
        <v>46093</v>
      </c>
      <c r="E230" s="11" t="s">
        <v>6</v>
      </c>
      <c r="F230" s="11" t="s">
        <v>748</v>
      </c>
      <c r="G230" s="11" t="s">
        <v>747</v>
      </c>
      <c r="H230" s="11" t="s">
        <v>749</v>
      </c>
      <c r="I230" s="11" t="s">
        <v>49</v>
      </c>
      <c r="J230" s="11">
        <v>90.86</v>
      </c>
      <c r="K230" s="11">
        <v>90.86</v>
      </c>
      <c r="L230" s="11"/>
      <c r="M230" s="11">
        <v>90.86</v>
      </c>
      <c r="N230" s="11" t="s">
        <v>750</v>
      </c>
      <c r="O230" s="11" t="s">
        <v>50</v>
      </c>
    </row>
    <row r="231" spans="1:15" s="13" customFormat="1" ht="19.5" customHeight="1" x14ac:dyDescent="0.25">
      <c r="A231" s="11" t="s">
        <v>751</v>
      </c>
      <c r="B231" s="11" t="s">
        <v>752</v>
      </c>
      <c r="C231" s="12">
        <v>46092</v>
      </c>
      <c r="D231" s="12">
        <v>46092</v>
      </c>
      <c r="E231" s="11" t="s">
        <v>6</v>
      </c>
      <c r="F231" s="11" t="s">
        <v>64</v>
      </c>
      <c r="G231" s="11" t="s">
        <v>753</v>
      </c>
      <c r="H231" s="11" t="s">
        <v>754</v>
      </c>
      <c r="I231" s="11" t="s">
        <v>49</v>
      </c>
      <c r="J231" s="11">
        <v>-69855.87</v>
      </c>
      <c r="K231" s="11"/>
      <c r="L231" s="11">
        <v>69855.87</v>
      </c>
      <c r="M231" s="11">
        <v>-69855.87</v>
      </c>
      <c r="N231" s="11"/>
      <c r="O231" s="11" t="s">
        <v>75</v>
      </c>
    </row>
    <row r="232" spans="1:15" s="13" customFormat="1" ht="19.5" customHeight="1" x14ac:dyDescent="0.25">
      <c r="A232" s="11" t="s">
        <v>755</v>
      </c>
      <c r="B232" s="11" t="s">
        <v>755</v>
      </c>
      <c r="C232" s="12">
        <v>46092</v>
      </c>
      <c r="D232" s="12">
        <v>46122</v>
      </c>
      <c r="E232" s="11" t="s">
        <v>6</v>
      </c>
      <c r="F232" s="11" t="s">
        <v>336</v>
      </c>
      <c r="G232" s="11" t="s">
        <v>755</v>
      </c>
      <c r="H232" s="11"/>
      <c r="I232" s="11" t="s">
        <v>49</v>
      </c>
      <c r="J232" s="11">
        <v>5254.8</v>
      </c>
      <c r="K232" s="11">
        <v>5254.8</v>
      </c>
      <c r="L232" s="11"/>
      <c r="M232" s="11">
        <v>5254.8</v>
      </c>
      <c r="N232" s="11" t="s">
        <v>756</v>
      </c>
      <c r="O232" s="11" t="s">
        <v>50</v>
      </c>
    </row>
    <row r="233" spans="1:15" s="13" customFormat="1" ht="19.5" customHeight="1" x14ac:dyDescent="0.25">
      <c r="A233" s="11" t="s">
        <v>757</v>
      </c>
      <c r="B233" s="11" t="s">
        <v>757</v>
      </c>
      <c r="C233" s="12">
        <v>46092</v>
      </c>
      <c r="D233" s="12">
        <v>46122</v>
      </c>
      <c r="E233" s="11" t="s">
        <v>6</v>
      </c>
      <c r="F233" s="11" t="s">
        <v>593</v>
      </c>
      <c r="G233" s="11" t="s">
        <v>757</v>
      </c>
      <c r="H233" s="11"/>
      <c r="I233" s="11" t="s">
        <v>49</v>
      </c>
      <c r="J233" s="11">
        <v>2434.64</v>
      </c>
      <c r="K233" s="11">
        <v>2434.64</v>
      </c>
      <c r="L233" s="11"/>
      <c r="M233" s="11">
        <v>2434.64</v>
      </c>
      <c r="N233" s="11" t="s">
        <v>758</v>
      </c>
      <c r="O233" s="11" t="s">
        <v>50</v>
      </c>
    </row>
    <row r="234" spans="1:15" s="13" customFormat="1" ht="19.5" customHeight="1" x14ac:dyDescent="0.25">
      <c r="A234" s="11" t="s">
        <v>759</v>
      </c>
      <c r="B234" s="11" t="s">
        <v>760</v>
      </c>
      <c r="C234" s="12">
        <v>46092</v>
      </c>
      <c r="D234" s="12">
        <v>46092</v>
      </c>
      <c r="E234" s="11" t="s">
        <v>6</v>
      </c>
      <c r="F234" s="11" t="s">
        <v>761</v>
      </c>
      <c r="G234" s="11" t="s">
        <v>760</v>
      </c>
      <c r="H234" s="11" t="s">
        <v>762</v>
      </c>
      <c r="I234" s="11" t="s">
        <v>49</v>
      </c>
      <c r="J234" s="11">
        <v>61.21</v>
      </c>
      <c r="K234" s="11">
        <v>61.21</v>
      </c>
      <c r="L234" s="11"/>
      <c r="M234" s="11">
        <v>61.21</v>
      </c>
      <c r="N234" s="11" t="s">
        <v>763</v>
      </c>
      <c r="O234" s="11" t="s">
        <v>50</v>
      </c>
    </row>
    <row r="235" spans="1:15" s="13" customFormat="1" ht="19.5" customHeight="1" x14ac:dyDescent="0.25">
      <c r="A235" s="11" t="s">
        <v>764</v>
      </c>
      <c r="B235" s="11" t="s">
        <v>765</v>
      </c>
      <c r="C235" s="12">
        <v>46092</v>
      </c>
      <c r="D235" s="12">
        <v>46092</v>
      </c>
      <c r="E235" s="11" t="s">
        <v>6</v>
      </c>
      <c r="F235" s="11" t="s">
        <v>766</v>
      </c>
      <c r="G235" s="11" t="s">
        <v>765</v>
      </c>
      <c r="H235" s="11" t="s">
        <v>762</v>
      </c>
      <c r="I235" s="11" t="s">
        <v>49</v>
      </c>
      <c r="J235" s="11">
        <v>45.9</v>
      </c>
      <c r="K235" s="11">
        <v>45.9</v>
      </c>
      <c r="L235" s="11"/>
      <c r="M235" s="11">
        <v>45.9</v>
      </c>
      <c r="N235" s="11" t="s">
        <v>767</v>
      </c>
      <c r="O235" s="11" t="s">
        <v>50</v>
      </c>
    </row>
    <row r="236" spans="1:15" s="13" customFormat="1" ht="19.5" customHeight="1" x14ac:dyDescent="0.25">
      <c r="A236" s="11" t="s">
        <v>768</v>
      </c>
      <c r="B236" s="11" t="s">
        <v>769</v>
      </c>
      <c r="C236" s="12">
        <v>46092</v>
      </c>
      <c r="D236" s="12">
        <v>46092</v>
      </c>
      <c r="E236" s="11" t="s">
        <v>6</v>
      </c>
      <c r="F236" s="11" t="s">
        <v>770</v>
      </c>
      <c r="G236" s="11" t="s">
        <v>769</v>
      </c>
      <c r="H236" s="11" t="s">
        <v>762</v>
      </c>
      <c r="I236" s="11" t="s">
        <v>49</v>
      </c>
      <c r="J236" s="11">
        <v>39.51</v>
      </c>
      <c r="K236" s="11">
        <v>39.51</v>
      </c>
      <c r="L236" s="11"/>
      <c r="M236" s="11">
        <v>39.51</v>
      </c>
      <c r="N236" s="11" t="s">
        <v>771</v>
      </c>
      <c r="O236" s="11" t="s">
        <v>50</v>
      </c>
    </row>
    <row r="237" spans="1:15" s="13" customFormat="1" ht="19.5" customHeight="1" x14ac:dyDescent="0.25">
      <c r="A237" s="11" t="s">
        <v>772</v>
      </c>
      <c r="B237" s="11" t="s">
        <v>772</v>
      </c>
      <c r="C237" s="12">
        <v>46092</v>
      </c>
      <c r="D237" s="12">
        <v>46092</v>
      </c>
      <c r="E237" s="11" t="s">
        <v>6</v>
      </c>
      <c r="F237" s="11" t="s">
        <v>773</v>
      </c>
      <c r="G237" s="11" t="s">
        <v>772</v>
      </c>
      <c r="H237" s="11"/>
      <c r="I237" s="11" t="s">
        <v>49</v>
      </c>
      <c r="J237" s="11">
        <v>65.900000000000006</v>
      </c>
      <c r="K237" s="11">
        <v>65.900000000000006</v>
      </c>
      <c r="L237" s="11"/>
      <c r="M237" s="11">
        <v>65.900000000000006</v>
      </c>
      <c r="N237" s="11"/>
      <c r="O237" s="11" t="s">
        <v>50</v>
      </c>
    </row>
    <row r="238" spans="1:15" s="13" customFormat="1" ht="19.5" customHeight="1" x14ac:dyDescent="0.25">
      <c r="A238" s="11" t="s">
        <v>774</v>
      </c>
      <c r="B238" s="11" t="s">
        <v>775</v>
      </c>
      <c r="C238" s="12">
        <v>46092</v>
      </c>
      <c r="D238" s="12">
        <v>46092</v>
      </c>
      <c r="E238" s="11" t="s">
        <v>6</v>
      </c>
      <c r="F238" s="11" t="s">
        <v>776</v>
      </c>
      <c r="G238" s="11" t="s">
        <v>775</v>
      </c>
      <c r="H238" s="11" t="s">
        <v>762</v>
      </c>
      <c r="I238" s="11" t="s">
        <v>49</v>
      </c>
      <c r="J238" s="11">
        <v>128.24</v>
      </c>
      <c r="K238" s="11">
        <v>128.24</v>
      </c>
      <c r="L238" s="11"/>
      <c r="M238" s="11">
        <v>128.24</v>
      </c>
      <c r="N238" s="11" t="s">
        <v>777</v>
      </c>
      <c r="O238" s="11" t="s">
        <v>50</v>
      </c>
    </row>
    <row r="239" spans="1:15" s="13" customFormat="1" ht="19.5" customHeight="1" x14ac:dyDescent="0.25">
      <c r="A239" s="11" t="s">
        <v>778</v>
      </c>
      <c r="B239" s="11" t="s">
        <v>779</v>
      </c>
      <c r="C239" s="12">
        <v>46092</v>
      </c>
      <c r="D239" s="12">
        <v>46092</v>
      </c>
      <c r="E239" s="11" t="s">
        <v>6</v>
      </c>
      <c r="F239" s="11" t="s">
        <v>780</v>
      </c>
      <c r="G239" s="11" t="s">
        <v>779</v>
      </c>
      <c r="H239" s="11" t="s">
        <v>762</v>
      </c>
      <c r="I239" s="11" t="s">
        <v>49</v>
      </c>
      <c r="J239" s="11">
        <v>211.95</v>
      </c>
      <c r="K239" s="11">
        <v>211.95</v>
      </c>
      <c r="L239" s="11"/>
      <c r="M239" s="11">
        <v>211.95</v>
      </c>
      <c r="N239" s="11" t="s">
        <v>781</v>
      </c>
      <c r="O239" s="11" t="s">
        <v>50</v>
      </c>
    </row>
    <row r="240" spans="1:15" s="13" customFormat="1" ht="19.5" customHeight="1" x14ac:dyDescent="0.25">
      <c r="A240" s="11" t="s">
        <v>782</v>
      </c>
      <c r="B240" s="11" t="s">
        <v>783</v>
      </c>
      <c r="C240" s="12">
        <v>46092</v>
      </c>
      <c r="D240" s="12">
        <v>46092</v>
      </c>
      <c r="E240" s="11" t="s">
        <v>6</v>
      </c>
      <c r="F240" s="11" t="s">
        <v>784</v>
      </c>
      <c r="G240" s="11" t="s">
        <v>783</v>
      </c>
      <c r="H240" s="11" t="s">
        <v>762</v>
      </c>
      <c r="I240" s="11" t="s">
        <v>49</v>
      </c>
      <c r="J240" s="11">
        <v>53.9</v>
      </c>
      <c r="K240" s="11">
        <v>53.9</v>
      </c>
      <c r="L240" s="11"/>
      <c r="M240" s="11">
        <v>53.9</v>
      </c>
      <c r="N240" s="11" t="s">
        <v>785</v>
      </c>
      <c r="O240" s="11" t="s">
        <v>50</v>
      </c>
    </row>
    <row r="241" spans="1:15" s="13" customFormat="1" ht="19.5" customHeight="1" x14ac:dyDescent="0.25">
      <c r="A241" s="11" t="s">
        <v>786</v>
      </c>
      <c r="B241" s="11" t="s">
        <v>786</v>
      </c>
      <c r="C241" s="12">
        <v>46092</v>
      </c>
      <c r="D241" s="12">
        <v>46092</v>
      </c>
      <c r="E241" s="11" t="s">
        <v>6</v>
      </c>
      <c r="F241" s="11" t="s">
        <v>787</v>
      </c>
      <c r="G241" s="11" t="s">
        <v>786</v>
      </c>
      <c r="H241" s="11"/>
      <c r="I241" s="11" t="s">
        <v>49</v>
      </c>
      <c r="J241" s="11">
        <v>171.37</v>
      </c>
      <c r="K241" s="11">
        <v>171.37</v>
      </c>
      <c r="L241" s="11"/>
      <c r="M241" s="11">
        <v>171.37</v>
      </c>
      <c r="N241" s="11" t="s">
        <v>788</v>
      </c>
      <c r="O241" s="11" t="s">
        <v>50</v>
      </c>
    </row>
    <row r="242" spans="1:15" s="13" customFormat="1" ht="19.5" customHeight="1" x14ac:dyDescent="0.25">
      <c r="A242" s="11" t="s">
        <v>789</v>
      </c>
      <c r="B242" s="11" t="s">
        <v>790</v>
      </c>
      <c r="C242" s="12">
        <v>46092</v>
      </c>
      <c r="D242" s="12">
        <v>46092</v>
      </c>
      <c r="E242" s="11" t="s">
        <v>6</v>
      </c>
      <c r="F242" s="11" t="s">
        <v>791</v>
      </c>
      <c r="G242" s="11" t="s">
        <v>790</v>
      </c>
      <c r="H242" s="11" t="s">
        <v>792</v>
      </c>
      <c r="I242" s="11" t="s">
        <v>49</v>
      </c>
      <c r="J242" s="11">
        <v>140</v>
      </c>
      <c r="K242" s="11">
        <v>140</v>
      </c>
      <c r="L242" s="11"/>
      <c r="M242" s="11">
        <v>140</v>
      </c>
      <c r="N242" s="11" t="s">
        <v>793</v>
      </c>
      <c r="O242" s="11" t="s">
        <v>50</v>
      </c>
    </row>
    <row r="243" spans="1:15" s="13" customFormat="1" ht="19.5" customHeight="1" x14ac:dyDescent="0.25">
      <c r="A243" s="11" t="s">
        <v>794</v>
      </c>
      <c r="B243" s="11" t="s">
        <v>794</v>
      </c>
      <c r="C243" s="12">
        <v>46092</v>
      </c>
      <c r="D243" s="12">
        <v>46092</v>
      </c>
      <c r="E243" s="11" t="s">
        <v>6</v>
      </c>
      <c r="F243" s="11" t="s">
        <v>795</v>
      </c>
      <c r="G243" s="11" t="s">
        <v>794</v>
      </c>
      <c r="H243" s="11"/>
      <c r="I243" s="11" t="s">
        <v>49</v>
      </c>
      <c r="J243" s="11">
        <v>75.5</v>
      </c>
      <c r="K243" s="11">
        <v>75.5</v>
      </c>
      <c r="L243" s="11"/>
      <c r="M243" s="11">
        <v>75.5</v>
      </c>
      <c r="N243" s="11" t="s">
        <v>796</v>
      </c>
      <c r="O243" s="11" t="s">
        <v>50</v>
      </c>
    </row>
    <row r="244" spans="1:15" s="13" customFormat="1" ht="19.5" customHeight="1" x14ac:dyDescent="0.25">
      <c r="A244" s="11" t="s">
        <v>797</v>
      </c>
      <c r="B244" s="11" t="s">
        <v>797</v>
      </c>
      <c r="C244" s="12">
        <v>46092</v>
      </c>
      <c r="D244" s="12">
        <v>46092</v>
      </c>
      <c r="E244" s="11" t="s">
        <v>6</v>
      </c>
      <c r="F244" s="11" t="s">
        <v>798</v>
      </c>
      <c r="G244" s="11" t="s">
        <v>797</v>
      </c>
      <c r="H244" s="11"/>
      <c r="I244" s="11" t="s">
        <v>49</v>
      </c>
      <c r="J244" s="11">
        <v>1271.29</v>
      </c>
      <c r="K244" s="11">
        <v>1271.29</v>
      </c>
      <c r="L244" s="11"/>
      <c r="M244" s="11">
        <v>1271.29</v>
      </c>
      <c r="N244" s="11"/>
      <c r="O244" s="11" t="s">
        <v>50</v>
      </c>
    </row>
    <row r="245" spans="1:15" s="13" customFormat="1" ht="19.5" customHeight="1" x14ac:dyDescent="0.25">
      <c r="A245" s="11" t="s">
        <v>799</v>
      </c>
      <c r="B245" s="11" t="s">
        <v>799</v>
      </c>
      <c r="C245" s="12">
        <v>46092</v>
      </c>
      <c r="D245" s="12">
        <v>46092</v>
      </c>
      <c r="E245" s="11" t="s">
        <v>6</v>
      </c>
      <c r="F245" s="11" t="s">
        <v>798</v>
      </c>
      <c r="G245" s="11" t="s">
        <v>799</v>
      </c>
      <c r="H245" s="11"/>
      <c r="I245" s="11" t="s">
        <v>49</v>
      </c>
      <c r="J245" s="11">
        <v>4238.25</v>
      </c>
      <c r="K245" s="11">
        <v>4238.25</v>
      </c>
      <c r="L245" s="11"/>
      <c r="M245" s="11">
        <v>4238.25</v>
      </c>
      <c r="N245" s="11"/>
      <c r="O245" s="11" t="s">
        <v>50</v>
      </c>
    </row>
    <row r="246" spans="1:15" s="13" customFormat="1" ht="19.5" customHeight="1" x14ac:dyDescent="0.25">
      <c r="A246" s="11" t="s">
        <v>800</v>
      </c>
      <c r="B246" s="11" t="s">
        <v>800</v>
      </c>
      <c r="C246" s="12">
        <v>46092</v>
      </c>
      <c r="D246" s="12">
        <v>46092</v>
      </c>
      <c r="E246" s="11" t="s">
        <v>6</v>
      </c>
      <c r="F246" s="11" t="s">
        <v>798</v>
      </c>
      <c r="G246" s="11" t="s">
        <v>800</v>
      </c>
      <c r="H246" s="11"/>
      <c r="I246" s="11" t="s">
        <v>49</v>
      </c>
      <c r="J246" s="11">
        <v>3893.4</v>
      </c>
      <c r="K246" s="11">
        <v>3893.4</v>
      </c>
      <c r="L246" s="11"/>
      <c r="M246" s="11">
        <v>3893.4</v>
      </c>
      <c r="N246" s="11"/>
      <c r="O246" s="11" t="s">
        <v>50</v>
      </c>
    </row>
    <row r="247" spans="1:15" s="13" customFormat="1" ht="19.5" customHeight="1" x14ac:dyDescent="0.25">
      <c r="A247" s="11" t="s">
        <v>801</v>
      </c>
      <c r="B247" s="11" t="s">
        <v>801</v>
      </c>
      <c r="C247" s="12">
        <v>46092</v>
      </c>
      <c r="D247" s="12">
        <v>46092</v>
      </c>
      <c r="E247" s="11" t="s">
        <v>6</v>
      </c>
      <c r="F247" s="11" t="s">
        <v>798</v>
      </c>
      <c r="G247" s="11" t="s">
        <v>801</v>
      </c>
      <c r="H247" s="11"/>
      <c r="I247" s="11" t="s">
        <v>49</v>
      </c>
      <c r="J247" s="11">
        <v>2978.5</v>
      </c>
      <c r="K247" s="11">
        <v>2978.5</v>
      </c>
      <c r="L247" s="11"/>
      <c r="M247" s="11">
        <v>2978.5</v>
      </c>
      <c r="N247" s="11"/>
      <c r="O247" s="11" t="s">
        <v>50</v>
      </c>
    </row>
    <row r="248" spans="1:15" s="13" customFormat="1" ht="19.5" customHeight="1" x14ac:dyDescent="0.25">
      <c r="A248" s="11" t="s">
        <v>802</v>
      </c>
      <c r="B248" s="11" t="s">
        <v>802</v>
      </c>
      <c r="C248" s="12">
        <v>46092</v>
      </c>
      <c r="D248" s="12">
        <v>46092</v>
      </c>
      <c r="E248" s="11" t="s">
        <v>6</v>
      </c>
      <c r="F248" s="11" t="s">
        <v>803</v>
      </c>
      <c r="G248" s="11" t="s">
        <v>802</v>
      </c>
      <c r="H248" s="11"/>
      <c r="I248" s="11" t="s">
        <v>49</v>
      </c>
      <c r="J248" s="11">
        <v>6845.99</v>
      </c>
      <c r="K248" s="11">
        <v>6845.99</v>
      </c>
      <c r="L248" s="11"/>
      <c r="M248" s="11">
        <v>6845.99</v>
      </c>
      <c r="N248" s="11"/>
      <c r="O248" s="11" t="s">
        <v>50</v>
      </c>
    </row>
    <row r="249" spans="1:15" s="13" customFormat="1" ht="19.5" customHeight="1" x14ac:dyDescent="0.25">
      <c r="A249" s="11" t="s">
        <v>804</v>
      </c>
      <c r="B249" s="11" t="s">
        <v>804</v>
      </c>
      <c r="C249" s="12">
        <v>46092</v>
      </c>
      <c r="D249" s="12">
        <v>46092</v>
      </c>
      <c r="E249" s="11" t="s">
        <v>6</v>
      </c>
      <c r="F249" s="11" t="s">
        <v>805</v>
      </c>
      <c r="G249" s="11" t="s">
        <v>804</v>
      </c>
      <c r="H249" s="11"/>
      <c r="I249" s="11" t="s">
        <v>49</v>
      </c>
      <c r="J249" s="11">
        <v>4503.59</v>
      </c>
      <c r="K249" s="11">
        <v>4503.59</v>
      </c>
      <c r="L249" s="11"/>
      <c r="M249" s="11">
        <v>4503.59</v>
      </c>
      <c r="N249" s="11"/>
      <c r="O249" s="11" t="s">
        <v>50</v>
      </c>
    </row>
    <row r="250" spans="1:15" s="13" customFormat="1" ht="19.5" customHeight="1" x14ac:dyDescent="0.25">
      <c r="A250" s="11" t="s">
        <v>806</v>
      </c>
      <c r="B250" s="11" t="s">
        <v>806</v>
      </c>
      <c r="C250" s="12">
        <v>46092</v>
      </c>
      <c r="D250" s="12">
        <v>46092</v>
      </c>
      <c r="E250" s="11" t="s">
        <v>6</v>
      </c>
      <c r="F250" s="11" t="s">
        <v>807</v>
      </c>
      <c r="G250" s="11" t="s">
        <v>806</v>
      </c>
      <c r="H250" s="11"/>
      <c r="I250" s="11" t="s">
        <v>49</v>
      </c>
      <c r="J250" s="11">
        <v>1277.5</v>
      </c>
      <c r="K250" s="11">
        <v>1277.5</v>
      </c>
      <c r="L250" s="11"/>
      <c r="M250" s="11">
        <v>1277.5</v>
      </c>
      <c r="N250" s="11"/>
      <c r="O250" s="11" t="s">
        <v>50</v>
      </c>
    </row>
    <row r="251" spans="1:15" s="13" customFormat="1" ht="19.5" customHeight="1" x14ac:dyDescent="0.25">
      <c r="A251" s="11" t="s">
        <v>808</v>
      </c>
      <c r="B251" s="11" t="s">
        <v>808</v>
      </c>
      <c r="C251" s="12">
        <v>46092</v>
      </c>
      <c r="D251" s="12">
        <v>46092</v>
      </c>
      <c r="E251" s="11" t="s">
        <v>6</v>
      </c>
      <c r="F251" s="11" t="s">
        <v>809</v>
      </c>
      <c r="G251" s="11" t="s">
        <v>808</v>
      </c>
      <c r="H251" s="11"/>
      <c r="I251" s="11" t="s">
        <v>49</v>
      </c>
      <c r="J251" s="11">
        <v>1139.5</v>
      </c>
      <c r="K251" s="11">
        <v>1139.5</v>
      </c>
      <c r="L251" s="11"/>
      <c r="M251" s="11">
        <v>1139.5</v>
      </c>
      <c r="N251" s="11"/>
      <c r="O251" s="11" t="s">
        <v>50</v>
      </c>
    </row>
    <row r="252" spans="1:15" s="13" customFormat="1" ht="19.5" customHeight="1" x14ac:dyDescent="0.25">
      <c r="A252" s="11" t="s">
        <v>810</v>
      </c>
      <c r="B252" s="11" t="s">
        <v>810</v>
      </c>
      <c r="C252" s="12">
        <v>46091</v>
      </c>
      <c r="D252" s="12">
        <v>46121</v>
      </c>
      <c r="E252" s="11" t="s">
        <v>6</v>
      </c>
      <c r="F252" s="11" t="s">
        <v>333</v>
      </c>
      <c r="G252" s="11" t="s">
        <v>810</v>
      </c>
      <c r="H252" s="11"/>
      <c r="I252" s="11" t="s">
        <v>49</v>
      </c>
      <c r="J252" s="11">
        <v>1561.14</v>
      </c>
      <c r="K252" s="11">
        <v>1561.14</v>
      </c>
      <c r="L252" s="11"/>
      <c r="M252" s="11">
        <v>1561.14</v>
      </c>
      <c r="N252" s="11" t="s">
        <v>811</v>
      </c>
      <c r="O252" s="11" t="s">
        <v>50</v>
      </c>
    </row>
    <row r="253" spans="1:15" s="13" customFormat="1" ht="19.5" customHeight="1" x14ac:dyDescent="0.25">
      <c r="A253" s="11" t="s">
        <v>812</v>
      </c>
      <c r="B253" s="11" t="s">
        <v>812</v>
      </c>
      <c r="C253" s="12">
        <v>46091</v>
      </c>
      <c r="D253" s="12">
        <v>46091</v>
      </c>
      <c r="E253" s="11" t="s">
        <v>6</v>
      </c>
      <c r="F253" s="11" t="s">
        <v>813</v>
      </c>
      <c r="G253" s="11"/>
      <c r="H253" s="11"/>
      <c r="I253" s="11" t="s">
        <v>49</v>
      </c>
      <c r="J253" s="11">
        <v>-14.87</v>
      </c>
      <c r="K253" s="11"/>
      <c r="L253" s="11">
        <v>14.87</v>
      </c>
      <c r="M253" s="11">
        <v>-14.87</v>
      </c>
      <c r="N253" s="11"/>
      <c r="O253" s="11" t="s">
        <v>50</v>
      </c>
    </row>
    <row r="254" spans="1:15" s="13" customFormat="1" ht="19.5" customHeight="1" x14ac:dyDescent="0.25">
      <c r="A254" s="11" t="s">
        <v>814</v>
      </c>
      <c r="B254" s="11" t="s">
        <v>814</v>
      </c>
      <c r="C254" s="12">
        <v>46091</v>
      </c>
      <c r="D254" s="12">
        <v>46091</v>
      </c>
      <c r="E254" s="11" t="s">
        <v>6</v>
      </c>
      <c r="F254" s="11" t="s">
        <v>815</v>
      </c>
      <c r="G254" s="11" t="s">
        <v>814</v>
      </c>
      <c r="H254" s="11"/>
      <c r="I254" s="11" t="s">
        <v>49</v>
      </c>
      <c r="J254" s="11">
        <v>209.89</v>
      </c>
      <c r="K254" s="11">
        <v>209.89</v>
      </c>
      <c r="L254" s="11"/>
      <c r="M254" s="11">
        <v>209.89</v>
      </c>
      <c r="N254" s="11" t="s">
        <v>816</v>
      </c>
      <c r="O254" s="11" t="s">
        <v>50</v>
      </c>
    </row>
    <row r="255" spans="1:15" s="13" customFormat="1" ht="19.5" customHeight="1" x14ac:dyDescent="0.25">
      <c r="A255" s="11" t="s">
        <v>817</v>
      </c>
      <c r="B255" s="11" t="s">
        <v>818</v>
      </c>
      <c r="C255" s="12">
        <v>46091</v>
      </c>
      <c r="D255" s="12">
        <v>46091</v>
      </c>
      <c r="E255" s="11" t="s">
        <v>6</v>
      </c>
      <c r="F255" s="11" t="s">
        <v>819</v>
      </c>
      <c r="G255" s="11" t="s">
        <v>818</v>
      </c>
      <c r="H255" s="11" t="s">
        <v>762</v>
      </c>
      <c r="I255" s="11" t="s">
        <v>49</v>
      </c>
      <c r="J255" s="11">
        <v>57.61</v>
      </c>
      <c r="K255" s="11">
        <v>57.61</v>
      </c>
      <c r="L255" s="11"/>
      <c r="M255" s="11">
        <v>57.61</v>
      </c>
      <c r="N255" s="11" t="s">
        <v>820</v>
      </c>
      <c r="O255" s="11" t="s">
        <v>50</v>
      </c>
    </row>
    <row r="256" spans="1:15" s="13" customFormat="1" ht="19.5" customHeight="1" x14ac:dyDescent="0.25">
      <c r="A256" s="11" t="s">
        <v>821</v>
      </c>
      <c r="B256" s="11" t="s">
        <v>822</v>
      </c>
      <c r="C256" s="12">
        <v>46091</v>
      </c>
      <c r="D256" s="12">
        <v>46091</v>
      </c>
      <c r="E256" s="11" t="s">
        <v>6</v>
      </c>
      <c r="F256" s="11" t="s">
        <v>823</v>
      </c>
      <c r="G256" s="11" t="s">
        <v>822</v>
      </c>
      <c r="H256" s="11" t="s">
        <v>762</v>
      </c>
      <c r="I256" s="11" t="s">
        <v>49</v>
      </c>
      <c r="J256" s="11">
        <v>236.99</v>
      </c>
      <c r="K256" s="11">
        <v>236.99</v>
      </c>
      <c r="L256" s="11"/>
      <c r="M256" s="11">
        <v>236.99</v>
      </c>
      <c r="N256" s="11" t="s">
        <v>824</v>
      </c>
      <c r="O256" s="11" t="s">
        <v>50</v>
      </c>
    </row>
    <row r="257" spans="1:15" s="13" customFormat="1" ht="19.5" customHeight="1" x14ac:dyDescent="0.25">
      <c r="A257" s="11" t="s">
        <v>825</v>
      </c>
      <c r="B257" s="11" t="s">
        <v>826</v>
      </c>
      <c r="C257" s="12">
        <v>46091</v>
      </c>
      <c r="D257" s="12">
        <v>46091</v>
      </c>
      <c r="E257" s="11" t="s">
        <v>6</v>
      </c>
      <c r="F257" s="11" t="s">
        <v>827</v>
      </c>
      <c r="G257" s="11" t="s">
        <v>826</v>
      </c>
      <c r="H257" s="11" t="s">
        <v>762</v>
      </c>
      <c r="I257" s="11" t="s">
        <v>49</v>
      </c>
      <c r="J257" s="11">
        <v>82.35</v>
      </c>
      <c r="K257" s="11">
        <v>82.35</v>
      </c>
      <c r="L257" s="11"/>
      <c r="M257" s="11">
        <v>82.35</v>
      </c>
      <c r="N257" s="11" t="s">
        <v>828</v>
      </c>
      <c r="O257" s="11" t="s">
        <v>50</v>
      </c>
    </row>
    <row r="258" spans="1:15" s="13" customFormat="1" ht="19.5" customHeight="1" x14ac:dyDescent="0.25">
      <c r="A258" s="11" t="s">
        <v>829</v>
      </c>
      <c r="B258" s="11" t="s">
        <v>829</v>
      </c>
      <c r="C258" s="12">
        <v>46091</v>
      </c>
      <c r="D258" s="12">
        <v>46091</v>
      </c>
      <c r="E258" s="11" t="s">
        <v>6</v>
      </c>
      <c r="F258" s="11" t="s">
        <v>830</v>
      </c>
      <c r="G258" s="11" t="s">
        <v>829</v>
      </c>
      <c r="H258" s="11"/>
      <c r="I258" s="11" t="s">
        <v>49</v>
      </c>
      <c r="J258" s="11">
        <v>280.22000000000003</v>
      </c>
      <c r="K258" s="11">
        <v>280.22000000000003</v>
      </c>
      <c r="L258" s="11"/>
      <c r="M258" s="11">
        <v>280.22000000000003</v>
      </c>
      <c r="N258" s="11" t="s">
        <v>831</v>
      </c>
      <c r="O258" s="11" t="s">
        <v>50</v>
      </c>
    </row>
    <row r="259" spans="1:15" s="13" customFormat="1" ht="19.5" customHeight="1" x14ac:dyDescent="0.25">
      <c r="A259" s="11" t="s">
        <v>832</v>
      </c>
      <c r="B259" s="11" t="s">
        <v>833</v>
      </c>
      <c r="C259" s="12">
        <v>46090</v>
      </c>
      <c r="D259" s="12">
        <v>46090</v>
      </c>
      <c r="E259" s="11" t="s">
        <v>6</v>
      </c>
      <c r="F259" s="11" t="s">
        <v>834</v>
      </c>
      <c r="G259" s="11" t="s">
        <v>835</v>
      </c>
      <c r="H259" s="11" t="s">
        <v>836</v>
      </c>
      <c r="I259" s="11" t="s">
        <v>49</v>
      </c>
      <c r="J259" s="11">
        <v>-26271.06</v>
      </c>
      <c r="K259" s="11"/>
      <c r="L259" s="11">
        <v>26271.06</v>
      </c>
      <c r="M259" s="11">
        <v>-26271.06</v>
      </c>
      <c r="N259" s="11"/>
      <c r="O259" s="11" t="s">
        <v>75</v>
      </c>
    </row>
    <row r="260" spans="1:15" s="13" customFormat="1" ht="19.5" customHeight="1" x14ac:dyDescent="0.25">
      <c r="A260" s="11" t="s">
        <v>837</v>
      </c>
      <c r="B260" s="11" t="s">
        <v>838</v>
      </c>
      <c r="C260" s="12">
        <v>46090</v>
      </c>
      <c r="D260" s="12">
        <v>46090</v>
      </c>
      <c r="E260" s="11" t="s">
        <v>6</v>
      </c>
      <c r="F260" s="11" t="s">
        <v>834</v>
      </c>
      <c r="G260" s="11" t="s">
        <v>839</v>
      </c>
      <c r="H260" s="11" t="s">
        <v>840</v>
      </c>
      <c r="I260" s="11" t="s">
        <v>49</v>
      </c>
      <c r="J260" s="11">
        <v>-18666.12</v>
      </c>
      <c r="K260" s="11"/>
      <c r="L260" s="11">
        <v>18666.12</v>
      </c>
      <c r="M260" s="11">
        <v>-18666.12</v>
      </c>
      <c r="N260" s="11"/>
      <c r="O260" s="11" t="s">
        <v>75</v>
      </c>
    </row>
    <row r="261" spans="1:15" s="13" customFormat="1" ht="19.5" customHeight="1" x14ac:dyDescent="0.25">
      <c r="A261" s="11" t="s">
        <v>841</v>
      </c>
      <c r="B261" s="11" t="s">
        <v>842</v>
      </c>
      <c r="C261" s="12">
        <v>46090</v>
      </c>
      <c r="D261" s="12">
        <v>46090</v>
      </c>
      <c r="E261" s="11" t="s">
        <v>6</v>
      </c>
      <c r="F261" s="11" t="s">
        <v>843</v>
      </c>
      <c r="G261" s="11" t="s">
        <v>844</v>
      </c>
      <c r="H261" s="11" t="s">
        <v>845</v>
      </c>
      <c r="I261" s="11" t="s">
        <v>49</v>
      </c>
      <c r="J261" s="11">
        <v>-46996.95</v>
      </c>
      <c r="K261" s="11"/>
      <c r="L261" s="11">
        <v>46996.95</v>
      </c>
      <c r="M261" s="11">
        <v>-46996.95</v>
      </c>
      <c r="N261" s="11"/>
      <c r="O261" s="11" t="s">
        <v>75</v>
      </c>
    </row>
    <row r="262" spans="1:15" s="13" customFormat="1" ht="19.5" customHeight="1" x14ac:dyDescent="0.25">
      <c r="A262" s="11" t="s">
        <v>846</v>
      </c>
      <c r="B262" s="11" t="s">
        <v>847</v>
      </c>
      <c r="C262" s="12">
        <v>46090</v>
      </c>
      <c r="D262" s="12">
        <v>46090</v>
      </c>
      <c r="E262" s="11" t="s">
        <v>6</v>
      </c>
      <c r="F262" s="11" t="s">
        <v>843</v>
      </c>
      <c r="G262" s="11" t="s">
        <v>848</v>
      </c>
      <c r="H262" s="11" t="s">
        <v>849</v>
      </c>
      <c r="I262" s="11" t="s">
        <v>49</v>
      </c>
      <c r="J262" s="11">
        <v>-9454.24</v>
      </c>
      <c r="K262" s="11"/>
      <c r="L262" s="11">
        <v>9454.24</v>
      </c>
      <c r="M262" s="11">
        <v>-9454.24</v>
      </c>
      <c r="N262" s="11"/>
      <c r="O262" s="11" t="s">
        <v>75</v>
      </c>
    </row>
    <row r="263" spans="1:15" s="13" customFormat="1" ht="19.5" customHeight="1" x14ac:dyDescent="0.25">
      <c r="A263" s="11" t="s">
        <v>850</v>
      </c>
      <c r="B263" s="11" t="s">
        <v>851</v>
      </c>
      <c r="C263" s="12">
        <v>46090</v>
      </c>
      <c r="D263" s="12">
        <v>46090</v>
      </c>
      <c r="E263" s="11" t="s">
        <v>6</v>
      </c>
      <c r="F263" s="11" t="s">
        <v>64</v>
      </c>
      <c r="G263" s="11" t="s">
        <v>852</v>
      </c>
      <c r="H263" s="11" t="s">
        <v>853</v>
      </c>
      <c r="I263" s="11" t="s">
        <v>49</v>
      </c>
      <c r="J263" s="11">
        <v>-21662.1</v>
      </c>
      <c r="K263" s="11"/>
      <c r="L263" s="11">
        <v>21662.1</v>
      </c>
      <c r="M263" s="11">
        <v>-21662.1</v>
      </c>
      <c r="N263" s="11"/>
      <c r="O263" s="11" t="s">
        <v>75</v>
      </c>
    </row>
    <row r="264" spans="1:15" s="13" customFormat="1" ht="19.5" customHeight="1" x14ac:dyDescent="0.25">
      <c r="A264" s="11" t="s">
        <v>854</v>
      </c>
      <c r="B264" s="11" t="s">
        <v>855</v>
      </c>
      <c r="C264" s="12">
        <v>46090</v>
      </c>
      <c r="D264" s="12">
        <v>46090</v>
      </c>
      <c r="E264" s="11" t="s">
        <v>6</v>
      </c>
      <c r="F264" s="11" t="s">
        <v>64</v>
      </c>
      <c r="G264" s="11" t="s">
        <v>856</v>
      </c>
      <c r="H264" s="11" t="s">
        <v>857</v>
      </c>
      <c r="I264" s="11" t="s">
        <v>49</v>
      </c>
      <c r="J264" s="11">
        <v>-43215.66</v>
      </c>
      <c r="K264" s="11"/>
      <c r="L264" s="11">
        <v>43215.66</v>
      </c>
      <c r="M264" s="11">
        <v>-43215.66</v>
      </c>
      <c r="N264" s="11"/>
      <c r="O264" s="11" t="s">
        <v>75</v>
      </c>
    </row>
    <row r="265" spans="1:15" s="13" customFormat="1" ht="19.5" customHeight="1" x14ac:dyDescent="0.25">
      <c r="A265" s="11" t="s">
        <v>858</v>
      </c>
      <c r="B265" s="11" t="s">
        <v>858</v>
      </c>
      <c r="C265" s="12">
        <v>46090</v>
      </c>
      <c r="D265" s="12">
        <v>46120</v>
      </c>
      <c r="E265" s="11" t="s">
        <v>6</v>
      </c>
      <c r="F265" s="11" t="s">
        <v>605</v>
      </c>
      <c r="G265" s="11" t="s">
        <v>858</v>
      </c>
      <c r="H265" s="11"/>
      <c r="I265" s="11" t="s">
        <v>49</v>
      </c>
      <c r="J265" s="11">
        <v>5837.89</v>
      </c>
      <c r="K265" s="11">
        <v>5837.89</v>
      </c>
      <c r="L265" s="11"/>
      <c r="M265" s="11">
        <v>5837.89</v>
      </c>
      <c r="N265" s="11" t="s">
        <v>859</v>
      </c>
      <c r="O265" s="11" t="s">
        <v>50</v>
      </c>
    </row>
    <row r="266" spans="1:15" s="13" customFormat="1" ht="19.5" customHeight="1" x14ac:dyDescent="0.25">
      <c r="A266" s="11" t="s">
        <v>860</v>
      </c>
      <c r="B266" s="11" t="s">
        <v>860</v>
      </c>
      <c r="C266" s="12">
        <v>46090</v>
      </c>
      <c r="D266" s="12">
        <v>46090</v>
      </c>
      <c r="E266" s="11" t="s">
        <v>6</v>
      </c>
      <c r="F266" s="11" t="s">
        <v>67</v>
      </c>
      <c r="G266" s="11" t="s">
        <v>860</v>
      </c>
      <c r="H266" s="11"/>
      <c r="I266" s="11" t="s">
        <v>49</v>
      </c>
      <c r="J266" s="11">
        <v>36.72</v>
      </c>
      <c r="K266" s="11">
        <v>36.72</v>
      </c>
      <c r="L266" s="11"/>
      <c r="M266" s="11">
        <v>36.72</v>
      </c>
      <c r="N266" s="11" t="s">
        <v>861</v>
      </c>
      <c r="O266" s="11" t="s">
        <v>50</v>
      </c>
    </row>
    <row r="267" spans="1:15" s="13" customFormat="1" ht="19.5" customHeight="1" x14ac:dyDescent="0.25">
      <c r="A267" s="11" t="s">
        <v>862</v>
      </c>
      <c r="B267" s="11" t="s">
        <v>862</v>
      </c>
      <c r="C267" s="12">
        <v>46090</v>
      </c>
      <c r="D267" s="12">
        <v>46135</v>
      </c>
      <c r="E267" s="11" t="s">
        <v>6</v>
      </c>
      <c r="F267" s="11" t="s">
        <v>863</v>
      </c>
      <c r="G267" s="11" t="s">
        <v>862</v>
      </c>
      <c r="H267" s="11"/>
      <c r="I267" s="11" t="s">
        <v>49</v>
      </c>
      <c r="J267" s="11">
        <v>3493.13</v>
      </c>
      <c r="K267" s="11">
        <v>3493.13</v>
      </c>
      <c r="L267" s="11"/>
      <c r="M267" s="11">
        <v>3493.13</v>
      </c>
      <c r="N267" s="11" t="s">
        <v>864</v>
      </c>
      <c r="O267" s="11" t="s">
        <v>50</v>
      </c>
    </row>
    <row r="268" spans="1:15" s="13" customFormat="1" ht="19.5" customHeight="1" x14ac:dyDescent="0.25">
      <c r="A268" s="11" t="s">
        <v>865</v>
      </c>
      <c r="B268" s="11" t="s">
        <v>866</v>
      </c>
      <c r="C268" s="12">
        <v>46090</v>
      </c>
      <c r="D268" s="12">
        <v>46090</v>
      </c>
      <c r="E268" s="11" t="s">
        <v>6</v>
      </c>
      <c r="F268" s="11" t="s">
        <v>867</v>
      </c>
      <c r="G268" s="11" t="s">
        <v>866</v>
      </c>
      <c r="H268" s="11" t="s">
        <v>868</v>
      </c>
      <c r="I268" s="11" t="s">
        <v>49</v>
      </c>
      <c r="J268" s="11">
        <v>44.63</v>
      </c>
      <c r="K268" s="11">
        <v>44.63</v>
      </c>
      <c r="L268" s="11"/>
      <c r="M268" s="11">
        <v>44.63</v>
      </c>
      <c r="N268" s="11" t="s">
        <v>869</v>
      </c>
      <c r="O268" s="11" t="s">
        <v>50</v>
      </c>
    </row>
    <row r="269" spans="1:15" s="13" customFormat="1" ht="19.5" customHeight="1" x14ac:dyDescent="0.25">
      <c r="A269" s="11" t="s">
        <v>870</v>
      </c>
      <c r="B269" s="11" t="s">
        <v>871</v>
      </c>
      <c r="C269" s="12">
        <v>46090</v>
      </c>
      <c r="D269" s="12">
        <v>46090</v>
      </c>
      <c r="E269" s="11" t="s">
        <v>6</v>
      </c>
      <c r="F269" s="11" t="s">
        <v>872</v>
      </c>
      <c r="G269" s="11" t="s">
        <v>871</v>
      </c>
      <c r="H269" s="11" t="s">
        <v>873</v>
      </c>
      <c r="I269" s="11" t="s">
        <v>49</v>
      </c>
      <c r="J269" s="11">
        <v>195.22</v>
      </c>
      <c r="K269" s="11">
        <v>195.22</v>
      </c>
      <c r="L269" s="11"/>
      <c r="M269" s="11">
        <v>195.22</v>
      </c>
      <c r="N269" s="11" t="s">
        <v>874</v>
      </c>
      <c r="O269" s="11" t="s">
        <v>50</v>
      </c>
    </row>
    <row r="270" spans="1:15" s="13" customFormat="1" ht="19.5" customHeight="1" x14ac:dyDescent="0.25">
      <c r="A270" s="11" t="s">
        <v>875</v>
      </c>
      <c r="B270" s="11" t="s">
        <v>876</v>
      </c>
      <c r="C270" s="12">
        <v>46090</v>
      </c>
      <c r="D270" s="12">
        <v>46090</v>
      </c>
      <c r="E270" s="11" t="s">
        <v>6</v>
      </c>
      <c r="F270" s="11" t="s">
        <v>877</v>
      </c>
      <c r="G270" s="11" t="s">
        <v>876</v>
      </c>
      <c r="H270" s="11" t="s">
        <v>878</v>
      </c>
      <c r="I270" s="11" t="s">
        <v>49</v>
      </c>
      <c r="J270" s="11">
        <v>135.35</v>
      </c>
      <c r="K270" s="11">
        <v>135.35</v>
      </c>
      <c r="L270" s="11"/>
      <c r="M270" s="11">
        <v>135.35</v>
      </c>
      <c r="N270" s="11" t="s">
        <v>879</v>
      </c>
      <c r="O270" s="11" t="s">
        <v>50</v>
      </c>
    </row>
    <row r="271" spans="1:15" s="13" customFormat="1" ht="19.5" customHeight="1" x14ac:dyDescent="0.25">
      <c r="A271" s="11" t="s">
        <v>880</v>
      </c>
      <c r="B271" s="11" t="s">
        <v>881</v>
      </c>
      <c r="C271" s="12">
        <v>46090</v>
      </c>
      <c r="D271" s="12">
        <v>46090</v>
      </c>
      <c r="E271" s="11" t="s">
        <v>6</v>
      </c>
      <c r="F271" s="11" t="s">
        <v>882</v>
      </c>
      <c r="G271" s="11" t="s">
        <v>881</v>
      </c>
      <c r="H271" s="11" t="s">
        <v>883</v>
      </c>
      <c r="I271" s="11" t="s">
        <v>49</v>
      </c>
      <c r="J271" s="11">
        <v>128.25</v>
      </c>
      <c r="K271" s="11">
        <v>128.25</v>
      </c>
      <c r="L271" s="11"/>
      <c r="M271" s="11">
        <v>128.25</v>
      </c>
      <c r="N271" s="11" t="s">
        <v>884</v>
      </c>
      <c r="O271" s="11" t="s">
        <v>50</v>
      </c>
    </row>
    <row r="272" spans="1:15" s="13" customFormat="1" ht="19.5" customHeight="1" x14ac:dyDescent="0.25">
      <c r="A272" s="11" t="s">
        <v>885</v>
      </c>
      <c r="B272" s="11" t="s">
        <v>885</v>
      </c>
      <c r="C272" s="12">
        <v>46090</v>
      </c>
      <c r="D272" s="12">
        <v>46090</v>
      </c>
      <c r="E272" s="11" t="s">
        <v>6</v>
      </c>
      <c r="F272" s="11" t="s">
        <v>886</v>
      </c>
      <c r="G272" s="11" t="s">
        <v>885</v>
      </c>
      <c r="H272" s="11"/>
      <c r="I272" s="11" t="s">
        <v>49</v>
      </c>
      <c r="J272" s="11">
        <v>103.35</v>
      </c>
      <c r="K272" s="11">
        <v>103.35</v>
      </c>
      <c r="L272" s="11"/>
      <c r="M272" s="11">
        <v>103.35</v>
      </c>
      <c r="N272" s="11"/>
      <c r="O272" s="11" t="s">
        <v>50</v>
      </c>
    </row>
    <row r="273" spans="1:15" s="13" customFormat="1" ht="19.5" customHeight="1" x14ac:dyDescent="0.25">
      <c r="A273" s="11" t="s">
        <v>887</v>
      </c>
      <c r="B273" s="11" t="s">
        <v>888</v>
      </c>
      <c r="C273" s="12">
        <v>46090</v>
      </c>
      <c r="D273" s="12">
        <v>46090</v>
      </c>
      <c r="E273" s="11" t="s">
        <v>6</v>
      </c>
      <c r="F273" s="11" t="s">
        <v>889</v>
      </c>
      <c r="G273" s="11" t="s">
        <v>888</v>
      </c>
      <c r="H273" s="11" t="s">
        <v>890</v>
      </c>
      <c r="I273" s="11" t="s">
        <v>49</v>
      </c>
      <c r="J273" s="11">
        <v>118.5</v>
      </c>
      <c r="K273" s="11">
        <v>118.5</v>
      </c>
      <c r="L273" s="11"/>
      <c r="M273" s="11">
        <v>118.5</v>
      </c>
      <c r="N273" s="11" t="s">
        <v>891</v>
      </c>
      <c r="O273" s="11" t="s">
        <v>50</v>
      </c>
    </row>
    <row r="274" spans="1:15" s="13" customFormat="1" ht="19.5" customHeight="1" x14ac:dyDescent="0.25">
      <c r="A274" s="11" t="s">
        <v>892</v>
      </c>
      <c r="B274" s="11" t="s">
        <v>893</v>
      </c>
      <c r="C274" s="12">
        <v>46090</v>
      </c>
      <c r="D274" s="12">
        <v>46090</v>
      </c>
      <c r="E274" s="11" t="s">
        <v>6</v>
      </c>
      <c r="F274" s="11" t="s">
        <v>894</v>
      </c>
      <c r="G274" s="11" t="s">
        <v>893</v>
      </c>
      <c r="H274" s="11" t="s">
        <v>895</v>
      </c>
      <c r="I274" s="11" t="s">
        <v>49</v>
      </c>
      <c r="J274" s="11">
        <v>118.5</v>
      </c>
      <c r="K274" s="11">
        <v>118.5</v>
      </c>
      <c r="L274" s="11"/>
      <c r="M274" s="11">
        <v>118.5</v>
      </c>
      <c r="N274" s="11" t="s">
        <v>896</v>
      </c>
      <c r="O274" s="11" t="s">
        <v>50</v>
      </c>
    </row>
    <row r="275" spans="1:15" s="13" customFormat="1" ht="19.5" customHeight="1" x14ac:dyDescent="0.25">
      <c r="A275" s="11" t="s">
        <v>897</v>
      </c>
      <c r="B275" s="11" t="s">
        <v>898</v>
      </c>
      <c r="C275" s="12">
        <v>46090</v>
      </c>
      <c r="D275" s="12">
        <v>46090</v>
      </c>
      <c r="E275" s="11" t="s">
        <v>6</v>
      </c>
      <c r="F275" s="11" t="s">
        <v>899</v>
      </c>
      <c r="G275" s="11" t="s">
        <v>898</v>
      </c>
      <c r="H275" s="11" t="s">
        <v>900</v>
      </c>
      <c r="I275" s="11" t="s">
        <v>49</v>
      </c>
      <c r="J275" s="11">
        <v>128.25</v>
      </c>
      <c r="K275" s="11">
        <v>128.25</v>
      </c>
      <c r="L275" s="11"/>
      <c r="M275" s="11">
        <v>128.25</v>
      </c>
      <c r="N275" s="11" t="s">
        <v>901</v>
      </c>
      <c r="O275" s="11" t="s">
        <v>50</v>
      </c>
    </row>
    <row r="276" spans="1:15" s="13" customFormat="1" ht="19.5" customHeight="1" x14ac:dyDescent="0.25">
      <c r="A276" s="11" t="s">
        <v>902</v>
      </c>
      <c r="B276" s="11" t="s">
        <v>903</v>
      </c>
      <c r="C276" s="12">
        <v>46090</v>
      </c>
      <c r="D276" s="12">
        <v>46090</v>
      </c>
      <c r="E276" s="11" t="s">
        <v>6</v>
      </c>
      <c r="F276" s="11" t="s">
        <v>904</v>
      </c>
      <c r="G276" s="11" t="s">
        <v>903</v>
      </c>
      <c r="H276" s="11" t="s">
        <v>905</v>
      </c>
      <c r="I276" s="11" t="s">
        <v>49</v>
      </c>
      <c r="J276" s="11">
        <v>524.70000000000005</v>
      </c>
      <c r="K276" s="11">
        <v>524.70000000000005</v>
      </c>
      <c r="L276" s="11"/>
      <c r="M276" s="11">
        <v>524.70000000000005</v>
      </c>
      <c r="N276" s="11" t="s">
        <v>906</v>
      </c>
      <c r="O276" s="11" t="s">
        <v>50</v>
      </c>
    </row>
    <row r="277" spans="1:15" s="13" customFormat="1" ht="19.5" customHeight="1" x14ac:dyDescent="0.25">
      <c r="A277" s="11" t="s">
        <v>907</v>
      </c>
      <c r="B277" s="11" t="s">
        <v>908</v>
      </c>
      <c r="C277" s="12">
        <v>46090</v>
      </c>
      <c r="D277" s="12">
        <v>46090</v>
      </c>
      <c r="E277" s="11" t="s">
        <v>6</v>
      </c>
      <c r="F277" s="11" t="s">
        <v>909</v>
      </c>
      <c r="G277" s="11" t="s">
        <v>908</v>
      </c>
      <c r="H277" s="11" t="s">
        <v>910</v>
      </c>
      <c r="I277" s="11" t="s">
        <v>49</v>
      </c>
      <c r="J277" s="11">
        <v>59.4</v>
      </c>
      <c r="K277" s="11">
        <v>59.4</v>
      </c>
      <c r="L277" s="11"/>
      <c r="M277" s="11">
        <v>59.4</v>
      </c>
      <c r="N277" s="11" t="s">
        <v>911</v>
      </c>
      <c r="O277" s="11" t="s">
        <v>50</v>
      </c>
    </row>
    <row r="278" spans="1:15" s="13" customFormat="1" ht="19.5" customHeight="1" x14ac:dyDescent="0.25">
      <c r="A278" s="11" t="s">
        <v>912</v>
      </c>
      <c r="B278" s="11" t="s">
        <v>913</v>
      </c>
      <c r="C278" s="12">
        <v>46090</v>
      </c>
      <c r="D278" s="12">
        <v>46090</v>
      </c>
      <c r="E278" s="11" t="s">
        <v>6</v>
      </c>
      <c r="F278" s="11" t="s">
        <v>914</v>
      </c>
      <c r="G278" s="11" t="s">
        <v>913</v>
      </c>
      <c r="H278" s="11" t="s">
        <v>762</v>
      </c>
      <c r="I278" s="11" t="s">
        <v>49</v>
      </c>
      <c r="J278" s="11">
        <v>247.05</v>
      </c>
      <c r="K278" s="11">
        <v>247.05</v>
      </c>
      <c r="L278" s="11"/>
      <c r="M278" s="11">
        <v>247.05</v>
      </c>
      <c r="N278" s="11" t="s">
        <v>915</v>
      </c>
      <c r="O278" s="11" t="s">
        <v>50</v>
      </c>
    </row>
    <row r="279" spans="1:15" s="13" customFormat="1" ht="19.5" customHeight="1" x14ac:dyDescent="0.25">
      <c r="A279" s="11" t="s">
        <v>916</v>
      </c>
      <c r="B279" s="11" t="s">
        <v>917</v>
      </c>
      <c r="C279" s="12">
        <v>46090</v>
      </c>
      <c r="D279" s="12">
        <v>46090</v>
      </c>
      <c r="E279" s="11" t="s">
        <v>6</v>
      </c>
      <c r="F279" s="11" t="s">
        <v>918</v>
      </c>
      <c r="G279" s="11" t="s">
        <v>917</v>
      </c>
      <c r="H279" s="11" t="s">
        <v>762</v>
      </c>
      <c r="I279" s="11" t="s">
        <v>49</v>
      </c>
      <c r="J279" s="11">
        <v>548.1</v>
      </c>
      <c r="K279" s="11">
        <v>548.1</v>
      </c>
      <c r="L279" s="11"/>
      <c r="M279" s="11">
        <v>548.1</v>
      </c>
      <c r="N279" s="11" t="s">
        <v>919</v>
      </c>
      <c r="O279" s="11" t="s">
        <v>50</v>
      </c>
    </row>
    <row r="280" spans="1:15" s="13" customFormat="1" ht="19.5" customHeight="1" x14ac:dyDescent="0.25">
      <c r="A280" s="11" t="s">
        <v>920</v>
      </c>
      <c r="B280" s="11" t="s">
        <v>921</v>
      </c>
      <c r="C280" s="12">
        <v>46090</v>
      </c>
      <c r="D280" s="12">
        <v>46090</v>
      </c>
      <c r="E280" s="11" t="s">
        <v>6</v>
      </c>
      <c r="F280" s="11" t="s">
        <v>922</v>
      </c>
      <c r="G280" s="11" t="s">
        <v>921</v>
      </c>
      <c r="H280" s="11" t="s">
        <v>762</v>
      </c>
      <c r="I280" s="11" t="s">
        <v>49</v>
      </c>
      <c r="J280" s="11">
        <v>75.5</v>
      </c>
      <c r="K280" s="11">
        <v>75.5</v>
      </c>
      <c r="L280" s="11"/>
      <c r="M280" s="11">
        <v>75.5</v>
      </c>
      <c r="N280" s="11" t="s">
        <v>923</v>
      </c>
      <c r="O280" s="11" t="s">
        <v>50</v>
      </c>
    </row>
    <row r="281" spans="1:15" s="13" customFormat="1" ht="19.5" customHeight="1" x14ac:dyDescent="0.25">
      <c r="A281" s="11" t="s">
        <v>924</v>
      </c>
      <c r="B281" s="11" t="s">
        <v>925</v>
      </c>
      <c r="C281" s="12">
        <v>46090</v>
      </c>
      <c r="D281" s="12">
        <v>46090</v>
      </c>
      <c r="E281" s="11" t="s">
        <v>6</v>
      </c>
      <c r="F281" s="11" t="s">
        <v>926</v>
      </c>
      <c r="G281" s="11" t="s">
        <v>925</v>
      </c>
      <c r="H281" s="11" t="s">
        <v>927</v>
      </c>
      <c r="I281" s="11" t="s">
        <v>49</v>
      </c>
      <c r="J281" s="11">
        <v>116.88</v>
      </c>
      <c r="K281" s="11">
        <v>116.88</v>
      </c>
      <c r="L281" s="11"/>
      <c r="M281" s="11">
        <v>116.88</v>
      </c>
      <c r="N281" s="11" t="s">
        <v>928</v>
      </c>
      <c r="O281" s="11" t="s">
        <v>50</v>
      </c>
    </row>
    <row r="282" spans="1:15" s="13" customFormat="1" ht="19.5" customHeight="1" x14ac:dyDescent="0.25">
      <c r="A282" s="11" t="s">
        <v>929</v>
      </c>
      <c r="B282" s="11" t="s">
        <v>930</v>
      </c>
      <c r="C282" s="12">
        <v>46090</v>
      </c>
      <c r="D282" s="12">
        <v>46090</v>
      </c>
      <c r="E282" s="11" t="s">
        <v>6</v>
      </c>
      <c r="F282" s="11" t="s">
        <v>931</v>
      </c>
      <c r="G282" s="11" t="s">
        <v>930</v>
      </c>
      <c r="H282" s="11" t="s">
        <v>932</v>
      </c>
      <c r="I282" s="11" t="s">
        <v>49</v>
      </c>
      <c r="J282" s="11">
        <v>81.52</v>
      </c>
      <c r="K282" s="11">
        <v>81.52</v>
      </c>
      <c r="L282" s="11"/>
      <c r="M282" s="11">
        <v>81.52</v>
      </c>
      <c r="N282" s="11" t="s">
        <v>933</v>
      </c>
      <c r="O282" s="11" t="s">
        <v>50</v>
      </c>
    </row>
    <row r="283" spans="1:15" s="13" customFormat="1" ht="19.5" customHeight="1" x14ac:dyDescent="0.25">
      <c r="A283" s="11" t="s">
        <v>934</v>
      </c>
      <c r="B283" s="11" t="s">
        <v>934</v>
      </c>
      <c r="C283" s="12">
        <v>46088</v>
      </c>
      <c r="D283" s="12">
        <v>46133</v>
      </c>
      <c r="E283" s="11" t="s">
        <v>6</v>
      </c>
      <c r="F283" s="11" t="s">
        <v>194</v>
      </c>
      <c r="G283" s="11" t="s">
        <v>934</v>
      </c>
      <c r="H283" s="11"/>
      <c r="I283" s="11" t="s">
        <v>49</v>
      </c>
      <c r="J283" s="11">
        <v>1395.47</v>
      </c>
      <c r="K283" s="11">
        <v>1395.47</v>
      </c>
      <c r="L283" s="11"/>
      <c r="M283" s="11">
        <v>1395.47</v>
      </c>
      <c r="N283" s="11" t="s">
        <v>935</v>
      </c>
      <c r="O283" s="11" t="s">
        <v>50</v>
      </c>
    </row>
    <row r="284" spans="1:15" s="13" customFormat="1" ht="19.5" customHeight="1" x14ac:dyDescent="0.25">
      <c r="A284" s="11" t="s">
        <v>936</v>
      </c>
      <c r="B284" s="11" t="s">
        <v>936</v>
      </c>
      <c r="C284" s="12">
        <v>46088</v>
      </c>
      <c r="D284" s="12">
        <v>46118</v>
      </c>
      <c r="E284" s="11" t="s">
        <v>6</v>
      </c>
      <c r="F284" s="11" t="s">
        <v>937</v>
      </c>
      <c r="G284" s="11" t="s">
        <v>936</v>
      </c>
      <c r="H284" s="11"/>
      <c r="I284" s="11" t="s">
        <v>49</v>
      </c>
      <c r="J284" s="11">
        <v>1226.02</v>
      </c>
      <c r="K284" s="11">
        <v>1226.02</v>
      </c>
      <c r="L284" s="11"/>
      <c r="M284" s="11">
        <v>1226.02</v>
      </c>
      <c r="N284" s="11" t="s">
        <v>938</v>
      </c>
      <c r="O284" s="11" t="s">
        <v>50</v>
      </c>
    </row>
    <row r="285" spans="1:15" s="13" customFormat="1" ht="19.5" customHeight="1" x14ac:dyDescent="0.25">
      <c r="A285" s="11" t="s">
        <v>939</v>
      </c>
      <c r="B285" s="11" t="s">
        <v>939</v>
      </c>
      <c r="C285" s="12">
        <v>46087</v>
      </c>
      <c r="D285" s="12">
        <v>46087</v>
      </c>
      <c r="E285" s="11" t="s">
        <v>6</v>
      </c>
      <c r="F285" s="11" t="s">
        <v>67</v>
      </c>
      <c r="G285" s="11" t="s">
        <v>939</v>
      </c>
      <c r="H285" s="11"/>
      <c r="I285" s="11" t="s">
        <v>49</v>
      </c>
      <c r="J285" s="11">
        <v>102.51</v>
      </c>
      <c r="K285" s="11">
        <v>102.51</v>
      </c>
      <c r="L285" s="11"/>
      <c r="M285" s="11">
        <v>102.51</v>
      </c>
      <c r="N285" s="11" t="s">
        <v>940</v>
      </c>
      <c r="O285" s="11" t="s">
        <v>50</v>
      </c>
    </row>
    <row r="286" spans="1:15" s="13" customFormat="1" ht="19.5" customHeight="1" x14ac:dyDescent="0.25">
      <c r="A286" s="11" t="s">
        <v>941</v>
      </c>
      <c r="B286" s="11" t="s">
        <v>942</v>
      </c>
      <c r="C286" s="12">
        <v>46087</v>
      </c>
      <c r="D286" s="12">
        <v>46087</v>
      </c>
      <c r="E286" s="11" t="s">
        <v>6</v>
      </c>
      <c r="F286" s="11" t="s">
        <v>943</v>
      </c>
      <c r="G286" s="11" t="s">
        <v>942</v>
      </c>
      <c r="H286" s="11" t="s">
        <v>762</v>
      </c>
      <c r="I286" s="11" t="s">
        <v>49</v>
      </c>
      <c r="J286" s="11">
        <v>64.8</v>
      </c>
      <c r="K286" s="11">
        <v>64.8</v>
      </c>
      <c r="L286" s="11"/>
      <c r="M286" s="11">
        <v>64.8</v>
      </c>
      <c r="N286" s="11" t="s">
        <v>944</v>
      </c>
      <c r="O286" s="11" t="s">
        <v>50</v>
      </c>
    </row>
    <row r="287" spans="1:15" s="13" customFormat="1" ht="19.5" customHeight="1" x14ac:dyDescent="0.25">
      <c r="A287" s="11" t="s">
        <v>945</v>
      </c>
      <c r="B287" s="11" t="s">
        <v>946</v>
      </c>
      <c r="C287" s="12">
        <v>46087</v>
      </c>
      <c r="D287" s="12">
        <v>46087</v>
      </c>
      <c r="E287" s="11" t="s">
        <v>6</v>
      </c>
      <c r="F287" s="11" t="s">
        <v>947</v>
      </c>
      <c r="G287" s="11" t="s">
        <v>946</v>
      </c>
      <c r="H287" s="11" t="s">
        <v>762</v>
      </c>
      <c r="I287" s="11" t="s">
        <v>49</v>
      </c>
      <c r="J287" s="11">
        <v>51.75</v>
      </c>
      <c r="K287" s="11">
        <v>51.75</v>
      </c>
      <c r="L287" s="11"/>
      <c r="M287" s="11">
        <v>51.75</v>
      </c>
      <c r="N287" s="11" t="s">
        <v>948</v>
      </c>
      <c r="O287" s="11" t="s">
        <v>50</v>
      </c>
    </row>
    <row r="288" spans="1:15" s="13" customFormat="1" ht="19.5" customHeight="1" x14ac:dyDescent="0.25">
      <c r="A288" s="11" t="s">
        <v>949</v>
      </c>
      <c r="B288" s="11" t="s">
        <v>950</v>
      </c>
      <c r="C288" s="12">
        <v>46087</v>
      </c>
      <c r="D288" s="12">
        <v>46087</v>
      </c>
      <c r="E288" s="11" t="s">
        <v>6</v>
      </c>
      <c r="F288" s="11" t="s">
        <v>951</v>
      </c>
      <c r="G288" s="11" t="s">
        <v>950</v>
      </c>
      <c r="H288" s="11" t="s">
        <v>762</v>
      </c>
      <c r="I288" s="11" t="s">
        <v>49</v>
      </c>
      <c r="J288" s="11">
        <v>248.4</v>
      </c>
      <c r="K288" s="11">
        <v>248.4</v>
      </c>
      <c r="L288" s="11"/>
      <c r="M288" s="11">
        <v>248.4</v>
      </c>
      <c r="N288" s="11" t="s">
        <v>952</v>
      </c>
      <c r="O288" s="11" t="s">
        <v>50</v>
      </c>
    </row>
    <row r="289" spans="1:15" s="13" customFormat="1" ht="19.5" customHeight="1" x14ac:dyDescent="0.25">
      <c r="A289" s="11" t="s">
        <v>953</v>
      </c>
      <c r="B289" s="11" t="s">
        <v>954</v>
      </c>
      <c r="C289" s="12">
        <v>46087</v>
      </c>
      <c r="D289" s="12">
        <v>46087</v>
      </c>
      <c r="E289" s="11" t="s">
        <v>6</v>
      </c>
      <c r="F289" s="11" t="s">
        <v>955</v>
      </c>
      <c r="G289" s="11" t="s">
        <v>954</v>
      </c>
      <c r="H289" s="11" t="s">
        <v>956</v>
      </c>
      <c r="I289" s="11" t="s">
        <v>49</v>
      </c>
      <c r="J289" s="11">
        <v>81.52</v>
      </c>
      <c r="K289" s="11">
        <v>81.52</v>
      </c>
      <c r="L289" s="11"/>
      <c r="M289" s="11">
        <v>81.52</v>
      </c>
      <c r="N289" s="11" t="s">
        <v>957</v>
      </c>
      <c r="O289" s="11" t="s">
        <v>50</v>
      </c>
    </row>
    <row r="290" spans="1:15" s="13" customFormat="1" ht="19.5" customHeight="1" x14ac:dyDescent="0.25">
      <c r="A290" s="11" t="s">
        <v>958</v>
      </c>
      <c r="B290" s="11" t="s">
        <v>959</v>
      </c>
      <c r="C290" s="12">
        <v>46087</v>
      </c>
      <c r="D290" s="12">
        <v>46087</v>
      </c>
      <c r="E290" s="11" t="s">
        <v>6</v>
      </c>
      <c r="F290" s="11" t="s">
        <v>960</v>
      </c>
      <c r="G290" s="11" t="s">
        <v>959</v>
      </c>
      <c r="H290" s="11" t="s">
        <v>762</v>
      </c>
      <c r="I290" s="11" t="s">
        <v>49</v>
      </c>
      <c r="J290" s="11">
        <v>115.2</v>
      </c>
      <c r="K290" s="11">
        <v>115.2</v>
      </c>
      <c r="L290" s="11"/>
      <c r="M290" s="11">
        <v>115.2</v>
      </c>
      <c r="N290" s="11" t="s">
        <v>961</v>
      </c>
      <c r="O290" s="11" t="s">
        <v>50</v>
      </c>
    </row>
    <row r="291" spans="1:15" s="13" customFormat="1" ht="19.5" customHeight="1" x14ac:dyDescent="0.25">
      <c r="A291" s="11" t="s">
        <v>962</v>
      </c>
      <c r="B291" s="11" t="s">
        <v>963</v>
      </c>
      <c r="C291" s="12">
        <v>46087</v>
      </c>
      <c r="D291" s="12">
        <v>46087</v>
      </c>
      <c r="E291" s="11" t="s">
        <v>6</v>
      </c>
      <c r="F291" s="11" t="s">
        <v>964</v>
      </c>
      <c r="G291" s="11" t="s">
        <v>963</v>
      </c>
      <c r="H291" s="11" t="s">
        <v>762</v>
      </c>
      <c r="I291" s="11" t="s">
        <v>49</v>
      </c>
      <c r="J291" s="11">
        <v>128.24</v>
      </c>
      <c r="K291" s="11">
        <v>128.24</v>
      </c>
      <c r="L291" s="11"/>
      <c r="M291" s="11">
        <v>128.24</v>
      </c>
      <c r="N291" s="11" t="s">
        <v>965</v>
      </c>
      <c r="O291" s="11" t="s">
        <v>50</v>
      </c>
    </row>
    <row r="292" spans="1:15" s="13" customFormat="1" ht="19.5" customHeight="1" x14ac:dyDescent="0.25">
      <c r="A292" s="11" t="s">
        <v>966</v>
      </c>
      <c r="B292" s="11" t="s">
        <v>967</v>
      </c>
      <c r="C292" s="12">
        <v>46087</v>
      </c>
      <c r="D292" s="12">
        <v>46087</v>
      </c>
      <c r="E292" s="11" t="s">
        <v>6</v>
      </c>
      <c r="F292" s="11" t="s">
        <v>968</v>
      </c>
      <c r="G292" s="11" t="s">
        <v>967</v>
      </c>
      <c r="H292" s="11" t="s">
        <v>969</v>
      </c>
      <c r="I292" s="11" t="s">
        <v>49</v>
      </c>
      <c r="J292" s="11">
        <v>94.05</v>
      </c>
      <c r="K292" s="11">
        <v>94.05</v>
      </c>
      <c r="L292" s="11"/>
      <c r="M292" s="11">
        <v>94.05</v>
      </c>
      <c r="N292" s="11" t="s">
        <v>970</v>
      </c>
      <c r="O292" s="11" t="s">
        <v>50</v>
      </c>
    </row>
    <row r="293" spans="1:15" s="13" customFormat="1" ht="19.5" customHeight="1" x14ac:dyDescent="0.25">
      <c r="A293" s="11" t="s">
        <v>971</v>
      </c>
      <c r="B293" s="11" t="s">
        <v>972</v>
      </c>
      <c r="C293" s="12">
        <v>46087</v>
      </c>
      <c r="D293" s="12">
        <v>46087</v>
      </c>
      <c r="E293" s="11" t="s">
        <v>6</v>
      </c>
      <c r="F293" s="11" t="s">
        <v>973</v>
      </c>
      <c r="G293" s="11" t="s">
        <v>972</v>
      </c>
      <c r="H293" s="11" t="s">
        <v>762</v>
      </c>
      <c r="I293" s="11" t="s">
        <v>49</v>
      </c>
      <c r="J293" s="11">
        <v>90.86</v>
      </c>
      <c r="K293" s="11">
        <v>90.86</v>
      </c>
      <c r="L293" s="11"/>
      <c r="M293" s="11">
        <v>90.86</v>
      </c>
      <c r="N293" s="11" t="s">
        <v>974</v>
      </c>
      <c r="O293" s="11" t="s">
        <v>50</v>
      </c>
    </row>
    <row r="294" spans="1:15" s="13" customFormat="1" ht="19.5" customHeight="1" x14ac:dyDescent="0.25">
      <c r="A294" s="11" t="s">
        <v>975</v>
      </c>
      <c r="B294" s="11" t="s">
        <v>976</v>
      </c>
      <c r="C294" s="12">
        <v>46087</v>
      </c>
      <c r="D294" s="12">
        <v>46087</v>
      </c>
      <c r="E294" s="11" t="s">
        <v>6</v>
      </c>
      <c r="F294" s="11" t="s">
        <v>977</v>
      </c>
      <c r="G294" s="11" t="s">
        <v>976</v>
      </c>
      <c r="H294" s="11" t="s">
        <v>762</v>
      </c>
      <c r="I294" s="11" t="s">
        <v>49</v>
      </c>
      <c r="J294" s="11">
        <v>94.05</v>
      </c>
      <c r="K294" s="11">
        <v>94.05</v>
      </c>
      <c r="L294" s="11"/>
      <c r="M294" s="11">
        <v>94.05</v>
      </c>
      <c r="N294" s="11" t="s">
        <v>978</v>
      </c>
      <c r="O294" s="11" t="s">
        <v>50</v>
      </c>
    </row>
    <row r="295" spans="1:15" s="13" customFormat="1" ht="19.5" customHeight="1" x14ac:dyDescent="0.25">
      <c r="A295" s="11" t="s">
        <v>979</v>
      </c>
      <c r="B295" s="11" t="s">
        <v>979</v>
      </c>
      <c r="C295" s="12">
        <v>46087</v>
      </c>
      <c r="D295" s="12">
        <v>46087</v>
      </c>
      <c r="E295" s="11" t="s">
        <v>6</v>
      </c>
      <c r="F295" s="11" t="s">
        <v>980</v>
      </c>
      <c r="G295" s="11" t="s">
        <v>979</v>
      </c>
      <c r="H295" s="11"/>
      <c r="I295" s="11" t="s">
        <v>49</v>
      </c>
      <c r="J295" s="11">
        <v>81.52</v>
      </c>
      <c r="K295" s="11">
        <v>81.52</v>
      </c>
      <c r="L295" s="11"/>
      <c r="M295" s="11">
        <v>81.52</v>
      </c>
      <c r="N295" s="11" t="s">
        <v>981</v>
      </c>
      <c r="O295" s="11" t="s">
        <v>50</v>
      </c>
    </row>
    <row r="296" spans="1:15" s="13" customFormat="1" ht="19.5" customHeight="1" x14ac:dyDescent="0.25">
      <c r="A296" s="11" t="s">
        <v>982</v>
      </c>
      <c r="B296" s="11" t="s">
        <v>983</v>
      </c>
      <c r="C296" s="12">
        <v>46087</v>
      </c>
      <c r="D296" s="12">
        <v>46087</v>
      </c>
      <c r="E296" s="11" t="s">
        <v>6</v>
      </c>
      <c r="F296" s="11" t="s">
        <v>984</v>
      </c>
      <c r="G296" s="11" t="s">
        <v>983</v>
      </c>
      <c r="H296" s="11" t="s">
        <v>985</v>
      </c>
      <c r="I296" s="11" t="s">
        <v>49</v>
      </c>
      <c r="J296" s="11">
        <v>62.5</v>
      </c>
      <c r="K296" s="11">
        <v>62.5</v>
      </c>
      <c r="L296" s="11"/>
      <c r="M296" s="11">
        <v>62.5</v>
      </c>
      <c r="N296" s="11" t="s">
        <v>986</v>
      </c>
      <c r="O296" s="11" t="s">
        <v>50</v>
      </c>
    </row>
    <row r="297" spans="1:15" s="13" customFormat="1" ht="19.5" customHeight="1" x14ac:dyDescent="0.25">
      <c r="A297" s="11" t="s">
        <v>987</v>
      </c>
      <c r="B297" s="11" t="s">
        <v>987</v>
      </c>
      <c r="C297" s="12">
        <v>46087</v>
      </c>
      <c r="D297" s="12">
        <v>46087</v>
      </c>
      <c r="E297" s="11" t="s">
        <v>6</v>
      </c>
      <c r="F297" s="11" t="s">
        <v>988</v>
      </c>
      <c r="G297" s="11" t="s">
        <v>987</v>
      </c>
      <c r="H297" s="11"/>
      <c r="I297" s="11" t="s">
        <v>49</v>
      </c>
      <c r="J297" s="11">
        <v>1099.5999999999999</v>
      </c>
      <c r="K297" s="11">
        <v>1099.5999999999999</v>
      </c>
      <c r="L297" s="11"/>
      <c r="M297" s="11">
        <v>1099.5999999999999</v>
      </c>
      <c r="N297" s="11"/>
      <c r="O297" s="11" t="s">
        <v>50</v>
      </c>
    </row>
    <row r="298" spans="1:15" s="13" customFormat="1" ht="19.5" customHeight="1" x14ac:dyDescent="0.25">
      <c r="A298" s="11" t="s">
        <v>989</v>
      </c>
      <c r="B298" s="11" t="s">
        <v>989</v>
      </c>
      <c r="C298" s="12">
        <v>46087</v>
      </c>
      <c r="D298" s="12">
        <v>46087</v>
      </c>
      <c r="E298" s="11" t="s">
        <v>6</v>
      </c>
      <c r="F298" s="11" t="s">
        <v>990</v>
      </c>
      <c r="G298" s="11" t="s">
        <v>989</v>
      </c>
      <c r="H298" s="11"/>
      <c r="I298" s="11" t="s">
        <v>49</v>
      </c>
      <c r="J298" s="11">
        <v>1099.5999999999999</v>
      </c>
      <c r="K298" s="11">
        <v>1099.5999999999999</v>
      </c>
      <c r="L298" s="11"/>
      <c r="M298" s="11">
        <v>1099.5999999999999</v>
      </c>
      <c r="N298" s="11"/>
      <c r="O298" s="11" t="s">
        <v>50</v>
      </c>
    </row>
    <row r="299" spans="1:15" s="13" customFormat="1" ht="19.5" customHeight="1" x14ac:dyDescent="0.25">
      <c r="A299" s="11" t="s">
        <v>991</v>
      </c>
      <c r="B299" s="11" t="s">
        <v>991</v>
      </c>
      <c r="C299" s="12">
        <v>46087</v>
      </c>
      <c r="D299" s="12">
        <v>46087</v>
      </c>
      <c r="E299" s="11" t="s">
        <v>6</v>
      </c>
      <c r="F299" s="11" t="s">
        <v>992</v>
      </c>
      <c r="G299" s="11" t="s">
        <v>991</v>
      </c>
      <c r="H299" s="11"/>
      <c r="I299" s="11" t="s">
        <v>49</v>
      </c>
      <c r="J299" s="11">
        <v>1433.98</v>
      </c>
      <c r="K299" s="11">
        <v>1433.98</v>
      </c>
      <c r="L299" s="11"/>
      <c r="M299" s="11">
        <v>1433.98</v>
      </c>
      <c r="N299" s="11"/>
      <c r="O299" s="11" t="s">
        <v>50</v>
      </c>
    </row>
    <row r="300" spans="1:15" s="13" customFormat="1" ht="19.5" customHeight="1" x14ac:dyDescent="0.25">
      <c r="A300" s="11" t="s">
        <v>993</v>
      </c>
      <c r="B300" s="11" t="s">
        <v>993</v>
      </c>
      <c r="C300" s="12">
        <v>46087</v>
      </c>
      <c r="D300" s="12">
        <v>46087</v>
      </c>
      <c r="E300" s="11" t="s">
        <v>6</v>
      </c>
      <c r="F300" s="11" t="s">
        <v>994</v>
      </c>
      <c r="G300" s="11" t="s">
        <v>993</v>
      </c>
      <c r="H300" s="11"/>
      <c r="I300" s="11" t="s">
        <v>49</v>
      </c>
      <c r="J300" s="11">
        <v>1205.06</v>
      </c>
      <c r="K300" s="11">
        <v>1205.06</v>
      </c>
      <c r="L300" s="11"/>
      <c r="M300" s="11">
        <v>1205.06</v>
      </c>
      <c r="N300" s="11"/>
      <c r="O300" s="11" t="s">
        <v>50</v>
      </c>
    </row>
    <row r="301" spans="1:15" s="13" customFormat="1" ht="19.5" customHeight="1" x14ac:dyDescent="0.25">
      <c r="A301" s="11" t="s">
        <v>995</v>
      </c>
      <c r="B301" s="11" t="s">
        <v>995</v>
      </c>
      <c r="C301" s="12">
        <v>46087</v>
      </c>
      <c r="D301" s="12">
        <v>46087</v>
      </c>
      <c r="E301" s="11" t="s">
        <v>6</v>
      </c>
      <c r="F301" s="11" t="s">
        <v>996</v>
      </c>
      <c r="G301" s="11" t="s">
        <v>995</v>
      </c>
      <c r="H301" s="11"/>
      <c r="I301" s="11" t="s">
        <v>49</v>
      </c>
      <c r="J301" s="11">
        <v>1262.29</v>
      </c>
      <c r="K301" s="11">
        <v>1262.29</v>
      </c>
      <c r="L301" s="11"/>
      <c r="M301" s="11">
        <v>1262.29</v>
      </c>
      <c r="N301" s="11"/>
      <c r="O301" s="11" t="s">
        <v>50</v>
      </c>
    </row>
    <row r="302" spans="1:15" s="13" customFormat="1" ht="19.5" customHeight="1" x14ac:dyDescent="0.25">
      <c r="A302" s="11" t="s">
        <v>997</v>
      </c>
      <c r="B302" s="11" t="s">
        <v>997</v>
      </c>
      <c r="C302" s="12">
        <v>46087</v>
      </c>
      <c r="D302" s="12">
        <v>46087</v>
      </c>
      <c r="E302" s="11" t="s">
        <v>6</v>
      </c>
      <c r="F302" s="11" t="s">
        <v>998</v>
      </c>
      <c r="G302" s="11" t="s">
        <v>997</v>
      </c>
      <c r="H302" s="11"/>
      <c r="I302" s="11" t="s">
        <v>49</v>
      </c>
      <c r="J302" s="11">
        <v>1525.55</v>
      </c>
      <c r="K302" s="11">
        <v>1525.55</v>
      </c>
      <c r="L302" s="11"/>
      <c r="M302" s="11">
        <v>1525.55</v>
      </c>
      <c r="N302" s="11"/>
      <c r="O302" s="11" t="s">
        <v>50</v>
      </c>
    </row>
    <row r="303" spans="1:15" s="13" customFormat="1" ht="19.5" customHeight="1" x14ac:dyDescent="0.25">
      <c r="A303" s="11" t="s">
        <v>999</v>
      </c>
      <c r="B303" s="11" t="s">
        <v>999</v>
      </c>
      <c r="C303" s="12">
        <v>46087</v>
      </c>
      <c r="D303" s="12">
        <v>46087</v>
      </c>
      <c r="E303" s="11" t="s">
        <v>6</v>
      </c>
      <c r="F303" s="11" t="s">
        <v>1000</v>
      </c>
      <c r="G303" s="11" t="s">
        <v>999</v>
      </c>
      <c r="H303" s="11"/>
      <c r="I303" s="11" t="s">
        <v>49</v>
      </c>
      <c r="J303" s="11">
        <v>1075.96</v>
      </c>
      <c r="K303" s="11">
        <v>1075.96</v>
      </c>
      <c r="L303" s="11"/>
      <c r="M303" s="11">
        <v>1075.96</v>
      </c>
      <c r="N303" s="11"/>
      <c r="O303" s="11" t="s">
        <v>50</v>
      </c>
    </row>
    <row r="304" spans="1:15" s="13" customFormat="1" ht="19.5" customHeight="1" x14ac:dyDescent="0.25">
      <c r="A304" s="11" t="s">
        <v>1001</v>
      </c>
      <c r="B304" s="11" t="s">
        <v>1001</v>
      </c>
      <c r="C304" s="12">
        <v>46087</v>
      </c>
      <c r="D304" s="12">
        <v>46087</v>
      </c>
      <c r="E304" s="11" t="s">
        <v>6</v>
      </c>
      <c r="F304" s="11" t="s">
        <v>1002</v>
      </c>
      <c r="G304" s="11" t="s">
        <v>1001</v>
      </c>
      <c r="H304" s="11"/>
      <c r="I304" s="11" t="s">
        <v>49</v>
      </c>
      <c r="J304" s="11">
        <v>1042.3699999999999</v>
      </c>
      <c r="K304" s="11">
        <v>1042.3699999999999</v>
      </c>
      <c r="L304" s="11"/>
      <c r="M304" s="11">
        <v>1042.3699999999999</v>
      </c>
      <c r="N304" s="11"/>
      <c r="O304" s="11" t="s">
        <v>50</v>
      </c>
    </row>
    <row r="305" spans="1:15" s="13" customFormat="1" ht="19.5" customHeight="1" x14ac:dyDescent="0.25">
      <c r="A305" s="11" t="s">
        <v>1003</v>
      </c>
      <c r="B305" s="11" t="s">
        <v>1004</v>
      </c>
      <c r="C305" s="12">
        <v>46086</v>
      </c>
      <c r="D305" s="12">
        <v>46086</v>
      </c>
      <c r="E305" s="11" t="s">
        <v>6</v>
      </c>
      <c r="F305" s="11" t="s">
        <v>524</v>
      </c>
      <c r="G305" s="11" t="s">
        <v>1005</v>
      </c>
      <c r="H305" s="11" t="s">
        <v>1006</v>
      </c>
      <c r="I305" s="11" t="s">
        <v>49</v>
      </c>
      <c r="J305" s="11">
        <v>-23223.06</v>
      </c>
      <c r="K305" s="11"/>
      <c r="L305" s="11">
        <v>23223.06</v>
      </c>
      <c r="M305" s="11">
        <v>-23223.06</v>
      </c>
      <c r="N305" s="11"/>
      <c r="O305" s="11" t="s">
        <v>75</v>
      </c>
    </row>
    <row r="306" spans="1:15" s="13" customFormat="1" ht="19.5" customHeight="1" x14ac:dyDescent="0.25">
      <c r="A306" s="11" t="s">
        <v>1007</v>
      </c>
      <c r="B306" s="11" t="s">
        <v>1007</v>
      </c>
      <c r="C306" s="12">
        <v>46086</v>
      </c>
      <c r="D306" s="12">
        <v>46146</v>
      </c>
      <c r="E306" s="11" t="s">
        <v>6</v>
      </c>
      <c r="F306" s="11" t="s">
        <v>555</v>
      </c>
      <c r="G306" s="11" t="s">
        <v>1007</v>
      </c>
      <c r="H306" s="11"/>
      <c r="I306" s="11" t="s">
        <v>49</v>
      </c>
      <c r="J306" s="11">
        <v>1596.54</v>
      </c>
      <c r="K306" s="11">
        <v>1596.54</v>
      </c>
      <c r="L306" s="11"/>
      <c r="M306" s="11">
        <v>1596.54</v>
      </c>
      <c r="N306" s="11" t="s">
        <v>1008</v>
      </c>
      <c r="O306" s="11" t="s">
        <v>50</v>
      </c>
    </row>
    <row r="307" spans="1:15" s="13" customFormat="1" ht="19.5" customHeight="1" x14ac:dyDescent="0.25">
      <c r="A307" s="11" t="s">
        <v>1009</v>
      </c>
      <c r="B307" s="11" t="s">
        <v>1009</v>
      </c>
      <c r="C307" s="12">
        <v>46086</v>
      </c>
      <c r="D307" s="12">
        <v>46146</v>
      </c>
      <c r="E307" s="11" t="s">
        <v>6</v>
      </c>
      <c r="F307" s="11" t="s">
        <v>555</v>
      </c>
      <c r="G307" s="11" t="s">
        <v>1009</v>
      </c>
      <c r="H307" s="11"/>
      <c r="I307" s="11" t="s">
        <v>49</v>
      </c>
      <c r="J307" s="11">
        <v>1862.63</v>
      </c>
      <c r="K307" s="11">
        <v>1862.63</v>
      </c>
      <c r="L307" s="11"/>
      <c r="M307" s="11">
        <v>1862.63</v>
      </c>
      <c r="N307" s="11" t="s">
        <v>1010</v>
      </c>
      <c r="O307" s="11" t="s">
        <v>50</v>
      </c>
    </row>
    <row r="308" spans="1:15" s="13" customFormat="1" ht="19.5" customHeight="1" x14ac:dyDescent="0.25">
      <c r="A308" s="11" t="s">
        <v>1011</v>
      </c>
      <c r="B308" s="11" t="s">
        <v>1011</v>
      </c>
      <c r="C308" s="12">
        <v>46086</v>
      </c>
      <c r="D308" s="12">
        <v>46146</v>
      </c>
      <c r="E308" s="11" t="s">
        <v>6</v>
      </c>
      <c r="F308" s="11" t="s">
        <v>555</v>
      </c>
      <c r="G308" s="11" t="s">
        <v>1011</v>
      </c>
      <c r="H308" s="11"/>
      <c r="I308" s="11" t="s">
        <v>49</v>
      </c>
      <c r="J308" s="11">
        <v>11429.78</v>
      </c>
      <c r="K308" s="11">
        <v>11429.78</v>
      </c>
      <c r="L308" s="11"/>
      <c r="M308" s="11">
        <v>11429.78</v>
      </c>
      <c r="N308" s="11" t="s">
        <v>1012</v>
      </c>
      <c r="O308" s="11" t="s">
        <v>50</v>
      </c>
    </row>
    <row r="309" spans="1:15" s="13" customFormat="1" ht="19.5" customHeight="1" x14ac:dyDescent="0.25">
      <c r="A309" s="11" t="s">
        <v>1013</v>
      </c>
      <c r="B309" s="11" t="s">
        <v>1013</v>
      </c>
      <c r="C309" s="12">
        <v>46086</v>
      </c>
      <c r="D309" s="12">
        <v>46146</v>
      </c>
      <c r="E309" s="11" t="s">
        <v>6</v>
      </c>
      <c r="F309" s="11" t="s">
        <v>555</v>
      </c>
      <c r="G309" s="11" t="s">
        <v>1013</v>
      </c>
      <c r="H309" s="11"/>
      <c r="I309" s="11" t="s">
        <v>49</v>
      </c>
      <c r="J309" s="11">
        <v>2124</v>
      </c>
      <c r="K309" s="11">
        <v>2124</v>
      </c>
      <c r="L309" s="11"/>
      <c r="M309" s="11">
        <v>2124</v>
      </c>
      <c r="N309" s="11" t="s">
        <v>1014</v>
      </c>
      <c r="O309" s="11" t="s">
        <v>50</v>
      </c>
    </row>
    <row r="310" spans="1:15" s="13" customFormat="1" ht="19.5" customHeight="1" x14ac:dyDescent="0.25">
      <c r="A310" s="11" t="s">
        <v>1015</v>
      </c>
      <c r="B310" s="11" t="s">
        <v>1016</v>
      </c>
      <c r="C310" s="12">
        <v>46086</v>
      </c>
      <c r="D310" s="12">
        <v>46086</v>
      </c>
      <c r="E310" s="11" t="s">
        <v>6</v>
      </c>
      <c r="F310" s="11" t="s">
        <v>1017</v>
      </c>
      <c r="G310" s="11" t="s">
        <v>1016</v>
      </c>
      <c r="H310" s="11" t="s">
        <v>762</v>
      </c>
      <c r="I310" s="11" t="s">
        <v>49</v>
      </c>
      <c r="J310" s="11">
        <v>86.28</v>
      </c>
      <c r="K310" s="11">
        <v>86.28</v>
      </c>
      <c r="L310" s="11"/>
      <c r="M310" s="11">
        <v>86.28</v>
      </c>
      <c r="N310" s="11" t="s">
        <v>1018</v>
      </c>
      <c r="O310" s="11" t="s">
        <v>50</v>
      </c>
    </row>
    <row r="311" spans="1:15" s="13" customFormat="1" ht="19.5" customHeight="1" x14ac:dyDescent="0.25">
      <c r="A311" s="11" t="s">
        <v>1019</v>
      </c>
      <c r="B311" s="11" t="s">
        <v>1020</v>
      </c>
      <c r="C311" s="12">
        <v>46086</v>
      </c>
      <c r="D311" s="12">
        <v>46086</v>
      </c>
      <c r="E311" s="11" t="s">
        <v>6</v>
      </c>
      <c r="F311" s="11" t="s">
        <v>1021</v>
      </c>
      <c r="G311" s="11" t="s">
        <v>1020</v>
      </c>
      <c r="H311" s="11" t="s">
        <v>762</v>
      </c>
      <c r="I311" s="11" t="s">
        <v>49</v>
      </c>
      <c r="J311" s="11">
        <v>94.05</v>
      </c>
      <c r="K311" s="11">
        <v>94.05</v>
      </c>
      <c r="L311" s="11"/>
      <c r="M311" s="11">
        <v>94.05</v>
      </c>
      <c r="N311" s="11" t="s">
        <v>1022</v>
      </c>
      <c r="O311" s="11" t="s">
        <v>50</v>
      </c>
    </row>
    <row r="312" spans="1:15" s="13" customFormat="1" ht="19.5" customHeight="1" x14ac:dyDescent="0.25">
      <c r="A312" s="11" t="s">
        <v>1023</v>
      </c>
      <c r="B312" s="11" t="s">
        <v>1024</v>
      </c>
      <c r="C312" s="12">
        <v>46086</v>
      </c>
      <c r="D312" s="12">
        <v>46086</v>
      </c>
      <c r="E312" s="11" t="s">
        <v>6</v>
      </c>
      <c r="F312" s="11" t="s">
        <v>1025</v>
      </c>
      <c r="G312" s="11" t="s">
        <v>1024</v>
      </c>
      <c r="H312" s="11" t="s">
        <v>762</v>
      </c>
      <c r="I312" s="11" t="s">
        <v>49</v>
      </c>
      <c r="J312" s="11">
        <v>53.9</v>
      </c>
      <c r="K312" s="11">
        <v>53.9</v>
      </c>
      <c r="L312" s="11"/>
      <c r="M312" s="11">
        <v>53.9</v>
      </c>
      <c r="N312" s="11" t="s">
        <v>1026</v>
      </c>
      <c r="O312" s="11" t="s">
        <v>50</v>
      </c>
    </row>
    <row r="313" spans="1:15" s="13" customFormat="1" ht="19.5" customHeight="1" x14ac:dyDescent="0.25">
      <c r="A313" s="11" t="s">
        <v>1027</v>
      </c>
      <c r="B313" s="11" t="s">
        <v>1028</v>
      </c>
      <c r="C313" s="12">
        <v>46086</v>
      </c>
      <c r="D313" s="12">
        <v>46086</v>
      </c>
      <c r="E313" s="11" t="s">
        <v>6</v>
      </c>
      <c r="F313" s="11" t="s">
        <v>466</v>
      </c>
      <c r="G313" s="11" t="s">
        <v>1028</v>
      </c>
      <c r="H313" s="11" t="s">
        <v>762</v>
      </c>
      <c r="I313" s="11" t="s">
        <v>49</v>
      </c>
      <c r="J313" s="11">
        <v>36.799999999999997</v>
      </c>
      <c r="K313" s="11">
        <v>36.799999999999997</v>
      </c>
      <c r="L313" s="11"/>
      <c r="M313" s="11">
        <v>36.799999999999997</v>
      </c>
      <c r="N313" s="11" t="s">
        <v>1029</v>
      </c>
      <c r="O313" s="11" t="s">
        <v>50</v>
      </c>
    </row>
    <row r="314" spans="1:15" s="13" customFormat="1" ht="19.5" customHeight="1" x14ac:dyDescent="0.25">
      <c r="A314" s="11" t="s">
        <v>1030</v>
      </c>
      <c r="B314" s="11" t="s">
        <v>1031</v>
      </c>
      <c r="C314" s="12">
        <v>46086</v>
      </c>
      <c r="D314" s="12">
        <v>46086</v>
      </c>
      <c r="E314" s="11" t="s">
        <v>6</v>
      </c>
      <c r="F314" s="11" t="s">
        <v>1032</v>
      </c>
      <c r="G314" s="11" t="s">
        <v>1031</v>
      </c>
      <c r="H314" s="11" t="s">
        <v>1033</v>
      </c>
      <c r="I314" s="11" t="s">
        <v>49</v>
      </c>
      <c r="J314" s="11">
        <v>370.06</v>
      </c>
      <c r="K314" s="11">
        <v>370.06</v>
      </c>
      <c r="L314" s="11"/>
      <c r="M314" s="11">
        <v>370.06</v>
      </c>
      <c r="N314" s="11" t="s">
        <v>1034</v>
      </c>
      <c r="O314" s="11" t="s">
        <v>50</v>
      </c>
    </row>
    <row r="315" spans="1:15" s="13" customFormat="1" ht="19.5" customHeight="1" x14ac:dyDescent="0.25">
      <c r="A315" s="11" t="s">
        <v>1035</v>
      </c>
      <c r="B315" s="11" t="s">
        <v>1036</v>
      </c>
      <c r="C315" s="12">
        <v>46086</v>
      </c>
      <c r="D315" s="12">
        <v>46086</v>
      </c>
      <c r="E315" s="11" t="s">
        <v>6</v>
      </c>
      <c r="F315" s="11" t="s">
        <v>1037</v>
      </c>
      <c r="G315" s="11" t="s">
        <v>1036</v>
      </c>
      <c r="H315" s="11" t="s">
        <v>762</v>
      </c>
      <c r="I315" s="11" t="s">
        <v>49</v>
      </c>
      <c r="J315" s="11">
        <v>47.25</v>
      </c>
      <c r="K315" s="11">
        <v>47.25</v>
      </c>
      <c r="L315" s="11"/>
      <c r="M315" s="11">
        <v>47.25</v>
      </c>
      <c r="N315" s="11" t="s">
        <v>1038</v>
      </c>
      <c r="O315" s="11" t="s">
        <v>50</v>
      </c>
    </row>
    <row r="316" spans="1:15" s="13" customFormat="1" ht="19.5" customHeight="1" x14ac:dyDescent="0.25">
      <c r="A316" s="11" t="s">
        <v>1039</v>
      </c>
      <c r="B316" s="11" t="s">
        <v>1039</v>
      </c>
      <c r="C316" s="12">
        <v>46086</v>
      </c>
      <c r="D316" s="12">
        <v>46086</v>
      </c>
      <c r="E316" s="11" t="s">
        <v>6</v>
      </c>
      <c r="F316" s="11" t="s">
        <v>1040</v>
      </c>
      <c r="G316" s="11" t="s">
        <v>1039</v>
      </c>
      <c r="H316" s="11"/>
      <c r="I316" s="11" t="s">
        <v>49</v>
      </c>
      <c r="J316" s="11">
        <v>242.01</v>
      </c>
      <c r="K316" s="11">
        <v>242.01</v>
      </c>
      <c r="L316" s="11"/>
      <c r="M316" s="11">
        <v>242.01</v>
      </c>
      <c r="N316" s="11" t="s">
        <v>1041</v>
      </c>
      <c r="O316" s="11" t="s">
        <v>50</v>
      </c>
    </row>
    <row r="317" spans="1:15" s="13" customFormat="1" ht="19.5" customHeight="1" x14ac:dyDescent="0.25">
      <c r="A317" s="11" t="s">
        <v>1042</v>
      </c>
      <c r="B317" s="11" t="s">
        <v>1043</v>
      </c>
      <c r="C317" s="12">
        <v>46086</v>
      </c>
      <c r="D317" s="12">
        <v>46086</v>
      </c>
      <c r="E317" s="11" t="s">
        <v>6</v>
      </c>
      <c r="F317" s="11" t="s">
        <v>687</v>
      </c>
      <c r="G317" s="11" t="s">
        <v>1043</v>
      </c>
      <c r="H317" s="11" t="s">
        <v>762</v>
      </c>
      <c r="I317" s="11" t="s">
        <v>49</v>
      </c>
      <c r="J317" s="11">
        <v>109.8</v>
      </c>
      <c r="K317" s="11">
        <v>109.8</v>
      </c>
      <c r="L317" s="11"/>
      <c r="M317" s="11">
        <v>109.8</v>
      </c>
      <c r="N317" s="11" t="s">
        <v>1044</v>
      </c>
      <c r="O317" s="11" t="s">
        <v>50</v>
      </c>
    </row>
    <row r="318" spans="1:15" s="13" customFormat="1" ht="19.5" customHeight="1" x14ac:dyDescent="0.25">
      <c r="A318" s="11" t="s">
        <v>1045</v>
      </c>
      <c r="B318" s="11" t="s">
        <v>1046</v>
      </c>
      <c r="C318" s="12">
        <v>46086</v>
      </c>
      <c r="D318" s="12">
        <v>46086</v>
      </c>
      <c r="E318" s="11" t="s">
        <v>6</v>
      </c>
      <c r="F318" s="11" t="s">
        <v>1047</v>
      </c>
      <c r="G318" s="11" t="s">
        <v>1046</v>
      </c>
      <c r="H318" s="11" t="s">
        <v>762</v>
      </c>
      <c r="I318" s="11" t="s">
        <v>49</v>
      </c>
      <c r="J318" s="11">
        <v>113.48</v>
      </c>
      <c r="K318" s="11">
        <v>113.48</v>
      </c>
      <c r="L318" s="11"/>
      <c r="M318" s="11">
        <v>113.48</v>
      </c>
      <c r="N318" s="11" t="s">
        <v>1048</v>
      </c>
      <c r="O318" s="11" t="s">
        <v>50</v>
      </c>
    </row>
    <row r="319" spans="1:15" s="13" customFormat="1" ht="19.5" customHeight="1" x14ac:dyDescent="0.25">
      <c r="A319" s="11" t="s">
        <v>1049</v>
      </c>
      <c r="B319" s="11" t="s">
        <v>1050</v>
      </c>
      <c r="C319" s="12">
        <v>46086</v>
      </c>
      <c r="D319" s="12">
        <v>46086</v>
      </c>
      <c r="E319" s="11" t="s">
        <v>6</v>
      </c>
      <c r="F319" s="11" t="s">
        <v>1051</v>
      </c>
      <c r="G319" s="11" t="s">
        <v>1050</v>
      </c>
      <c r="H319" s="11" t="s">
        <v>762</v>
      </c>
      <c r="I319" s="11" t="s">
        <v>49</v>
      </c>
      <c r="J319" s="11">
        <v>90.86</v>
      </c>
      <c r="K319" s="11">
        <v>90.86</v>
      </c>
      <c r="L319" s="11"/>
      <c r="M319" s="11">
        <v>90.86</v>
      </c>
      <c r="N319" s="11" t="s">
        <v>1052</v>
      </c>
      <c r="O319" s="11" t="s">
        <v>50</v>
      </c>
    </row>
    <row r="320" spans="1:15" s="13" customFormat="1" ht="19.5" customHeight="1" x14ac:dyDescent="0.25">
      <c r="A320" s="11" t="s">
        <v>1053</v>
      </c>
      <c r="B320" s="11" t="s">
        <v>1054</v>
      </c>
      <c r="C320" s="12">
        <v>46086</v>
      </c>
      <c r="D320" s="12">
        <v>46086</v>
      </c>
      <c r="E320" s="11" t="s">
        <v>6</v>
      </c>
      <c r="F320" s="11" t="s">
        <v>1055</v>
      </c>
      <c r="G320" s="11" t="s">
        <v>1054</v>
      </c>
      <c r="H320" s="11" t="s">
        <v>762</v>
      </c>
      <c r="I320" s="11" t="s">
        <v>49</v>
      </c>
      <c r="J320" s="11">
        <v>57.61</v>
      </c>
      <c r="K320" s="11">
        <v>57.61</v>
      </c>
      <c r="L320" s="11"/>
      <c r="M320" s="11">
        <v>57.61</v>
      </c>
      <c r="N320" s="11" t="s">
        <v>1056</v>
      </c>
      <c r="O320" s="11" t="s">
        <v>50</v>
      </c>
    </row>
    <row r="321" spans="1:15" s="13" customFormat="1" ht="19.5" customHeight="1" x14ac:dyDescent="0.25">
      <c r="A321" s="11" t="s">
        <v>1057</v>
      </c>
      <c r="B321" s="11" t="s">
        <v>1058</v>
      </c>
      <c r="C321" s="12">
        <v>46086</v>
      </c>
      <c r="D321" s="12">
        <v>46086</v>
      </c>
      <c r="E321" s="11" t="s">
        <v>6</v>
      </c>
      <c r="F321" s="11" t="s">
        <v>1059</v>
      </c>
      <c r="G321" s="11" t="s">
        <v>1058</v>
      </c>
      <c r="H321" s="11" t="s">
        <v>762</v>
      </c>
      <c r="I321" s="11" t="s">
        <v>49</v>
      </c>
      <c r="J321" s="11">
        <v>59.4</v>
      </c>
      <c r="K321" s="11">
        <v>59.4</v>
      </c>
      <c r="L321" s="11"/>
      <c r="M321" s="11">
        <v>59.4</v>
      </c>
      <c r="N321" s="11" t="s">
        <v>1060</v>
      </c>
      <c r="O321" s="11" t="s">
        <v>50</v>
      </c>
    </row>
    <row r="322" spans="1:15" s="13" customFormat="1" ht="19.5" customHeight="1" x14ac:dyDescent="0.25">
      <c r="A322" s="11" t="s">
        <v>1061</v>
      </c>
      <c r="B322" s="11" t="s">
        <v>1062</v>
      </c>
      <c r="C322" s="12">
        <v>46086</v>
      </c>
      <c r="D322" s="12">
        <v>46086</v>
      </c>
      <c r="E322" s="11" t="s">
        <v>6</v>
      </c>
      <c r="F322" s="11" t="s">
        <v>1063</v>
      </c>
      <c r="G322" s="11" t="s">
        <v>1062</v>
      </c>
      <c r="H322" s="11" t="s">
        <v>1064</v>
      </c>
      <c r="I322" s="11" t="s">
        <v>49</v>
      </c>
      <c r="J322" s="11">
        <v>203.01</v>
      </c>
      <c r="K322" s="11">
        <v>203.01</v>
      </c>
      <c r="L322" s="11"/>
      <c r="M322" s="11">
        <v>203.01</v>
      </c>
      <c r="N322" s="11" t="s">
        <v>1065</v>
      </c>
      <c r="O322" s="11" t="s">
        <v>50</v>
      </c>
    </row>
    <row r="323" spans="1:15" s="13" customFormat="1" ht="19.5" customHeight="1" x14ac:dyDescent="0.25">
      <c r="A323" s="11" t="s">
        <v>1066</v>
      </c>
      <c r="B323" s="11" t="s">
        <v>1066</v>
      </c>
      <c r="C323" s="12">
        <v>46085</v>
      </c>
      <c r="D323" s="12">
        <v>46085</v>
      </c>
      <c r="E323" s="11" t="s">
        <v>6</v>
      </c>
      <c r="F323" s="11" t="s">
        <v>1067</v>
      </c>
      <c r="G323" s="11" t="s">
        <v>1066</v>
      </c>
      <c r="H323" s="11"/>
      <c r="I323" s="11" t="s">
        <v>49</v>
      </c>
      <c r="J323" s="11">
        <v>51.75</v>
      </c>
      <c r="K323" s="11">
        <v>51.75</v>
      </c>
      <c r="L323" s="11"/>
      <c r="M323" s="11">
        <v>51.75</v>
      </c>
      <c r="N323" s="11"/>
      <c r="O323" s="11" t="s">
        <v>50</v>
      </c>
    </row>
    <row r="324" spans="1:15" s="13" customFormat="1" ht="19.5" customHeight="1" x14ac:dyDescent="0.25">
      <c r="A324" s="11" t="s">
        <v>1068</v>
      </c>
      <c r="B324" s="11" t="s">
        <v>1069</v>
      </c>
      <c r="C324" s="12">
        <v>46085</v>
      </c>
      <c r="D324" s="12">
        <v>46085</v>
      </c>
      <c r="E324" s="11" t="s">
        <v>6</v>
      </c>
      <c r="F324" s="11" t="s">
        <v>1070</v>
      </c>
      <c r="G324" s="11" t="s">
        <v>1069</v>
      </c>
      <c r="H324" s="11" t="s">
        <v>762</v>
      </c>
      <c r="I324" s="11" t="s">
        <v>49</v>
      </c>
      <c r="J324" s="11">
        <v>66.510000000000005</v>
      </c>
      <c r="K324" s="11">
        <v>66.510000000000005</v>
      </c>
      <c r="L324" s="11"/>
      <c r="M324" s="11">
        <v>66.510000000000005</v>
      </c>
      <c r="N324" s="11" t="s">
        <v>1071</v>
      </c>
      <c r="O324" s="11" t="s">
        <v>50</v>
      </c>
    </row>
    <row r="325" spans="1:15" s="13" customFormat="1" ht="19.5" customHeight="1" x14ac:dyDescent="0.25">
      <c r="A325" s="11" t="s">
        <v>1072</v>
      </c>
      <c r="B325" s="11" t="s">
        <v>1073</v>
      </c>
      <c r="C325" s="12">
        <v>46085</v>
      </c>
      <c r="D325" s="12">
        <v>46085</v>
      </c>
      <c r="E325" s="11" t="s">
        <v>6</v>
      </c>
      <c r="F325" s="11" t="s">
        <v>1074</v>
      </c>
      <c r="G325" s="11" t="s">
        <v>1073</v>
      </c>
      <c r="H325" s="11" t="s">
        <v>762</v>
      </c>
      <c r="I325" s="11" t="s">
        <v>49</v>
      </c>
      <c r="J325" s="11">
        <v>171.37</v>
      </c>
      <c r="K325" s="11">
        <v>171.37</v>
      </c>
      <c r="L325" s="11"/>
      <c r="M325" s="11">
        <v>171.37</v>
      </c>
      <c r="N325" s="11" t="s">
        <v>1075</v>
      </c>
      <c r="O325" s="11" t="s">
        <v>50</v>
      </c>
    </row>
    <row r="326" spans="1:15" s="13" customFormat="1" ht="19.5" customHeight="1" x14ac:dyDescent="0.25">
      <c r="A326" s="11" t="s">
        <v>1076</v>
      </c>
      <c r="B326" s="11" t="s">
        <v>1077</v>
      </c>
      <c r="C326" s="12">
        <v>46085</v>
      </c>
      <c r="D326" s="12">
        <v>46085</v>
      </c>
      <c r="E326" s="11" t="s">
        <v>6</v>
      </c>
      <c r="F326" s="11" t="s">
        <v>1078</v>
      </c>
      <c r="G326" s="11" t="s">
        <v>1077</v>
      </c>
      <c r="H326" s="11" t="s">
        <v>1079</v>
      </c>
      <c r="I326" s="11" t="s">
        <v>49</v>
      </c>
      <c r="J326" s="11">
        <v>115.2</v>
      </c>
      <c r="K326" s="11">
        <v>115.2</v>
      </c>
      <c r="L326" s="11"/>
      <c r="M326" s="11">
        <v>115.2</v>
      </c>
      <c r="N326" s="11" t="s">
        <v>1080</v>
      </c>
      <c r="O326" s="11" t="s">
        <v>50</v>
      </c>
    </row>
    <row r="327" spans="1:15" s="13" customFormat="1" ht="19.5" customHeight="1" x14ac:dyDescent="0.25">
      <c r="A327" s="11" t="s">
        <v>1081</v>
      </c>
      <c r="B327" s="11" t="s">
        <v>1081</v>
      </c>
      <c r="C327" s="12">
        <v>46085</v>
      </c>
      <c r="D327" s="12">
        <v>46085</v>
      </c>
      <c r="E327" s="11" t="s">
        <v>6</v>
      </c>
      <c r="F327" s="11" t="s">
        <v>1082</v>
      </c>
      <c r="G327" s="11" t="s">
        <v>1081</v>
      </c>
      <c r="H327" s="11"/>
      <c r="I327" s="11" t="s">
        <v>49</v>
      </c>
      <c r="J327" s="11">
        <v>75.5</v>
      </c>
      <c r="K327" s="11">
        <v>75.5</v>
      </c>
      <c r="L327" s="11"/>
      <c r="M327" s="11">
        <v>75.5</v>
      </c>
      <c r="N327" s="11"/>
      <c r="O327" s="11" t="s">
        <v>50</v>
      </c>
    </row>
    <row r="328" spans="1:15" s="13" customFormat="1" ht="19.5" customHeight="1" x14ac:dyDescent="0.25">
      <c r="A328" s="11" t="s">
        <v>1083</v>
      </c>
      <c r="B328" s="11" t="s">
        <v>1083</v>
      </c>
      <c r="C328" s="12">
        <v>46085</v>
      </c>
      <c r="D328" s="12">
        <v>46085</v>
      </c>
      <c r="E328" s="11" t="s">
        <v>6</v>
      </c>
      <c r="F328" s="11" t="s">
        <v>1084</v>
      </c>
      <c r="G328" s="11" t="s">
        <v>1083</v>
      </c>
      <c r="H328" s="11"/>
      <c r="I328" s="11" t="s">
        <v>49</v>
      </c>
      <c r="J328" s="11">
        <v>134.30000000000001</v>
      </c>
      <c r="K328" s="11">
        <v>134.30000000000001</v>
      </c>
      <c r="L328" s="11"/>
      <c r="M328" s="11">
        <v>134.30000000000001</v>
      </c>
      <c r="N328" s="11"/>
      <c r="O328" s="11" t="s">
        <v>50</v>
      </c>
    </row>
    <row r="329" spans="1:15" s="13" customFormat="1" ht="19.5" customHeight="1" x14ac:dyDescent="0.25">
      <c r="A329" s="11" t="s">
        <v>1085</v>
      </c>
      <c r="B329" s="11" t="s">
        <v>1086</v>
      </c>
      <c r="C329" s="12">
        <v>46085</v>
      </c>
      <c r="D329" s="12">
        <v>46085</v>
      </c>
      <c r="E329" s="11" t="s">
        <v>6</v>
      </c>
      <c r="F329" s="11" t="s">
        <v>1087</v>
      </c>
      <c r="G329" s="11" t="s">
        <v>1086</v>
      </c>
      <c r="H329" s="11" t="s">
        <v>762</v>
      </c>
      <c r="I329" s="11" t="s">
        <v>49</v>
      </c>
      <c r="J329" s="11">
        <v>171.37</v>
      </c>
      <c r="K329" s="11">
        <v>171.37</v>
      </c>
      <c r="L329" s="11"/>
      <c r="M329" s="11">
        <v>171.37</v>
      </c>
      <c r="N329" s="11" t="s">
        <v>1088</v>
      </c>
      <c r="O329" s="11" t="s">
        <v>50</v>
      </c>
    </row>
    <row r="330" spans="1:15" s="13" customFormat="1" ht="19.5" customHeight="1" x14ac:dyDescent="0.25">
      <c r="A330" s="11" t="s">
        <v>1089</v>
      </c>
      <c r="B330" s="11" t="s">
        <v>1090</v>
      </c>
      <c r="C330" s="12">
        <v>46085</v>
      </c>
      <c r="D330" s="12">
        <v>46085</v>
      </c>
      <c r="E330" s="11" t="s">
        <v>6</v>
      </c>
      <c r="F330" s="11" t="s">
        <v>1091</v>
      </c>
      <c r="G330" s="11" t="s">
        <v>1090</v>
      </c>
      <c r="H330" s="11" t="s">
        <v>762</v>
      </c>
      <c r="I330" s="11" t="s">
        <v>49</v>
      </c>
      <c r="J330" s="11">
        <v>54.4</v>
      </c>
      <c r="K330" s="11">
        <v>54.4</v>
      </c>
      <c r="L330" s="11"/>
      <c r="M330" s="11">
        <v>54.4</v>
      </c>
      <c r="N330" s="11" t="s">
        <v>1092</v>
      </c>
      <c r="O330" s="11" t="s">
        <v>50</v>
      </c>
    </row>
    <row r="331" spans="1:15" s="13" customFormat="1" ht="19.5" customHeight="1" x14ac:dyDescent="0.25">
      <c r="A331" s="11" t="s">
        <v>1093</v>
      </c>
      <c r="B331" s="11" t="s">
        <v>1094</v>
      </c>
      <c r="C331" s="12">
        <v>46085</v>
      </c>
      <c r="D331" s="12">
        <v>46085</v>
      </c>
      <c r="E331" s="11" t="s">
        <v>6</v>
      </c>
      <c r="F331" s="11" t="s">
        <v>1095</v>
      </c>
      <c r="G331" s="11" t="s">
        <v>1094</v>
      </c>
      <c r="H331" s="11" t="s">
        <v>762</v>
      </c>
      <c r="I331" s="11" t="s">
        <v>49</v>
      </c>
      <c r="J331" s="11">
        <v>57.61</v>
      </c>
      <c r="K331" s="11">
        <v>57.61</v>
      </c>
      <c r="L331" s="11"/>
      <c r="M331" s="11">
        <v>57.61</v>
      </c>
      <c r="N331" s="11" t="s">
        <v>1096</v>
      </c>
      <c r="O331" s="11" t="s">
        <v>50</v>
      </c>
    </row>
    <row r="332" spans="1:15" s="13" customFormat="1" ht="19.5" customHeight="1" x14ac:dyDescent="0.25">
      <c r="A332" s="11" t="s">
        <v>1097</v>
      </c>
      <c r="B332" s="11" t="s">
        <v>1098</v>
      </c>
      <c r="C332" s="12">
        <v>46085</v>
      </c>
      <c r="D332" s="12">
        <v>46085</v>
      </c>
      <c r="E332" s="11" t="s">
        <v>6</v>
      </c>
      <c r="F332" s="11" t="s">
        <v>1099</v>
      </c>
      <c r="G332" s="11" t="s">
        <v>1098</v>
      </c>
      <c r="H332" s="11" t="s">
        <v>1100</v>
      </c>
      <c r="I332" s="11" t="s">
        <v>49</v>
      </c>
      <c r="J332" s="11">
        <v>81.52</v>
      </c>
      <c r="K332" s="11">
        <v>81.52</v>
      </c>
      <c r="L332" s="11"/>
      <c r="M332" s="11">
        <v>81.52</v>
      </c>
      <c r="N332" s="11" t="s">
        <v>1101</v>
      </c>
      <c r="O332" s="11" t="s">
        <v>50</v>
      </c>
    </row>
    <row r="333" spans="1:15" s="13" customFormat="1" ht="19.5" customHeight="1" x14ac:dyDescent="0.25">
      <c r="A333" s="11" t="s">
        <v>1102</v>
      </c>
      <c r="B333" s="11" t="s">
        <v>1103</v>
      </c>
      <c r="C333" s="12">
        <v>46085</v>
      </c>
      <c r="D333" s="12">
        <v>46085</v>
      </c>
      <c r="E333" s="11" t="s">
        <v>6</v>
      </c>
      <c r="F333" s="11" t="s">
        <v>1104</v>
      </c>
      <c r="G333" s="11" t="s">
        <v>1103</v>
      </c>
      <c r="H333" s="11" t="s">
        <v>762</v>
      </c>
      <c r="I333" s="11" t="s">
        <v>49</v>
      </c>
      <c r="J333" s="11">
        <v>248.4</v>
      </c>
      <c r="K333" s="11">
        <v>248.4</v>
      </c>
      <c r="L333" s="11"/>
      <c r="M333" s="11">
        <v>248.4</v>
      </c>
      <c r="N333" s="11" t="s">
        <v>1105</v>
      </c>
      <c r="O333" s="11" t="s">
        <v>50</v>
      </c>
    </row>
    <row r="334" spans="1:15" s="13" customFormat="1" ht="19.5" customHeight="1" x14ac:dyDescent="0.25">
      <c r="A334" s="11" t="s">
        <v>1106</v>
      </c>
      <c r="B334" s="11" t="s">
        <v>1107</v>
      </c>
      <c r="C334" s="12">
        <v>46085</v>
      </c>
      <c r="D334" s="12">
        <v>46085</v>
      </c>
      <c r="E334" s="11" t="s">
        <v>6</v>
      </c>
      <c r="F334" s="11" t="s">
        <v>1108</v>
      </c>
      <c r="G334" s="11" t="s">
        <v>1107</v>
      </c>
      <c r="H334" s="11" t="s">
        <v>762</v>
      </c>
      <c r="I334" s="11" t="s">
        <v>49</v>
      </c>
      <c r="J334" s="11">
        <v>154.52000000000001</v>
      </c>
      <c r="K334" s="11">
        <v>154.52000000000001</v>
      </c>
      <c r="L334" s="11"/>
      <c r="M334" s="11">
        <v>154.52000000000001</v>
      </c>
      <c r="N334" s="11" t="s">
        <v>1109</v>
      </c>
      <c r="O334" s="11" t="s">
        <v>50</v>
      </c>
    </row>
    <row r="335" spans="1:15" s="13" customFormat="1" ht="19.5" customHeight="1" x14ac:dyDescent="0.25">
      <c r="A335" s="11" t="s">
        <v>1110</v>
      </c>
      <c r="B335" s="11" t="s">
        <v>1111</v>
      </c>
      <c r="C335" s="12">
        <v>46085</v>
      </c>
      <c r="D335" s="12">
        <v>46085</v>
      </c>
      <c r="E335" s="11" t="s">
        <v>6</v>
      </c>
      <c r="F335" s="11" t="s">
        <v>1112</v>
      </c>
      <c r="G335" s="11" t="s">
        <v>1111</v>
      </c>
      <c r="H335" s="11" t="s">
        <v>762</v>
      </c>
      <c r="I335" s="11" t="s">
        <v>49</v>
      </c>
      <c r="J335" s="11">
        <v>43.2</v>
      </c>
      <c r="K335" s="11">
        <v>43.2</v>
      </c>
      <c r="L335" s="11"/>
      <c r="M335" s="11">
        <v>43.2</v>
      </c>
      <c r="N335" s="11" t="s">
        <v>1113</v>
      </c>
      <c r="O335" s="11" t="s">
        <v>50</v>
      </c>
    </row>
    <row r="336" spans="1:15" s="13" customFormat="1" ht="19.5" customHeight="1" x14ac:dyDescent="0.25">
      <c r="A336" s="11" t="s">
        <v>1114</v>
      </c>
      <c r="B336" s="11" t="s">
        <v>1115</v>
      </c>
      <c r="C336" s="12">
        <v>46085</v>
      </c>
      <c r="D336" s="12">
        <v>46085</v>
      </c>
      <c r="E336" s="11" t="s">
        <v>6</v>
      </c>
      <c r="F336" s="11" t="s">
        <v>1116</v>
      </c>
      <c r="G336" s="11" t="s">
        <v>1115</v>
      </c>
      <c r="H336" s="11" t="s">
        <v>1117</v>
      </c>
      <c r="I336" s="11" t="s">
        <v>49</v>
      </c>
      <c r="J336" s="11">
        <v>113.9</v>
      </c>
      <c r="K336" s="11">
        <v>113.9</v>
      </c>
      <c r="L336" s="11"/>
      <c r="M336" s="11">
        <v>113.9</v>
      </c>
      <c r="N336" s="11" t="s">
        <v>1118</v>
      </c>
      <c r="O336" s="11" t="s">
        <v>50</v>
      </c>
    </row>
    <row r="337" spans="1:15" s="13" customFormat="1" ht="19.5" customHeight="1" x14ac:dyDescent="0.25">
      <c r="A337" s="11" t="s">
        <v>1119</v>
      </c>
      <c r="B337" s="11" t="s">
        <v>1120</v>
      </c>
      <c r="C337" s="12">
        <v>46084</v>
      </c>
      <c r="D337" s="12">
        <v>46084</v>
      </c>
      <c r="E337" s="11" t="s">
        <v>6</v>
      </c>
      <c r="F337" s="11" t="s">
        <v>101</v>
      </c>
      <c r="G337" s="11" t="s">
        <v>1121</v>
      </c>
      <c r="H337" s="11" t="s">
        <v>1122</v>
      </c>
      <c r="I337" s="11" t="s">
        <v>49</v>
      </c>
      <c r="J337" s="11">
        <v>-7924.28</v>
      </c>
      <c r="K337" s="11"/>
      <c r="L337" s="11">
        <v>7924.28</v>
      </c>
      <c r="M337" s="11">
        <v>-7924.28</v>
      </c>
      <c r="N337" s="11"/>
      <c r="O337" s="11" t="s">
        <v>75</v>
      </c>
    </row>
    <row r="338" spans="1:15" s="13" customFormat="1" ht="19.5" customHeight="1" x14ac:dyDescent="0.25">
      <c r="A338" s="11" t="s">
        <v>1123</v>
      </c>
      <c r="B338" s="11" t="s">
        <v>1123</v>
      </c>
      <c r="C338" s="12">
        <v>46084</v>
      </c>
      <c r="D338" s="12">
        <v>46114</v>
      </c>
      <c r="E338" s="11" t="s">
        <v>6</v>
      </c>
      <c r="F338" s="11" t="s">
        <v>61</v>
      </c>
      <c r="G338" s="11" t="s">
        <v>1123</v>
      </c>
      <c r="H338" s="11"/>
      <c r="I338" s="11" t="s">
        <v>49</v>
      </c>
      <c r="J338" s="11">
        <v>1034.27</v>
      </c>
      <c r="K338" s="11">
        <v>1034.27</v>
      </c>
      <c r="L338" s="11"/>
      <c r="M338" s="11">
        <v>1034.27</v>
      </c>
      <c r="N338" s="11" t="s">
        <v>1124</v>
      </c>
      <c r="O338" s="11" t="s">
        <v>50</v>
      </c>
    </row>
    <row r="339" spans="1:15" s="13" customFormat="1" ht="19.5" customHeight="1" x14ac:dyDescent="0.25">
      <c r="A339" s="11" t="s">
        <v>1125</v>
      </c>
      <c r="B339" s="11" t="s">
        <v>1125</v>
      </c>
      <c r="C339" s="12">
        <v>46084</v>
      </c>
      <c r="D339" s="12">
        <v>46144</v>
      </c>
      <c r="E339" s="11" t="s">
        <v>6</v>
      </c>
      <c r="F339" s="11" t="s">
        <v>275</v>
      </c>
      <c r="G339" s="11" t="s">
        <v>1125</v>
      </c>
      <c r="H339" s="11"/>
      <c r="I339" s="11" t="s">
        <v>49</v>
      </c>
      <c r="J339" s="11">
        <v>3628.5</v>
      </c>
      <c r="K339" s="11">
        <v>3628.5</v>
      </c>
      <c r="L339" s="11"/>
      <c r="M339" s="11">
        <v>3628.5</v>
      </c>
      <c r="N339" s="11" t="s">
        <v>1126</v>
      </c>
      <c r="O339" s="11" t="s">
        <v>50</v>
      </c>
    </row>
    <row r="340" spans="1:15" s="13" customFormat="1" ht="19.5" customHeight="1" x14ac:dyDescent="0.25">
      <c r="A340" s="11" t="s">
        <v>1127</v>
      </c>
      <c r="B340" s="11" t="s">
        <v>1127</v>
      </c>
      <c r="C340" s="12">
        <v>46084</v>
      </c>
      <c r="D340" s="12">
        <v>46114</v>
      </c>
      <c r="E340" s="11" t="s">
        <v>6</v>
      </c>
      <c r="F340" s="11" t="s">
        <v>56</v>
      </c>
      <c r="G340" s="11" t="s">
        <v>1127</v>
      </c>
      <c r="H340" s="11"/>
      <c r="I340" s="11" t="s">
        <v>49</v>
      </c>
      <c r="J340" s="11">
        <v>2784.8</v>
      </c>
      <c r="K340" s="11">
        <v>2784.8</v>
      </c>
      <c r="L340" s="11"/>
      <c r="M340" s="11">
        <v>2784.8</v>
      </c>
      <c r="N340" s="11" t="s">
        <v>1128</v>
      </c>
      <c r="O340" s="11" t="s">
        <v>50</v>
      </c>
    </row>
    <row r="341" spans="1:15" s="13" customFormat="1" ht="19.5" customHeight="1" x14ac:dyDescent="0.25">
      <c r="A341" s="11" t="s">
        <v>1129</v>
      </c>
      <c r="B341" s="11" t="s">
        <v>1129</v>
      </c>
      <c r="C341" s="12">
        <v>46084</v>
      </c>
      <c r="D341" s="12">
        <v>46084</v>
      </c>
      <c r="E341" s="11" t="s">
        <v>6</v>
      </c>
      <c r="F341" s="11" t="s">
        <v>67</v>
      </c>
      <c r="G341" s="11" t="s">
        <v>1129</v>
      </c>
      <c r="H341" s="11"/>
      <c r="I341" s="11" t="s">
        <v>49</v>
      </c>
      <c r="J341" s="11">
        <v>173.39</v>
      </c>
      <c r="K341" s="11">
        <v>173.39</v>
      </c>
      <c r="L341" s="11"/>
      <c r="M341" s="11">
        <v>173.39</v>
      </c>
      <c r="N341" s="11" t="s">
        <v>1130</v>
      </c>
      <c r="O341" s="11" t="s">
        <v>75</v>
      </c>
    </row>
    <row r="342" spans="1:15" s="13" customFormat="1" ht="19.5" customHeight="1" x14ac:dyDescent="0.25">
      <c r="A342" s="11" t="s">
        <v>1131</v>
      </c>
      <c r="B342" s="11" t="s">
        <v>1131</v>
      </c>
      <c r="C342" s="12">
        <v>46084</v>
      </c>
      <c r="D342" s="12">
        <v>46084</v>
      </c>
      <c r="E342" s="11" t="s">
        <v>6</v>
      </c>
      <c r="F342" s="11" t="s">
        <v>67</v>
      </c>
      <c r="G342" s="11" t="s">
        <v>1131</v>
      </c>
      <c r="H342" s="11"/>
      <c r="I342" s="11" t="s">
        <v>49</v>
      </c>
      <c r="J342" s="11">
        <v>218.11</v>
      </c>
      <c r="K342" s="11">
        <v>218.11</v>
      </c>
      <c r="L342" s="11"/>
      <c r="M342" s="11">
        <v>218.11</v>
      </c>
      <c r="N342" s="11" t="s">
        <v>1132</v>
      </c>
      <c r="O342" s="11" t="s">
        <v>75</v>
      </c>
    </row>
    <row r="343" spans="1:15" s="13" customFormat="1" ht="19.5" customHeight="1" x14ac:dyDescent="0.25">
      <c r="A343" s="11" t="s">
        <v>1133</v>
      </c>
      <c r="B343" s="11" t="s">
        <v>1133</v>
      </c>
      <c r="C343" s="12">
        <v>46084</v>
      </c>
      <c r="D343" s="12">
        <v>46129</v>
      </c>
      <c r="E343" s="11" t="s">
        <v>6</v>
      </c>
      <c r="F343" s="11" t="s">
        <v>482</v>
      </c>
      <c r="G343" s="11" t="s">
        <v>1133</v>
      </c>
      <c r="H343" s="11"/>
      <c r="I343" s="11" t="s">
        <v>49</v>
      </c>
      <c r="J343" s="11">
        <v>6959.64</v>
      </c>
      <c r="K343" s="11">
        <v>6959.64</v>
      </c>
      <c r="L343" s="11"/>
      <c r="M343" s="11">
        <v>6959.64</v>
      </c>
      <c r="N343" s="11" t="s">
        <v>1134</v>
      </c>
      <c r="O343" s="11" t="s">
        <v>75</v>
      </c>
    </row>
    <row r="344" spans="1:15" s="13" customFormat="1" ht="19.5" customHeight="1" x14ac:dyDescent="0.25">
      <c r="A344" s="11" t="s">
        <v>1135</v>
      </c>
      <c r="B344" s="11" t="s">
        <v>1135</v>
      </c>
      <c r="C344" s="12">
        <v>46084</v>
      </c>
      <c r="D344" s="12">
        <v>46084</v>
      </c>
      <c r="E344" s="11" t="s">
        <v>6</v>
      </c>
      <c r="F344" s="11" t="s">
        <v>74</v>
      </c>
      <c r="G344" s="11" t="s">
        <v>1135</v>
      </c>
      <c r="H344" s="11"/>
      <c r="I344" s="11" t="s">
        <v>49</v>
      </c>
      <c r="J344" s="11">
        <v>103.47</v>
      </c>
      <c r="K344" s="11">
        <v>103.47</v>
      </c>
      <c r="L344" s="11"/>
      <c r="M344" s="11">
        <v>103.47</v>
      </c>
      <c r="N344" s="11"/>
      <c r="O344" s="11" t="s">
        <v>75</v>
      </c>
    </row>
    <row r="345" spans="1:15" s="13" customFormat="1" ht="19.5" customHeight="1" x14ac:dyDescent="0.25">
      <c r="A345" s="11" t="s">
        <v>1136</v>
      </c>
      <c r="B345" s="11" t="s">
        <v>1137</v>
      </c>
      <c r="C345" s="12">
        <v>46084</v>
      </c>
      <c r="D345" s="12">
        <v>46084</v>
      </c>
      <c r="E345" s="11" t="s">
        <v>6</v>
      </c>
      <c r="F345" s="11" t="s">
        <v>143</v>
      </c>
      <c r="G345" s="11" t="s">
        <v>1137</v>
      </c>
      <c r="H345" s="11" t="s">
        <v>762</v>
      </c>
      <c r="I345" s="11" t="s">
        <v>49</v>
      </c>
      <c r="J345" s="11">
        <v>150.83000000000001</v>
      </c>
      <c r="K345" s="11">
        <v>150.83000000000001</v>
      </c>
      <c r="L345" s="11"/>
      <c r="M345" s="11">
        <v>150.83000000000001</v>
      </c>
      <c r="N345" s="11" t="s">
        <v>1138</v>
      </c>
      <c r="O345" s="11" t="s">
        <v>50</v>
      </c>
    </row>
    <row r="346" spans="1:15" s="13" customFormat="1" ht="19.5" customHeight="1" x14ac:dyDescent="0.25">
      <c r="A346" s="11" t="s">
        <v>1139</v>
      </c>
      <c r="B346" s="11" t="s">
        <v>1140</v>
      </c>
      <c r="C346" s="12">
        <v>46084</v>
      </c>
      <c r="D346" s="12">
        <v>46084</v>
      </c>
      <c r="E346" s="11" t="s">
        <v>6</v>
      </c>
      <c r="F346" s="11" t="s">
        <v>1141</v>
      </c>
      <c r="G346" s="11" t="s">
        <v>1140</v>
      </c>
      <c r="H346" s="11" t="s">
        <v>1142</v>
      </c>
      <c r="I346" s="11" t="s">
        <v>49</v>
      </c>
      <c r="J346" s="11">
        <v>73.010000000000005</v>
      </c>
      <c r="K346" s="11">
        <v>73.010000000000005</v>
      </c>
      <c r="L346" s="11"/>
      <c r="M346" s="11">
        <v>73.010000000000005</v>
      </c>
      <c r="N346" s="11" t="s">
        <v>1143</v>
      </c>
      <c r="O346" s="11" t="s">
        <v>50</v>
      </c>
    </row>
    <row r="347" spans="1:15" s="13" customFormat="1" ht="19.5" customHeight="1" x14ac:dyDescent="0.25">
      <c r="A347" s="11" t="s">
        <v>1144</v>
      </c>
      <c r="B347" s="11" t="s">
        <v>1145</v>
      </c>
      <c r="C347" s="12">
        <v>46084</v>
      </c>
      <c r="D347" s="12">
        <v>46084</v>
      </c>
      <c r="E347" s="11" t="s">
        <v>6</v>
      </c>
      <c r="F347" s="11" t="s">
        <v>1146</v>
      </c>
      <c r="G347" s="11" t="s">
        <v>1145</v>
      </c>
      <c r="H347" s="11" t="s">
        <v>1147</v>
      </c>
      <c r="I347" s="11" t="s">
        <v>49</v>
      </c>
      <c r="J347" s="11">
        <v>293.8</v>
      </c>
      <c r="K347" s="11">
        <v>293.8</v>
      </c>
      <c r="L347" s="11"/>
      <c r="M347" s="11">
        <v>293.8</v>
      </c>
      <c r="N347" s="11" t="s">
        <v>1148</v>
      </c>
      <c r="O347" s="11" t="s">
        <v>75</v>
      </c>
    </row>
    <row r="348" spans="1:15" s="13" customFormat="1" ht="19.5" customHeight="1" x14ac:dyDescent="0.25">
      <c r="A348" s="11" t="s">
        <v>1149</v>
      </c>
      <c r="B348" s="11" t="s">
        <v>1149</v>
      </c>
      <c r="C348" s="12">
        <v>46084</v>
      </c>
      <c r="D348" s="12">
        <v>46084</v>
      </c>
      <c r="E348" s="11" t="s">
        <v>6</v>
      </c>
      <c r="F348" s="11" t="s">
        <v>1150</v>
      </c>
      <c r="G348" s="11" t="s">
        <v>1149</v>
      </c>
      <c r="H348" s="11"/>
      <c r="I348" s="11" t="s">
        <v>49</v>
      </c>
      <c r="J348" s="11">
        <v>106.95</v>
      </c>
      <c r="K348" s="11">
        <v>106.95</v>
      </c>
      <c r="L348" s="11"/>
      <c r="M348" s="11">
        <v>106.95</v>
      </c>
      <c r="N348" s="11"/>
      <c r="O348" s="11" t="s">
        <v>75</v>
      </c>
    </row>
    <row r="349" spans="1:15" s="13" customFormat="1" ht="19.5" customHeight="1" x14ac:dyDescent="0.25">
      <c r="A349" s="11" t="s">
        <v>1151</v>
      </c>
      <c r="B349" s="11" t="s">
        <v>1152</v>
      </c>
      <c r="C349" s="12">
        <v>46084</v>
      </c>
      <c r="D349" s="12">
        <v>46084</v>
      </c>
      <c r="E349" s="11" t="s">
        <v>6</v>
      </c>
      <c r="F349" s="11" t="s">
        <v>1153</v>
      </c>
      <c r="G349" s="11" t="s">
        <v>1152</v>
      </c>
      <c r="H349" s="11" t="s">
        <v>1154</v>
      </c>
      <c r="I349" s="11" t="s">
        <v>49</v>
      </c>
      <c r="J349" s="11">
        <v>53.91</v>
      </c>
      <c r="K349" s="11">
        <v>53.91</v>
      </c>
      <c r="L349" s="11"/>
      <c r="M349" s="11">
        <v>53.91</v>
      </c>
      <c r="N349" s="11" t="s">
        <v>1155</v>
      </c>
      <c r="O349" s="11" t="s">
        <v>75</v>
      </c>
    </row>
    <row r="350" spans="1:15" s="13" customFormat="1" ht="19.5" customHeight="1" x14ac:dyDescent="0.25">
      <c r="A350" s="11" t="s">
        <v>1156</v>
      </c>
      <c r="B350" s="11" t="s">
        <v>1156</v>
      </c>
      <c r="C350" s="12">
        <v>46084</v>
      </c>
      <c r="D350" s="12">
        <v>46084</v>
      </c>
      <c r="E350" s="11" t="s">
        <v>6</v>
      </c>
      <c r="F350" s="11" t="s">
        <v>1157</v>
      </c>
      <c r="G350" s="11" t="s">
        <v>1156</v>
      </c>
      <c r="H350" s="11"/>
      <c r="I350" s="11" t="s">
        <v>49</v>
      </c>
      <c r="J350" s="11">
        <v>107.82</v>
      </c>
      <c r="K350" s="11">
        <v>107.82</v>
      </c>
      <c r="L350" s="11"/>
      <c r="M350" s="11">
        <v>107.82</v>
      </c>
      <c r="N350" s="11"/>
      <c r="O350" s="11" t="s">
        <v>75</v>
      </c>
    </row>
    <row r="351" spans="1:15" s="13" customFormat="1" ht="19.5" customHeight="1" x14ac:dyDescent="0.25">
      <c r="A351" s="11" t="s">
        <v>1158</v>
      </c>
      <c r="B351" s="11" t="s">
        <v>1159</v>
      </c>
      <c r="C351" s="12">
        <v>46084</v>
      </c>
      <c r="D351" s="12">
        <v>46084</v>
      </c>
      <c r="E351" s="11" t="s">
        <v>6</v>
      </c>
      <c r="F351" s="11" t="s">
        <v>1160</v>
      </c>
      <c r="G351" s="11" t="s">
        <v>1159</v>
      </c>
      <c r="H351" s="11" t="s">
        <v>1161</v>
      </c>
      <c r="I351" s="11" t="s">
        <v>49</v>
      </c>
      <c r="J351" s="11">
        <v>59.4</v>
      </c>
      <c r="K351" s="11">
        <v>59.4</v>
      </c>
      <c r="L351" s="11"/>
      <c r="M351" s="11">
        <v>59.4</v>
      </c>
      <c r="N351" s="11" t="s">
        <v>1162</v>
      </c>
      <c r="O351" s="11" t="s">
        <v>75</v>
      </c>
    </row>
    <row r="352" spans="1:15" s="13" customFormat="1" ht="19.5" customHeight="1" x14ac:dyDescent="0.25">
      <c r="A352" s="11" t="s">
        <v>1163</v>
      </c>
      <c r="B352" s="11" t="s">
        <v>1164</v>
      </c>
      <c r="C352" s="12">
        <v>46084</v>
      </c>
      <c r="D352" s="12">
        <v>46084</v>
      </c>
      <c r="E352" s="11" t="s">
        <v>6</v>
      </c>
      <c r="F352" s="11" t="s">
        <v>1165</v>
      </c>
      <c r="G352" s="11" t="s">
        <v>1164</v>
      </c>
      <c r="H352" s="11" t="s">
        <v>1166</v>
      </c>
      <c r="I352" s="11" t="s">
        <v>49</v>
      </c>
      <c r="J352" s="11">
        <v>67.06</v>
      </c>
      <c r="K352" s="11">
        <v>67.06</v>
      </c>
      <c r="L352" s="11"/>
      <c r="M352" s="11">
        <v>67.06</v>
      </c>
      <c r="N352" s="11" t="s">
        <v>1167</v>
      </c>
      <c r="O352" s="11" t="s">
        <v>75</v>
      </c>
    </row>
    <row r="353" spans="1:15" s="13" customFormat="1" ht="19.5" customHeight="1" x14ac:dyDescent="0.25">
      <c r="A353" s="11" t="s">
        <v>1168</v>
      </c>
      <c r="B353" s="11" t="s">
        <v>1169</v>
      </c>
      <c r="C353" s="12">
        <v>46084</v>
      </c>
      <c r="D353" s="12">
        <v>46084</v>
      </c>
      <c r="E353" s="11" t="s">
        <v>6</v>
      </c>
      <c r="F353" s="11" t="s">
        <v>1170</v>
      </c>
      <c r="G353" s="11" t="s">
        <v>1169</v>
      </c>
      <c r="H353" s="11" t="s">
        <v>762</v>
      </c>
      <c r="I353" s="11" t="s">
        <v>49</v>
      </c>
      <c r="J353" s="11">
        <v>128.24</v>
      </c>
      <c r="K353" s="11">
        <v>128.24</v>
      </c>
      <c r="L353" s="11"/>
      <c r="M353" s="11">
        <v>128.24</v>
      </c>
      <c r="N353" s="11" t="s">
        <v>1171</v>
      </c>
      <c r="O353" s="11" t="s">
        <v>75</v>
      </c>
    </row>
    <row r="354" spans="1:15" s="13" customFormat="1" ht="19.5" customHeight="1" x14ac:dyDescent="0.25">
      <c r="A354" s="11" t="s">
        <v>1172</v>
      </c>
      <c r="B354" s="11" t="s">
        <v>1173</v>
      </c>
      <c r="C354" s="12">
        <v>46084</v>
      </c>
      <c r="D354" s="12">
        <v>46084</v>
      </c>
      <c r="E354" s="11" t="s">
        <v>6</v>
      </c>
      <c r="F354" s="11" t="s">
        <v>1174</v>
      </c>
      <c r="G354" s="11" t="s">
        <v>1173</v>
      </c>
      <c r="H354" s="11" t="s">
        <v>1175</v>
      </c>
      <c r="I354" s="11" t="s">
        <v>49</v>
      </c>
      <c r="J354" s="11">
        <v>53.91</v>
      </c>
      <c r="K354" s="11">
        <v>53.91</v>
      </c>
      <c r="L354" s="11"/>
      <c r="M354" s="11">
        <v>53.91</v>
      </c>
      <c r="N354" s="11" t="s">
        <v>1176</v>
      </c>
      <c r="O354" s="11" t="s">
        <v>75</v>
      </c>
    </row>
    <row r="355" spans="1:15" s="13" customFormat="1" ht="19.5" customHeight="1" x14ac:dyDescent="0.25">
      <c r="A355" s="11" t="s">
        <v>1177</v>
      </c>
      <c r="B355" s="11" t="s">
        <v>1178</v>
      </c>
      <c r="C355" s="12">
        <v>46084</v>
      </c>
      <c r="D355" s="12">
        <v>46084</v>
      </c>
      <c r="E355" s="11" t="s">
        <v>6</v>
      </c>
      <c r="F355" s="11" t="s">
        <v>1179</v>
      </c>
      <c r="G355" s="11" t="s">
        <v>1178</v>
      </c>
      <c r="H355" s="11" t="s">
        <v>1180</v>
      </c>
      <c r="I355" s="11" t="s">
        <v>49</v>
      </c>
      <c r="J355" s="11">
        <v>496.8</v>
      </c>
      <c r="K355" s="11">
        <v>496.8</v>
      </c>
      <c r="L355" s="11"/>
      <c r="M355" s="11">
        <v>496.8</v>
      </c>
      <c r="N355" s="11" t="s">
        <v>1181</v>
      </c>
      <c r="O355" s="11" t="s">
        <v>75</v>
      </c>
    </row>
    <row r="356" spans="1:15" s="13" customFormat="1" ht="19.5" customHeight="1" x14ac:dyDescent="0.25">
      <c r="A356" s="11" t="s">
        <v>1182</v>
      </c>
      <c r="B356" s="11" t="s">
        <v>1182</v>
      </c>
      <c r="C356" s="12">
        <v>46084</v>
      </c>
      <c r="D356" s="12">
        <v>46084</v>
      </c>
      <c r="E356" s="11" t="s">
        <v>6</v>
      </c>
      <c r="F356" s="11" t="s">
        <v>1183</v>
      </c>
      <c r="G356" s="11" t="s">
        <v>1182</v>
      </c>
      <c r="H356" s="11"/>
      <c r="I356" s="11" t="s">
        <v>49</v>
      </c>
      <c r="J356" s="11">
        <v>61.5</v>
      </c>
      <c r="K356" s="11">
        <v>61.5</v>
      </c>
      <c r="L356" s="11"/>
      <c r="M356" s="11">
        <v>61.5</v>
      </c>
      <c r="N356" s="11" t="s">
        <v>1184</v>
      </c>
      <c r="O356" s="11" t="s">
        <v>75</v>
      </c>
    </row>
    <row r="357" spans="1:15" s="13" customFormat="1" ht="19.5" customHeight="1" x14ac:dyDescent="0.25">
      <c r="A357" s="11" t="s">
        <v>1185</v>
      </c>
      <c r="B357" s="11" t="s">
        <v>1186</v>
      </c>
      <c r="C357" s="12">
        <v>46083</v>
      </c>
      <c r="D357" s="12">
        <v>46083</v>
      </c>
      <c r="E357" s="11" t="s">
        <v>6</v>
      </c>
      <c r="F357" s="11" t="s">
        <v>863</v>
      </c>
      <c r="G357" s="11" t="s">
        <v>1187</v>
      </c>
      <c r="H357" s="11" t="s">
        <v>1188</v>
      </c>
      <c r="I357" s="11" t="s">
        <v>49</v>
      </c>
      <c r="J357" s="11">
        <v>-59734.5</v>
      </c>
      <c r="K357" s="11"/>
      <c r="L357" s="11">
        <v>59734.5</v>
      </c>
      <c r="M357" s="11">
        <v>-59734.5</v>
      </c>
      <c r="N357" s="11"/>
      <c r="O357" s="11" t="s">
        <v>75</v>
      </c>
    </row>
    <row r="358" spans="1:15" s="13" customFormat="1" ht="19.5" customHeight="1" x14ac:dyDescent="0.25">
      <c r="A358" s="11" t="s">
        <v>1189</v>
      </c>
      <c r="B358" s="11" t="s">
        <v>1190</v>
      </c>
      <c r="C358" s="12">
        <v>46083</v>
      </c>
      <c r="D358" s="12">
        <v>46083</v>
      </c>
      <c r="E358" s="11" t="s">
        <v>6</v>
      </c>
      <c r="F358" s="11" t="s">
        <v>1191</v>
      </c>
      <c r="G358" s="11" t="s">
        <v>1190</v>
      </c>
      <c r="H358" s="11" t="s">
        <v>1192</v>
      </c>
      <c r="I358" s="11" t="s">
        <v>49</v>
      </c>
      <c r="J358" s="11">
        <v>90.86</v>
      </c>
      <c r="K358" s="11">
        <v>90.86</v>
      </c>
      <c r="L358" s="11"/>
      <c r="M358" s="11">
        <v>90.86</v>
      </c>
      <c r="N358" s="11" t="s">
        <v>1193</v>
      </c>
      <c r="O358" s="11" t="s">
        <v>50</v>
      </c>
    </row>
    <row r="359" spans="1:15" s="13" customFormat="1" ht="19.5" customHeight="1" x14ac:dyDescent="0.25">
      <c r="A359" s="11" t="s">
        <v>1194</v>
      </c>
      <c r="B359" s="11" t="s">
        <v>1194</v>
      </c>
      <c r="C359" s="12">
        <v>46083</v>
      </c>
      <c r="D359" s="12">
        <v>46203</v>
      </c>
      <c r="E359" s="11" t="s">
        <v>6</v>
      </c>
      <c r="F359" s="11" t="s">
        <v>1195</v>
      </c>
      <c r="G359" s="11" t="s">
        <v>1194</v>
      </c>
      <c r="H359" s="11"/>
      <c r="I359" s="11" t="s">
        <v>49</v>
      </c>
      <c r="J359" s="11">
        <v>3306.3</v>
      </c>
      <c r="K359" s="11">
        <v>3306.3</v>
      </c>
      <c r="L359" s="11"/>
      <c r="M359" s="11">
        <v>3306.3</v>
      </c>
      <c r="N359" s="11"/>
      <c r="O359" s="11" t="s">
        <v>50</v>
      </c>
    </row>
    <row r="360" spans="1:15" s="13" customFormat="1" ht="19.5" customHeight="1" x14ac:dyDescent="0.25">
      <c r="A360" s="11" t="s">
        <v>1196</v>
      </c>
      <c r="B360" s="11" t="s">
        <v>1196</v>
      </c>
      <c r="C360" s="12">
        <v>46083</v>
      </c>
      <c r="D360" s="12">
        <v>46083</v>
      </c>
      <c r="E360" s="11" t="s">
        <v>6</v>
      </c>
      <c r="F360" s="11" t="s">
        <v>1197</v>
      </c>
      <c r="G360" s="11" t="s">
        <v>1196</v>
      </c>
      <c r="H360" s="11"/>
      <c r="I360" s="11" t="s">
        <v>49</v>
      </c>
      <c r="J360" s="11">
        <v>94.05</v>
      </c>
      <c r="K360" s="11">
        <v>94.05</v>
      </c>
      <c r="L360" s="11"/>
      <c r="M360" s="11">
        <v>94.05</v>
      </c>
      <c r="N360" s="11" t="s">
        <v>1198</v>
      </c>
      <c r="O360" s="11" t="s">
        <v>50</v>
      </c>
    </row>
    <row r="361" spans="1:15" s="13" customFormat="1" ht="19.5" customHeight="1" x14ac:dyDescent="0.25">
      <c r="A361" s="11" t="s">
        <v>1199</v>
      </c>
      <c r="B361" s="11" t="s">
        <v>1200</v>
      </c>
      <c r="C361" s="12">
        <v>46083</v>
      </c>
      <c r="D361" s="12">
        <v>46083</v>
      </c>
      <c r="E361" s="11" t="s">
        <v>6</v>
      </c>
      <c r="F361" s="11" t="s">
        <v>1201</v>
      </c>
      <c r="G361" s="11" t="s">
        <v>1200</v>
      </c>
      <c r="H361" s="11" t="s">
        <v>1202</v>
      </c>
      <c r="I361" s="11" t="s">
        <v>49</v>
      </c>
      <c r="J361" s="11">
        <v>68</v>
      </c>
      <c r="K361" s="11">
        <v>68</v>
      </c>
      <c r="L361" s="11"/>
      <c r="M361" s="11">
        <v>68</v>
      </c>
      <c r="N361" s="11" t="s">
        <v>1203</v>
      </c>
      <c r="O361" s="11" t="s">
        <v>50</v>
      </c>
    </row>
    <row r="362" spans="1:15" s="13" customFormat="1" ht="19.5" customHeight="1" x14ac:dyDescent="0.25">
      <c r="A362" s="11" t="s">
        <v>1204</v>
      </c>
      <c r="B362" s="11" t="s">
        <v>1204</v>
      </c>
      <c r="C362" s="12">
        <v>46083</v>
      </c>
      <c r="D362" s="12">
        <v>46083</v>
      </c>
      <c r="E362" s="11" t="s">
        <v>6</v>
      </c>
      <c r="F362" s="11" t="s">
        <v>1205</v>
      </c>
      <c r="G362" s="11" t="s">
        <v>1204</v>
      </c>
      <c r="H362" s="11"/>
      <c r="I362" s="11" t="s">
        <v>49</v>
      </c>
      <c r="J362" s="11">
        <v>127.41</v>
      </c>
      <c r="K362" s="11">
        <v>127.41</v>
      </c>
      <c r="L362" s="11"/>
      <c r="M362" s="11">
        <v>127.41</v>
      </c>
      <c r="N362" s="11" t="s">
        <v>1206</v>
      </c>
      <c r="O362" s="11" t="s">
        <v>50</v>
      </c>
    </row>
    <row r="363" spans="1:15" s="13" customFormat="1" ht="19.5" customHeight="1" x14ac:dyDescent="0.25">
      <c r="A363" s="11" t="s">
        <v>1207</v>
      </c>
      <c r="B363" s="11" t="s">
        <v>1207</v>
      </c>
      <c r="C363" s="12">
        <v>46083</v>
      </c>
      <c r="D363" s="12">
        <v>46083</v>
      </c>
      <c r="E363" s="11" t="s">
        <v>6</v>
      </c>
      <c r="F363" s="11" t="s">
        <v>1208</v>
      </c>
      <c r="G363" s="11" t="s">
        <v>1207</v>
      </c>
      <c r="H363" s="11"/>
      <c r="I363" s="11" t="s">
        <v>49</v>
      </c>
      <c r="J363" s="11">
        <v>223.95</v>
      </c>
      <c r="K363" s="11">
        <v>223.95</v>
      </c>
      <c r="L363" s="11"/>
      <c r="M363" s="11">
        <v>223.95</v>
      </c>
      <c r="N363" s="11"/>
      <c r="O363" s="11" t="s">
        <v>50</v>
      </c>
    </row>
    <row r="364" spans="1:15" s="13" customFormat="1" ht="19.5" customHeight="1" x14ac:dyDescent="0.25">
      <c r="A364" s="11" t="s">
        <v>1209</v>
      </c>
      <c r="B364" s="11" t="s">
        <v>1209</v>
      </c>
      <c r="C364" s="12">
        <v>46083</v>
      </c>
      <c r="D364" s="12">
        <v>46083</v>
      </c>
      <c r="E364" s="11" t="s">
        <v>6</v>
      </c>
      <c r="F364" s="11" t="s">
        <v>1210</v>
      </c>
      <c r="G364" s="11" t="s">
        <v>1209</v>
      </c>
      <c r="H364" s="11"/>
      <c r="I364" s="11" t="s">
        <v>49</v>
      </c>
      <c r="J364" s="11">
        <v>79.11</v>
      </c>
      <c r="K364" s="11">
        <v>79.11</v>
      </c>
      <c r="L364" s="11"/>
      <c r="M364" s="11">
        <v>79.11</v>
      </c>
      <c r="N364" s="11"/>
      <c r="O364" s="11" t="s">
        <v>50</v>
      </c>
    </row>
    <row r="365" spans="1:15" s="13" customFormat="1" ht="19.5" customHeight="1" x14ac:dyDescent="0.25">
      <c r="A365" s="11" t="s">
        <v>1211</v>
      </c>
      <c r="B365" s="11" t="s">
        <v>1211</v>
      </c>
      <c r="C365" s="12">
        <v>46083</v>
      </c>
      <c r="D365" s="12">
        <v>46083</v>
      </c>
      <c r="E365" s="11" t="s">
        <v>6</v>
      </c>
      <c r="F365" s="11" t="s">
        <v>1212</v>
      </c>
      <c r="G365" s="11" t="s">
        <v>1211</v>
      </c>
      <c r="H365" s="11"/>
      <c r="I365" s="11" t="s">
        <v>49</v>
      </c>
      <c r="J365" s="11">
        <v>68.400000000000006</v>
      </c>
      <c r="K365" s="11">
        <v>68.400000000000006</v>
      </c>
      <c r="L365" s="11"/>
      <c r="M365" s="11">
        <v>68.400000000000006</v>
      </c>
      <c r="N365" s="11"/>
      <c r="O365" s="11" t="s">
        <v>50</v>
      </c>
    </row>
    <row r="366" spans="1:15" s="13" customFormat="1" ht="19.5" customHeight="1" x14ac:dyDescent="0.25">
      <c r="A366" s="11" t="s">
        <v>1213</v>
      </c>
      <c r="B366" s="11" t="s">
        <v>1213</v>
      </c>
      <c r="C366" s="12">
        <v>46083</v>
      </c>
      <c r="D366" s="12">
        <v>46083</v>
      </c>
      <c r="E366" s="11" t="s">
        <v>6</v>
      </c>
      <c r="F366" s="11" t="s">
        <v>1214</v>
      </c>
      <c r="G366" s="11" t="s">
        <v>1213</v>
      </c>
      <c r="H366" s="11"/>
      <c r="I366" s="11" t="s">
        <v>49</v>
      </c>
      <c r="J366" s="11">
        <v>57.61</v>
      </c>
      <c r="K366" s="11">
        <v>57.61</v>
      </c>
      <c r="L366" s="11"/>
      <c r="M366" s="11">
        <v>57.61</v>
      </c>
      <c r="N366" s="11"/>
      <c r="O366" s="11" t="s">
        <v>50</v>
      </c>
    </row>
    <row r="367" spans="1:15" s="13" customFormat="1" ht="19.5" customHeight="1" x14ac:dyDescent="0.25">
      <c r="A367" s="11" t="s">
        <v>1215</v>
      </c>
      <c r="B367" s="11" t="s">
        <v>1215</v>
      </c>
      <c r="C367" s="12">
        <v>46083</v>
      </c>
      <c r="D367" s="12">
        <v>46083</v>
      </c>
      <c r="E367" s="11" t="s">
        <v>6</v>
      </c>
      <c r="F367" s="11" t="s">
        <v>1108</v>
      </c>
      <c r="G367" s="11" t="s">
        <v>1215</v>
      </c>
      <c r="H367" s="11"/>
      <c r="I367" s="11" t="s">
        <v>49</v>
      </c>
      <c r="J367" s="11">
        <v>154.52000000000001</v>
      </c>
      <c r="K367" s="11">
        <v>154.52000000000001</v>
      </c>
      <c r="L367" s="11"/>
      <c r="M367" s="11">
        <v>154.52000000000001</v>
      </c>
      <c r="N367" s="11"/>
      <c r="O367" s="11" t="s">
        <v>50</v>
      </c>
    </row>
    <row r="368" spans="1:15" s="13" customFormat="1" ht="19.5" customHeight="1" x14ac:dyDescent="0.25">
      <c r="A368" s="11" t="s">
        <v>1216</v>
      </c>
      <c r="B368" s="11" t="s">
        <v>1216</v>
      </c>
      <c r="C368" s="12">
        <v>46083</v>
      </c>
      <c r="D368" s="12">
        <v>46083</v>
      </c>
      <c r="E368" s="11" t="s">
        <v>6</v>
      </c>
      <c r="F368" s="11" t="s">
        <v>1217</v>
      </c>
      <c r="G368" s="11" t="s">
        <v>1216</v>
      </c>
      <c r="H368" s="11"/>
      <c r="I368" s="11" t="s">
        <v>49</v>
      </c>
      <c r="J368" s="11">
        <v>115.05</v>
      </c>
      <c r="K368" s="11">
        <v>115.05</v>
      </c>
      <c r="L368" s="11"/>
      <c r="M368" s="11">
        <v>115.05</v>
      </c>
      <c r="N368" s="11"/>
      <c r="O368" s="11" t="s">
        <v>50</v>
      </c>
    </row>
    <row r="369" spans="1:15" s="13" customFormat="1" ht="19.5" customHeight="1" x14ac:dyDescent="0.25">
      <c r="A369" s="11" t="s">
        <v>1218</v>
      </c>
      <c r="B369" s="11" t="s">
        <v>1218</v>
      </c>
      <c r="C369" s="12">
        <v>46083</v>
      </c>
      <c r="D369" s="12">
        <v>46083</v>
      </c>
      <c r="E369" s="11" t="s">
        <v>6</v>
      </c>
      <c r="F369" s="11" t="s">
        <v>1219</v>
      </c>
      <c r="G369" s="11" t="s">
        <v>1218</v>
      </c>
      <c r="H369" s="11"/>
      <c r="I369" s="11" t="s">
        <v>49</v>
      </c>
      <c r="J369" s="11">
        <v>59.4</v>
      </c>
      <c r="K369" s="11">
        <v>59.4</v>
      </c>
      <c r="L369" s="11"/>
      <c r="M369" s="11">
        <v>59.4</v>
      </c>
      <c r="N369" s="11"/>
      <c r="O369" s="11" t="s">
        <v>50</v>
      </c>
    </row>
    <row r="370" spans="1:15" s="13" customFormat="1" ht="19.5" customHeight="1" x14ac:dyDescent="0.25">
      <c r="A370" s="11" t="s">
        <v>1220</v>
      </c>
      <c r="B370" s="11" t="s">
        <v>1220</v>
      </c>
      <c r="C370" s="12">
        <v>46083</v>
      </c>
      <c r="D370" s="12">
        <v>46083</v>
      </c>
      <c r="E370" s="11" t="s">
        <v>6</v>
      </c>
      <c r="F370" s="11" t="s">
        <v>1221</v>
      </c>
      <c r="G370" s="11" t="s">
        <v>1220</v>
      </c>
      <c r="H370" s="11"/>
      <c r="I370" s="11" t="s">
        <v>49</v>
      </c>
      <c r="J370" s="11">
        <v>61.62</v>
      </c>
      <c r="K370" s="11">
        <v>61.62</v>
      </c>
      <c r="L370" s="11"/>
      <c r="M370" s="11">
        <v>61.62</v>
      </c>
      <c r="N370" s="11"/>
      <c r="O370" s="11" t="s">
        <v>50</v>
      </c>
    </row>
    <row r="371" spans="1:15" s="13" customFormat="1" ht="19.5" customHeight="1" x14ac:dyDescent="0.25">
      <c r="A371" s="11" t="s">
        <v>1222</v>
      </c>
      <c r="B371" s="11" t="s">
        <v>1223</v>
      </c>
      <c r="C371" s="12">
        <v>46083</v>
      </c>
      <c r="D371" s="12">
        <v>46083</v>
      </c>
      <c r="E371" s="11" t="s">
        <v>6</v>
      </c>
      <c r="F371" s="11" t="s">
        <v>1224</v>
      </c>
      <c r="G371" s="11" t="s">
        <v>1223</v>
      </c>
      <c r="H371" s="11" t="s">
        <v>1225</v>
      </c>
      <c r="I371" s="11" t="s">
        <v>49</v>
      </c>
      <c r="J371" s="11">
        <v>127.41</v>
      </c>
      <c r="K371" s="11">
        <v>127.41</v>
      </c>
      <c r="L371" s="11"/>
      <c r="M371" s="11">
        <v>127.41</v>
      </c>
      <c r="N371" s="11" t="s">
        <v>1226</v>
      </c>
      <c r="O371" s="11" t="s">
        <v>50</v>
      </c>
    </row>
    <row r="372" spans="1:15" s="13" customFormat="1" ht="19.5" customHeight="1" x14ac:dyDescent="0.25">
      <c r="A372" s="11" t="s">
        <v>1227</v>
      </c>
      <c r="B372" s="11" t="s">
        <v>1228</v>
      </c>
      <c r="C372" s="12">
        <v>46083</v>
      </c>
      <c r="D372" s="12">
        <v>46083</v>
      </c>
      <c r="E372" s="11" t="s">
        <v>6</v>
      </c>
      <c r="F372" s="11" t="s">
        <v>1229</v>
      </c>
      <c r="G372" s="11" t="s">
        <v>1228</v>
      </c>
      <c r="H372" s="11" t="s">
        <v>762</v>
      </c>
      <c r="I372" s="11" t="s">
        <v>49</v>
      </c>
      <c r="J372" s="11">
        <v>128.24</v>
      </c>
      <c r="K372" s="11">
        <v>128.24</v>
      </c>
      <c r="L372" s="11"/>
      <c r="M372" s="11">
        <v>128.24</v>
      </c>
      <c r="N372" s="11" t="s">
        <v>1230</v>
      </c>
      <c r="O372" s="11" t="s">
        <v>50</v>
      </c>
    </row>
    <row r="373" spans="1:15" s="13" customFormat="1" ht="19.5" customHeight="1" x14ac:dyDescent="0.25">
      <c r="A373" s="11" t="s">
        <v>1231</v>
      </c>
      <c r="B373" s="11" t="s">
        <v>1232</v>
      </c>
      <c r="C373" s="12">
        <v>46083</v>
      </c>
      <c r="D373" s="12">
        <v>46083</v>
      </c>
      <c r="E373" s="11" t="s">
        <v>6</v>
      </c>
      <c r="F373" s="11" t="s">
        <v>1233</v>
      </c>
      <c r="G373" s="11" t="s">
        <v>1232</v>
      </c>
      <c r="H373" s="11" t="s">
        <v>762</v>
      </c>
      <c r="I373" s="11" t="s">
        <v>49</v>
      </c>
      <c r="J373" s="11">
        <v>157.13</v>
      </c>
      <c r="K373" s="11">
        <v>157.13</v>
      </c>
      <c r="L373" s="11"/>
      <c r="M373" s="11">
        <v>157.13</v>
      </c>
      <c r="N373" s="11"/>
      <c r="O373" s="11" t="s">
        <v>50</v>
      </c>
    </row>
    <row r="374" spans="1:15" s="13" customFormat="1" ht="19.5" customHeight="1" x14ac:dyDescent="0.25">
      <c r="A374" s="11" t="s">
        <v>1234</v>
      </c>
      <c r="B374" s="11" t="s">
        <v>1235</v>
      </c>
      <c r="C374" s="12">
        <v>46083</v>
      </c>
      <c r="D374" s="12">
        <v>46083</v>
      </c>
      <c r="E374" s="11" t="s">
        <v>6</v>
      </c>
      <c r="F374" s="11" t="s">
        <v>1236</v>
      </c>
      <c r="G374" s="11" t="s">
        <v>1235</v>
      </c>
      <c r="H374" s="11" t="s">
        <v>762</v>
      </c>
      <c r="I374" s="11" t="s">
        <v>49</v>
      </c>
      <c r="J374" s="11">
        <v>49.5</v>
      </c>
      <c r="K374" s="11">
        <v>49.5</v>
      </c>
      <c r="L374" s="11"/>
      <c r="M374" s="11">
        <v>49.5</v>
      </c>
      <c r="N374" s="11" t="s">
        <v>1237</v>
      </c>
      <c r="O374" s="11" t="s">
        <v>50</v>
      </c>
    </row>
    <row r="375" spans="1:15" s="13" customFormat="1" ht="19.5" customHeight="1" x14ac:dyDescent="0.25">
      <c r="A375" s="11" t="s">
        <v>1238</v>
      </c>
      <c r="B375" s="11" t="s">
        <v>1239</v>
      </c>
      <c r="C375" s="12">
        <v>46083</v>
      </c>
      <c r="D375" s="12">
        <v>46083</v>
      </c>
      <c r="E375" s="11" t="s">
        <v>6</v>
      </c>
      <c r="F375" s="11" t="s">
        <v>1240</v>
      </c>
      <c r="G375" s="11" t="s">
        <v>1239</v>
      </c>
      <c r="H375" s="11" t="s">
        <v>762</v>
      </c>
      <c r="I375" s="11" t="s">
        <v>49</v>
      </c>
      <c r="J375" s="11">
        <v>61.65</v>
      </c>
      <c r="K375" s="11">
        <v>61.65</v>
      </c>
      <c r="L375" s="11"/>
      <c r="M375" s="11">
        <v>61.65</v>
      </c>
      <c r="N375" s="11" t="s">
        <v>1241</v>
      </c>
      <c r="O375" s="11" t="s">
        <v>50</v>
      </c>
    </row>
    <row r="376" spans="1:15" s="13" customFormat="1" ht="19.5" customHeight="1" x14ac:dyDescent="0.25">
      <c r="A376" s="11" t="s">
        <v>1242</v>
      </c>
      <c r="B376" s="11" t="s">
        <v>1243</v>
      </c>
      <c r="C376" s="12">
        <v>46083</v>
      </c>
      <c r="D376" s="12">
        <v>46083</v>
      </c>
      <c r="E376" s="11" t="s">
        <v>6</v>
      </c>
      <c r="F376" s="11" t="s">
        <v>1244</v>
      </c>
      <c r="G376" s="11" t="s">
        <v>1243</v>
      </c>
      <c r="H376" s="11" t="s">
        <v>762</v>
      </c>
      <c r="I376" s="11" t="s">
        <v>49</v>
      </c>
      <c r="J376" s="11">
        <v>94.05</v>
      </c>
      <c r="K376" s="11">
        <v>94.05</v>
      </c>
      <c r="L376" s="11"/>
      <c r="M376" s="11">
        <v>94.05</v>
      </c>
      <c r="N376" s="11" t="s">
        <v>1245</v>
      </c>
      <c r="O376" s="11" t="s">
        <v>50</v>
      </c>
    </row>
    <row r="377" spans="1:15" s="13" customFormat="1" ht="19.5" customHeight="1" x14ac:dyDescent="0.25">
      <c r="A377" s="11" t="s">
        <v>1246</v>
      </c>
      <c r="B377" s="11" t="s">
        <v>1246</v>
      </c>
      <c r="C377" s="12">
        <v>46080</v>
      </c>
      <c r="D377" s="12">
        <v>46110</v>
      </c>
      <c r="E377" s="11" t="s">
        <v>6</v>
      </c>
      <c r="F377" s="11" t="s">
        <v>1247</v>
      </c>
      <c r="G377" s="11" t="s">
        <v>1246</v>
      </c>
      <c r="H377" s="11"/>
      <c r="I377" s="11" t="s">
        <v>49</v>
      </c>
      <c r="J377" s="11">
        <v>4536.8599999999997</v>
      </c>
      <c r="K377" s="11">
        <v>4536.8599999999997</v>
      </c>
      <c r="L377" s="11"/>
      <c r="M377" s="11">
        <v>4536.8599999999997</v>
      </c>
      <c r="N377" s="11" t="s">
        <v>1248</v>
      </c>
      <c r="O377" s="11" t="s">
        <v>50</v>
      </c>
    </row>
    <row r="378" spans="1:15" s="13" customFormat="1" ht="19.5" customHeight="1" x14ac:dyDescent="0.25">
      <c r="A378" s="11" t="s">
        <v>1249</v>
      </c>
      <c r="B378" s="11" t="s">
        <v>1249</v>
      </c>
      <c r="C378" s="12">
        <v>46080</v>
      </c>
      <c r="D378" s="12">
        <v>46125</v>
      </c>
      <c r="E378" s="11" t="s">
        <v>6</v>
      </c>
      <c r="F378" s="11" t="s">
        <v>64</v>
      </c>
      <c r="G378" s="11" t="s">
        <v>1249</v>
      </c>
      <c r="H378" s="11"/>
      <c r="I378" s="11" t="s">
        <v>49</v>
      </c>
      <c r="J378" s="11">
        <v>9975.42</v>
      </c>
      <c r="K378" s="11">
        <v>9975.42</v>
      </c>
      <c r="L378" s="11"/>
      <c r="M378" s="11">
        <v>9975.42</v>
      </c>
      <c r="N378" s="11"/>
      <c r="O378" s="11" t="s">
        <v>50</v>
      </c>
    </row>
    <row r="379" spans="1:15" s="13" customFormat="1" ht="19.5" customHeight="1" x14ac:dyDescent="0.25">
      <c r="A379" s="11" t="s">
        <v>1249</v>
      </c>
      <c r="B379" s="11" t="s">
        <v>1249</v>
      </c>
      <c r="C379" s="12">
        <v>46080</v>
      </c>
      <c r="D379" s="12">
        <v>46132</v>
      </c>
      <c r="E379" s="11" t="s">
        <v>6</v>
      </c>
      <c r="F379" s="11" t="s">
        <v>64</v>
      </c>
      <c r="G379" s="11" t="s">
        <v>1249</v>
      </c>
      <c r="H379" s="11"/>
      <c r="I379" s="11" t="s">
        <v>49</v>
      </c>
      <c r="J379" s="11">
        <v>9975.42</v>
      </c>
      <c r="K379" s="11">
        <v>9975.42</v>
      </c>
      <c r="L379" s="11"/>
      <c r="M379" s="11">
        <v>9975.42</v>
      </c>
      <c r="N379" s="11"/>
      <c r="O379" s="11" t="s">
        <v>50</v>
      </c>
    </row>
    <row r="380" spans="1:15" s="13" customFormat="1" ht="19.5" customHeight="1" x14ac:dyDescent="0.25">
      <c r="A380" s="11" t="s">
        <v>1249</v>
      </c>
      <c r="B380" s="11" t="s">
        <v>1249</v>
      </c>
      <c r="C380" s="12">
        <v>46080</v>
      </c>
      <c r="D380" s="12">
        <v>46139</v>
      </c>
      <c r="E380" s="11" t="s">
        <v>6</v>
      </c>
      <c r="F380" s="11" t="s">
        <v>64</v>
      </c>
      <c r="G380" s="11" t="s">
        <v>1249</v>
      </c>
      <c r="H380" s="11"/>
      <c r="I380" s="11" t="s">
        <v>49</v>
      </c>
      <c r="J380" s="11">
        <v>9975.42</v>
      </c>
      <c r="K380" s="11">
        <v>9975.42</v>
      </c>
      <c r="L380" s="11"/>
      <c r="M380" s="11">
        <v>9975.42</v>
      </c>
      <c r="N380" s="11"/>
      <c r="O380" s="11" t="s">
        <v>50</v>
      </c>
    </row>
    <row r="381" spans="1:15" s="13" customFormat="1" ht="19.5" customHeight="1" x14ac:dyDescent="0.25">
      <c r="A381" s="11" t="s">
        <v>1249</v>
      </c>
      <c r="B381" s="11" t="s">
        <v>1249</v>
      </c>
      <c r="C381" s="12">
        <v>46080</v>
      </c>
      <c r="D381" s="12">
        <v>46146</v>
      </c>
      <c r="E381" s="11" t="s">
        <v>6</v>
      </c>
      <c r="F381" s="11" t="s">
        <v>64</v>
      </c>
      <c r="G381" s="11" t="s">
        <v>1249</v>
      </c>
      <c r="H381" s="11"/>
      <c r="I381" s="11" t="s">
        <v>49</v>
      </c>
      <c r="J381" s="11">
        <v>9975.42</v>
      </c>
      <c r="K381" s="11">
        <v>9975.42</v>
      </c>
      <c r="L381" s="11"/>
      <c r="M381" s="11">
        <v>9975.42</v>
      </c>
      <c r="N381" s="11"/>
      <c r="O381" s="11" t="s">
        <v>50</v>
      </c>
    </row>
    <row r="382" spans="1:15" s="13" customFormat="1" ht="19.5" customHeight="1" x14ac:dyDescent="0.25">
      <c r="A382" s="11" t="s">
        <v>1249</v>
      </c>
      <c r="B382" s="11" t="s">
        <v>1249</v>
      </c>
      <c r="C382" s="12">
        <v>46080</v>
      </c>
      <c r="D382" s="12">
        <v>46153</v>
      </c>
      <c r="E382" s="11" t="s">
        <v>6</v>
      </c>
      <c r="F382" s="11" t="s">
        <v>64</v>
      </c>
      <c r="G382" s="11" t="s">
        <v>1249</v>
      </c>
      <c r="H382" s="11"/>
      <c r="I382" s="11" t="s">
        <v>49</v>
      </c>
      <c r="J382" s="11">
        <v>9975.42</v>
      </c>
      <c r="K382" s="11">
        <v>9975.42</v>
      </c>
      <c r="L382" s="11"/>
      <c r="M382" s="11">
        <v>9975.42</v>
      </c>
      <c r="N382" s="11"/>
      <c r="O382" s="11" t="s">
        <v>50</v>
      </c>
    </row>
    <row r="383" spans="1:15" s="13" customFormat="1" ht="19.5" customHeight="1" x14ac:dyDescent="0.25">
      <c r="A383" s="11" t="s">
        <v>1249</v>
      </c>
      <c r="B383" s="11" t="s">
        <v>1249</v>
      </c>
      <c r="C383" s="12">
        <v>46080</v>
      </c>
      <c r="D383" s="12">
        <v>46160</v>
      </c>
      <c r="E383" s="11" t="s">
        <v>6</v>
      </c>
      <c r="F383" s="11" t="s">
        <v>64</v>
      </c>
      <c r="G383" s="11" t="s">
        <v>1249</v>
      </c>
      <c r="H383" s="11"/>
      <c r="I383" s="11" t="s">
        <v>49</v>
      </c>
      <c r="J383" s="11">
        <v>9975.42</v>
      </c>
      <c r="K383" s="11">
        <v>9975.42</v>
      </c>
      <c r="L383" s="11"/>
      <c r="M383" s="11">
        <v>9975.42</v>
      </c>
      <c r="N383" s="11"/>
      <c r="O383" s="11" t="s">
        <v>50</v>
      </c>
    </row>
    <row r="384" spans="1:15" s="13" customFormat="1" ht="19.5" customHeight="1" x14ac:dyDescent="0.25">
      <c r="A384" s="11" t="s">
        <v>1249</v>
      </c>
      <c r="B384" s="11" t="s">
        <v>1249</v>
      </c>
      <c r="C384" s="12">
        <v>46080</v>
      </c>
      <c r="D384" s="12">
        <v>46170</v>
      </c>
      <c r="E384" s="11" t="s">
        <v>6</v>
      </c>
      <c r="F384" s="11" t="s">
        <v>64</v>
      </c>
      <c r="G384" s="11" t="s">
        <v>1249</v>
      </c>
      <c r="H384" s="11"/>
      <c r="I384" s="11" t="s">
        <v>49</v>
      </c>
      <c r="J384" s="11">
        <v>10003.36</v>
      </c>
      <c r="K384" s="11">
        <v>10003.36</v>
      </c>
      <c r="L384" s="11"/>
      <c r="M384" s="11">
        <v>10003.36</v>
      </c>
      <c r="N384" s="11"/>
      <c r="O384" s="11" t="s">
        <v>50</v>
      </c>
    </row>
    <row r="385" spans="1:15" s="13" customFormat="1" ht="19.5" customHeight="1" x14ac:dyDescent="0.25">
      <c r="A385" s="11" t="s">
        <v>1250</v>
      </c>
      <c r="B385" s="11" t="s">
        <v>1250</v>
      </c>
      <c r="C385" s="12">
        <v>46080</v>
      </c>
      <c r="D385" s="12">
        <v>46170</v>
      </c>
      <c r="E385" s="11" t="s">
        <v>6</v>
      </c>
      <c r="F385" s="11" t="s">
        <v>59</v>
      </c>
      <c r="G385" s="11" t="s">
        <v>1250</v>
      </c>
      <c r="H385" s="11"/>
      <c r="I385" s="11" t="s">
        <v>49</v>
      </c>
      <c r="J385" s="11">
        <v>23808.23</v>
      </c>
      <c r="K385" s="11">
        <v>23808.23</v>
      </c>
      <c r="L385" s="11"/>
      <c r="M385" s="11">
        <v>23808.23</v>
      </c>
      <c r="N385" s="11"/>
      <c r="O385" s="11" t="s">
        <v>50</v>
      </c>
    </row>
    <row r="386" spans="1:15" s="13" customFormat="1" ht="19.5" customHeight="1" x14ac:dyDescent="0.25">
      <c r="A386" s="11" t="s">
        <v>1251</v>
      </c>
      <c r="B386" s="11" t="s">
        <v>1251</v>
      </c>
      <c r="C386" s="12">
        <v>46080</v>
      </c>
      <c r="D386" s="12">
        <v>46110</v>
      </c>
      <c r="E386" s="11" t="s">
        <v>6</v>
      </c>
      <c r="F386" s="11" t="s">
        <v>1252</v>
      </c>
      <c r="G386" s="11" t="s">
        <v>1251</v>
      </c>
      <c r="H386" s="11"/>
      <c r="I386" s="11" t="s">
        <v>49</v>
      </c>
      <c r="J386" s="11">
        <v>97.35</v>
      </c>
      <c r="K386" s="11">
        <v>97.35</v>
      </c>
      <c r="L386" s="11"/>
      <c r="M386" s="11">
        <v>97.35</v>
      </c>
      <c r="N386" s="11"/>
      <c r="O386" s="11" t="s">
        <v>50</v>
      </c>
    </row>
    <row r="387" spans="1:15" s="13" customFormat="1" ht="19.5" customHeight="1" x14ac:dyDescent="0.25">
      <c r="A387" s="11" t="s">
        <v>1253</v>
      </c>
      <c r="B387" s="11" t="s">
        <v>1254</v>
      </c>
      <c r="C387" s="12">
        <v>46080</v>
      </c>
      <c r="D387" s="12">
        <v>46080</v>
      </c>
      <c r="E387" s="11" t="s">
        <v>6</v>
      </c>
      <c r="F387" s="11" t="s">
        <v>1255</v>
      </c>
      <c r="G387" s="11" t="s">
        <v>1254</v>
      </c>
      <c r="H387" s="11" t="s">
        <v>762</v>
      </c>
      <c r="I387" s="11" t="s">
        <v>49</v>
      </c>
      <c r="J387" s="11">
        <v>124.64</v>
      </c>
      <c r="K387" s="11">
        <v>124.64</v>
      </c>
      <c r="L387" s="11"/>
      <c r="M387" s="11">
        <v>124.64</v>
      </c>
      <c r="N387" s="11" t="s">
        <v>1256</v>
      </c>
      <c r="O387" s="11" t="s">
        <v>50</v>
      </c>
    </row>
    <row r="388" spans="1:15" s="13" customFormat="1" ht="19.5" customHeight="1" x14ac:dyDescent="0.25">
      <c r="A388" s="11" t="s">
        <v>1257</v>
      </c>
      <c r="B388" s="11" t="s">
        <v>1258</v>
      </c>
      <c r="C388" s="12">
        <v>46080</v>
      </c>
      <c r="D388" s="12">
        <v>46080</v>
      </c>
      <c r="E388" s="11" t="s">
        <v>6</v>
      </c>
      <c r="F388" s="11" t="s">
        <v>1259</v>
      </c>
      <c r="G388" s="11" t="s">
        <v>1258</v>
      </c>
      <c r="H388" s="11" t="s">
        <v>762</v>
      </c>
      <c r="I388" s="11" t="s">
        <v>49</v>
      </c>
      <c r="J388" s="11">
        <v>128.63</v>
      </c>
      <c r="K388" s="11">
        <v>128.63</v>
      </c>
      <c r="L388" s="11"/>
      <c r="M388" s="11">
        <v>128.63</v>
      </c>
      <c r="N388" s="11" t="s">
        <v>1260</v>
      </c>
      <c r="O388" s="11" t="s">
        <v>50</v>
      </c>
    </row>
    <row r="389" spans="1:15" s="13" customFormat="1" ht="19.5" customHeight="1" x14ac:dyDescent="0.25">
      <c r="A389" s="11" t="s">
        <v>1261</v>
      </c>
      <c r="B389" s="11" t="s">
        <v>1262</v>
      </c>
      <c r="C389" s="12">
        <v>46080</v>
      </c>
      <c r="D389" s="12">
        <v>46080</v>
      </c>
      <c r="E389" s="11" t="s">
        <v>6</v>
      </c>
      <c r="F389" s="11" t="s">
        <v>1263</v>
      </c>
      <c r="G389" s="11" t="s">
        <v>1262</v>
      </c>
      <c r="H389" s="11" t="s">
        <v>762</v>
      </c>
      <c r="I389" s="11" t="s">
        <v>49</v>
      </c>
      <c r="J389" s="11">
        <v>219.6</v>
      </c>
      <c r="K389" s="11">
        <v>219.6</v>
      </c>
      <c r="L389" s="11"/>
      <c r="M389" s="11">
        <v>219.6</v>
      </c>
      <c r="N389" s="11"/>
      <c r="O389" s="11" t="s">
        <v>50</v>
      </c>
    </row>
    <row r="390" spans="1:15" s="13" customFormat="1" ht="19.5" customHeight="1" x14ac:dyDescent="0.25">
      <c r="A390" s="11" t="s">
        <v>1264</v>
      </c>
      <c r="B390" s="11" t="s">
        <v>1265</v>
      </c>
      <c r="C390" s="12">
        <v>46080</v>
      </c>
      <c r="D390" s="12">
        <v>46080</v>
      </c>
      <c r="E390" s="11" t="s">
        <v>6</v>
      </c>
      <c r="F390" s="11" t="s">
        <v>1266</v>
      </c>
      <c r="G390" s="11" t="s">
        <v>1265</v>
      </c>
      <c r="H390" s="11" t="s">
        <v>762</v>
      </c>
      <c r="I390" s="11" t="s">
        <v>49</v>
      </c>
      <c r="J390" s="11">
        <v>51.75</v>
      </c>
      <c r="K390" s="11">
        <v>51.75</v>
      </c>
      <c r="L390" s="11"/>
      <c r="M390" s="11">
        <v>51.75</v>
      </c>
      <c r="N390" s="11" t="s">
        <v>1267</v>
      </c>
      <c r="O390" s="11" t="s">
        <v>50</v>
      </c>
    </row>
    <row r="391" spans="1:15" s="13" customFormat="1" ht="19.5" customHeight="1" x14ac:dyDescent="0.25">
      <c r="A391" s="11" t="s">
        <v>1268</v>
      </c>
      <c r="B391" s="11" t="s">
        <v>1269</v>
      </c>
      <c r="C391" s="12">
        <v>46080</v>
      </c>
      <c r="D391" s="12">
        <v>46080</v>
      </c>
      <c r="E391" s="11" t="s">
        <v>6</v>
      </c>
      <c r="F391" s="11" t="s">
        <v>1270</v>
      </c>
      <c r="G391" s="11" t="s">
        <v>1269</v>
      </c>
      <c r="H391" s="11" t="s">
        <v>1271</v>
      </c>
      <c r="I391" s="11" t="s">
        <v>49</v>
      </c>
      <c r="J391" s="11">
        <v>54.4</v>
      </c>
      <c r="K391" s="11">
        <v>54.4</v>
      </c>
      <c r="L391" s="11"/>
      <c r="M391" s="11">
        <v>54.4</v>
      </c>
      <c r="N391" s="11" t="s">
        <v>1272</v>
      </c>
      <c r="O391" s="11" t="s">
        <v>50</v>
      </c>
    </row>
    <row r="392" spans="1:15" s="13" customFormat="1" ht="19.5" customHeight="1" x14ac:dyDescent="0.25">
      <c r="A392" s="11" t="s">
        <v>1273</v>
      </c>
      <c r="B392" s="11" t="s">
        <v>1274</v>
      </c>
      <c r="C392" s="12">
        <v>46080</v>
      </c>
      <c r="D392" s="12">
        <v>46080</v>
      </c>
      <c r="E392" s="11" t="s">
        <v>6</v>
      </c>
      <c r="F392" s="11" t="s">
        <v>1275</v>
      </c>
      <c r="G392" s="11" t="s">
        <v>1274</v>
      </c>
      <c r="H392" s="11" t="s">
        <v>762</v>
      </c>
      <c r="I392" s="11" t="s">
        <v>49</v>
      </c>
      <c r="J392" s="11">
        <v>257.3</v>
      </c>
      <c r="K392" s="11">
        <v>257.3</v>
      </c>
      <c r="L392" s="11"/>
      <c r="M392" s="11">
        <v>257.3</v>
      </c>
      <c r="N392" s="11"/>
      <c r="O392" s="11" t="s">
        <v>50</v>
      </c>
    </row>
    <row r="393" spans="1:15" s="13" customFormat="1" ht="19.5" customHeight="1" x14ac:dyDescent="0.25">
      <c r="A393" s="11" t="s">
        <v>1276</v>
      </c>
      <c r="B393" s="11" t="s">
        <v>1276</v>
      </c>
      <c r="C393" s="12">
        <v>46080</v>
      </c>
      <c r="D393" s="12">
        <v>46110</v>
      </c>
      <c r="E393" s="11" t="s">
        <v>6</v>
      </c>
      <c r="F393" s="11" t="s">
        <v>1277</v>
      </c>
      <c r="G393" s="11" t="s">
        <v>1276</v>
      </c>
      <c r="H393" s="11"/>
      <c r="I393" s="11" t="s">
        <v>49</v>
      </c>
      <c r="J393" s="11">
        <v>195.44</v>
      </c>
      <c r="K393" s="11">
        <v>195.44</v>
      </c>
      <c r="L393" s="11"/>
      <c r="M393" s="11">
        <v>195.44</v>
      </c>
      <c r="N393" s="11"/>
      <c r="O393" s="11" t="s">
        <v>50</v>
      </c>
    </row>
    <row r="394" spans="1:15" s="13" customFormat="1" ht="19.5" customHeight="1" x14ac:dyDescent="0.25">
      <c r="A394" s="11" t="s">
        <v>1278</v>
      </c>
      <c r="B394" s="11" t="s">
        <v>1278</v>
      </c>
      <c r="C394" s="12">
        <v>46079</v>
      </c>
      <c r="D394" s="12">
        <v>46124</v>
      </c>
      <c r="E394" s="11" t="s">
        <v>6</v>
      </c>
      <c r="F394" s="11" t="s">
        <v>588</v>
      </c>
      <c r="G394" s="11" t="s">
        <v>1278</v>
      </c>
      <c r="H394" s="11"/>
      <c r="I394" s="11" t="s">
        <v>49</v>
      </c>
      <c r="J394" s="11">
        <v>1997.16</v>
      </c>
      <c r="K394" s="11">
        <v>1997.16</v>
      </c>
      <c r="L394" s="11"/>
      <c r="M394" s="11">
        <v>1997.16</v>
      </c>
      <c r="N394" s="11"/>
      <c r="O394" s="11" t="s">
        <v>50</v>
      </c>
    </row>
    <row r="395" spans="1:15" s="13" customFormat="1" ht="19.5" customHeight="1" x14ac:dyDescent="0.25">
      <c r="A395" s="11" t="s">
        <v>1278</v>
      </c>
      <c r="B395" s="11" t="s">
        <v>1278</v>
      </c>
      <c r="C395" s="12">
        <v>46079</v>
      </c>
      <c r="D395" s="12">
        <v>46131</v>
      </c>
      <c r="E395" s="11" t="s">
        <v>6</v>
      </c>
      <c r="F395" s="11" t="s">
        <v>588</v>
      </c>
      <c r="G395" s="11" t="s">
        <v>1278</v>
      </c>
      <c r="H395" s="11"/>
      <c r="I395" s="11" t="s">
        <v>49</v>
      </c>
      <c r="J395" s="11">
        <v>1997.16</v>
      </c>
      <c r="K395" s="11">
        <v>1997.16</v>
      </c>
      <c r="L395" s="11"/>
      <c r="M395" s="11">
        <v>1997.16</v>
      </c>
      <c r="N395" s="11"/>
      <c r="O395" s="11" t="s">
        <v>50</v>
      </c>
    </row>
    <row r="396" spans="1:15" s="13" customFormat="1" ht="19.5" customHeight="1" x14ac:dyDescent="0.25">
      <c r="A396" s="11" t="s">
        <v>1278</v>
      </c>
      <c r="B396" s="11" t="s">
        <v>1278</v>
      </c>
      <c r="C396" s="12">
        <v>46079</v>
      </c>
      <c r="D396" s="12">
        <v>46138</v>
      </c>
      <c r="E396" s="11" t="s">
        <v>6</v>
      </c>
      <c r="F396" s="11" t="s">
        <v>588</v>
      </c>
      <c r="G396" s="11" t="s">
        <v>1278</v>
      </c>
      <c r="H396" s="11"/>
      <c r="I396" s="11" t="s">
        <v>49</v>
      </c>
      <c r="J396" s="11">
        <v>1997.16</v>
      </c>
      <c r="K396" s="11">
        <v>1997.16</v>
      </c>
      <c r="L396" s="11"/>
      <c r="M396" s="11">
        <v>1997.16</v>
      </c>
      <c r="N396" s="11"/>
      <c r="O396" s="11" t="s">
        <v>50</v>
      </c>
    </row>
    <row r="397" spans="1:15" s="13" customFormat="1" ht="19.5" customHeight="1" x14ac:dyDescent="0.25">
      <c r="A397" s="11" t="s">
        <v>1278</v>
      </c>
      <c r="B397" s="11" t="s">
        <v>1278</v>
      </c>
      <c r="C397" s="12">
        <v>46079</v>
      </c>
      <c r="D397" s="12">
        <v>46145</v>
      </c>
      <c r="E397" s="11" t="s">
        <v>6</v>
      </c>
      <c r="F397" s="11" t="s">
        <v>588</v>
      </c>
      <c r="G397" s="11" t="s">
        <v>1278</v>
      </c>
      <c r="H397" s="11"/>
      <c r="I397" s="11" t="s">
        <v>49</v>
      </c>
      <c r="J397" s="11">
        <v>1997.16</v>
      </c>
      <c r="K397" s="11">
        <v>1997.16</v>
      </c>
      <c r="L397" s="11"/>
      <c r="M397" s="11">
        <v>1997.16</v>
      </c>
      <c r="N397" s="11"/>
      <c r="O397" s="11" t="s">
        <v>50</v>
      </c>
    </row>
    <row r="398" spans="1:15" s="13" customFormat="1" ht="19.5" customHeight="1" x14ac:dyDescent="0.25">
      <c r="A398" s="11" t="s">
        <v>1278</v>
      </c>
      <c r="B398" s="11" t="s">
        <v>1278</v>
      </c>
      <c r="C398" s="12">
        <v>46079</v>
      </c>
      <c r="D398" s="12">
        <v>46152</v>
      </c>
      <c r="E398" s="11" t="s">
        <v>6</v>
      </c>
      <c r="F398" s="11" t="s">
        <v>588</v>
      </c>
      <c r="G398" s="11" t="s">
        <v>1278</v>
      </c>
      <c r="H398" s="11"/>
      <c r="I398" s="11" t="s">
        <v>49</v>
      </c>
      <c r="J398" s="11">
        <v>1997.16</v>
      </c>
      <c r="K398" s="11">
        <v>1997.16</v>
      </c>
      <c r="L398" s="11"/>
      <c r="M398" s="11">
        <v>1997.16</v>
      </c>
      <c r="N398" s="11"/>
      <c r="O398" s="11" t="s">
        <v>50</v>
      </c>
    </row>
    <row r="399" spans="1:15" s="13" customFormat="1" ht="19.5" customHeight="1" x14ac:dyDescent="0.25">
      <c r="A399" s="11" t="s">
        <v>1278</v>
      </c>
      <c r="B399" s="11" t="s">
        <v>1278</v>
      </c>
      <c r="C399" s="12">
        <v>46079</v>
      </c>
      <c r="D399" s="12">
        <v>46169</v>
      </c>
      <c r="E399" s="11" t="s">
        <v>6</v>
      </c>
      <c r="F399" s="11" t="s">
        <v>588</v>
      </c>
      <c r="G399" s="11" t="s">
        <v>1278</v>
      </c>
      <c r="H399" s="11"/>
      <c r="I399" s="11" t="s">
        <v>49</v>
      </c>
      <c r="J399" s="11">
        <v>2001.98</v>
      </c>
      <c r="K399" s="11">
        <v>2001.98</v>
      </c>
      <c r="L399" s="11"/>
      <c r="M399" s="11">
        <v>2001.98</v>
      </c>
      <c r="N399" s="11"/>
      <c r="O399" s="11" t="s">
        <v>50</v>
      </c>
    </row>
    <row r="400" spans="1:15" s="13" customFormat="1" ht="19.5" customHeight="1" x14ac:dyDescent="0.25">
      <c r="A400" s="11" t="s">
        <v>1279</v>
      </c>
      <c r="B400" s="11" t="s">
        <v>1279</v>
      </c>
      <c r="C400" s="12">
        <v>46079</v>
      </c>
      <c r="D400" s="12">
        <v>46124</v>
      </c>
      <c r="E400" s="11" t="s">
        <v>6</v>
      </c>
      <c r="F400" s="11" t="s">
        <v>598</v>
      </c>
      <c r="G400" s="11" t="s">
        <v>1279</v>
      </c>
      <c r="H400" s="11"/>
      <c r="I400" s="11" t="s">
        <v>49</v>
      </c>
      <c r="J400" s="11">
        <v>7526.9</v>
      </c>
      <c r="K400" s="11">
        <v>7526.9</v>
      </c>
      <c r="L400" s="11"/>
      <c r="M400" s="11">
        <v>7526.9</v>
      </c>
      <c r="N400" s="11"/>
      <c r="O400" s="11" t="s">
        <v>50</v>
      </c>
    </row>
    <row r="401" spans="1:15" s="13" customFormat="1" ht="19.5" customHeight="1" x14ac:dyDescent="0.25">
      <c r="A401" s="11" t="s">
        <v>1279</v>
      </c>
      <c r="B401" s="11" t="s">
        <v>1279</v>
      </c>
      <c r="C401" s="12">
        <v>46079</v>
      </c>
      <c r="D401" s="12">
        <v>46134</v>
      </c>
      <c r="E401" s="11" t="s">
        <v>6</v>
      </c>
      <c r="F401" s="11" t="s">
        <v>598</v>
      </c>
      <c r="G401" s="11" t="s">
        <v>1279</v>
      </c>
      <c r="H401" s="11"/>
      <c r="I401" s="11" t="s">
        <v>49</v>
      </c>
      <c r="J401" s="11">
        <v>7526.9</v>
      </c>
      <c r="K401" s="11">
        <v>7526.9</v>
      </c>
      <c r="L401" s="11"/>
      <c r="M401" s="11">
        <v>7526.9</v>
      </c>
      <c r="N401" s="11"/>
      <c r="O401" s="11" t="s">
        <v>50</v>
      </c>
    </row>
    <row r="402" spans="1:15" s="13" customFormat="1" ht="19.5" customHeight="1" x14ac:dyDescent="0.25">
      <c r="A402" s="11" t="s">
        <v>1279</v>
      </c>
      <c r="B402" s="11" t="s">
        <v>1279</v>
      </c>
      <c r="C402" s="12">
        <v>46079</v>
      </c>
      <c r="D402" s="12">
        <v>46144</v>
      </c>
      <c r="E402" s="11" t="s">
        <v>6</v>
      </c>
      <c r="F402" s="11" t="s">
        <v>598</v>
      </c>
      <c r="G402" s="11" t="s">
        <v>1279</v>
      </c>
      <c r="H402" s="11"/>
      <c r="I402" s="11" t="s">
        <v>49</v>
      </c>
      <c r="J402" s="11">
        <v>7526.9</v>
      </c>
      <c r="K402" s="11">
        <v>7526.9</v>
      </c>
      <c r="L402" s="11"/>
      <c r="M402" s="11">
        <v>7526.9</v>
      </c>
      <c r="N402" s="11"/>
      <c r="O402" s="11" t="s">
        <v>50</v>
      </c>
    </row>
    <row r="403" spans="1:15" s="13" customFormat="1" ht="19.5" customHeight="1" x14ac:dyDescent="0.25">
      <c r="A403" s="11" t="s">
        <v>1279</v>
      </c>
      <c r="B403" s="11" t="s">
        <v>1279</v>
      </c>
      <c r="C403" s="12">
        <v>46079</v>
      </c>
      <c r="D403" s="12">
        <v>46154</v>
      </c>
      <c r="E403" s="11" t="s">
        <v>6</v>
      </c>
      <c r="F403" s="11" t="s">
        <v>598</v>
      </c>
      <c r="G403" s="11" t="s">
        <v>1279</v>
      </c>
      <c r="H403" s="11"/>
      <c r="I403" s="11" t="s">
        <v>49</v>
      </c>
      <c r="J403" s="11">
        <v>7526.91</v>
      </c>
      <c r="K403" s="11">
        <v>7526.91</v>
      </c>
      <c r="L403" s="11"/>
      <c r="M403" s="11">
        <v>7526.91</v>
      </c>
      <c r="N403" s="11"/>
      <c r="O403" s="11" t="s">
        <v>50</v>
      </c>
    </row>
    <row r="404" spans="1:15" s="13" customFormat="1" ht="19.5" customHeight="1" x14ac:dyDescent="0.25">
      <c r="A404" s="11" t="s">
        <v>1280</v>
      </c>
      <c r="B404" s="11" t="s">
        <v>1280</v>
      </c>
      <c r="C404" s="12">
        <v>46079</v>
      </c>
      <c r="D404" s="12">
        <v>46079</v>
      </c>
      <c r="E404" s="11" t="s">
        <v>6</v>
      </c>
      <c r="F404" s="11" t="s">
        <v>74</v>
      </c>
      <c r="G404" s="11" t="s">
        <v>1280</v>
      </c>
      <c r="H404" s="11"/>
      <c r="I404" s="11" t="s">
        <v>49</v>
      </c>
      <c r="J404" s="11">
        <v>101</v>
      </c>
      <c r="K404" s="11">
        <v>101</v>
      </c>
      <c r="L404" s="11"/>
      <c r="M404" s="11">
        <v>101</v>
      </c>
      <c r="N404" s="11"/>
      <c r="O404" s="11" t="s">
        <v>75</v>
      </c>
    </row>
    <row r="405" spans="1:15" s="13" customFormat="1" ht="19.5" customHeight="1" x14ac:dyDescent="0.25">
      <c r="A405" s="11" t="s">
        <v>1281</v>
      </c>
      <c r="B405" s="11" t="s">
        <v>1281</v>
      </c>
      <c r="C405" s="12">
        <v>46079</v>
      </c>
      <c r="D405" s="12">
        <v>46079</v>
      </c>
      <c r="E405" s="11" t="s">
        <v>6</v>
      </c>
      <c r="F405" s="11" t="s">
        <v>1282</v>
      </c>
      <c r="G405" s="11" t="s">
        <v>1281</v>
      </c>
      <c r="H405" s="11"/>
      <c r="I405" s="11" t="s">
        <v>49</v>
      </c>
      <c r="J405" s="11">
        <v>295</v>
      </c>
      <c r="K405" s="11">
        <v>295</v>
      </c>
      <c r="L405" s="11"/>
      <c r="M405" s="11">
        <v>295</v>
      </c>
      <c r="N405" s="11"/>
      <c r="O405" s="11" t="s">
        <v>50</v>
      </c>
    </row>
    <row r="406" spans="1:15" s="13" customFormat="1" ht="19.5" customHeight="1" x14ac:dyDescent="0.25">
      <c r="A406" s="11" t="s">
        <v>1283</v>
      </c>
      <c r="B406" s="11" t="s">
        <v>1284</v>
      </c>
      <c r="C406" s="12">
        <v>46079</v>
      </c>
      <c r="D406" s="12">
        <v>46079</v>
      </c>
      <c r="E406" s="11" t="s">
        <v>6</v>
      </c>
      <c r="F406" s="11" t="s">
        <v>1285</v>
      </c>
      <c r="G406" s="11" t="s">
        <v>1284</v>
      </c>
      <c r="H406" s="11" t="s">
        <v>1286</v>
      </c>
      <c r="I406" s="11" t="s">
        <v>49</v>
      </c>
      <c r="J406" s="11">
        <v>53.91</v>
      </c>
      <c r="K406" s="11">
        <v>53.91</v>
      </c>
      <c r="L406" s="11"/>
      <c r="M406" s="11">
        <v>53.91</v>
      </c>
      <c r="N406" s="11" t="s">
        <v>1287</v>
      </c>
      <c r="O406" s="11" t="s">
        <v>50</v>
      </c>
    </row>
    <row r="407" spans="1:15" s="13" customFormat="1" ht="19.5" customHeight="1" x14ac:dyDescent="0.25">
      <c r="A407" s="11" t="s">
        <v>1288</v>
      </c>
      <c r="B407" s="11" t="s">
        <v>1289</v>
      </c>
      <c r="C407" s="12">
        <v>46079</v>
      </c>
      <c r="D407" s="12">
        <v>46079</v>
      </c>
      <c r="E407" s="11" t="s">
        <v>6</v>
      </c>
      <c r="F407" s="11" t="s">
        <v>1290</v>
      </c>
      <c r="G407" s="11" t="s">
        <v>1289</v>
      </c>
      <c r="H407" s="11" t="s">
        <v>1291</v>
      </c>
      <c r="I407" s="11" t="s">
        <v>49</v>
      </c>
      <c r="J407" s="11">
        <v>81.510000000000005</v>
      </c>
      <c r="K407" s="11">
        <v>81.510000000000005</v>
      </c>
      <c r="L407" s="11"/>
      <c r="M407" s="11">
        <v>81.510000000000005</v>
      </c>
      <c r="N407" s="11" t="s">
        <v>1292</v>
      </c>
      <c r="O407" s="11" t="s">
        <v>50</v>
      </c>
    </row>
    <row r="408" spans="1:15" s="13" customFormat="1" ht="19.5" customHeight="1" x14ac:dyDescent="0.25">
      <c r="A408" s="11" t="s">
        <v>1293</v>
      </c>
      <c r="B408" s="11" t="s">
        <v>1294</v>
      </c>
      <c r="C408" s="12">
        <v>46079</v>
      </c>
      <c r="D408" s="12">
        <v>46079</v>
      </c>
      <c r="E408" s="11" t="s">
        <v>6</v>
      </c>
      <c r="F408" s="11" t="s">
        <v>1295</v>
      </c>
      <c r="G408" s="11" t="s">
        <v>1294</v>
      </c>
      <c r="H408" s="11" t="s">
        <v>1296</v>
      </c>
      <c r="I408" s="11" t="s">
        <v>49</v>
      </c>
      <c r="J408" s="11">
        <v>372.2</v>
      </c>
      <c r="K408" s="11">
        <v>372.2</v>
      </c>
      <c r="L408" s="11"/>
      <c r="M408" s="11">
        <v>372.2</v>
      </c>
      <c r="N408" s="11" t="s">
        <v>1297</v>
      </c>
      <c r="O408" s="11" t="s">
        <v>50</v>
      </c>
    </row>
    <row r="409" spans="1:15" s="13" customFormat="1" ht="19.5" customHeight="1" x14ac:dyDescent="0.25">
      <c r="A409" s="11" t="s">
        <v>1298</v>
      </c>
      <c r="B409" s="11" t="s">
        <v>1299</v>
      </c>
      <c r="C409" s="12">
        <v>46079</v>
      </c>
      <c r="D409" s="12">
        <v>46079</v>
      </c>
      <c r="E409" s="11" t="s">
        <v>6</v>
      </c>
      <c r="F409" s="11" t="s">
        <v>1300</v>
      </c>
      <c r="G409" s="11" t="s">
        <v>1299</v>
      </c>
      <c r="H409" s="11" t="s">
        <v>762</v>
      </c>
      <c r="I409" s="11" t="s">
        <v>49</v>
      </c>
      <c r="J409" s="11">
        <v>86.4</v>
      </c>
      <c r="K409" s="11">
        <v>86.4</v>
      </c>
      <c r="L409" s="11"/>
      <c r="M409" s="11">
        <v>86.4</v>
      </c>
      <c r="N409" s="11" t="s">
        <v>1301</v>
      </c>
      <c r="O409" s="11" t="s">
        <v>50</v>
      </c>
    </row>
    <row r="410" spans="1:15" s="13" customFormat="1" ht="19.5" customHeight="1" x14ac:dyDescent="0.25">
      <c r="A410" s="11" t="s">
        <v>1302</v>
      </c>
      <c r="B410" s="11" t="s">
        <v>1303</v>
      </c>
      <c r="C410" s="12">
        <v>46079</v>
      </c>
      <c r="D410" s="12">
        <v>46079</v>
      </c>
      <c r="E410" s="11" t="s">
        <v>6</v>
      </c>
      <c r="F410" s="11" t="s">
        <v>1304</v>
      </c>
      <c r="G410" s="11" t="s">
        <v>1303</v>
      </c>
      <c r="H410" s="11" t="s">
        <v>762</v>
      </c>
      <c r="I410" s="11" t="s">
        <v>49</v>
      </c>
      <c r="J410" s="11">
        <v>109.8</v>
      </c>
      <c r="K410" s="11">
        <v>109.8</v>
      </c>
      <c r="L410" s="11"/>
      <c r="M410" s="11">
        <v>109.8</v>
      </c>
      <c r="N410" s="11" t="s">
        <v>1305</v>
      </c>
      <c r="O410" s="11" t="s">
        <v>50</v>
      </c>
    </row>
    <row r="411" spans="1:15" s="13" customFormat="1" ht="19.5" customHeight="1" x14ac:dyDescent="0.25">
      <c r="A411" s="11" t="s">
        <v>1306</v>
      </c>
      <c r="B411" s="11" t="s">
        <v>1307</v>
      </c>
      <c r="C411" s="12">
        <v>46078</v>
      </c>
      <c r="D411" s="12">
        <v>46078</v>
      </c>
      <c r="E411" s="11" t="s">
        <v>6</v>
      </c>
      <c r="F411" s="11" t="s">
        <v>64</v>
      </c>
      <c r="G411" s="11" t="s">
        <v>1308</v>
      </c>
      <c r="H411" s="11" t="s">
        <v>1309</v>
      </c>
      <c r="I411" s="11" t="s">
        <v>49</v>
      </c>
      <c r="J411" s="11">
        <v>-63581.21</v>
      </c>
      <c r="K411" s="11"/>
      <c r="L411" s="11">
        <v>63581.21</v>
      </c>
      <c r="M411" s="11">
        <v>-63581.21</v>
      </c>
      <c r="N411" s="11"/>
      <c r="O411" s="11" t="s">
        <v>75</v>
      </c>
    </row>
    <row r="412" spans="1:15" s="13" customFormat="1" ht="19.5" customHeight="1" x14ac:dyDescent="0.25">
      <c r="A412" s="11" t="s">
        <v>1310</v>
      </c>
      <c r="B412" s="11" t="s">
        <v>1311</v>
      </c>
      <c r="C412" s="12">
        <v>46078</v>
      </c>
      <c r="D412" s="12">
        <v>46078</v>
      </c>
      <c r="E412" s="11" t="s">
        <v>6</v>
      </c>
      <c r="F412" s="11" t="s">
        <v>843</v>
      </c>
      <c r="G412" s="11" t="s">
        <v>1312</v>
      </c>
      <c r="H412" s="11" t="s">
        <v>1313</v>
      </c>
      <c r="I412" s="11" t="s">
        <v>49</v>
      </c>
      <c r="J412" s="11">
        <v>-151104.24</v>
      </c>
      <c r="K412" s="11"/>
      <c r="L412" s="11">
        <v>151104.24</v>
      </c>
      <c r="M412" s="11">
        <v>-151104.24</v>
      </c>
      <c r="N412" s="11"/>
      <c r="O412" s="11" t="s">
        <v>75</v>
      </c>
    </row>
    <row r="413" spans="1:15" s="13" customFormat="1" ht="19.5" customHeight="1" x14ac:dyDescent="0.25">
      <c r="A413" s="11" t="s">
        <v>1314</v>
      </c>
      <c r="B413" s="11" t="s">
        <v>1315</v>
      </c>
      <c r="C413" s="12">
        <v>46078</v>
      </c>
      <c r="D413" s="12">
        <v>46078</v>
      </c>
      <c r="E413" s="11" t="s">
        <v>6</v>
      </c>
      <c r="F413" s="11" t="s">
        <v>843</v>
      </c>
      <c r="G413" s="11" t="s">
        <v>1316</v>
      </c>
      <c r="H413" s="11" t="s">
        <v>1317</v>
      </c>
      <c r="I413" s="11" t="s">
        <v>49</v>
      </c>
      <c r="J413" s="11">
        <v>-42404.4</v>
      </c>
      <c r="K413" s="11"/>
      <c r="L413" s="11">
        <v>42404.4</v>
      </c>
      <c r="M413" s="11">
        <v>-42404.4</v>
      </c>
      <c r="N413" s="11"/>
      <c r="O413" s="11" t="s">
        <v>75</v>
      </c>
    </row>
    <row r="414" spans="1:15" s="13" customFormat="1" ht="19.5" customHeight="1" x14ac:dyDescent="0.25">
      <c r="A414" s="11" t="s">
        <v>1318</v>
      </c>
      <c r="B414" s="11" t="s">
        <v>1318</v>
      </c>
      <c r="C414" s="12">
        <v>46078</v>
      </c>
      <c r="D414" s="12">
        <v>46123</v>
      </c>
      <c r="E414" s="11" t="s">
        <v>6</v>
      </c>
      <c r="F414" s="11" t="s">
        <v>662</v>
      </c>
      <c r="G414" s="11" t="s">
        <v>1318</v>
      </c>
      <c r="H414" s="11"/>
      <c r="I414" s="11" t="s">
        <v>49</v>
      </c>
      <c r="J414" s="11">
        <v>2606.62</v>
      </c>
      <c r="K414" s="11">
        <v>2606.62</v>
      </c>
      <c r="L414" s="11"/>
      <c r="M414" s="11">
        <v>2606.62</v>
      </c>
      <c r="N414" s="11" t="s">
        <v>1319</v>
      </c>
      <c r="O414" s="11" t="s">
        <v>50</v>
      </c>
    </row>
    <row r="415" spans="1:15" s="13" customFormat="1" ht="19.5" customHeight="1" x14ac:dyDescent="0.25">
      <c r="A415" s="11" t="s">
        <v>1320</v>
      </c>
      <c r="B415" s="11" t="s">
        <v>1320</v>
      </c>
      <c r="C415" s="12">
        <v>46078</v>
      </c>
      <c r="D415" s="12">
        <v>46123</v>
      </c>
      <c r="E415" s="11" t="s">
        <v>6</v>
      </c>
      <c r="F415" s="11" t="s">
        <v>834</v>
      </c>
      <c r="G415" s="11" t="s">
        <v>1320</v>
      </c>
      <c r="H415" s="11"/>
      <c r="I415" s="11" t="s">
        <v>49</v>
      </c>
      <c r="J415" s="11">
        <v>3109.78</v>
      </c>
      <c r="K415" s="11">
        <v>3109.78</v>
      </c>
      <c r="L415" s="11"/>
      <c r="M415" s="11">
        <v>3109.78</v>
      </c>
      <c r="N415" s="11"/>
      <c r="O415" s="11" t="s">
        <v>50</v>
      </c>
    </row>
    <row r="416" spans="1:15" s="13" customFormat="1" ht="19.5" customHeight="1" x14ac:dyDescent="0.25">
      <c r="A416" s="11" t="s">
        <v>1320</v>
      </c>
      <c r="B416" s="11" t="s">
        <v>1320</v>
      </c>
      <c r="C416" s="12">
        <v>46078</v>
      </c>
      <c r="D416" s="12">
        <v>46130</v>
      </c>
      <c r="E416" s="11" t="s">
        <v>6</v>
      </c>
      <c r="F416" s="11" t="s">
        <v>834</v>
      </c>
      <c r="G416" s="11" t="s">
        <v>1320</v>
      </c>
      <c r="H416" s="11"/>
      <c r="I416" s="11" t="s">
        <v>49</v>
      </c>
      <c r="J416" s="11">
        <v>3109.78</v>
      </c>
      <c r="K416" s="11">
        <v>3109.78</v>
      </c>
      <c r="L416" s="11"/>
      <c r="M416" s="11">
        <v>3109.78</v>
      </c>
      <c r="N416" s="11"/>
      <c r="O416" s="11" t="s">
        <v>50</v>
      </c>
    </row>
    <row r="417" spans="1:15" s="13" customFormat="1" ht="19.5" customHeight="1" x14ac:dyDescent="0.25">
      <c r="A417" s="11" t="s">
        <v>1320</v>
      </c>
      <c r="B417" s="11" t="s">
        <v>1320</v>
      </c>
      <c r="C417" s="12">
        <v>46078</v>
      </c>
      <c r="D417" s="12">
        <v>46137</v>
      </c>
      <c r="E417" s="11" t="s">
        <v>6</v>
      </c>
      <c r="F417" s="11" t="s">
        <v>834</v>
      </c>
      <c r="G417" s="11" t="s">
        <v>1320</v>
      </c>
      <c r="H417" s="11"/>
      <c r="I417" s="11" t="s">
        <v>49</v>
      </c>
      <c r="J417" s="11">
        <v>3109.78</v>
      </c>
      <c r="K417" s="11">
        <v>3109.78</v>
      </c>
      <c r="L417" s="11"/>
      <c r="M417" s="11">
        <v>3109.78</v>
      </c>
      <c r="N417" s="11"/>
      <c r="O417" s="11" t="s">
        <v>50</v>
      </c>
    </row>
    <row r="418" spans="1:15" s="13" customFormat="1" ht="19.5" customHeight="1" x14ac:dyDescent="0.25">
      <c r="A418" s="11" t="s">
        <v>1320</v>
      </c>
      <c r="B418" s="11" t="s">
        <v>1320</v>
      </c>
      <c r="C418" s="12">
        <v>46078</v>
      </c>
      <c r="D418" s="12">
        <v>46144</v>
      </c>
      <c r="E418" s="11" t="s">
        <v>6</v>
      </c>
      <c r="F418" s="11" t="s">
        <v>834</v>
      </c>
      <c r="G418" s="11" t="s">
        <v>1320</v>
      </c>
      <c r="H418" s="11"/>
      <c r="I418" s="11" t="s">
        <v>49</v>
      </c>
      <c r="J418" s="11">
        <v>3109.78</v>
      </c>
      <c r="K418" s="11">
        <v>3109.78</v>
      </c>
      <c r="L418" s="11"/>
      <c r="M418" s="11">
        <v>3109.78</v>
      </c>
      <c r="N418" s="11"/>
      <c r="O418" s="11" t="s">
        <v>50</v>
      </c>
    </row>
    <row r="419" spans="1:15" s="13" customFormat="1" ht="19.5" customHeight="1" x14ac:dyDescent="0.25">
      <c r="A419" s="11" t="s">
        <v>1320</v>
      </c>
      <c r="B419" s="11" t="s">
        <v>1320</v>
      </c>
      <c r="C419" s="12">
        <v>46078</v>
      </c>
      <c r="D419" s="12">
        <v>46151</v>
      </c>
      <c r="E419" s="11" t="s">
        <v>6</v>
      </c>
      <c r="F419" s="11" t="s">
        <v>834</v>
      </c>
      <c r="G419" s="11" t="s">
        <v>1320</v>
      </c>
      <c r="H419" s="11"/>
      <c r="I419" s="11" t="s">
        <v>49</v>
      </c>
      <c r="J419" s="11">
        <v>3109.78</v>
      </c>
      <c r="K419" s="11">
        <v>3109.78</v>
      </c>
      <c r="L419" s="11"/>
      <c r="M419" s="11">
        <v>3109.78</v>
      </c>
      <c r="N419" s="11"/>
      <c r="O419" s="11" t="s">
        <v>50</v>
      </c>
    </row>
    <row r="420" spans="1:15" s="13" customFormat="1" ht="19.5" customHeight="1" x14ac:dyDescent="0.25">
      <c r="A420" s="11" t="s">
        <v>1320</v>
      </c>
      <c r="B420" s="11" t="s">
        <v>1320</v>
      </c>
      <c r="C420" s="12">
        <v>46078</v>
      </c>
      <c r="D420" s="12">
        <v>46168</v>
      </c>
      <c r="E420" s="11" t="s">
        <v>6</v>
      </c>
      <c r="F420" s="11" t="s">
        <v>834</v>
      </c>
      <c r="G420" s="11" t="s">
        <v>1320</v>
      </c>
      <c r="H420" s="11"/>
      <c r="I420" s="11" t="s">
        <v>49</v>
      </c>
      <c r="J420" s="11">
        <v>3117.24</v>
      </c>
      <c r="K420" s="11">
        <v>3117.24</v>
      </c>
      <c r="L420" s="11"/>
      <c r="M420" s="11">
        <v>3117.24</v>
      </c>
      <c r="N420" s="11"/>
      <c r="O420" s="11" t="s">
        <v>50</v>
      </c>
    </row>
    <row r="421" spans="1:15" s="13" customFormat="1" ht="19.5" customHeight="1" x14ac:dyDescent="0.25">
      <c r="A421" s="11" t="s">
        <v>1321</v>
      </c>
      <c r="B421" s="11" t="s">
        <v>1321</v>
      </c>
      <c r="C421" s="12">
        <v>46078</v>
      </c>
      <c r="D421" s="12">
        <v>46108</v>
      </c>
      <c r="E421" s="11" t="s">
        <v>6</v>
      </c>
      <c r="F421" s="11" t="s">
        <v>558</v>
      </c>
      <c r="G421" s="11" t="s">
        <v>1321</v>
      </c>
      <c r="H421" s="11"/>
      <c r="I421" s="11" t="s">
        <v>49</v>
      </c>
      <c r="J421" s="11">
        <v>815.97</v>
      </c>
      <c r="K421" s="11">
        <v>815.97</v>
      </c>
      <c r="L421" s="11"/>
      <c r="M421" s="11">
        <v>815.97</v>
      </c>
      <c r="N421" s="11" t="s">
        <v>1322</v>
      </c>
      <c r="O421" s="11" t="s">
        <v>50</v>
      </c>
    </row>
    <row r="422" spans="1:15" s="13" customFormat="1" ht="19.5" customHeight="1" x14ac:dyDescent="0.25">
      <c r="A422" s="11" t="s">
        <v>1323</v>
      </c>
      <c r="B422" s="11" t="s">
        <v>1323</v>
      </c>
      <c r="C422" s="12">
        <v>46078</v>
      </c>
      <c r="D422" s="12">
        <v>46108</v>
      </c>
      <c r="E422" s="11" t="s">
        <v>6</v>
      </c>
      <c r="F422" s="11" t="s">
        <v>1324</v>
      </c>
      <c r="G422" s="11" t="s">
        <v>1323</v>
      </c>
      <c r="H422" s="11"/>
      <c r="I422" s="11" t="s">
        <v>49</v>
      </c>
      <c r="J422" s="11">
        <v>16264.33</v>
      </c>
      <c r="K422" s="11">
        <v>16264.33</v>
      </c>
      <c r="L422" s="11"/>
      <c r="M422" s="11">
        <v>16264.33</v>
      </c>
      <c r="N422" s="11" t="s">
        <v>1325</v>
      </c>
      <c r="O422" s="11" t="s">
        <v>50</v>
      </c>
    </row>
    <row r="423" spans="1:15" s="13" customFormat="1" ht="19.5" customHeight="1" x14ac:dyDescent="0.25">
      <c r="A423" s="11" t="s">
        <v>1326</v>
      </c>
      <c r="B423" s="11" t="s">
        <v>1326</v>
      </c>
      <c r="C423" s="12">
        <v>46078</v>
      </c>
      <c r="D423" s="12">
        <v>46123</v>
      </c>
      <c r="E423" s="11" t="s">
        <v>6</v>
      </c>
      <c r="F423" s="11" t="s">
        <v>194</v>
      </c>
      <c r="G423" s="11" t="s">
        <v>1326</v>
      </c>
      <c r="H423" s="11"/>
      <c r="I423" s="11" t="s">
        <v>49</v>
      </c>
      <c r="J423" s="11">
        <v>1424.14</v>
      </c>
      <c r="K423" s="11">
        <v>1424.14</v>
      </c>
      <c r="L423" s="11"/>
      <c r="M423" s="11">
        <v>1424.14</v>
      </c>
      <c r="N423" s="11" t="s">
        <v>1327</v>
      </c>
      <c r="O423" s="11" t="s">
        <v>50</v>
      </c>
    </row>
    <row r="424" spans="1:15" s="13" customFormat="1" ht="19.5" customHeight="1" x14ac:dyDescent="0.25">
      <c r="A424" s="11" t="s">
        <v>1328</v>
      </c>
      <c r="B424" s="11" t="s">
        <v>1328</v>
      </c>
      <c r="C424" s="12">
        <v>46078</v>
      </c>
      <c r="D424" s="12">
        <v>46108</v>
      </c>
      <c r="E424" s="11" t="s">
        <v>6</v>
      </c>
      <c r="F424" s="11" t="s">
        <v>521</v>
      </c>
      <c r="G424" s="11" t="s">
        <v>1328</v>
      </c>
      <c r="H424" s="11"/>
      <c r="I424" s="11" t="s">
        <v>49</v>
      </c>
      <c r="J424" s="11">
        <v>1108.02</v>
      </c>
      <c r="K424" s="11">
        <v>1108.02</v>
      </c>
      <c r="L424" s="11"/>
      <c r="M424" s="11">
        <v>1108.02</v>
      </c>
      <c r="N424" s="11" t="s">
        <v>1329</v>
      </c>
      <c r="O424" s="11" t="s">
        <v>50</v>
      </c>
    </row>
    <row r="425" spans="1:15" s="13" customFormat="1" ht="19.5" customHeight="1" x14ac:dyDescent="0.25">
      <c r="A425" s="11" t="s">
        <v>1330</v>
      </c>
      <c r="B425" s="11" t="s">
        <v>1330</v>
      </c>
      <c r="C425" s="12">
        <v>46078</v>
      </c>
      <c r="D425" s="12">
        <v>46108</v>
      </c>
      <c r="E425" s="11" t="s">
        <v>6</v>
      </c>
      <c r="F425" s="11" t="s">
        <v>333</v>
      </c>
      <c r="G425" s="11" t="s">
        <v>1330</v>
      </c>
      <c r="H425" s="11"/>
      <c r="I425" s="11" t="s">
        <v>49</v>
      </c>
      <c r="J425" s="11">
        <v>1063.18</v>
      </c>
      <c r="K425" s="11">
        <v>1063.18</v>
      </c>
      <c r="L425" s="11"/>
      <c r="M425" s="11">
        <v>1063.18</v>
      </c>
      <c r="N425" s="11" t="s">
        <v>1331</v>
      </c>
      <c r="O425" s="11" t="s">
        <v>50</v>
      </c>
    </row>
    <row r="426" spans="1:15" s="13" customFormat="1" ht="19.5" customHeight="1" x14ac:dyDescent="0.25">
      <c r="A426" s="11" t="s">
        <v>1332</v>
      </c>
      <c r="B426" s="11" t="s">
        <v>1332</v>
      </c>
      <c r="C426" s="12">
        <v>46078</v>
      </c>
      <c r="D426" s="12">
        <v>46078</v>
      </c>
      <c r="E426" s="11" t="s">
        <v>6</v>
      </c>
      <c r="F426" s="11" t="s">
        <v>74</v>
      </c>
      <c r="G426" s="11" t="s">
        <v>1332</v>
      </c>
      <c r="H426" s="11"/>
      <c r="I426" s="11" t="s">
        <v>49</v>
      </c>
      <c r="J426" s="11">
        <v>100.2</v>
      </c>
      <c r="K426" s="11">
        <v>100.2</v>
      </c>
      <c r="L426" s="11"/>
      <c r="M426" s="11">
        <v>100.2</v>
      </c>
      <c r="N426" s="11" t="s">
        <v>1333</v>
      </c>
      <c r="O426" s="11" t="s">
        <v>75</v>
      </c>
    </row>
    <row r="427" spans="1:15" s="13" customFormat="1" ht="19.5" customHeight="1" x14ac:dyDescent="0.25">
      <c r="A427" s="11" t="s">
        <v>1334</v>
      </c>
      <c r="B427" s="11" t="s">
        <v>1334</v>
      </c>
      <c r="C427" s="12">
        <v>46078</v>
      </c>
      <c r="D427" s="12">
        <v>46108</v>
      </c>
      <c r="E427" s="11" t="s">
        <v>6</v>
      </c>
      <c r="F427" s="11" t="s">
        <v>1335</v>
      </c>
      <c r="G427" s="11" t="s">
        <v>1334</v>
      </c>
      <c r="H427" s="11"/>
      <c r="I427" s="11" t="s">
        <v>49</v>
      </c>
      <c r="J427" s="11">
        <v>233.82</v>
      </c>
      <c r="K427" s="11">
        <v>233.82</v>
      </c>
      <c r="L427" s="11"/>
      <c r="M427" s="11">
        <v>233.82</v>
      </c>
      <c r="N427" s="11"/>
      <c r="O427" s="11" t="s">
        <v>50</v>
      </c>
    </row>
    <row r="428" spans="1:15" s="13" customFormat="1" ht="19.5" customHeight="1" x14ac:dyDescent="0.25">
      <c r="A428" s="11" t="s">
        <v>1336</v>
      </c>
      <c r="B428" s="11" t="s">
        <v>1336</v>
      </c>
      <c r="C428" s="12">
        <v>46078</v>
      </c>
      <c r="D428" s="12">
        <v>46108</v>
      </c>
      <c r="E428" s="11" t="s">
        <v>6</v>
      </c>
      <c r="F428" s="11" t="s">
        <v>1337</v>
      </c>
      <c r="G428" s="11" t="s">
        <v>1336</v>
      </c>
      <c r="H428" s="11"/>
      <c r="I428" s="11" t="s">
        <v>49</v>
      </c>
      <c r="J428" s="11">
        <v>27.14</v>
      </c>
      <c r="K428" s="11">
        <v>27.14</v>
      </c>
      <c r="L428" s="11"/>
      <c r="M428" s="11">
        <v>27.14</v>
      </c>
      <c r="N428" s="11"/>
      <c r="O428" s="11" t="s">
        <v>50</v>
      </c>
    </row>
    <row r="429" spans="1:15" s="13" customFormat="1" ht="19.5" customHeight="1" x14ac:dyDescent="0.25">
      <c r="A429" s="11" t="s">
        <v>1338</v>
      </c>
      <c r="B429" s="11" t="s">
        <v>1339</v>
      </c>
      <c r="C429" s="12">
        <v>46078</v>
      </c>
      <c r="D429" s="12">
        <v>46078</v>
      </c>
      <c r="E429" s="11" t="s">
        <v>6</v>
      </c>
      <c r="F429" s="11" t="s">
        <v>1340</v>
      </c>
      <c r="G429" s="11" t="s">
        <v>1339</v>
      </c>
      <c r="H429" s="11" t="s">
        <v>1341</v>
      </c>
      <c r="I429" s="11" t="s">
        <v>49</v>
      </c>
      <c r="J429" s="11">
        <v>137.19999999999999</v>
      </c>
      <c r="K429" s="11">
        <v>137.19999999999999</v>
      </c>
      <c r="L429" s="11"/>
      <c r="M429" s="11">
        <v>137.19999999999999</v>
      </c>
      <c r="N429" s="11" t="s">
        <v>1342</v>
      </c>
      <c r="O429" s="11" t="s">
        <v>50</v>
      </c>
    </row>
    <row r="430" spans="1:15" s="13" customFormat="1" ht="19.5" customHeight="1" x14ac:dyDescent="0.25">
      <c r="A430" s="11" t="s">
        <v>1343</v>
      </c>
      <c r="B430" s="11" t="s">
        <v>1343</v>
      </c>
      <c r="C430" s="12">
        <v>46078</v>
      </c>
      <c r="D430" s="12">
        <v>46078</v>
      </c>
      <c r="E430" s="11" t="s">
        <v>6</v>
      </c>
      <c r="F430" s="11" t="s">
        <v>1344</v>
      </c>
      <c r="G430" s="11" t="s">
        <v>1343</v>
      </c>
      <c r="H430" s="11"/>
      <c r="I430" s="11" t="s">
        <v>49</v>
      </c>
      <c r="J430" s="11">
        <v>203.01</v>
      </c>
      <c r="K430" s="11">
        <v>203.01</v>
      </c>
      <c r="L430" s="11"/>
      <c r="M430" s="11">
        <v>203.01</v>
      </c>
      <c r="N430" s="11" t="s">
        <v>1345</v>
      </c>
      <c r="O430" s="11" t="s">
        <v>50</v>
      </c>
    </row>
    <row r="431" spans="1:15" s="13" customFormat="1" ht="19.5" customHeight="1" x14ac:dyDescent="0.25">
      <c r="A431" s="11" t="s">
        <v>1346</v>
      </c>
      <c r="B431" s="11" t="s">
        <v>1347</v>
      </c>
      <c r="C431" s="12">
        <v>46078</v>
      </c>
      <c r="D431" s="12">
        <v>46078</v>
      </c>
      <c r="E431" s="11" t="s">
        <v>6</v>
      </c>
      <c r="F431" s="11" t="s">
        <v>1348</v>
      </c>
      <c r="G431" s="11" t="s">
        <v>1347</v>
      </c>
      <c r="H431" s="11" t="s">
        <v>1349</v>
      </c>
      <c r="I431" s="11" t="s">
        <v>49</v>
      </c>
      <c r="J431" s="11">
        <v>113.9</v>
      </c>
      <c r="K431" s="11">
        <v>113.9</v>
      </c>
      <c r="L431" s="11"/>
      <c r="M431" s="11">
        <v>113.9</v>
      </c>
      <c r="N431" s="11" t="s">
        <v>1350</v>
      </c>
      <c r="O431" s="11" t="s">
        <v>50</v>
      </c>
    </row>
    <row r="432" spans="1:15" s="13" customFormat="1" ht="19.5" customHeight="1" x14ac:dyDescent="0.25">
      <c r="A432" s="11" t="s">
        <v>1351</v>
      </c>
      <c r="B432" s="11" t="s">
        <v>1352</v>
      </c>
      <c r="C432" s="12">
        <v>46078</v>
      </c>
      <c r="D432" s="12">
        <v>46078</v>
      </c>
      <c r="E432" s="11" t="s">
        <v>6</v>
      </c>
      <c r="F432" s="11" t="s">
        <v>1353</v>
      </c>
      <c r="G432" s="11" t="s">
        <v>1352</v>
      </c>
      <c r="H432" s="11" t="s">
        <v>1354</v>
      </c>
      <c r="I432" s="11" t="s">
        <v>49</v>
      </c>
      <c r="J432" s="11">
        <v>372.32</v>
      </c>
      <c r="K432" s="11">
        <v>372.32</v>
      </c>
      <c r="L432" s="11"/>
      <c r="M432" s="11">
        <v>372.32</v>
      </c>
      <c r="N432" s="11" t="s">
        <v>1355</v>
      </c>
      <c r="O432" s="11" t="s">
        <v>50</v>
      </c>
    </row>
    <row r="433" spans="1:15" s="13" customFormat="1" ht="19.5" customHeight="1" x14ac:dyDescent="0.25">
      <c r="A433" s="11" t="s">
        <v>1356</v>
      </c>
      <c r="B433" s="11" t="s">
        <v>1356</v>
      </c>
      <c r="C433" s="12">
        <v>46078</v>
      </c>
      <c r="D433" s="12">
        <v>46078</v>
      </c>
      <c r="E433" s="11" t="s">
        <v>6</v>
      </c>
      <c r="F433" s="11" t="s">
        <v>1357</v>
      </c>
      <c r="G433" s="11" t="s">
        <v>1356</v>
      </c>
      <c r="H433" s="11"/>
      <c r="I433" s="11" t="s">
        <v>49</v>
      </c>
      <c r="J433" s="11">
        <v>402.41</v>
      </c>
      <c r="K433" s="11">
        <v>402.41</v>
      </c>
      <c r="L433" s="11"/>
      <c r="M433" s="11">
        <v>402.41</v>
      </c>
      <c r="N433" s="11" t="s">
        <v>1358</v>
      </c>
      <c r="O433" s="11" t="s">
        <v>50</v>
      </c>
    </row>
    <row r="434" spans="1:15" s="13" customFormat="1" ht="19.5" customHeight="1" x14ac:dyDescent="0.25">
      <c r="A434" s="11" t="s">
        <v>1359</v>
      </c>
      <c r="B434" s="11" t="s">
        <v>1359</v>
      </c>
      <c r="C434" s="12">
        <v>46078</v>
      </c>
      <c r="D434" s="12">
        <v>46108</v>
      </c>
      <c r="E434" s="11" t="s">
        <v>6</v>
      </c>
      <c r="F434" s="11" t="s">
        <v>1360</v>
      </c>
      <c r="G434" s="11" t="s">
        <v>1359</v>
      </c>
      <c r="H434" s="11"/>
      <c r="I434" s="11" t="s">
        <v>49</v>
      </c>
      <c r="J434" s="11">
        <v>168.5</v>
      </c>
      <c r="K434" s="11">
        <v>168.5</v>
      </c>
      <c r="L434" s="11"/>
      <c r="M434" s="11">
        <v>168.5</v>
      </c>
      <c r="N434" s="11"/>
      <c r="O434" s="11" t="s">
        <v>50</v>
      </c>
    </row>
    <row r="435" spans="1:15" s="13" customFormat="1" ht="19.5" customHeight="1" x14ac:dyDescent="0.25">
      <c r="A435" s="11" t="s">
        <v>1361</v>
      </c>
      <c r="B435" s="11" t="s">
        <v>1362</v>
      </c>
      <c r="C435" s="12">
        <v>46077</v>
      </c>
      <c r="D435" s="12">
        <v>46077</v>
      </c>
      <c r="E435" s="11" t="s">
        <v>6</v>
      </c>
      <c r="F435" s="11" t="s">
        <v>691</v>
      </c>
      <c r="G435" s="11" t="s">
        <v>1362</v>
      </c>
      <c r="H435" s="11" t="s">
        <v>1363</v>
      </c>
      <c r="I435" s="11" t="s">
        <v>49</v>
      </c>
      <c r="J435" s="11">
        <v>278.60000000000002</v>
      </c>
      <c r="K435" s="11">
        <v>278.60000000000002</v>
      </c>
      <c r="L435" s="11"/>
      <c r="M435" s="11">
        <v>278.60000000000002</v>
      </c>
      <c r="N435" s="11" t="s">
        <v>1364</v>
      </c>
      <c r="O435" s="11" t="s">
        <v>50</v>
      </c>
    </row>
    <row r="436" spans="1:15" s="13" customFormat="1" ht="19.5" customHeight="1" x14ac:dyDescent="0.25">
      <c r="A436" s="11" t="s">
        <v>1365</v>
      </c>
      <c r="B436" s="11" t="s">
        <v>1366</v>
      </c>
      <c r="C436" s="12">
        <v>46077</v>
      </c>
      <c r="D436" s="12">
        <v>46077</v>
      </c>
      <c r="E436" s="11" t="s">
        <v>6</v>
      </c>
      <c r="F436" s="11" t="s">
        <v>1367</v>
      </c>
      <c r="G436" s="11" t="s">
        <v>1366</v>
      </c>
      <c r="H436" s="11" t="s">
        <v>762</v>
      </c>
      <c r="I436" s="11" t="s">
        <v>49</v>
      </c>
      <c r="J436" s="11">
        <v>181.72</v>
      </c>
      <c r="K436" s="11">
        <v>181.72</v>
      </c>
      <c r="L436" s="11"/>
      <c r="M436" s="11">
        <v>181.72</v>
      </c>
      <c r="N436" s="11"/>
      <c r="O436" s="11" t="s">
        <v>50</v>
      </c>
    </row>
    <row r="437" spans="1:15" s="13" customFormat="1" ht="19.5" customHeight="1" x14ac:dyDescent="0.25">
      <c r="A437" s="11" t="s">
        <v>1368</v>
      </c>
      <c r="B437" s="11" t="s">
        <v>1369</v>
      </c>
      <c r="C437" s="12">
        <v>46077</v>
      </c>
      <c r="D437" s="12">
        <v>46077</v>
      </c>
      <c r="E437" s="11" t="s">
        <v>6</v>
      </c>
      <c r="F437" s="11" t="s">
        <v>1370</v>
      </c>
      <c r="G437" s="11" t="s">
        <v>1369</v>
      </c>
      <c r="H437" s="11" t="s">
        <v>1371</v>
      </c>
      <c r="I437" s="11" t="s">
        <v>49</v>
      </c>
      <c r="J437" s="11">
        <v>439.17</v>
      </c>
      <c r="K437" s="11">
        <v>439.17</v>
      </c>
      <c r="L437" s="11"/>
      <c r="M437" s="11">
        <v>439.17</v>
      </c>
      <c r="N437" s="11" t="s">
        <v>1372</v>
      </c>
      <c r="O437" s="11" t="s">
        <v>50</v>
      </c>
    </row>
    <row r="438" spans="1:15" s="13" customFormat="1" ht="19.5" customHeight="1" x14ac:dyDescent="0.25">
      <c r="A438" s="11" t="s">
        <v>1373</v>
      </c>
      <c r="B438" s="11" t="s">
        <v>1373</v>
      </c>
      <c r="C438" s="12">
        <v>46077</v>
      </c>
      <c r="D438" s="12">
        <v>46077</v>
      </c>
      <c r="E438" s="11" t="s">
        <v>6</v>
      </c>
      <c r="F438" s="11" t="s">
        <v>1374</v>
      </c>
      <c r="G438" s="11" t="s">
        <v>1373</v>
      </c>
      <c r="H438" s="11"/>
      <c r="I438" s="11" t="s">
        <v>49</v>
      </c>
      <c r="J438" s="11">
        <v>239.86</v>
      </c>
      <c r="K438" s="11">
        <v>239.86</v>
      </c>
      <c r="L438" s="11"/>
      <c r="M438" s="11">
        <v>239.86</v>
      </c>
      <c r="N438" s="11" t="s">
        <v>1375</v>
      </c>
      <c r="O438" s="11" t="s">
        <v>50</v>
      </c>
    </row>
    <row r="439" spans="1:15" s="13" customFormat="1" ht="19.5" customHeight="1" x14ac:dyDescent="0.25">
      <c r="A439" s="11" t="s">
        <v>1376</v>
      </c>
      <c r="B439" s="11" t="s">
        <v>1376</v>
      </c>
      <c r="C439" s="12">
        <v>46077</v>
      </c>
      <c r="D439" s="12">
        <v>46077</v>
      </c>
      <c r="E439" s="11" t="s">
        <v>6</v>
      </c>
      <c r="F439" s="11" t="s">
        <v>87</v>
      </c>
      <c r="G439" s="11" t="s">
        <v>1376</v>
      </c>
      <c r="H439" s="11"/>
      <c r="I439" s="11" t="s">
        <v>49</v>
      </c>
      <c r="J439" s="11">
        <v>345.08</v>
      </c>
      <c r="K439" s="11">
        <v>345.08</v>
      </c>
      <c r="L439" s="11"/>
      <c r="M439" s="11">
        <v>345.08</v>
      </c>
      <c r="N439" s="11" t="s">
        <v>1377</v>
      </c>
      <c r="O439" s="11" t="s">
        <v>50</v>
      </c>
    </row>
    <row r="440" spans="1:15" s="13" customFormat="1" ht="19.5" customHeight="1" x14ac:dyDescent="0.25">
      <c r="A440" s="11" t="s">
        <v>1378</v>
      </c>
      <c r="B440" s="11" t="s">
        <v>1379</v>
      </c>
      <c r="C440" s="12">
        <v>46077</v>
      </c>
      <c r="D440" s="12">
        <v>46077</v>
      </c>
      <c r="E440" s="11" t="s">
        <v>6</v>
      </c>
      <c r="F440" s="11" t="s">
        <v>1380</v>
      </c>
      <c r="G440" s="11" t="s">
        <v>1379</v>
      </c>
      <c r="H440" s="11" t="s">
        <v>762</v>
      </c>
      <c r="I440" s="11" t="s">
        <v>49</v>
      </c>
      <c r="J440" s="11">
        <v>287.93</v>
      </c>
      <c r="K440" s="11">
        <v>287.93</v>
      </c>
      <c r="L440" s="11"/>
      <c r="M440" s="11">
        <v>287.93</v>
      </c>
      <c r="N440" s="11"/>
      <c r="O440" s="11" t="s">
        <v>50</v>
      </c>
    </row>
    <row r="441" spans="1:15" s="13" customFormat="1" ht="19.5" customHeight="1" x14ac:dyDescent="0.25">
      <c r="A441" s="11" t="s">
        <v>1381</v>
      </c>
      <c r="B441" s="11" t="s">
        <v>1382</v>
      </c>
      <c r="C441" s="12">
        <v>46077</v>
      </c>
      <c r="D441" s="12">
        <v>46077</v>
      </c>
      <c r="E441" s="11" t="s">
        <v>6</v>
      </c>
      <c r="F441" s="11" t="s">
        <v>1383</v>
      </c>
      <c r="G441" s="11" t="s">
        <v>1382</v>
      </c>
      <c r="H441" s="11" t="s">
        <v>762</v>
      </c>
      <c r="I441" s="11" t="s">
        <v>49</v>
      </c>
      <c r="J441" s="11">
        <v>128.24</v>
      </c>
      <c r="K441" s="11">
        <v>128.24</v>
      </c>
      <c r="L441" s="11"/>
      <c r="M441" s="11">
        <v>128.24</v>
      </c>
      <c r="N441" s="11" t="s">
        <v>1384</v>
      </c>
      <c r="O441" s="11" t="s">
        <v>50</v>
      </c>
    </row>
    <row r="442" spans="1:15" s="13" customFormat="1" ht="19.5" customHeight="1" x14ac:dyDescent="0.25">
      <c r="A442" s="11" t="s">
        <v>1385</v>
      </c>
      <c r="B442" s="11" t="s">
        <v>1386</v>
      </c>
      <c r="C442" s="12">
        <v>46077</v>
      </c>
      <c r="D442" s="12">
        <v>46077</v>
      </c>
      <c r="E442" s="11" t="s">
        <v>6</v>
      </c>
      <c r="F442" s="11" t="s">
        <v>1387</v>
      </c>
      <c r="G442" s="11" t="s">
        <v>1386</v>
      </c>
      <c r="H442" s="11" t="s">
        <v>762</v>
      </c>
      <c r="I442" s="11" t="s">
        <v>49</v>
      </c>
      <c r="J442" s="11">
        <v>75.5</v>
      </c>
      <c r="K442" s="11">
        <v>75.5</v>
      </c>
      <c r="L442" s="11"/>
      <c r="M442" s="11">
        <v>75.5</v>
      </c>
      <c r="N442" s="11" t="s">
        <v>1388</v>
      </c>
      <c r="O442" s="11" t="s">
        <v>50</v>
      </c>
    </row>
    <row r="443" spans="1:15" s="13" customFormat="1" ht="19.5" customHeight="1" x14ac:dyDescent="0.25">
      <c r="A443" s="11" t="s">
        <v>1389</v>
      </c>
      <c r="B443" s="11" t="s">
        <v>1390</v>
      </c>
      <c r="C443" s="12">
        <v>46077</v>
      </c>
      <c r="D443" s="12">
        <v>46077</v>
      </c>
      <c r="E443" s="11" t="s">
        <v>6</v>
      </c>
      <c r="F443" s="11" t="s">
        <v>1391</v>
      </c>
      <c r="G443" s="11" t="s">
        <v>1390</v>
      </c>
      <c r="H443" s="11" t="s">
        <v>1392</v>
      </c>
      <c r="I443" s="11" t="s">
        <v>49</v>
      </c>
      <c r="J443" s="11">
        <v>206.16</v>
      </c>
      <c r="K443" s="11">
        <v>206.16</v>
      </c>
      <c r="L443" s="11"/>
      <c r="M443" s="11">
        <v>206.16</v>
      </c>
      <c r="N443" s="11" t="s">
        <v>1393</v>
      </c>
      <c r="O443" s="11" t="s">
        <v>50</v>
      </c>
    </row>
    <row r="444" spans="1:15" s="13" customFormat="1" ht="19.5" customHeight="1" x14ac:dyDescent="0.25">
      <c r="A444" s="11" t="s">
        <v>1394</v>
      </c>
      <c r="B444" s="11" t="s">
        <v>1394</v>
      </c>
      <c r="C444" s="12">
        <v>46077</v>
      </c>
      <c r="D444" s="12">
        <v>46107</v>
      </c>
      <c r="E444" s="11" t="s">
        <v>6</v>
      </c>
      <c r="F444" s="11" t="s">
        <v>1395</v>
      </c>
      <c r="G444" s="11" t="s">
        <v>1394</v>
      </c>
      <c r="H444" s="11"/>
      <c r="I444" s="11" t="s">
        <v>49</v>
      </c>
      <c r="J444" s="11">
        <v>8.4600000000000009</v>
      </c>
      <c r="K444" s="11">
        <v>8.4600000000000009</v>
      </c>
      <c r="L444" s="11"/>
      <c r="M444" s="11">
        <v>8.4600000000000009</v>
      </c>
      <c r="N444" s="11"/>
      <c r="O444" s="11" t="s">
        <v>50</v>
      </c>
    </row>
    <row r="445" spans="1:15" s="13" customFormat="1" ht="19.5" customHeight="1" x14ac:dyDescent="0.25">
      <c r="A445" s="11" t="s">
        <v>1396</v>
      </c>
      <c r="B445" s="11" t="s">
        <v>1396</v>
      </c>
      <c r="C445" s="12">
        <v>46077</v>
      </c>
      <c r="D445" s="12">
        <v>46077</v>
      </c>
      <c r="E445" s="11" t="s">
        <v>6</v>
      </c>
      <c r="F445" s="11" t="s">
        <v>1397</v>
      </c>
      <c r="G445" s="11" t="s">
        <v>1396</v>
      </c>
      <c r="H445" s="11"/>
      <c r="I445" s="11" t="s">
        <v>49</v>
      </c>
      <c r="J445" s="11">
        <v>128.25</v>
      </c>
      <c r="K445" s="11">
        <v>128.25</v>
      </c>
      <c r="L445" s="11"/>
      <c r="M445" s="11">
        <v>128.25</v>
      </c>
      <c r="N445" s="11" t="s">
        <v>1398</v>
      </c>
      <c r="O445" s="11" t="s">
        <v>50</v>
      </c>
    </row>
    <row r="446" spans="1:15" s="13" customFormat="1" ht="19.5" customHeight="1" x14ac:dyDescent="0.25">
      <c r="A446" s="11" t="s">
        <v>1399</v>
      </c>
      <c r="B446" s="11" t="s">
        <v>1400</v>
      </c>
      <c r="C446" s="12">
        <v>46076</v>
      </c>
      <c r="D446" s="12">
        <v>46076</v>
      </c>
      <c r="E446" s="11" t="s">
        <v>6</v>
      </c>
      <c r="F446" s="11" t="s">
        <v>101</v>
      </c>
      <c r="G446" s="11" t="s">
        <v>1401</v>
      </c>
      <c r="H446" s="11" t="s">
        <v>1402</v>
      </c>
      <c r="I446" s="11" t="s">
        <v>49</v>
      </c>
      <c r="J446" s="11">
        <v>-145475.28</v>
      </c>
      <c r="K446" s="11"/>
      <c r="L446" s="11">
        <v>145475.28</v>
      </c>
      <c r="M446" s="11">
        <v>-145475.28</v>
      </c>
      <c r="N446" s="11"/>
      <c r="O446" s="11" t="s">
        <v>75</v>
      </c>
    </row>
    <row r="447" spans="1:15" s="13" customFormat="1" ht="19.5" customHeight="1" x14ac:dyDescent="0.25">
      <c r="A447" s="11" t="s">
        <v>1403</v>
      </c>
      <c r="B447" s="11" t="s">
        <v>1404</v>
      </c>
      <c r="C447" s="12">
        <v>46076</v>
      </c>
      <c r="D447" s="12">
        <v>46076</v>
      </c>
      <c r="E447" s="11" t="s">
        <v>6</v>
      </c>
      <c r="F447" s="11" t="s">
        <v>1405</v>
      </c>
      <c r="G447" s="11" t="s">
        <v>1406</v>
      </c>
      <c r="H447" s="11" t="s">
        <v>1407</v>
      </c>
      <c r="I447" s="11" t="s">
        <v>49</v>
      </c>
      <c r="J447" s="11">
        <v>-23890.74</v>
      </c>
      <c r="K447" s="11"/>
      <c r="L447" s="11">
        <v>23890.74</v>
      </c>
      <c r="M447" s="11">
        <v>-23890.74</v>
      </c>
      <c r="N447" s="11"/>
      <c r="O447" s="11" t="s">
        <v>75</v>
      </c>
    </row>
    <row r="448" spans="1:15" s="13" customFormat="1" ht="19.5" customHeight="1" x14ac:dyDescent="0.25">
      <c r="A448" s="11" t="s">
        <v>1408</v>
      </c>
      <c r="B448" s="11" t="s">
        <v>1408</v>
      </c>
      <c r="C448" s="12">
        <v>46076</v>
      </c>
      <c r="D448" s="12">
        <v>46121</v>
      </c>
      <c r="E448" s="11" t="s">
        <v>6</v>
      </c>
      <c r="F448" s="11" t="s">
        <v>843</v>
      </c>
      <c r="G448" s="11" t="s">
        <v>1408</v>
      </c>
      <c r="H448" s="11"/>
      <c r="I448" s="11" t="s">
        <v>49</v>
      </c>
      <c r="J448" s="11">
        <v>2363.56</v>
      </c>
      <c r="K448" s="11">
        <v>2363.56</v>
      </c>
      <c r="L448" s="11"/>
      <c r="M448" s="11">
        <v>2363.56</v>
      </c>
      <c r="N448" s="11"/>
      <c r="O448" s="11" t="s">
        <v>50</v>
      </c>
    </row>
    <row r="449" spans="1:15" s="13" customFormat="1" ht="19.5" customHeight="1" x14ac:dyDescent="0.25">
      <c r="A449" s="11" t="s">
        <v>1408</v>
      </c>
      <c r="B449" s="11" t="s">
        <v>1408</v>
      </c>
      <c r="C449" s="12">
        <v>46076</v>
      </c>
      <c r="D449" s="12">
        <v>46131</v>
      </c>
      <c r="E449" s="11" t="s">
        <v>6</v>
      </c>
      <c r="F449" s="11" t="s">
        <v>843</v>
      </c>
      <c r="G449" s="11" t="s">
        <v>1408</v>
      </c>
      <c r="H449" s="11"/>
      <c r="I449" s="11" t="s">
        <v>49</v>
      </c>
      <c r="J449" s="11">
        <v>2363.56</v>
      </c>
      <c r="K449" s="11">
        <v>2363.56</v>
      </c>
      <c r="L449" s="11"/>
      <c r="M449" s="11">
        <v>2363.56</v>
      </c>
      <c r="N449" s="11"/>
      <c r="O449" s="11" t="s">
        <v>50</v>
      </c>
    </row>
    <row r="450" spans="1:15" s="13" customFormat="1" ht="19.5" customHeight="1" x14ac:dyDescent="0.25">
      <c r="A450" s="11" t="s">
        <v>1408</v>
      </c>
      <c r="B450" s="11" t="s">
        <v>1408</v>
      </c>
      <c r="C450" s="12">
        <v>46076</v>
      </c>
      <c r="D450" s="12">
        <v>46141</v>
      </c>
      <c r="E450" s="11" t="s">
        <v>6</v>
      </c>
      <c r="F450" s="11" t="s">
        <v>843</v>
      </c>
      <c r="G450" s="11" t="s">
        <v>1408</v>
      </c>
      <c r="H450" s="11"/>
      <c r="I450" s="11" t="s">
        <v>49</v>
      </c>
      <c r="J450" s="11">
        <v>2363.56</v>
      </c>
      <c r="K450" s="11">
        <v>2363.56</v>
      </c>
      <c r="L450" s="11"/>
      <c r="M450" s="11">
        <v>2363.56</v>
      </c>
      <c r="N450" s="11"/>
      <c r="O450" s="11" t="s">
        <v>50</v>
      </c>
    </row>
    <row r="451" spans="1:15" s="13" customFormat="1" ht="19.5" customHeight="1" x14ac:dyDescent="0.25">
      <c r="A451" s="11" t="s">
        <v>1408</v>
      </c>
      <c r="B451" s="11" t="s">
        <v>1408</v>
      </c>
      <c r="C451" s="12">
        <v>46076</v>
      </c>
      <c r="D451" s="12">
        <v>46151</v>
      </c>
      <c r="E451" s="11" t="s">
        <v>6</v>
      </c>
      <c r="F451" s="11" t="s">
        <v>843</v>
      </c>
      <c r="G451" s="11" t="s">
        <v>1408</v>
      </c>
      <c r="H451" s="11"/>
      <c r="I451" s="11" t="s">
        <v>49</v>
      </c>
      <c r="J451" s="11">
        <v>2363.5700000000002</v>
      </c>
      <c r="K451" s="11">
        <v>2363.5700000000002</v>
      </c>
      <c r="L451" s="11"/>
      <c r="M451" s="11">
        <v>2363.5700000000002</v>
      </c>
      <c r="N451" s="11"/>
      <c r="O451" s="11" t="s">
        <v>50</v>
      </c>
    </row>
    <row r="452" spans="1:15" s="13" customFormat="1" ht="19.5" customHeight="1" x14ac:dyDescent="0.25">
      <c r="A452" s="11" t="s">
        <v>1409</v>
      </c>
      <c r="B452" s="11" t="s">
        <v>1409</v>
      </c>
      <c r="C452" s="12">
        <v>46076</v>
      </c>
      <c r="D452" s="12">
        <v>46136</v>
      </c>
      <c r="E452" s="11" t="s">
        <v>6</v>
      </c>
      <c r="F452" s="11" t="s">
        <v>555</v>
      </c>
      <c r="G452" s="11" t="s">
        <v>1409</v>
      </c>
      <c r="H452" s="11"/>
      <c r="I452" s="11" t="s">
        <v>49</v>
      </c>
      <c r="J452" s="11">
        <v>300.31</v>
      </c>
      <c r="K452" s="11">
        <v>300.31</v>
      </c>
      <c r="L452" s="11"/>
      <c r="M452" s="11">
        <v>300.31</v>
      </c>
      <c r="N452" s="11" t="s">
        <v>1410</v>
      </c>
      <c r="O452" s="11" t="s">
        <v>50</v>
      </c>
    </row>
    <row r="453" spans="1:15" s="13" customFormat="1" ht="19.5" customHeight="1" x14ac:dyDescent="0.25">
      <c r="A453" s="11" t="s">
        <v>1411</v>
      </c>
      <c r="B453" s="11" t="s">
        <v>1411</v>
      </c>
      <c r="C453" s="12">
        <v>46076</v>
      </c>
      <c r="D453" s="12">
        <v>46106</v>
      </c>
      <c r="E453" s="11" t="s">
        <v>6</v>
      </c>
      <c r="F453" s="11" t="s">
        <v>1412</v>
      </c>
      <c r="G453" s="11" t="s">
        <v>1411</v>
      </c>
      <c r="H453" s="11"/>
      <c r="I453" s="11" t="s">
        <v>49</v>
      </c>
      <c r="J453" s="11">
        <v>1513.35</v>
      </c>
      <c r="K453" s="11">
        <v>1513.35</v>
      </c>
      <c r="L453" s="11"/>
      <c r="M453" s="11">
        <v>1513.35</v>
      </c>
      <c r="N453" s="11" t="s">
        <v>1413</v>
      </c>
      <c r="O453" s="11" t="s">
        <v>50</v>
      </c>
    </row>
    <row r="454" spans="1:15" s="13" customFormat="1" ht="19.5" customHeight="1" x14ac:dyDescent="0.25">
      <c r="A454" s="11" t="s">
        <v>1414</v>
      </c>
      <c r="B454" s="11" t="s">
        <v>1414</v>
      </c>
      <c r="C454" s="12">
        <v>46076</v>
      </c>
      <c r="D454" s="12">
        <v>46121</v>
      </c>
      <c r="E454" s="11" t="s">
        <v>6</v>
      </c>
      <c r="F454" s="11" t="s">
        <v>843</v>
      </c>
      <c r="G454" s="11" t="s">
        <v>1414</v>
      </c>
      <c r="H454" s="11"/>
      <c r="I454" s="11" t="s">
        <v>49</v>
      </c>
      <c r="J454" s="11">
        <v>6711.17</v>
      </c>
      <c r="K454" s="11">
        <v>6711.17</v>
      </c>
      <c r="L454" s="11"/>
      <c r="M454" s="11">
        <v>6711.17</v>
      </c>
      <c r="N454" s="11"/>
      <c r="O454" s="11" t="s">
        <v>50</v>
      </c>
    </row>
    <row r="455" spans="1:15" s="13" customFormat="1" ht="19.5" customHeight="1" x14ac:dyDescent="0.25">
      <c r="A455" s="11" t="s">
        <v>1414</v>
      </c>
      <c r="B455" s="11" t="s">
        <v>1414</v>
      </c>
      <c r="C455" s="12">
        <v>46076</v>
      </c>
      <c r="D455" s="12">
        <v>46128</v>
      </c>
      <c r="E455" s="11" t="s">
        <v>6</v>
      </c>
      <c r="F455" s="11" t="s">
        <v>843</v>
      </c>
      <c r="G455" s="11" t="s">
        <v>1414</v>
      </c>
      <c r="H455" s="11"/>
      <c r="I455" s="11" t="s">
        <v>49</v>
      </c>
      <c r="J455" s="11">
        <v>6711.17</v>
      </c>
      <c r="K455" s="11">
        <v>6711.17</v>
      </c>
      <c r="L455" s="11"/>
      <c r="M455" s="11">
        <v>6711.17</v>
      </c>
      <c r="N455" s="11"/>
      <c r="O455" s="11" t="s">
        <v>50</v>
      </c>
    </row>
    <row r="456" spans="1:15" s="13" customFormat="1" ht="19.5" customHeight="1" x14ac:dyDescent="0.25">
      <c r="A456" s="11" t="s">
        <v>1414</v>
      </c>
      <c r="B456" s="11" t="s">
        <v>1414</v>
      </c>
      <c r="C456" s="12">
        <v>46076</v>
      </c>
      <c r="D456" s="12">
        <v>46135</v>
      </c>
      <c r="E456" s="11" t="s">
        <v>6</v>
      </c>
      <c r="F456" s="11" t="s">
        <v>843</v>
      </c>
      <c r="G456" s="11" t="s">
        <v>1414</v>
      </c>
      <c r="H456" s="11"/>
      <c r="I456" s="11" t="s">
        <v>49</v>
      </c>
      <c r="J456" s="11">
        <v>6711.17</v>
      </c>
      <c r="K456" s="11">
        <v>6711.17</v>
      </c>
      <c r="L456" s="11"/>
      <c r="M456" s="11">
        <v>6711.17</v>
      </c>
      <c r="N456" s="11"/>
      <c r="O456" s="11" t="s">
        <v>50</v>
      </c>
    </row>
    <row r="457" spans="1:15" s="13" customFormat="1" ht="19.5" customHeight="1" x14ac:dyDescent="0.25">
      <c r="A457" s="11" t="s">
        <v>1414</v>
      </c>
      <c r="B457" s="11" t="s">
        <v>1414</v>
      </c>
      <c r="C457" s="12">
        <v>46076</v>
      </c>
      <c r="D457" s="12">
        <v>46142</v>
      </c>
      <c r="E457" s="11" t="s">
        <v>6</v>
      </c>
      <c r="F457" s="11" t="s">
        <v>843</v>
      </c>
      <c r="G457" s="11" t="s">
        <v>1414</v>
      </c>
      <c r="H457" s="11"/>
      <c r="I457" s="11" t="s">
        <v>49</v>
      </c>
      <c r="J457" s="11">
        <v>6711.17</v>
      </c>
      <c r="K457" s="11">
        <v>6711.17</v>
      </c>
      <c r="L457" s="11"/>
      <c r="M457" s="11">
        <v>6711.17</v>
      </c>
      <c r="N457" s="11"/>
      <c r="O457" s="11" t="s">
        <v>50</v>
      </c>
    </row>
    <row r="458" spans="1:15" s="13" customFormat="1" ht="19.5" customHeight="1" x14ac:dyDescent="0.25">
      <c r="A458" s="11" t="s">
        <v>1414</v>
      </c>
      <c r="B458" s="11" t="s">
        <v>1414</v>
      </c>
      <c r="C458" s="12">
        <v>46076</v>
      </c>
      <c r="D458" s="12">
        <v>46149</v>
      </c>
      <c r="E458" s="11" t="s">
        <v>6</v>
      </c>
      <c r="F458" s="11" t="s">
        <v>843</v>
      </c>
      <c r="G458" s="11" t="s">
        <v>1414</v>
      </c>
      <c r="H458" s="11"/>
      <c r="I458" s="11" t="s">
        <v>49</v>
      </c>
      <c r="J458" s="11">
        <v>6711.17</v>
      </c>
      <c r="K458" s="11">
        <v>6711.17</v>
      </c>
      <c r="L458" s="11"/>
      <c r="M458" s="11">
        <v>6711.17</v>
      </c>
      <c r="N458" s="11"/>
      <c r="O458" s="11" t="s">
        <v>50</v>
      </c>
    </row>
    <row r="459" spans="1:15" s="13" customFormat="1" ht="19.5" customHeight="1" x14ac:dyDescent="0.25">
      <c r="A459" s="11" t="s">
        <v>1414</v>
      </c>
      <c r="B459" s="11" t="s">
        <v>1414</v>
      </c>
      <c r="C459" s="12">
        <v>46076</v>
      </c>
      <c r="D459" s="12">
        <v>46156</v>
      </c>
      <c r="E459" s="11" t="s">
        <v>6</v>
      </c>
      <c r="F459" s="11" t="s">
        <v>843</v>
      </c>
      <c r="G459" s="11" t="s">
        <v>1414</v>
      </c>
      <c r="H459" s="11"/>
      <c r="I459" s="11" t="s">
        <v>49</v>
      </c>
      <c r="J459" s="11">
        <v>6711.17</v>
      </c>
      <c r="K459" s="11">
        <v>6711.17</v>
      </c>
      <c r="L459" s="11"/>
      <c r="M459" s="11">
        <v>6711.17</v>
      </c>
      <c r="N459" s="11"/>
      <c r="O459" s="11" t="s">
        <v>50</v>
      </c>
    </row>
    <row r="460" spans="1:15" s="13" customFormat="1" ht="19.5" customHeight="1" x14ac:dyDescent="0.25">
      <c r="A460" s="11" t="s">
        <v>1414</v>
      </c>
      <c r="B460" s="11" t="s">
        <v>1414</v>
      </c>
      <c r="C460" s="12">
        <v>46076</v>
      </c>
      <c r="D460" s="12">
        <v>46166</v>
      </c>
      <c r="E460" s="11" t="s">
        <v>6</v>
      </c>
      <c r="F460" s="11" t="s">
        <v>843</v>
      </c>
      <c r="G460" s="11" t="s">
        <v>1414</v>
      </c>
      <c r="H460" s="11"/>
      <c r="I460" s="11" t="s">
        <v>49</v>
      </c>
      <c r="J460" s="11">
        <v>6729.94</v>
      </c>
      <c r="K460" s="11">
        <v>6729.94</v>
      </c>
      <c r="L460" s="11"/>
      <c r="M460" s="11">
        <v>6729.94</v>
      </c>
      <c r="N460" s="11"/>
      <c r="O460" s="11" t="s">
        <v>50</v>
      </c>
    </row>
    <row r="461" spans="1:15" s="13" customFormat="1" ht="19.5" customHeight="1" x14ac:dyDescent="0.25">
      <c r="A461" s="11" t="s">
        <v>1415</v>
      </c>
      <c r="B461" s="11" t="s">
        <v>1415</v>
      </c>
      <c r="C461" s="12">
        <v>46076</v>
      </c>
      <c r="D461" s="12">
        <v>46166</v>
      </c>
      <c r="E461" s="11" t="s">
        <v>6</v>
      </c>
      <c r="F461" s="11" t="s">
        <v>59</v>
      </c>
      <c r="G461" s="11" t="s">
        <v>1415</v>
      </c>
      <c r="H461" s="11"/>
      <c r="I461" s="11" t="s">
        <v>49</v>
      </c>
      <c r="J461" s="11">
        <v>6166.51</v>
      </c>
      <c r="K461" s="11">
        <v>6166.51</v>
      </c>
      <c r="L461" s="11"/>
      <c r="M461" s="11">
        <v>6166.51</v>
      </c>
      <c r="N461" s="11"/>
      <c r="O461" s="11" t="s">
        <v>50</v>
      </c>
    </row>
    <row r="462" spans="1:15" s="13" customFormat="1" ht="19.5" customHeight="1" x14ac:dyDescent="0.25">
      <c r="A462" s="11" t="s">
        <v>1416</v>
      </c>
      <c r="B462" s="11" t="s">
        <v>1416</v>
      </c>
      <c r="C462" s="12">
        <v>46076</v>
      </c>
      <c r="D462" s="12">
        <v>46121</v>
      </c>
      <c r="E462" s="11" t="s">
        <v>6</v>
      </c>
      <c r="F462" s="11" t="s">
        <v>64</v>
      </c>
      <c r="G462" s="11" t="s">
        <v>1416</v>
      </c>
      <c r="H462" s="11"/>
      <c r="I462" s="11" t="s">
        <v>49</v>
      </c>
      <c r="J462" s="11">
        <v>7217.02</v>
      </c>
      <c r="K462" s="11">
        <v>7217.02</v>
      </c>
      <c r="L462" s="11"/>
      <c r="M462" s="11">
        <v>7217.02</v>
      </c>
      <c r="N462" s="11"/>
      <c r="O462" s="11" t="s">
        <v>50</v>
      </c>
    </row>
    <row r="463" spans="1:15" s="13" customFormat="1" ht="19.5" customHeight="1" x14ac:dyDescent="0.25">
      <c r="A463" s="11" t="s">
        <v>1416</v>
      </c>
      <c r="B463" s="11" t="s">
        <v>1416</v>
      </c>
      <c r="C463" s="12">
        <v>46076</v>
      </c>
      <c r="D463" s="12">
        <v>46130</v>
      </c>
      <c r="E463" s="11" t="s">
        <v>6</v>
      </c>
      <c r="F463" s="11" t="s">
        <v>64</v>
      </c>
      <c r="G463" s="11" t="s">
        <v>1416</v>
      </c>
      <c r="H463" s="11"/>
      <c r="I463" s="11" t="s">
        <v>49</v>
      </c>
      <c r="J463" s="11">
        <v>7204.05</v>
      </c>
      <c r="K463" s="11">
        <v>7204.05</v>
      </c>
      <c r="L463" s="11"/>
      <c r="M463" s="11">
        <v>7204.05</v>
      </c>
      <c r="N463" s="11"/>
      <c r="O463" s="11" t="s">
        <v>50</v>
      </c>
    </row>
    <row r="464" spans="1:15" s="13" customFormat="1" ht="19.5" customHeight="1" x14ac:dyDescent="0.25">
      <c r="A464" s="11" t="s">
        <v>1416</v>
      </c>
      <c r="B464" s="11" t="s">
        <v>1416</v>
      </c>
      <c r="C464" s="12">
        <v>46076</v>
      </c>
      <c r="D464" s="12">
        <v>46139</v>
      </c>
      <c r="E464" s="11" t="s">
        <v>6</v>
      </c>
      <c r="F464" s="11" t="s">
        <v>64</v>
      </c>
      <c r="G464" s="11" t="s">
        <v>1416</v>
      </c>
      <c r="H464" s="11"/>
      <c r="I464" s="11" t="s">
        <v>49</v>
      </c>
      <c r="J464" s="11">
        <v>7204.05</v>
      </c>
      <c r="K464" s="11">
        <v>7204.05</v>
      </c>
      <c r="L464" s="11"/>
      <c r="M464" s="11">
        <v>7204.05</v>
      </c>
      <c r="N464" s="11"/>
      <c r="O464" s="11" t="s">
        <v>50</v>
      </c>
    </row>
    <row r="465" spans="1:15" s="13" customFormat="1" ht="19.5" customHeight="1" x14ac:dyDescent="0.25">
      <c r="A465" s="11" t="s">
        <v>1416</v>
      </c>
      <c r="B465" s="11" t="s">
        <v>1416</v>
      </c>
      <c r="C465" s="12">
        <v>46076</v>
      </c>
      <c r="D465" s="12">
        <v>46148</v>
      </c>
      <c r="E465" s="11" t="s">
        <v>6</v>
      </c>
      <c r="F465" s="11" t="s">
        <v>64</v>
      </c>
      <c r="G465" s="11" t="s">
        <v>1416</v>
      </c>
      <c r="H465" s="11"/>
      <c r="I465" s="11" t="s">
        <v>49</v>
      </c>
      <c r="J465" s="11">
        <v>7204.05</v>
      </c>
      <c r="K465" s="11">
        <v>7204.05</v>
      </c>
      <c r="L465" s="11"/>
      <c r="M465" s="11">
        <v>7204.05</v>
      </c>
      <c r="N465" s="11"/>
      <c r="O465" s="11" t="s">
        <v>50</v>
      </c>
    </row>
    <row r="466" spans="1:15" s="13" customFormat="1" ht="19.5" customHeight="1" x14ac:dyDescent="0.25">
      <c r="A466" s="11" t="s">
        <v>1416</v>
      </c>
      <c r="B466" s="11" t="s">
        <v>1416</v>
      </c>
      <c r="C466" s="12">
        <v>46076</v>
      </c>
      <c r="D466" s="12">
        <v>46157</v>
      </c>
      <c r="E466" s="11" t="s">
        <v>6</v>
      </c>
      <c r="F466" s="11" t="s">
        <v>64</v>
      </c>
      <c r="G466" s="11" t="s">
        <v>1416</v>
      </c>
      <c r="H466" s="11"/>
      <c r="I466" s="11" t="s">
        <v>49</v>
      </c>
      <c r="J466" s="11">
        <v>7204.05</v>
      </c>
      <c r="K466" s="11">
        <v>7204.05</v>
      </c>
      <c r="L466" s="11"/>
      <c r="M466" s="11">
        <v>7204.05</v>
      </c>
      <c r="N466" s="11"/>
      <c r="O466" s="11" t="s">
        <v>50</v>
      </c>
    </row>
    <row r="467" spans="1:15" s="13" customFormat="1" ht="19.5" customHeight="1" x14ac:dyDescent="0.25">
      <c r="A467" s="11" t="s">
        <v>1416</v>
      </c>
      <c r="B467" s="11" t="s">
        <v>1416</v>
      </c>
      <c r="C467" s="12">
        <v>46076</v>
      </c>
      <c r="D467" s="12">
        <v>46166</v>
      </c>
      <c r="E467" s="11" t="s">
        <v>6</v>
      </c>
      <c r="F467" s="11" t="s">
        <v>64</v>
      </c>
      <c r="G467" s="11" t="s">
        <v>1416</v>
      </c>
      <c r="H467" s="11"/>
      <c r="I467" s="11" t="s">
        <v>49</v>
      </c>
      <c r="J467" s="11">
        <v>7182.46</v>
      </c>
      <c r="K467" s="11">
        <v>7182.46</v>
      </c>
      <c r="L467" s="11"/>
      <c r="M467" s="11">
        <v>7182.46</v>
      </c>
      <c r="N467" s="11"/>
      <c r="O467" s="11" t="s">
        <v>50</v>
      </c>
    </row>
    <row r="468" spans="1:15" s="13" customFormat="1" ht="19.5" customHeight="1" x14ac:dyDescent="0.25">
      <c r="A468" s="11" t="s">
        <v>1417</v>
      </c>
      <c r="B468" s="11" t="s">
        <v>1417</v>
      </c>
      <c r="C468" s="12">
        <v>46076</v>
      </c>
      <c r="D468" s="12">
        <v>46121</v>
      </c>
      <c r="E468" s="11" t="s">
        <v>6</v>
      </c>
      <c r="F468" s="11" t="s">
        <v>593</v>
      </c>
      <c r="G468" s="11" t="s">
        <v>1417</v>
      </c>
      <c r="H468" s="11"/>
      <c r="I468" s="11" t="s">
        <v>49</v>
      </c>
      <c r="J468" s="11">
        <v>2767.61</v>
      </c>
      <c r="K468" s="11">
        <v>2767.61</v>
      </c>
      <c r="L468" s="11"/>
      <c r="M468" s="11">
        <v>2767.61</v>
      </c>
      <c r="N468" s="11"/>
      <c r="O468" s="11" t="s">
        <v>50</v>
      </c>
    </row>
    <row r="469" spans="1:15" s="13" customFormat="1" ht="19.5" customHeight="1" x14ac:dyDescent="0.25">
      <c r="A469" s="11" t="s">
        <v>1417</v>
      </c>
      <c r="B469" s="11" t="s">
        <v>1417</v>
      </c>
      <c r="C469" s="12">
        <v>46076</v>
      </c>
      <c r="D469" s="12">
        <v>46128</v>
      </c>
      <c r="E469" s="11" t="s">
        <v>6</v>
      </c>
      <c r="F469" s="11" t="s">
        <v>593</v>
      </c>
      <c r="G469" s="11" t="s">
        <v>1417</v>
      </c>
      <c r="H469" s="11"/>
      <c r="I469" s="11" t="s">
        <v>49</v>
      </c>
      <c r="J469" s="11">
        <v>2767.61</v>
      </c>
      <c r="K469" s="11">
        <v>2767.61</v>
      </c>
      <c r="L469" s="11"/>
      <c r="M469" s="11">
        <v>2767.61</v>
      </c>
      <c r="N469" s="11"/>
      <c r="O469" s="11" t="s">
        <v>50</v>
      </c>
    </row>
    <row r="470" spans="1:15" s="13" customFormat="1" ht="19.5" customHeight="1" x14ac:dyDescent="0.25">
      <c r="A470" s="11" t="s">
        <v>1417</v>
      </c>
      <c r="B470" s="11" t="s">
        <v>1417</v>
      </c>
      <c r="C470" s="12">
        <v>46076</v>
      </c>
      <c r="D470" s="12">
        <v>46135</v>
      </c>
      <c r="E470" s="11" t="s">
        <v>6</v>
      </c>
      <c r="F470" s="11" t="s">
        <v>593</v>
      </c>
      <c r="G470" s="11" t="s">
        <v>1417</v>
      </c>
      <c r="H470" s="11"/>
      <c r="I470" s="11" t="s">
        <v>49</v>
      </c>
      <c r="J470" s="11">
        <v>2767.61</v>
      </c>
      <c r="K470" s="11">
        <v>2767.61</v>
      </c>
      <c r="L470" s="11"/>
      <c r="M470" s="11">
        <v>2767.61</v>
      </c>
      <c r="N470" s="11"/>
      <c r="O470" s="11" t="s">
        <v>50</v>
      </c>
    </row>
    <row r="471" spans="1:15" s="13" customFormat="1" ht="19.5" customHeight="1" x14ac:dyDescent="0.25">
      <c r="A471" s="11" t="s">
        <v>1417</v>
      </c>
      <c r="B471" s="11" t="s">
        <v>1417</v>
      </c>
      <c r="C471" s="12">
        <v>46076</v>
      </c>
      <c r="D471" s="12">
        <v>46142</v>
      </c>
      <c r="E471" s="11" t="s">
        <v>6</v>
      </c>
      <c r="F471" s="11" t="s">
        <v>593</v>
      </c>
      <c r="G471" s="11" t="s">
        <v>1417</v>
      </c>
      <c r="H471" s="11"/>
      <c r="I471" s="11" t="s">
        <v>49</v>
      </c>
      <c r="J471" s="11">
        <v>2767.61</v>
      </c>
      <c r="K471" s="11">
        <v>2767.61</v>
      </c>
      <c r="L471" s="11"/>
      <c r="M471" s="11">
        <v>2767.61</v>
      </c>
      <c r="N471" s="11"/>
      <c r="O471" s="11" t="s">
        <v>50</v>
      </c>
    </row>
    <row r="472" spans="1:15" s="13" customFormat="1" ht="19.5" customHeight="1" x14ac:dyDescent="0.25">
      <c r="A472" s="11" t="s">
        <v>1417</v>
      </c>
      <c r="B472" s="11" t="s">
        <v>1417</v>
      </c>
      <c r="C472" s="12">
        <v>46076</v>
      </c>
      <c r="D472" s="12">
        <v>46149</v>
      </c>
      <c r="E472" s="11" t="s">
        <v>6</v>
      </c>
      <c r="F472" s="11" t="s">
        <v>593</v>
      </c>
      <c r="G472" s="11" t="s">
        <v>1417</v>
      </c>
      <c r="H472" s="11"/>
      <c r="I472" s="11" t="s">
        <v>49</v>
      </c>
      <c r="J472" s="11">
        <v>2767.61</v>
      </c>
      <c r="K472" s="11">
        <v>2767.61</v>
      </c>
      <c r="L472" s="11"/>
      <c r="M472" s="11">
        <v>2767.61</v>
      </c>
      <c r="N472" s="11"/>
      <c r="O472" s="11" t="s">
        <v>50</v>
      </c>
    </row>
    <row r="473" spans="1:15" s="13" customFormat="1" ht="19.5" customHeight="1" x14ac:dyDescent="0.25">
      <c r="A473" s="11" t="s">
        <v>1417</v>
      </c>
      <c r="B473" s="11" t="s">
        <v>1417</v>
      </c>
      <c r="C473" s="12">
        <v>46076</v>
      </c>
      <c r="D473" s="12">
        <v>46166</v>
      </c>
      <c r="E473" s="11" t="s">
        <v>6</v>
      </c>
      <c r="F473" s="11" t="s">
        <v>593</v>
      </c>
      <c r="G473" s="11" t="s">
        <v>1417</v>
      </c>
      <c r="H473" s="11"/>
      <c r="I473" s="11" t="s">
        <v>49</v>
      </c>
      <c r="J473" s="11">
        <v>2774.23</v>
      </c>
      <c r="K473" s="11">
        <v>2774.23</v>
      </c>
      <c r="L473" s="11"/>
      <c r="M473" s="11">
        <v>2774.23</v>
      </c>
      <c r="N473" s="11"/>
      <c r="O473" s="11" t="s">
        <v>50</v>
      </c>
    </row>
    <row r="474" spans="1:15" s="13" customFormat="1" ht="19.5" customHeight="1" x14ac:dyDescent="0.25">
      <c r="A474" s="11" t="s">
        <v>1418</v>
      </c>
      <c r="B474" s="11" t="s">
        <v>1418</v>
      </c>
      <c r="C474" s="12">
        <v>46076</v>
      </c>
      <c r="D474" s="12">
        <v>46106</v>
      </c>
      <c r="E474" s="11" t="s">
        <v>6</v>
      </c>
      <c r="F474" s="11" t="s">
        <v>1419</v>
      </c>
      <c r="G474" s="11" t="s">
        <v>1418</v>
      </c>
      <c r="H474" s="11"/>
      <c r="I474" s="11" t="s">
        <v>49</v>
      </c>
      <c r="J474" s="11">
        <v>992.38</v>
      </c>
      <c r="K474" s="11">
        <v>992.38</v>
      </c>
      <c r="L474" s="11"/>
      <c r="M474" s="11">
        <v>992.38</v>
      </c>
      <c r="N474" s="11" t="s">
        <v>1420</v>
      </c>
      <c r="O474" s="11" t="s">
        <v>50</v>
      </c>
    </row>
    <row r="475" spans="1:15" s="13" customFormat="1" ht="19.5" customHeight="1" x14ac:dyDescent="0.25">
      <c r="A475" s="11" t="s">
        <v>1421</v>
      </c>
      <c r="B475" s="11" t="s">
        <v>1421</v>
      </c>
      <c r="C475" s="12">
        <v>46076</v>
      </c>
      <c r="D475" s="12">
        <v>46076</v>
      </c>
      <c r="E475" s="11" t="s">
        <v>6</v>
      </c>
      <c r="F475" s="11" t="s">
        <v>74</v>
      </c>
      <c r="G475" s="11" t="s">
        <v>1421</v>
      </c>
      <c r="H475" s="11"/>
      <c r="I475" s="11" t="s">
        <v>49</v>
      </c>
      <c r="J475" s="11">
        <v>103.47</v>
      </c>
      <c r="K475" s="11">
        <v>103.47</v>
      </c>
      <c r="L475" s="11"/>
      <c r="M475" s="11">
        <v>103.47</v>
      </c>
      <c r="N475" s="11"/>
      <c r="O475" s="11" t="s">
        <v>75</v>
      </c>
    </row>
    <row r="476" spans="1:15" s="13" customFormat="1" ht="19.5" customHeight="1" x14ac:dyDescent="0.25">
      <c r="A476" s="11" t="s">
        <v>1422</v>
      </c>
      <c r="B476" s="11" t="s">
        <v>1422</v>
      </c>
      <c r="C476" s="12">
        <v>46076</v>
      </c>
      <c r="D476" s="12">
        <v>46076</v>
      </c>
      <c r="E476" s="11" t="s">
        <v>6</v>
      </c>
      <c r="F476" s="11" t="s">
        <v>1423</v>
      </c>
      <c r="G476" s="11" t="s">
        <v>1422</v>
      </c>
      <c r="H476" s="11"/>
      <c r="I476" s="11" t="s">
        <v>49</v>
      </c>
      <c r="J476" s="11">
        <v>61.62</v>
      </c>
      <c r="K476" s="11">
        <v>61.62</v>
      </c>
      <c r="L476" s="11"/>
      <c r="M476" s="11">
        <v>61.62</v>
      </c>
      <c r="N476" s="11"/>
      <c r="O476" s="11" t="s">
        <v>50</v>
      </c>
    </row>
    <row r="477" spans="1:15" s="13" customFormat="1" ht="19.5" customHeight="1" x14ac:dyDescent="0.25">
      <c r="A477" s="11" t="s">
        <v>1424</v>
      </c>
      <c r="B477" s="11" t="s">
        <v>1425</v>
      </c>
      <c r="C477" s="12">
        <v>46076</v>
      </c>
      <c r="D477" s="12">
        <v>46076</v>
      </c>
      <c r="E477" s="11" t="s">
        <v>6</v>
      </c>
      <c r="F477" s="11" t="s">
        <v>1426</v>
      </c>
      <c r="G477" s="11" t="s">
        <v>1425</v>
      </c>
      <c r="H477" s="11" t="s">
        <v>762</v>
      </c>
      <c r="I477" s="11" t="s">
        <v>49</v>
      </c>
      <c r="J477" s="11">
        <v>125.11</v>
      </c>
      <c r="K477" s="11">
        <v>125.11</v>
      </c>
      <c r="L477" s="11"/>
      <c r="M477" s="11">
        <v>125.11</v>
      </c>
      <c r="N477" s="11" t="s">
        <v>1427</v>
      </c>
      <c r="O477" s="11" t="s">
        <v>50</v>
      </c>
    </row>
    <row r="478" spans="1:15" s="13" customFormat="1" ht="19.5" customHeight="1" x14ac:dyDescent="0.25">
      <c r="A478" s="11" t="s">
        <v>1428</v>
      </c>
      <c r="B478" s="11" t="s">
        <v>1428</v>
      </c>
      <c r="C478" s="12">
        <v>46076</v>
      </c>
      <c r="D478" s="12">
        <v>46076</v>
      </c>
      <c r="E478" s="11" t="s">
        <v>6</v>
      </c>
      <c r="F478" s="11" t="s">
        <v>1429</v>
      </c>
      <c r="G478" s="11" t="s">
        <v>1428</v>
      </c>
      <c r="H478" s="11"/>
      <c r="I478" s="11" t="s">
        <v>49</v>
      </c>
      <c r="J478" s="11">
        <v>84.8</v>
      </c>
      <c r="K478" s="11">
        <v>84.8</v>
      </c>
      <c r="L478" s="11"/>
      <c r="M478" s="11">
        <v>84.8</v>
      </c>
      <c r="N478" s="11"/>
      <c r="O478" s="11" t="s">
        <v>75</v>
      </c>
    </row>
    <row r="479" spans="1:15" s="13" customFormat="1" ht="19.5" customHeight="1" x14ac:dyDescent="0.25">
      <c r="A479" s="11" t="s">
        <v>1430</v>
      </c>
      <c r="B479" s="11" t="s">
        <v>1431</v>
      </c>
      <c r="C479" s="12">
        <v>46076</v>
      </c>
      <c r="D479" s="12">
        <v>46076</v>
      </c>
      <c r="E479" s="11" t="s">
        <v>6</v>
      </c>
      <c r="F479" s="11" t="s">
        <v>1432</v>
      </c>
      <c r="G479" s="11" t="s">
        <v>1431</v>
      </c>
      <c r="H479" s="11" t="s">
        <v>762</v>
      </c>
      <c r="I479" s="11" t="s">
        <v>49</v>
      </c>
      <c r="J479" s="11">
        <v>94.05</v>
      </c>
      <c r="K479" s="11">
        <v>94.05</v>
      </c>
      <c r="L479" s="11"/>
      <c r="M479" s="11">
        <v>94.05</v>
      </c>
      <c r="N479" s="11" t="s">
        <v>1433</v>
      </c>
      <c r="O479" s="11" t="s">
        <v>75</v>
      </c>
    </row>
    <row r="480" spans="1:15" s="13" customFormat="1" ht="19.5" customHeight="1" x14ac:dyDescent="0.25">
      <c r="A480" s="11" t="s">
        <v>1434</v>
      </c>
      <c r="B480" s="11" t="s">
        <v>1434</v>
      </c>
      <c r="C480" s="12">
        <v>46076</v>
      </c>
      <c r="D480" s="12">
        <v>46076</v>
      </c>
      <c r="E480" s="11" t="s">
        <v>6</v>
      </c>
      <c r="F480" s="11" t="s">
        <v>1435</v>
      </c>
      <c r="G480" s="11" t="s">
        <v>1434</v>
      </c>
      <c r="H480" s="11"/>
      <c r="I480" s="11" t="s">
        <v>49</v>
      </c>
      <c r="J480" s="11">
        <v>55.1</v>
      </c>
      <c r="K480" s="11">
        <v>55.1</v>
      </c>
      <c r="L480" s="11"/>
      <c r="M480" s="11">
        <v>55.1</v>
      </c>
      <c r="N480" s="11"/>
      <c r="O480" s="11" t="s">
        <v>75</v>
      </c>
    </row>
    <row r="481" spans="1:15" s="13" customFormat="1" ht="19.5" customHeight="1" x14ac:dyDescent="0.25">
      <c r="A481" s="11" t="s">
        <v>1436</v>
      </c>
      <c r="B481" s="11" t="s">
        <v>1436</v>
      </c>
      <c r="C481" s="12">
        <v>46076</v>
      </c>
      <c r="D481" s="12">
        <v>46076</v>
      </c>
      <c r="E481" s="11" t="s">
        <v>6</v>
      </c>
      <c r="F481" s="11" t="s">
        <v>1437</v>
      </c>
      <c r="G481" s="11" t="s">
        <v>1436</v>
      </c>
      <c r="H481" s="11"/>
      <c r="I481" s="11" t="s">
        <v>49</v>
      </c>
      <c r="J481" s="11">
        <v>68.400000000000006</v>
      </c>
      <c r="K481" s="11">
        <v>68.400000000000006</v>
      </c>
      <c r="L481" s="11"/>
      <c r="M481" s="11">
        <v>68.400000000000006</v>
      </c>
      <c r="N481" s="11"/>
      <c r="O481" s="11" t="s">
        <v>75</v>
      </c>
    </row>
    <row r="482" spans="1:15" s="13" customFormat="1" ht="19.5" customHeight="1" x14ac:dyDescent="0.25">
      <c r="A482" s="11" t="s">
        <v>1438</v>
      </c>
      <c r="B482" s="11" t="s">
        <v>1438</v>
      </c>
      <c r="C482" s="12">
        <v>46076</v>
      </c>
      <c r="D482" s="12">
        <v>46076</v>
      </c>
      <c r="E482" s="11" t="s">
        <v>6</v>
      </c>
      <c r="F482" s="11" t="s">
        <v>1439</v>
      </c>
      <c r="G482" s="11" t="s">
        <v>1438</v>
      </c>
      <c r="H482" s="11"/>
      <c r="I482" s="11" t="s">
        <v>49</v>
      </c>
      <c r="J482" s="11">
        <v>41.4</v>
      </c>
      <c r="K482" s="11">
        <v>41.4</v>
      </c>
      <c r="L482" s="11"/>
      <c r="M482" s="11">
        <v>41.4</v>
      </c>
      <c r="N482" s="11" t="s">
        <v>1440</v>
      </c>
      <c r="O482" s="11" t="s">
        <v>75</v>
      </c>
    </row>
    <row r="483" spans="1:15" s="13" customFormat="1" ht="19.5" customHeight="1" x14ac:dyDescent="0.25">
      <c r="A483" s="11" t="s">
        <v>1441</v>
      </c>
      <c r="B483" s="11" t="s">
        <v>1441</v>
      </c>
      <c r="C483" s="12">
        <v>46076</v>
      </c>
      <c r="D483" s="12">
        <v>46076</v>
      </c>
      <c r="E483" s="11" t="s">
        <v>6</v>
      </c>
      <c r="F483" s="11" t="s">
        <v>1442</v>
      </c>
      <c r="G483" s="11" t="s">
        <v>1441</v>
      </c>
      <c r="H483" s="11"/>
      <c r="I483" s="11" t="s">
        <v>49</v>
      </c>
      <c r="J483" s="11">
        <v>188.11</v>
      </c>
      <c r="K483" s="11">
        <v>188.11</v>
      </c>
      <c r="L483" s="11"/>
      <c r="M483" s="11">
        <v>188.11</v>
      </c>
      <c r="N483" s="11" t="s">
        <v>1443</v>
      </c>
      <c r="O483" s="11" t="s">
        <v>75</v>
      </c>
    </row>
    <row r="484" spans="1:15" s="13" customFormat="1" ht="19.5" customHeight="1" x14ac:dyDescent="0.25">
      <c r="A484" s="11" t="s">
        <v>1444</v>
      </c>
      <c r="B484" s="11" t="s">
        <v>1444</v>
      </c>
      <c r="C484" s="12">
        <v>46076</v>
      </c>
      <c r="D484" s="12">
        <v>46076</v>
      </c>
      <c r="E484" s="11" t="s">
        <v>6</v>
      </c>
      <c r="F484" s="11" t="s">
        <v>1445</v>
      </c>
      <c r="G484" s="11" t="s">
        <v>1444</v>
      </c>
      <c r="H484" s="11"/>
      <c r="I484" s="11" t="s">
        <v>49</v>
      </c>
      <c r="J484" s="11">
        <v>61.63</v>
      </c>
      <c r="K484" s="11">
        <v>61.63</v>
      </c>
      <c r="L484" s="11"/>
      <c r="M484" s="11">
        <v>61.63</v>
      </c>
      <c r="N484" s="11" t="s">
        <v>1446</v>
      </c>
      <c r="O484" s="11" t="s">
        <v>75</v>
      </c>
    </row>
    <row r="485" spans="1:15" s="13" customFormat="1" ht="19.5" customHeight="1" x14ac:dyDescent="0.25">
      <c r="A485" s="11" t="s">
        <v>1447</v>
      </c>
      <c r="B485" s="11" t="s">
        <v>1448</v>
      </c>
      <c r="C485" s="12">
        <v>46076</v>
      </c>
      <c r="D485" s="12">
        <v>46076</v>
      </c>
      <c r="E485" s="11" t="s">
        <v>6</v>
      </c>
      <c r="F485" s="11" t="s">
        <v>1449</v>
      </c>
      <c r="G485" s="11" t="s">
        <v>1448</v>
      </c>
      <c r="H485" s="11" t="s">
        <v>1450</v>
      </c>
      <c r="I485" s="11" t="s">
        <v>49</v>
      </c>
      <c r="J485" s="11">
        <v>98.4</v>
      </c>
      <c r="K485" s="11">
        <v>98.4</v>
      </c>
      <c r="L485" s="11"/>
      <c r="M485" s="11">
        <v>98.4</v>
      </c>
      <c r="N485" s="11" t="s">
        <v>1451</v>
      </c>
      <c r="O485" s="11" t="s">
        <v>75</v>
      </c>
    </row>
    <row r="486" spans="1:15" s="13" customFormat="1" ht="19.5" customHeight="1" x14ac:dyDescent="0.25">
      <c r="A486" s="11" t="s">
        <v>1452</v>
      </c>
      <c r="B486" s="11" t="s">
        <v>1453</v>
      </c>
      <c r="C486" s="12">
        <v>46076</v>
      </c>
      <c r="D486" s="12">
        <v>46076</v>
      </c>
      <c r="E486" s="11" t="s">
        <v>6</v>
      </c>
      <c r="F486" s="11" t="s">
        <v>1454</v>
      </c>
      <c r="G486" s="11" t="s">
        <v>1453</v>
      </c>
      <c r="H486" s="11" t="s">
        <v>1455</v>
      </c>
      <c r="I486" s="11" t="s">
        <v>49</v>
      </c>
      <c r="J486" s="11">
        <v>128.24</v>
      </c>
      <c r="K486" s="11">
        <v>128.24</v>
      </c>
      <c r="L486" s="11"/>
      <c r="M486" s="11">
        <v>128.24</v>
      </c>
      <c r="N486" s="11" t="s">
        <v>1456</v>
      </c>
      <c r="O486" s="11" t="s">
        <v>75</v>
      </c>
    </row>
    <row r="487" spans="1:15" s="13" customFormat="1" ht="19.5" customHeight="1" x14ac:dyDescent="0.25">
      <c r="A487" s="11" t="s">
        <v>1457</v>
      </c>
      <c r="B487" s="11" t="s">
        <v>1458</v>
      </c>
      <c r="C487" s="12">
        <v>46076</v>
      </c>
      <c r="D487" s="12">
        <v>46076</v>
      </c>
      <c r="E487" s="11" t="s">
        <v>6</v>
      </c>
      <c r="F487" s="11" t="s">
        <v>1459</v>
      </c>
      <c r="G487" s="11" t="s">
        <v>1458</v>
      </c>
      <c r="H487" s="11" t="s">
        <v>762</v>
      </c>
      <c r="I487" s="11" t="s">
        <v>49</v>
      </c>
      <c r="J487" s="11">
        <v>127.42</v>
      </c>
      <c r="K487" s="11">
        <v>127.42</v>
      </c>
      <c r="L487" s="11"/>
      <c r="M487" s="11">
        <v>127.42</v>
      </c>
      <c r="N487" s="11" t="s">
        <v>1460</v>
      </c>
      <c r="O487" s="11" t="s">
        <v>50</v>
      </c>
    </row>
    <row r="488" spans="1:15" s="13" customFormat="1" ht="19.5" customHeight="1" x14ac:dyDescent="0.25">
      <c r="A488" s="11" t="s">
        <v>1461</v>
      </c>
      <c r="B488" s="11" t="s">
        <v>1461</v>
      </c>
      <c r="C488" s="12">
        <v>46073</v>
      </c>
      <c r="D488" s="12">
        <v>46073</v>
      </c>
      <c r="E488" s="11" t="s">
        <v>6</v>
      </c>
      <c r="F488" s="11" t="s">
        <v>74</v>
      </c>
      <c r="G488" s="11" t="s">
        <v>1461</v>
      </c>
      <c r="H488" s="11"/>
      <c r="I488" s="11" t="s">
        <v>49</v>
      </c>
      <c r="J488" s="11">
        <v>100.27</v>
      </c>
      <c r="K488" s="11">
        <v>100.27</v>
      </c>
      <c r="L488" s="11"/>
      <c r="M488" s="11">
        <v>100.27</v>
      </c>
      <c r="N488" s="11"/>
      <c r="O488" s="11" t="s">
        <v>75</v>
      </c>
    </row>
    <row r="489" spans="1:15" s="13" customFormat="1" ht="19.5" customHeight="1" x14ac:dyDescent="0.25">
      <c r="A489" s="11" t="s">
        <v>1462</v>
      </c>
      <c r="B489" s="11" t="s">
        <v>1463</v>
      </c>
      <c r="C489" s="12">
        <v>46073</v>
      </c>
      <c r="D489" s="12">
        <v>46073</v>
      </c>
      <c r="E489" s="11" t="s">
        <v>6</v>
      </c>
      <c r="F489" s="11" t="s">
        <v>1464</v>
      </c>
      <c r="G489" s="11" t="s">
        <v>1463</v>
      </c>
      <c r="H489" s="11" t="s">
        <v>1465</v>
      </c>
      <c r="I489" s="11" t="s">
        <v>49</v>
      </c>
      <c r="J489" s="11">
        <v>104.9</v>
      </c>
      <c r="K489" s="11">
        <v>104.9</v>
      </c>
      <c r="L489" s="11"/>
      <c r="M489" s="11">
        <v>104.9</v>
      </c>
      <c r="N489" s="11" t="s">
        <v>1466</v>
      </c>
      <c r="O489" s="11" t="s">
        <v>50</v>
      </c>
    </row>
    <row r="490" spans="1:15" s="13" customFormat="1" ht="19.5" customHeight="1" x14ac:dyDescent="0.25">
      <c r="A490" s="11" t="s">
        <v>1467</v>
      </c>
      <c r="B490" s="11" t="s">
        <v>1468</v>
      </c>
      <c r="C490" s="12">
        <v>46073</v>
      </c>
      <c r="D490" s="12">
        <v>46073</v>
      </c>
      <c r="E490" s="11" t="s">
        <v>6</v>
      </c>
      <c r="F490" s="11" t="s">
        <v>1469</v>
      </c>
      <c r="G490" s="11" t="s">
        <v>1468</v>
      </c>
      <c r="H490" s="11" t="s">
        <v>762</v>
      </c>
      <c r="I490" s="11" t="s">
        <v>49</v>
      </c>
      <c r="J490" s="11">
        <v>90.86</v>
      </c>
      <c r="K490" s="11">
        <v>90.86</v>
      </c>
      <c r="L490" s="11"/>
      <c r="M490" s="11">
        <v>90.86</v>
      </c>
      <c r="N490" s="11" t="s">
        <v>1470</v>
      </c>
      <c r="O490" s="11" t="s">
        <v>50</v>
      </c>
    </row>
    <row r="491" spans="1:15" s="13" customFormat="1" ht="19.5" customHeight="1" x14ac:dyDescent="0.25">
      <c r="A491" s="11" t="s">
        <v>1471</v>
      </c>
      <c r="B491" s="11" t="s">
        <v>1471</v>
      </c>
      <c r="C491" s="12">
        <v>46073</v>
      </c>
      <c r="D491" s="12">
        <v>46073</v>
      </c>
      <c r="E491" s="11" t="s">
        <v>6</v>
      </c>
      <c r="F491" s="11" t="s">
        <v>1472</v>
      </c>
      <c r="G491" s="11" t="s">
        <v>1471</v>
      </c>
      <c r="H491" s="11"/>
      <c r="I491" s="11" t="s">
        <v>49</v>
      </c>
      <c r="J491" s="11">
        <v>94.05</v>
      </c>
      <c r="K491" s="11">
        <v>94.05</v>
      </c>
      <c r="L491" s="11"/>
      <c r="M491" s="11">
        <v>94.05</v>
      </c>
      <c r="N491" s="11" t="s">
        <v>1473</v>
      </c>
      <c r="O491" s="11" t="s">
        <v>50</v>
      </c>
    </row>
    <row r="492" spans="1:15" s="13" customFormat="1" ht="19.5" customHeight="1" x14ac:dyDescent="0.25">
      <c r="A492" s="11" t="s">
        <v>1474</v>
      </c>
      <c r="B492" s="11" t="s">
        <v>1475</v>
      </c>
      <c r="C492" s="12">
        <v>46073</v>
      </c>
      <c r="D492" s="12">
        <v>46073</v>
      </c>
      <c r="E492" s="11" t="s">
        <v>6</v>
      </c>
      <c r="F492" s="11" t="s">
        <v>1476</v>
      </c>
      <c r="G492" s="11" t="s">
        <v>1475</v>
      </c>
      <c r="H492" s="11" t="s">
        <v>1477</v>
      </c>
      <c r="I492" s="11" t="s">
        <v>49</v>
      </c>
      <c r="J492" s="11">
        <v>133.63999999999999</v>
      </c>
      <c r="K492" s="11">
        <v>133.63999999999999</v>
      </c>
      <c r="L492" s="11"/>
      <c r="M492" s="11">
        <v>133.63999999999999</v>
      </c>
      <c r="N492" s="11" t="s">
        <v>1478</v>
      </c>
      <c r="O492" s="11" t="s">
        <v>50</v>
      </c>
    </row>
    <row r="493" spans="1:15" s="13" customFormat="1" ht="19.5" customHeight="1" x14ac:dyDescent="0.25">
      <c r="A493" s="11" t="s">
        <v>1479</v>
      </c>
      <c r="B493" s="11" t="s">
        <v>1480</v>
      </c>
      <c r="C493" s="12">
        <v>46073</v>
      </c>
      <c r="D493" s="12">
        <v>46073</v>
      </c>
      <c r="E493" s="11" t="s">
        <v>6</v>
      </c>
      <c r="F493" s="11" t="s">
        <v>1481</v>
      </c>
      <c r="G493" s="11" t="s">
        <v>1480</v>
      </c>
      <c r="H493" s="11" t="s">
        <v>762</v>
      </c>
      <c r="I493" s="11" t="s">
        <v>49</v>
      </c>
      <c r="J493" s="11">
        <v>134.91</v>
      </c>
      <c r="K493" s="11">
        <v>134.91</v>
      </c>
      <c r="L493" s="11"/>
      <c r="M493" s="11">
        <v>134.91</v>
      </c>
      <c r="N493" s="11" t="s">
        <v>1482</v>
      </c>
      <c r="O493" s="11" t="s">
        <v>50</v>
      </c>
    </row>
    <row r="494" spans="1:15" s="13" customFormat="1" ht="19.5" customHeight="1" x14ac:dyDescent="0.25">
      <c r="A494" s="11" t="s">
        <v>1483</v>
      </c>
      <c r="B494" s="11" t="s">
        <v>1483</v>
      </c>
      <c r="C494" s="12">
        <v>46073</v>
      </c>
      <c r="D494" s="12">
        <v>46073</v>
      </c>
      <c r="E494" s="11" t="s">
        <v>6</v>
      </c>
      <c r="F494" s="11" t="s">
        <v>1484</v>
      </c>
      <c r="G494" s="11" t="s">
        <v>1483</v>
      </c>
      <c r="H494" s="11"/>
      <c r="I494" s="11" t="s">
        <v>49</v>
      </c>
      <c r="J494" s="11">
        <v>279</v>
      </c>
      <c r="K494" s="11">
        <v>279</v>
      </c>
      <c r="L494" s="11"/>
      <c r="M494" s="11">
        <v>279</v>
      </c>
      <c r="N494" s="11" t="s">
        <v>1485</v>
      </c>
      <c r="O494" s="11" t="s">
        <v>50</v>
      </c>
    </row>
    <row r="495" spans="1:15" s="13" customFormat="1" ht="19.5" customHeight="1" x14ac:dyDescent="0.25">
      <c r="A495" s="11" t="s">
        <v>1486</v>
      </c>
      <c r="B495" s="11" t="s">
        <v>1487</v>
      </c>
      <c r="C495" s="12">
        <v>46073</v>
      </c>
      <c r="D495" s="12">
        <v>46073</v>
      </c>
      <c r="E495" s="11" t="s">
        <v>6</v>
      </c>
      <c r="F495" s="11" t="s">
        <v>1488</v>
      </c>
      <c r="G495" s="11" t="s">
        <v>1487</v>
      </c>
      <c r="H495" s="11" t="s">
        <v>762</v>
      </c>
      <c r="I495" s="11" t="s">
        <v>49</v>
      </c>
      <c r="J495" s="11">
        <v>113.91</v>
      </c>
      <c r="K495" s="11">
        <v>113.91</v>
      </c>
      <c r="L495" s="11"/>
      <c r="M495" s="11">
        <v>113.91</v>
      </c>
      <c r="N495" s="11" t="s">
        <v>1489</v>
      </c>
      <c r="O495" s="11" t="s">
        <v>50</v>
      </c>
    </row>
    <row r="496" spans="1:15" s="13" customFormat="1" ht="19.5" customHeight="1" x14ac:dyDescent="0.25">
      <c r="A496" s="11" t="s">
        <v>1490</v>
      </c>
      <c r="B496" s="11" t="s">
        <v>1491</v>
      </c>
      <c r="C496" s="12">
        <v>46073</v>
      </c>
      <c r="D496" s="12">
        <v>46073</v>
      </c>
      <c r="E496" s="11" t="s">
        <v>6</v>
      </c>
      <c r="F496" s="11" t="s">
        <v>1492</v>
      </c>
      <c r="G496" s="11" t="s">
        <v>1491</v>
      </c>
      <c r="H496" s="11" t="s">
        <v>762</v>
      </c>
      <c r="I496" s="11" t="s">
        <v>49</v>
      </c>
      <c r="J496" s="11">
        <v>211.95</v>
      </c>
      <c r="K496" s="11">
        <v>211.95</v>
      </c>
      <c r="L496" s="11"/>
      <c r="M496" s="11">
        <v>211.95</v>
      </c>
      <c r="N496" s="11"/>
      <c r="O496" s="11" t="s">
        <v>50</v>
      </c>
    </row>
    <row r="497" spans="1:15" s="13" customFormat="1" ht="19.5" customHeight="1" x14ac:dyDescent="0.25">
      <c r="A497" s="11" t="s">
        <v>1493</v>
      </c>
      <c r="B497" s="11" t="s">
        <v>1494</v>
      </c>
      <c r="C497" s="12">
        <v>46073</v>
      </c>
      <c r="D497" s="12">
        <v>46073</v>
      </c>
      <c r="E497" s="11" t="s">
        <v>6</v>
      </c>
      <c r="F497" s="11" t="s">
        <v>1495</v>
      </c>
      <c r="G497" s="11" t="s">
        <v>1494</v>
      </c>
      <c r="H497" s="11" t="s">
        <v>762</v>
      </c>
      <c r="I497" s="11" t="s">
        <v>49</v>
      </c>
      <c r="J497" s="11">
        <v>90.86</v>
      </c>
      <c r="K497" s="11">
        <v>90.86</v>
      </c>
      <c r="L497" s="11"/>
      <c r="M497" s="11">
        <v>90.86</v>
      </c>
      <c r="N497" s="11" t="s">
        <v>1496</v>
      </c>
      <c r="O497" s="11" t="s">
        <v>50</v>
      </c>
    </row>
    <row r="498" spans="1:15" s="13" customFormat="1" ht="19.5" customHeight="1" x14ac:dyDescent="0.25">
      <c r="A498" s="11" t="s">
        <v>1497</v>
      </c>
      <c r="B498" s="11" t="s">
        <v>1498</v>
      </c>
      <c r="C498" s="12">
        <v>46073</v>
      </c>
      <c r="D498" s="12">
        <v>46073</v>
      </c>
      <c r="E498" s="11" t="s">
        <v>6</v>
      </c>
      <c r="F498" s="11" t="s">
        <v>1499</v>
      </c>
      <c r="G498" s="11" t="s">
        <v>1498</v>
      </c>
      <c r="H498" s="11" t="s">
        <v>762</v>
      </c>
      <c r="I498" s="11" t="s">
        <v>49</v>
      </c>
      <c r="J498" s="11">
        <v>60.9</v>
      </c>
      <c r="K498" s="11">
        <v>60.9</v>
      </c>
      <c r="L498" s="11"/>
      <c r="M498" s="11">
        <v>60.9</v>
      </c>
      <c r="N498" s="11" t="s">
        <v>1500</v>
      </c>
      <c r="O498" s="11" t="s">
        <v>50</v>
      </c>
    </row>
    <row r="499" spans="1:15" s="13" customFormat="1" ht="19.5" customHeight="1" x14ac:dyDescent="0.25">
      <c r="A499" s="11" t="s">
        <v>1501</v>
      </c>
      <c r="B499" s="11" t="s">
        <v>1502</v>
      </c>
      <c r="C499" s="12">
        <v>46073</v>
      </c>
      <c r="D499" s="12">
        <v>46073</v>
      </c>
      <c r="E499" s="11" t="s">
        <v>6</v>
      </c>
      <c r="F499" s="11" t="s">
        <v>1503</v>
      </c>
      <c r="G499" s="11" t="s">
        <v>1502</v>
      </c>
      <c r="H499" s="11" t="s">
        <v>762</v>
      </c>
      <c r="I499" s="11" t="s">
        <v>49</v>
      </c>
      <c r="J499" s="11">
        <v>94.05</v>
      </c>
      <c r="K499" s="11">
        <v>94.05</v>
      </c>
      <c r="L499" s="11"/>
      <c r="M499" s="11">
        <v>94.05</v>
      </c>
      <c r="N499" s="11" t="s">
        <v>1504</v>
      </c>
      <c r="O499" s="11" t="s">
        <v>50</v>
      </c>
    </row>
    <row r="500" spans="1:15" s="13" customFormat="1" ht="19.5" customHeight="1" x14ac:dyDescent="0.25">
      <c r="A500" s="11" t="s">
        <v>1505</v>
      </c>
      <c r="B500" s="11" t="s">
        <v>1506</v>
      </c>
      <c r="C500" s="12">
        <v>46073</v>
      </c>
      <c r="D500" s="12">
        <v>46073</v>
      </c>
      <c r="E500" s="11" t="s">
        <v>6</v>
      </c>
      <c r="F500" s="11" t="s">
        <v>1507</v>
      </c>
      <c r="G500" s="11" t="s">
        <v>1506</v>
      </c>
      <c r="H500" s="11" t="s">
        <v>762</v>
      </c>
      <c r="I500" s="11" t="s">
        <v>49</v>
      </c>
      <c r="J500" s="11">
        <v>256.5</v>
      </c>
      <c r="K500" s="11">
        <v>256.5</v>
      </c>
      <c r="L500" s="11"/>
      <c r="M500" s="11">
        <v>256.5</v>
      </c>
      <c r="N500" s="11"/>
      <c r="O500" s="11" t="s">
        <v>50</v>
      </c>
    </row>
    <row r="501" spans="1:15" s="13" customFormat="1" ht="19.5" customHeight="1" x14ac:dyDescent="0.25">
      <c r="A501" s="11" t="s">
        <v>1508</v>
      </c>
      <c r="B501" s="11" t="s">
        <v>1509</v>
      </c>
      <c r="C501" s="12">
        <v>46073</v>
      </c>
      <c r="D501" s="12">
        <v>46073</v>
      </c>
      <c r="E501" s="11" t="s">
        <v>6</v>
      </c>
      <c r="F501" s="11" t="s">
        <v>658</v>
      </c>
      <c r="G501" s="11" t="s">
        <v>1509</v>
      </c>
      <c r="H501" s="11" t="s">
        <v>1510</v>
      </c>
      <c r="I501" s="11" t="s">
        <v>49</v>
      </c>
      <c r="J501" s="11">
        <v>149.62</v>
      </c>
      <c r="K501" s="11">
        <v>149.62</v>
      </c>
      <c r="L501" s="11"/>
      <c r="M501" s="11">
        <v>149.62</v>
      </c>
      <c r="N501" s="11" t="s">
        <v>1511</v>
      </c>
      <c r="O501" s="11" t="s">
        <v>50</v>
      </c>
    </row>
    <row r="502" spans="1:15" s="13" customFormat="1" ht="19.5" customHeight="1" x14ac:dyDescent="0.25">
      <c r="A502" s="11" t="s">
        <v>1512</v>
      </c>
      <c r="B502" s="11" t="s">
        <v>1513</v>
      </c>
      <c r="C502" s="12">
        <v>46073</v>
      </c>
      <c r="D502" s="12">
        <v>46073</v>
      </c>
      <c r="E502" s="11" t="s">
        <v>6</v>
      </c>
      <c r="F502" s="11" t="s">
        <v>1514</v>
      </c>
      <c r="G502" s="11" t="s">
        <v>1513</v>
      </c>
      <c r="H502" s="11" t="s">
        <v>1515</v>
      </c>
      <c r="I502" s="11" t="s">
        <v>49</v>
      </c>
      <c r="J502" s="11">
        <v>150.91999999999999</v>
      </c>
      <c r="K502" s="11">
        <v>150.91999999999999</v>
      </c>
      <c r="L502" s="11"/>
      <c r="M502" s="11">
        <v>150.91999999999999</v>
      </c>
      <c r="N502" s="11" t="s">
        <v>1516</v>
      </c>
      <c r="O502" s="11" t="s">
        <v>50</v>
      </c>
    </row>
    <row r="503" spans="1:15" s="13" customFormat="1" ht="19.5" customHeight="1" x14ac:dyDescent="0.25">
      <c r="A503" s="11" t="s">
        <v>1517</v>
      </c>
      <c r="B503" s="11" t="s">
        <v>1517</v>
      </c>
      <c r="C503" s="12">
        <v>46072</v>
      </c>
      <c r="D503" s="12">
        <v>46102</v>
      </c>
      <c r="E503" s="11" t="s">
        <v>6</v>
      </c>
      <c r="F503" s="11" t="s">
        <v>1518</v>
      </c>
      <c r="G503" s="11" t="s">
        <v>1517</v>
      </c>
      <c r="H503" s="11"/>
      <c r="I503" s="11" t="s">
        <v>49</v>
      </c>
      <c r="J503" s="11">
        <v>731.6</v>
      </c>
      <c r="K503" s="11">
        <v>731.6</v>
      </c>
      <c r="L503" s="11"/>
      <c r="M503" s="11">
        <v>731.6</v>
      </c>
      <c r="N503" s="11" t="s">
        <v>1519</v>
      </c>
      <c r="O503" s="11" t="s">
        <v>50</v>
      </c>
    </row>
    <row r="504" spans="1:15" s="13" customFormat="1" ht="19.5" customHeight="1" x14ac:dyDescent="0.25">
      <c r="A504" s="11" t="s">
        <v>1520</v>
      </c>
      <c r="B504" s="11" t="s">
        <v>1520</v>
      </c>
      <c r="C504" s="12">
        <v>46072</v>
      </c>
      <c r="D504" s="12">
        <v>46117</v>
      </c>
      <c r="E504" s="11" t="s">
        <v>6</v>
      </c>
      <c r="F504" s="11" t="s">
        <v>1521</v>
      </c>
      <c r="G504" s="11" t="s">
        <v>1520</v>
      </c>
      <c r="H504" s="11"/>
      <c r="I504" s="11" t="s">
        <v>49</v>
      </c>
      <c r="J504" s="11">
        <v>7613.46</v>
      </c>
      <c r="K504" s="11">
        <v>7613.46</v>
      </c>
      <c r="L504" s="11"/>
      <c r="M504" s="11">
        <v>7613.46</v>
      </c>
      <c r="N504" s="11"/>
      <c r="O504" s="11" t="s">
        <v>50</v>
      </c>
    </row>
    <row r="505" spans="1:15" s="13" customFormat="1" ht="19.5" customHeight="1" x14ac:dyDescent="0.25">
      <c r="A505" s="11" t="s">
        <v>1520</v>
      </c>
      <c r="B505" s="11" t="s">
        <v>1520</v>
      </c>
      <c r="C505" s="12">
        <v>46072</v>
      </c>
      <c r="D505" s="12">
        <v>46124</v>
      </c>
      <c r="E505" s="11" t="s">
        <v>6</v>
      </c>
      <c r="F505" s="11" t="s">
        <v>1521</v>
      </c>
      <c r="G505" s="11" t="s">
        <v>1520</v>
      </c>
      <c r="H505" s="11"/>
      <c r="I505" s="11" t="s">
        <v>49</v>
      </c>
      <c r="J505" s="11">
        <v>7613.46</v>
      </c>
      <c r="K505" s="11">
        <v>7613.46</v>
      </c>
      <c r="L505" s="11"/>
      <c r="M505" s="11">
        <v>7613.46</v>
      </c>
      <c r="N505" s="11"/>
      <c r="O505" s="11" t="s">
        <v>50</v>
      </c>
    </row>
    <row r="506" spans="1:15" s="13" customFormat="1" ht="19.5" customHeight="1" x14ac:dyDescent="0.25">
      <c r="A506" s="11" t="s">
        <v>1520</v>
      </c>
      <c r="B506" s="11" t="s">
        <v>1520</v>
      </c>
      <c r="C506" s="12">
        <v>46072</v>
      </c>
      <c r="D506" s="12">
        <v>46131</v>
      </c>
      <c r="E506" s="11" t="s">
        <v>6</v>
      </c>
      <c r="F506" s="11" t="s">
        <v>1521</v>
      </c>
      <c r="G506" s="11" t="s">
        <v>1520</v>
      </c>
      <c r="H506" s="11"/>
      <c r="I506" s="11" t="s">
        <v>49</v>
      </c>
      <c r="J506" s="11">
        <v>7613.46</v>
      </c>
      <c r="K506" s="11">
        <v>7613.46</v>
      </c>
      <c r="L506" s="11"/>
      <c r="M506" s="11">
        <v>7613.46</v>
      </c>
      <c r="N506" s="11"/>
      <c r="O506" s="11" t="s">
        <v>50</v>
      </c>
    </row>
    <row r="507" spans="1:15" s="13" customFormat="1" ht="19.5" customHeight="1" x14ac:dyDescent="0.25">
      <c r="A507" s="11" t="s">
        <v>1520</v>
      </c>
      <c r="B507" s="11" t="s">
        <v>1520</v>
      </c>
      <c r="C507" s="12">
        <v>46072</v>
      </c>
      <c r="D507" s="12">
        <v>46138</v>
      </c>
      <c r="E507" s="11" t="s">
        <v>6</v>
      </c>
      <c r="F507" s="11" t="s">
        <v>1521</v>
      </c>
      <c r="G507" s="11" t="s">
        <v>1520</v>
      </c>
      <c r="H507" s="11"/>
      <c r="I507" s="11" t="s">
        <v>49</v>
      </c>
      <c r="J507" s="11">
        <v>7613.46</v>
      </c>
      <c r="K507" s="11">
        <v>7613.46</v>
      </c>
      <c r="L507" s="11"/>
      <c r="M507" s="11">
        <v>7613.46</v>
      </c>
      <c r="N507" s="11"/>
      <c r="O507" s="11" t="s">
        <v>50</v>
      </c>
    </row>
    <row r="508" spans="1:15" s="13" customFormat="1" ht="19.5" customHeight="1" x14ac:dyDescent="0.25">
      <c r="A508" s="11" t="s">
        <v>1520</v>
      </c>
      <c r="B508" s="11" t="s">
        <v>1520</v>
      </c>
      <c r="C508" s="12">
        <v>46072</v>
      </c>
      <c r="D508" s="12">
        <v>46145</v>
      </c>
      <c r="E508" s="11" t="s">
        <v>6</v>
      </c>
      <c r="F508" s="11" t="s">
        <v>1521</v>
      </c>
      <c r="G508" s="11" t="s">
        <v>1520</v>
      </c>
      <c r="H508" s="11"/>
      <c r="I508" s="11" t="s">
        <v>49</v>
      </c>
      <c r="J508" s="11">
        <v>7613.46</v>
      </c>
      <c r="K508" s="11">
        <v>7613.46</v>
      </c>
      <c r="L508" s="11"/>
      <c r="M508" s="11">
        <v>7613.46</v>
      </c>
      <c r="N508" s="11"/>
      <c r="O508" s="11" t="s">
        <v>50</v>
      </c>
    </row>
    <row r="509" spans="1:15" s="13" customFormat="1" ht="19.5" customHeight="1" x14ac:dyDescent="0.25">
      <c r="A509" s="11" t="s">
        <v>1520</v>
      </c>
      <c r="B509" s="11" t="s">
        <v>1520</v>
      </c>
      <c r="C509" s="12">
        <v>46072</v>
      </c>
      <c r="D509" s="12">
        <v>46152</v>
      </c>
      <c r="E509" s="11" t="s">
        <v>6</v>
      </c>
      <c r="F509" s="11" t="s">
        <v>1521</v>
      </c>
      <c r="G509" s="11" t="s">
        <v>1520</v>
      </c>
      <c r="H509" s="11"/>
      <c r="I509" s="11" t="s">
        <v>49</v>
      </c>
      <c r="J509" s="11">
        <v>7613.46</v>
      </c>
      <c r="K509" s="11">
        <v>7613.46</v>
      </c>
      <c r="L509" s="11"/>
      <c r="M509" s="11">
        <v>7613.46</v>
      </c>
      <c r="N509" s="11"/>
      <c r="O509" s="11" t="s">
        <v>50</v>
      </c>
    </row>
    <row r="510" spans="1:15" s="13" customFormat="1" ht="19.5" customHeight="1" x14ac:dyDescent="0.25">
      <c r="A510" s="11" t="s">
        <v>1520</v>
      </c>
      <c r="B510" s="11" t="s">
        <v>1520</v>
      </c>
      <c r="C510" s="12">
        <v>46072</v>
      </c>
      <c r="D510" s="12">
        <v>46162</v>
      </c>
      <c r="E510" s="11" t="s">
        <v>6</v>
      </c>
      <c r="F510" s="11" t="s">
        <v>1521</v>
      </c>
      <c r="G510" s="11" t="s">
        <v>1520</v>
      </c>
      <c r="H510" s="11"/>
      <c r="I510" s="11" t="s">
        <v>49</v>
      </c>
      <c r="J510" s="11">
        <v>7634.77</v>
      </c>
      <c r="K510" s="11">
        <v>7634.77</v>
      </c>
      <c r="L510" s="11"/>
      <c r="M510" s="11">
        <v>7634.77</v>
      </c>
      <c r="N510" s="11"/>
      <c r="O510" s="11" t="s">
        <v>50</v>
      </c>
    </row>
    <row r="511" spans="1:15" s="13" customFormat="1" ht="19.5" customHeight="1" x14ac:dyDescent="0.25">
      <c r="A511" s="11" t="s">
        <v>1522</v>
      </c>
      <c r="B511" s="11" t="s">
        <v>1522</v>
      </c>
      <c r="C511" s="12">
        <v>46072</v>
      </c>
      <c r="D511" s="12">
        <v>46132</v>
      </c>
      <c r="E511" s="11" t="s">
        <v>6</v>
      </c>
      <c r="F511" s="11" t="s">
        <v>555</v>
      </c>
      <c r="G511" s="11" t="s">
        <v>1522</v>
      </c>
      <c r="H511" s="11"/>
      <c r="I511" s="11" t="s">
        <v>49</v>
      </c>
      <c r="J511" s="11">
        <v>10401.93</v>
      </c>
      <c r="K511" s="11">
        <v>10401.93</v>
      </c>
      <c r="L511" s="11"/>
      <c r="M511" s="11">
        <v>10401.93</v>
      </c>
      <c r="N511" s="11" t="s">
        <v>1523</v>
      </c>
      <c r="O511" s="11" t="s">
        <v>50</v>
      </c>
    </row>
    <row r="512" spans="1:15" s="13" customFormat="1" ht="19.5" customHeight="1" x14ac:dyDescent="0.25">
      <c r="A512" s="11" t="s">
        <v>1524</v>
      </c>
      <c r="B512" s="11" t="s">
        <v>1524</v>
      </c>
      <c r="C512" s="12">
        <v>46072</v>
      </c>
      <c r="D512" s="12">
        <v>46117</v>
      </c>
      <c r="E512" s="11" t="s">
        <v>6</v>
      </c>
      <c r="F512" s="11" t="s">
        <v>64</v>
      </c>
      <c r="G512" s="11" t="s">
        <v>1524</v>
      </c>
      <c r="H512" s="11"/>
      <c r="I512" s="11" t="s">
        <v>49</v>
      </c>
      <c r="J512" s="11">
        <v>3608.91</v>
      </c>
      <c r="K512" s="11">
        <v>3608.91</v>
      </c>
      <c r="L512" s="11"/>
      <c r="M512" s="11">
        <v>3608.91</v>
      </c>
      <c r="N512" s="11"/>
      <c r="O512" s="11" t="s">
        <v>50</v>
      </c>
    </row>
    <row r="513" spans="1:15" s="13" customFormat="1" ht="19.5" customHeight="1" x14ac:dyDescent="0.25">
      <c r="A513" s="11" t="s">
        <v>1524</v>
      </c>
      <c r="B513" s="11" t="s">
        <v>1524</v>
      </c>
      <c r="C513" s="12">
        <v>46072</v>
      </c>
      <c r="D513" s="12">
        <v>46122</v>
      </c>
      <c r="E513" s="11" t="s">
        <v>6</v>
      </c>
      <c r="F513" s="11" t="s">
        <v>64</v>
      </c>
      <c r="G513" s="11" t="s">
        <v>1524</v>
      </c>
      <c r="H513" s="11"/>
      <c r="I513" s="11" t="s">
        <v>49</v>
      </c>
      <c r="J513" s="11">
        <v>3608.91</v>
      </c>
      <c r="K513" s="11">
        <v>3608.91</v>
      </c>
      <c r="L513" s="11"/>
      <c r="M513" s="11">
        <v>3608.91</v>
      </c>
      <c r="N513" s="11"/>
      <c r="O513" s="11" t="s">
        <v>50</v>
      </c>
    </row>
    <row r="514" spans="1:15" s="13" customFormat="1" ht="19.5" customHeight="1" x14ac:dyDescent="0.25">
      <c r="A514" s="11" t="s">
        <v>1524</v>
      </c>
      <c r="B514" s="11" t="s">
        <v>1524</v>
      </c>
      <c r="C514" s="12">
        <v>46072</v>
      </c>
      <c r="D514" s="12">
        <v>46132</v>
      </c>
      <c r="E514" s="11" t="s">
        <v>6</v>
      </c>
      <c r="F514" s="11" t="s">
        <v>64</v>
      </c>
      <c r="G514" s="11" t="s">
        <v>1524</v>
      </c>
      <c r="H514" s="11"/>
      <c r="I514" s="11" t="s">
        <v>49</v>
      </c>
      <c r="J514" s="11">
        <v>3608.91</v>
      </c>
      <c r="K514" s="11">
        <v>3608.91</v>
      </c>
      <c r="L514" s="11"/>
      <c r="M514" s="11">
        <v>3608.91</v>
      </c>
      <c r="N514" s="11"/>
      <c r="O514" s="11" t="s">
        <v>50</v>
      </c>
    </row>
    <row r="515" spans="1:15" s="13" customFormat="1" ht="19.5" customHeight="1" x14ac:dyDescent="0.25">
      <c r="A515" s="11" t="s">
        <v>1524</v>
      </c>
      <c r="B515" s="11" t="s">
        <v>1524</v>
      </c>
      <c r="C515" s="12">
        <v>46072</v>
      </c>
      <c r="D515" s="12">
        <v>46137</v>
      </c>
      <c r="E515" s="11" t="s">
        <v>6</v>
      </c>
      <c r="F515" s="11" t="s">
        <v>64</v>
      </c>
      <c r="G515" s="11" t="s">
        <v>1524</v>
      </c>
      <c r="H515" s="11"/>
      <c r="I515" s="11" t="s">
        <v>49</v>
      </c>
      <c r="J515" s="11">
        <v>3608.91</v>
      </c>
      <c r="K515" s="11">
        <v>3608.91</v>
      </c>
      <c r="L515" s="11"/>
      <c r="M515" s="11">
        <v>3608.91</v>
      </c>
      <c r="N515" s="11"/>
      <c r="O515" s="11" t="s">
        <v>50</v>
      </c>
    </row>
    <row r="516" spans="1:15" s="13" customFormat="1" ht="19.5" customHeight="1" x14ac:dyDescent="0.25">
      <c r="A516" s="11" t="s">
        <v>1524</v>
      </c>
      <c r="B516" s="11" t="s">
        <v>1524</v>
      </c>
      <c r="C516" s="12">
        <v>46072</v>
      </c>
      <c r="D516" s="12">
        <v>46142</v>
      </c>
      <c r="E516" s="11" t="s">
        <v>6</v>
      </c>
      <c r="F516" s="11" t="s">
        <v>64</v>
      </c>
      <c r="G516" s="11" t="s">
        <v>1524</v>
      </c>
      <c r="H516" s="11"/>
      <c r="I516" s="11" t="s">
        <v>49</v>
      </c>
      <c r="J516" s="11">
        <v>3608.91</v>
      </c>
      <c r="K516" s="11">
        <v>3608.91</v>
      </c>
      <c r="L516" s="11"/>
      <c r="M516" s="11">
        <v>3608.91</v>
      </c>
      <c r="N516" s="11"/>
      <c r="O516" s="11" t="s">
        <v>50</v>
      </c>
    </row>
    <row r="517" spans="1:15" s="13" customFormat="1" ht="19.5" customHeight="1" x14ac:dyDescent="0.25">
      <c r="A517" s="11" t="s">
        <v>1524</v>
      </c>
      <c r="B517" s="11" t="s">
        <v>1524</v>
      </c>
      <c r="C517" s="12">
        <v>46072</v>
      </c>
      <c r="D517" s="12">
        <v>46147</v>
      </c>
      <c r="E517" s="11" t="s">
        <v>6</v>
      </c>
      <c r="F517" s="11" t="s">
        <v>64</v>
      </c>
      <c r="G517" s="11" t="s">
        <v>1524</v>
      </c>
      <c r="H517" s="11"/>
      <c r="I517" s="11" t="s">
        <v>49</v>
      </c>
      <c r="J517" s="11">
        <v>3617.57</v>
      </c>
      <c r="K517" s="11">
        <v>3617.57</v>
      </c>
      <c r="L517" s="11"/>
      <c r="M517" s="11">
        <v>3617.57</v>
      </c>
      <c r="N517" s="11"/>
      <c r="O517" s="11" t="s">
        <v>50</v>
      </c>
    </row>
    <row r="518" spans="1:15" s="13" customFormat="1" ht="19.5" customHeight="1" x14ac:dyDescent="0.25">
      <c r="A518" s="11" t="s">
        <v>1525</v>
      </c>
      <c r="B518" s="11" t="s">
        <v>1525</v>
      </c>
      <c r="C518" s="12">
        <v>46072</v>
      </c>
      <c r="D518" s="12">
        <v>46132</v>
      </c>
      <c r="E518" s="11" t="s">
        <v>6</v>
      </c>
      <c r="F518" s="11" t="s">
        <v>555</v>
      </c>
      <c r="G518" s="11" t="s">
        <v>1525</v>
      </c>
      <c r="H518" s="11"/>
      <c r="I518" s="11" t="s">
        <v>49</v>
      </c>
      <c r="J518" s="11">
        <v>11611.2</v>
      </c>
      <c r="K518" s="11">
        <v>11611.2</v>
      </c>
      <c r="L518" s="11"/>
      <c r="M518" s="11">
        <v>11611.2</v>
      </c>
      <c r="N518" s="11" t="s">
        <v>1526</v>
      </c>
      <c r="O518" s="11" t="s">
        <v>50</v>
      </c>
    </row>
    <row r="519" spans="1:15" s="13" customFormat="1" ht="19.5" customHeight="1" x14ac:dyDescent="0.25">
      <c r="A519" s="11" t="s">
        <v>1527</v>
      </c>
      <c r="B519" s="11" t="s">
        <v>1528</v>
      </c>
      <c r="C519" s="12">
        <v>46072</v>
      </c>
      <c r="D519" s="12">
        <v>46072</v>
      </c>
      <c r="E519" s="11" t="s">
        <v>6</v>
      </c>
      <c r="F519" s="11" t="s">
        <v>1529</v>
      </c>
      <c r="G519" s="11" t="s">
        <v>1528</v>
      </c>
      <c r="H519" s="11" t="s">
        <v>1530</v>
      </c>
      <c r="I519" s="11" t="s">
        <v>49</v>
      </c>
      <c r="J519" s="11">
        <v>103.11</v>
      </c>
      <c r="K519" s="11">
        <v>103.11</v>
      </c>
      <c r="L519" s="11"/>
      <c r="M519" s="11">
        <v>103.11</v>
      </c>
      <c r="N519" s="11" t="s">
        <v>1531</v>
      </c>
      <c r="O519" s="11" t="s">
        <v>50</v>
      </c>
    </row>
    <row r="520" spans="1:15" s="13" customFormat="1" ht="19.5" customHeight="1" x14ac:dyDescent="0.25">
      <c r="A520" s="11" t="s">
        <v>1532</v>
      </c>
      <c r="B520" s="11" t="s">
        <v>1533</v>
      </c>
      <c r="C520" s="12">
        <v>46072</v>
      </c>
      <c r="D520" s="12">
        <v>46072</v>
      </c>
      <c r="E520" s="11" t="s">
        <v>6</v>
      </c>
      <c r="F520" s="11" t="s">
        <v>1534</v>
      </c>
      <c r="G520" s="11" t="s">
        <v>1533</v>
      </c>
      <c r="H520" s="11" t="s">
        <v>1535</v>
      </c>
      <c r="I520" s="11" t="s">
        <v>49</v>
      </c>
      <c r="J520" s="11">
        <v>295.05</v>
      </c>
      <c r="K520" s="11">
        <v>295.05</v>
      </c>
      <c r="L520" s="11"/>
      <c r="M520" s="11">
        <v>295.05</v>
      </c>
      <c r="N520" s="11" t="s">
        <v>1536</v>
      </c>
      <c r="O520" s="11" t="s">
        <v>50</v>
      </c>
    </row>
    <row r="521" spans="1:15" s="13" customFormat="1" ht="19.5" customHeight="1" x14ac:dyDescent="0.25">
      <c r="A521" s="11" t="s">
        <v>1537</v>
      </c>
      <c r="B521" s="11" t="s">
        <v>1538</v>
      </c>
      <c r="C521" s="12">
        <v>46072</v>
      </c>
      <c r="D521" s="12">
        <v>46072</v>
      </c>
      <c r="E521" s="11" t="s">
        <v>6</v>
      </c>
      <c r="F521" s="11" t="s">
        <v>1221</v>
      </c>
      <c r="G521" s="11" t="s">
        <v>1538</v>
      </c>
      <c r="H521" s="11" t="s">
        <v>762</v>
      </c>
      <c r="I521" s="11" t="s">
        <v>49</v>
      </c>
      <c r="J521" s="11">
        <v>64.81</v>
      </c>
      <c r="K521" s="11">
        <v>64.81</v>
      </c>
      <c r="L521" s="11"/>
      <c r="M521" s="11">
        <v>64.81</v>
      </c>
      <c r="N521" s="11" t="s">
        <v>1539</v>
      </c>
      <c r="O521" s="11" t="s">
        <v>50</v>
      </c>
    </row>
    <row r="522" spans="1:15" s="13" customFormat="1" ht="19.5" customHeight="1" x14ac:dyDescent="0.25">
      <c r="A522" s="11" t="s">
        <v>1540</v>
      </c>
      <c r="B522" s="11" t="s">
        <v>1541</v>
      </c>
      <c r="C522" s="12">
        <v>46072</v>
      </c>
      <c r="D522" s="12">
        <v>46072</v>
      </c>
      <c r="E522" s="11" t="s">
        <v>6</v>
      </c>
      <c r="F522" s="11" t="s">
        <v>1542</v>
      </c>
      <c r="G522" s="11" t="s">
        <v>1541</v>
      </c>
      <c r="H522" s="11" t="s">
        <v>762</v>
      </c>
      <c r="I522" s="11" t="s">
        <v>49</v>
      </c>
      <c r="J522" s="11">
        <v>110.71</v>
      </c>
      <c r="K522" s="11">
        <v>110.71</v>
      </c>
      <c r="L522" s="11"/>
      <c r="M522" s="11">
        <v>110.71</v>
      </c>
      <c r="N522" s="11" t="s">
        <v>1543</v>
      </c>
      <c r="O522" s="11" t="s">
        <v>50</v>
      </c>
    </row>
    <row r="523" spans="1:15" s="13" customFormat="1" ht="19.5" customHeight="1" x14ac:dyDescent="0.25">
      <c r="A523" s="11" t="s">
        <v>1544</v>
      </c>
      <c r="B523" s="11" t="s">
        <v>1545</v>
      </c>
      <c r="C523" s="12">
        <v>46072</v>
      </c>
      <c r="D523" s="12">
        <v>46072</v>
      </c>
      <c r="E523" s="11" t="s">
        <v>6</v>
      </c>
      <c r="F523" s="11" t="s">
        <v>1546</v>
      </c>
      <c r="G523" s="11" t="s">
        <v>1545</v>
      </c>
      <c r="H523" s="11" t="s">
        <v>762</v>
      </c>
      <c r="I523" s="11" t="s">
        <v>49</v>
      </c>
      <c r="J523" s="11">
        <v>59.08</v>
      </c>
      <c r="K523" s="11">
        <v>59.08</v>
      </c>
      <c r="L523" s="11"/>
      <c r="M523" s="11">
        <v>59.08</v>
      </c>
      <c r="N523" s="11" t="s">
        <v>1547</v>
      </c>
      <c r="O523" s="11" t="s">
        <v>50</v>
      </c>
    </row>
    <row r="524" spans="1:15" s="13" customFormat="1" ht="19.5" customHeight="1" x14ac:dyDescent="0.25">
      <c r="A524" s="11" t="s">
        <v>1548</v>
      </c>
      <c r="B524" s="11" t="s">
        <v>1549</v>
      </c>
      <c r="C524" s="12">
        <v>46072</v>
      </c>
      <c r="D524" s="12">
        <v>46072</v>
      </c>
      <c r="E524" s="11" t="s">
        <v>6</v>
      </c>
      <c r="F524" s="11" t="s">
        <v>1550</v>
      </c>
      <c r="G524" s="11" t="s">
        <v>1549</v>
      </c>
      <c r="H524" s="11" t="s">
        <v>1551</v>
      </c>
      <c r="I524" s="11" t="s">
        <v>49</v>
      </c>
      <c r="J524" s="11">
        <v>307.07</v>
      </c>
      <c r="K524" s="11">
        <v>307.07</v>
      </c>
      <c r="L524" s="11"/>
      <c r="M524" s="11">
        <v>307.07</v>
      </c>
      <c r="N524" s="11" t="s">
        <v>1552</v>
      </c>
      <c r="O524" s="11" t="s">
        <v>50</v>
      </c>
    </row>
    <row r="525" spans="1:15" s="13" customFormat="1" ht="19.5" customHeight="1" x14ac:dyDescent="0.25">
      <c r="A525" s="11" t="s">
        <v>1553</v>
      </c>
      <c r="B525" s="11" t="s">
        <v>1553</v>
      </c>
      <c r="C525" s="12">
        <v>46072</v>
      </c>
      <c r="D525" s="12">
        <v>46072</v>
      </c>
      <c r="E525" s="11" t="s">
        <v>6</v>
      </c>
      <c r="F525" s="11" t="s">
        <v>1554</v>
      </c>
      <c r="G525" s="11" t="s">
        <v>1553</v>
      </c>
      <c r="H525" s="11"/>
      <c r="I525" s="11" t="s">
        <v>49</v>
      </c>
      <c r="J525" s="11">
        <v>94.05</v>
      </c>
      <c r="K525" s="11">
        <v>94.05</v>
      </c>
      <c r="L525" s="11"/>
      <c r="M525" s="11">
        <v>94.05</v>
      </c>
      <c r="N525" s="11" t="s">
        <v>1555</v>
      </c>
      <c r="O525" s="11" t="s">
        <v>50</v>
      </c>
    </row>
    <row r="526" spans="1:15" s="13" customFormat="1" ht="19.5" customHeight="1" x14ac:dyDescent="0.25">
      <c r="A526" s="11" t="s">
        <v>1556</v>
      </c>
      <c r="B526" s="11" t="s">
        <v>1556</v>
      </c>
      <c r="C526" s="12">
        <v>46072</v>
      </c>
      <c r="D526" s="12">
        <v>46072</v>
      </c>
      <c r="E526" s="11" t="s">
        <v>6</v>
      </c>
      <c r="F526" s="11" t="s">
        <v>1557</v>
      </c>
      <c r="G526" s="11" t="s">
        <v>1556</v>
      </c>
      <c r="H526" s="11"/>
      <c r="I526" s="11" t="s">
        <v>49</v>
      </c>
      <c r="J526" s="11">
        <v>53.91</v>
      </c>
      <c r="K526" s="11">
        <v>53.91</v>
      </c>
      <c r="L526" s="11"/>
      <c r="M526" s="11">
        <v>53.91</v>
      </c>
      <c r="N526" s="11" t="s">
        <v>1558</v>
      </c>
      <c r="O526" s="11" t="s">
        <v>50</v>
      </c>
    </row>
    <row r="527" spans="1:15" s="13" customFormat="1" ht="19.5" customHeight="1" x14ac:dyDescent="0.25">
      <c r="A527" s="11" t="s">
        <v>1559</v>
      </c>
      <c r="B527" s="11" t="s">
        <v>1559</v>
      </c>
      <c r="C527" s="12">
        <v>46072</v>
      </c>
      <c r="D527" s="12">
        <v>46072</v>
      </c>
      <c r="E527" s="11" t="s">
        <v>6</v>
      </c>
      <c r="F527" s="11" t="s">
        <v>1560</v>
      </c>
      <c r="G527" s="11" t="s">
        <v>1559</v>
      </c>
      <c r="H527" s="11"/>
      <c r="I527" s="11" t="s">
        <v>49</v>
      </c>
      <c r="J527" s="11">
        <v>44.63</v>
      </c>
      <c r="K527" s="11">
        <v>44.63</v>
      </c>
      <c r="L527" s="11"/>
      <c r="M527" s="11">
        <v>44.63</v>
      </c>
      <c r="N527" s="11"/>
      <c r="O527" s="11" t="s">
        <v>50</v>
      </c>
    </row>
    <row r="528" spans="1:15" s="13" customFormat="1" ht="19.5" customHeight="1" x14ac:dyDescent="0.25">
      <c r="A528" s="11" t="s">
        <v>1561</v>
      </c>
      <c r="B528" s="11" t="s">
        <v>1562</v>
      </c>
      <c r="C528" s="12">
        <v>46072</v>
      </c>
      <c r="D528" s="12">
        <v>46072</v>
      </c>
      <c r="E528" s="11" t="s">
        <v>6</v>
      </c>
      <c r="F528" s="11" t="s">
        <v>1563</v>
      </c>
      <c r="G528" s="11" t="s">
        <v>1562</v>
      </c>
      <c r="H528" s="11" t="s">
        <v>762</v>
      </c>
      <c r="I528" s="11" t="s">
        <v>49</v>
      </c>
      <c r="J528" s="11">
        <v>94.05</v>
      </c>
      <c r="K528" s="11">
        <v>94.05</v>
      </c>
      <c r="L528" s="11"/>
      <c r="M528" s="11">
        <v>94.05</v>
      </c>
      <c r="N528" s="11" t="s">
        <v>1564</v>
      </c>
      <c r="O528" s="11" t="s">
        <v>50</v>
      </c>
    </row>
    <row r="529" spans="1:15" s="13" customFormat="1" ht="19.5" customHeight="1" x14ac:dyDescent="0.25">
      <c r="A529" s="11" t="s">
        <v>1565</v>
      </c>
      <c r="B529" s="11" t="s">
        <v>1566</v>
      </c>
      <c r="C529" s="12">
        <v>46072</v>
      </c>
      <c r="D529" s="12">
        <v>46072</v>
      </c>
      <c r="E529" s="11" t="s">
        <v>6</v>
      </c>
      <c r="F529" s="11" t="s">
        <v>1567</v>
      </c>
      <c r="G529" s="11" t="s">
        <v>1566</v>
      </c>
      <c r="H529" s="11" t="s">
        <v>762</v>
      </c>
      <c r="I529" s="11" t="s">
        <v>49</v>
      </c>
      <c r="J529" s="11">
        <v>90.86</v>
      </c>
      <c r="K529" s="11">
        <v>90.86</v>
      </c>
      <c r="L529" s="11"/>
      <c r="M529" s="11">
        <v>90.86</v>
      </c>
      <c r="N529" s="11" t="s">
        <v>1568</v>
      </c>
      <c r="O529" s="11" t="s">
        <v>50</v>
      </c>
    </row>
    <row r="530" spans="1:15" s="13" customFormat="1" ht="19.5" customHeight="1" x14ac:dyDescent="0.25">
      <c r="A530" s="11" t="s">
        <v>1569</v>
      </c>
      <c r="B530" s="11" t="s">
        <v>1570</v>
      </c>
      <c r="C530" s="12">
        <v>46072</v>
      </c>
      <c r="D530" s="12">
        <v>46072</v>
      </c>
      <c r="E530" s="11" t="s">
        <v>6</v>
      </c>
      <c r="F530" s="11" t="s">
        <v>1571</v>
      </c>
      <c r="G530" s="11" t="s">
        <v>1570</v>
      </c>
      <c r="H530" s="11" t="s">
        <v>762</v>
      </c>
      <c r="I530" s="11" t="s">
        <v>49</v>
      </c>
      <c r="J530" s="11">
        <v>43.2</v>
      </c>
      <c r="K530" s="11">
        <v>43.2</v>
      </c>
      <c r="L530" s="11"/>
      <c r="M530" s="11">
        <v>43.2</v>
      </c>
      <c r="N530" s="11" t="s">
        <v>1572</v>
      </c>
      <c r="O530" s="11" t="s">
        <v>50</v>
      </c>
    </row>
    <row r="531" spans="1:15" s="13" customFormat="1" ht="19.5" customHeight="1" x14ac:dyDescent="0.25">
      <c r="A531" s="11" t="s">
        <v>1573</v>
      </c>
      <c r="B531" s="11" t="s">
        <v>1574</v>
      </c>
      <c r="C531" s="12">
        <v>46071</v>
      </c>
      <c r="D531" s="12">
        <v>46071</v>
      </c>
      <c r="E531" s="11" t="s">
        <v>6</v>
      </c>
      <c r="F531" s="11" t="s">
        <v>108</v>
      </c>
      <c r="G531" s="11" t="s">
        <v>1575</v>
      </c>
      <c r="H531" s="11" t="s">
        <v>1576</v>
      </c>
      <c r="I531" s="11" t="s">
        <v>49</v>
      </c>
      <c r="J531" s="11">
        <v>-21996.66</v>
      </c>
      <c r="K531" s="11"/>
      <c r="L531" s="11">
        <v>21996.66</v>
      </c>
      <c r="M531" s="11">
        <v>-21996.66</v>
      </c>
      <c r="N531" s="11"/>
      <c r="O531" s="11" t="s">
        <v>75</v>
      </c>
    </row>
    <row r="532" spans="1:15" s="13" customFormat="1" ht="19.5" customHeight="1" x14ac:dyDescent="0.25">
      <c r="A532" s="11" t="s">
        <v>1577</v>
      </c>
      <c r="B532" s="11" t="s">
        <v>1577</v>
      </c>
      <c r="C532" s="12">
        <v>46071</v>
      </c>
      <c r="D532" s="12">
        <v>46116</v>
      </c>
      <c r="E532" s="11" t="s">
        <v>6</v>
      </c>
      <c r="F532" s="11" t="s">
        <v>834</v>
      </c>
      <c r="G532" s="11" t="s">
        <v>1577</v>
      </c>
      <c r="H532" s="11"/>
      <c r="I532" s="11" t="s">
        <v>49</v>
      </c>
      <c r="J532" s="11">
        <v>4376.76</v>
      </c>
      <c r="K532" s="11">
        <v>4376.76</v>
      </c>
      <c r="L532" s="11"/>
      <c r="M532" s="11">
        <v>4376.76</v>
      </c>
      <c r="N532" s="11"/>
      <c r="O532" s="11" t="s">
        <v>50</v>
      </c>
    </row>
    <row r="533" spans="1:15" s="13" customFormat="1" ht="19.5" customHeight="1" x14ac:dyDescent="0.25">
      <c r="A533" s="11" t="s">
        <v>1577</v>
      </c>
      <c r="B533" s="11" t="s">
        <v>1577</v>
      </c>
      <c r="C533" s="12">
        <v>46071</v>
      </c>
      <c r="D533" s="12">
        <v>46123</v>
      </c>
      <c r="E533" s="11" t="s">
        <v>6</v>
      </c>
      <c r="F533" s="11" t="s">
        <v>834</v>
      </c>
      <c r="G533" s="11" t="s">
        <v>1577</v>
      </c>
      <c r="H533" s="11"/>
      <c r="I533" s="11" t="s">
        <v>49</v>
      </c>
      <c r="J533" s="11">
        <v>4376.76</v>
      </c>
      <c r="K533" s="11">
        <v>4376.76</v>
      </c>
      <c r="L533" s="11"/>
      <c r="M533" s="11">
        <v>4376.76</v>
      </c>
      <c r="N533" s="11"/>
      <c r="O533" s="11" t="s">
        <v>50</v>
      </c>
    </row>
    <row r="534" spans="1:15" s="13" customFormat="1" ht="19.5" customHeight="1" x14ac:dyDescent="0.25">
      <c r="A534" s="11" t="s">
        <v>1577</v>
      </c>
      <c r="B534" s="11" t="s">
        <v>1577</v>
      </c>
      <c r="C534" s="12">
        <v>46071</v>
      </c>
      <c r="D534" s="12">
        <v>46130</v>
      </c>
      <c r="E534" s="11" t="s">
        <v>6</v>
      </c>
      <c r="F534" s="11" t="s">
        <v>834</v>
      </c>
      <c r="G534" s="11" t="s">
        <v>1577</v>
      </c>
      <c r="H534" s="11"/>
      <c r="I534" s="11" t="s">
        <v>49</v>
      </c>
      <c r="J534" s="11">
        <v>4376.76</v>
      </c>
      <c r="K534" s="11">
        <v>4376.76</v>
      </c>
      <c r="L534" s="11"/>
      <c r="M534" s="11">
        <v>4376.76</v>
      </c>
      <c r="N534" s="11"/>
      <c r="O534" s="11" t="s">
        <v>50</v>
      </c>
    </row>
    <row r="535" spans="1:15" s="13" customFormat="1" ht="19.5" customHeight="1" x14ac:dyDescent="0.25">
      <c r="A535" s="11" t="s">
        <v>1577</v>
      </c>
      <c r="B535" s="11" t="s">
        <v>1577</v>
      </c>
      <c r="C535" s="12">
        <v>46071</v>
      </c>
      <c r="D535" s="12">
        <v>46137</v>
      </c>
      <c r="E535" s="11" t="s">
        <v>6</v>
      </c>
      <c r="F535" s="11" t="s">
        <v>834</v>
      </c>
      <c r="G535" s="11" t="s">
        <v>1577</v>
      </c>
      <c r="H535" s="11"/>
      <c r="I535" s="11" t="s">
        <v>49</v>
      </c>
      <c r="J535" s="11">
        <v>4376.76</v>
      </c>
      <c r="K535" s="11">
        <v>4376.76</v>
      </c>
      <c r="L535" s="11"/>
      <c r="M535" s="11">
        <v>4376.76</v>
      </c>
      <c r="N535" s="11"/>
      <c r="O535" s="11" t="s">
        <v>50</v>
      </c>
    </row>
    <row r="536" spans="1:15" s="13" customFormat="1" ht="19.5" customHeight="1" x14ac:dyDescent="0.25">
      <c r="A536" s="11" t="s">
        <v>1577</v>
      </c>
      <c r="B536" s="11" t="s">
        <v>1577</v>
      </c>
      <c r="C536" s="12">
        <v>46071</v>
      </c>
      <c r="D536" s="12">
        <v>46144</v>
      </c>
      <c r="E536" s="11" t="s">
        <v>6</v>
      </c>
      <c r="F536" s="11" t="s">
        <v>834</v>
      </c>
      <c r="G536" s="11" t="s">
        <v>1577</v>
      </c>
      <c r="H536" s="11"/>
      <c r="I536" s="11" t="s">
        <v>49</v>
      </c>
      <c r="J536" s="11">
        <v>4376.76</v>
      </c>
      <c r="K536" s="11">
        <v>4376.76</v>
      </c>
      <c r="L536" s="11"/>
      <c r="M536" s="11">
        <v>4376.76</v>
      </c>
      <c r="N536" s="11"/>
      <c r="O536" s="11" t="s">
        <v>50</v>
      </c>
    </row>
    <row r="537" spans="1:15" s="13" customFormat="1" ht="19.5" customHeight="1" x14ac:dyDescent="0.25">
      <c r="A537" s="11" t="s">
        <v>1577</v>
      </c>
      <c r="B537" s="11" t="s">
        <v>1577</v>
      </c>
      <c r="C537" s="12">
        <v>46071</v>
      </c>
      <c r="D537" s="12">
        <v>46161</v>
      </c>
      <c r="E537" s="11" t="s">
        <v>6</v>
      </c>
      <c r="F537" s="11" t="s">
        <v>834</v>
      </c>
      <c r="G537" s="11" t="s">
        <v>1577</v>
      </c>
      <c r="H537" s="11"/>
      <c r="I537" s="11" t="s">
        <v>49</v>
      </c>
      <c r="J537" s="11">
        <v>4387.28</v>
      </c>
      <c r="K537" s="11">
        <v>4387.28</v>
      </c>
      <c r="L537" s="11"/>
      <c r="M537" s="11">
        <v>4387.28</v>
      </c>
      <c r="N537" s="11"/>
      <c r="O537" s="11" t="s">
        <v>50</v>
      </c>
    </row>
    <row r="538" spans="1:15" s="13" customFormat="1" ht="19.5" customHeight="1" x14ac:dyDescent="0.25">
      <c r="A538" s="11" t="s">
        <v>1578</v>
      </c>
      <c r="B538" s="11" t="s">
        <v>1579</v>
      </c>
      <c r="C538" s="12">
        <v>46071</v>
      </c>
      <c r="D538" s="12">
        <v>46071</v>
      </c>
      <c r="E538" s="11" t="s">
        <v>6</v>
      </c>
      <c r="F538" s="11" t="s">
        <v>1580</v>
      </c>
      <c r="G538" s="11" t="s">
        <v>1579</v>
      </c>
      <c r="H538" s="11" t="s">
        <v>1581</v>
      </c>
      <c r="I538" s="11" t="s">
        <v>49</v>
      </c>
      <c r="J538" s="11">
        <v>288.36</v>
      </c>
      <c r="K538" s="11">
        <v>288.36</v>
      </c>
      <c r="L538" s="11"/>
      <c r="M538" s="11">
        <v>288.36</v>
      </c>
      <c r="N538" s="11" t="s">
        <v>1582</v>
      </c>
      <c r="O538" s="11" t="s">
        <v>50</v>
      </c>
    </row>
    <row r="539" spans="1:15" s="13" customFormat="1" ht="19.5" customHeight="1" x14ac:dyDescent="0.25">
      <c r="A539" s="11" t="s">
        <v>1583</v>
      </c>
      <c r="B539" s="11" t="s">
        <v>1583</v>
      </c>
      <c r="C539" s="12">
        <v>46071</v>
      </c>
      <c r="D539" s="12">
        <v>46071</v>
      </c>
      <c r="E539" s="11" t="s">
        <v>6</v>
      </c>
      <c r="F539" s="11" t="s">
        <v>74</v>
      </c>
      <c r="G539" s="11" t="s">
        <v>1583</v>
      </c>
      <c r="H539" s="11"/>
      <c r="I539" s="11" t="s">
        <v>49</v>
      </c>
      <c r="J539" s="11">
        <v>101</v>
      </c>
      <c r="K539" s="11">
        <v>101</v>
      </c>
      <c r="L539" s="11"/>
      <c r="M539" s="11">
        <v>101</v>
      </c>
      <c r="N539" s="11"/>
      <c r="O539" s="11" t="s">
        <v>75</v>
      </c>
    </row>
    <row r="540" spans="1:15" s="13" customFormat="1" ht="19.5" customHeight="1" x14ac:dyDescent="0.25">
      <c r="A540" s="11" t="s">
        <v>1584</v>
      </c>
      <c r="B540" s="11" t="s">
        <v>1584</v>
      </c>
      <c r="C540" s="12">
        <v>46071</v>
      </c>
      <c r="D540" s="12">
        <v>46071</v>
      </c>
      <c r="E540" s="11" t="s">
        <v>6</v>
      </c>
      <c r="F540" s="11" t="s">
        <v>74</v>
      </c>
      <c r="G540" s="11" t="s">
        <v>1584</v>
      </c>
      <c r="H540" s="11"/>
      <c r="I540" s="11" t="s">
        <v>49</v>
      </c>
      <c r="J540" s="11">
        <v>100.98</v>
      </c>
      <c r="K540" s="11">
        <v>100.98</v>
      </c>
      <c r="L540" s="11"/>
      <c r="M540" s="11">
        <v>100.98</v>
      </c>
      <c r="N540" s="11"/>
      <c r="O540" s="11" t="s">
        <v>75</v>
      </c>
    </row>
    <row r="541" spans="1:15" s="13" customFormat="1" ht="19.5" customHeight="1" x14ac:dyDescent="0.25">
      <c r="A541" s="11" t="s">
        <v>1585</v>
      </c>
      <c r="B541" s="11" t="s">
        <v>1586</v>
      </c>
      <c r="C541" s="12">
        <v>46071</v>
      </c>
      <c r="D541" s="12">
        <v>46071</v>
      </c>
      <c r="E541" s="11" t="s">
        <v>6</v>
      </c>
      <c r="F541" s="11" t="s">
        <v>1587</v>
      </c>
      <c r="G541" s="11" t="s">
        <v>1586</v>
      </c>
      <c r="H541" s="11" t="s">
        <v>1588</v>
      </c>
      <c r="I541" s="11" t="s">
        <v>49</v>
      </c>
      <c r="J541" s="11">
        <v>90.86</v>
      </c>
      <c r="K541" s="11">
        <v>90.86</v>
      </c>
      <c r="L541" s="11"/>
      <c r="M541" s="11">
        <v>90.86</v>
      </c>
      <c r="N541" s="11" t="s">
        <v>1589</v>
      </c>
      <c r="O541" s="11" t="s">
        <v>50</v>
      </c>
    </row>
    <row r="542" spans="1:15" s="13" customFormat="1" ht="19.5" customHeight="1" x14ac:dyDescent="0.25">
      <c r="A542" s="11" t="s">
        <v>1590</v>
      </c>
      <c r="B542" s="11" t="s">
        <v>1591</v>
      </c>
      <c r="C542" s="12">
        <v>46071</v>
      </c>
      <c r="D542" s="12">
        <v>46071</v>
      </c>
      <c r="E542" s="11" t="s">
        <v>6</v>
      </c>
      <c r="F542" s="11" t="s">
        <v>1592</v>
      </c>
      <c r="G542" s="11" t="s">
        <v>1591</v>
      </c>
      <c r="H542" s="11" t="s">
        <v>1593</v>
      </c>
      <c r="I542" s="11" t="s">
        <v>49</v>
      </c>
      <c r="J542" s="11">
        <v>274.27999999999997</v>
      </c>
      <c r="K542" s="11">
        <v>274.27999999999997</v>
      </c>
      <c r="L542" s="11"/>
      <c r="M542" s="11">
        <v>274.27999999999997</v>
      </c>
      <c r="N542" s="11" t="s">
        <v>1594</v>
      </c>
      <c r="O542" s="11" t="s">
        <v>50</v>
      </c>
    </row>
    <row r="543" spans="1:15" s="13" customFormat="1" ht="19.5" customHeight="1" x14ac:dyDescent="0.25">
      <c r="A543" s="11" t="s">
        <v>1595</v>
      </c>
      <c r="B543" s="11" t="s">
        <v>1596</v>
      </c>
      <c r="C543" s="12">
        <v>46071</v>
      </c>
      <c r="D543" s="12">
        <v>46071</v>
      </c>
      <c r="E543" s="11" t="s">
        <v>6</v>
      </c>
      <c r="F543" s="11" t="s">
        <v>1597</v>
      </c>
      <c r="G543" s="11" t="s">
        <v>1596</v>
      </c>
      <c r="H543" s="11" t="s">
        <v>762</v>
      </c>
      <c r="I543" s="11" t="s">
        <v>49</v>
      </c>
      <c r="J543" s="11">
        <v>254.82</v>
      </c>
      <c r="K543" s="11">
        <v>254.82</v>
      </c>
      <c r="L543" s="11"/>
      <c r="M543" s="11">
        <v>254.82</v>
      </c>
      <c r="N543" s="11"/>
      <c r="O543" s="11" t="s">
        <v>50</v>
      </c>
    </row>
    <row r="544" spans="1:15" s="13" customFormat="1" ht="19.5" customHeight="1" x14ac:dyDescent="0.25">
      <c r="A544" s="11" t="s">
        <v>1598</v>
      </c>
      <c r="B544" s="11" t="s">
        <v>1599</v>
      </c>
      <c r="C544" s="12">
        <v>46071</v>
      </c>
      <c r="D544" s="12">
        <v>46071</v>
      </c>
      <c r="E544" s="11" t="s">
        <v>6</v>
      </c>
      <c r="F544" s="11" t="s">
        <v>1600</v>
      </c>
      <c r="G544" s="11" t="s">
        <v>1599</v>
      </c>
      <c r="H544" s="11" t="s">
        <v>762</v>
      </c>
      <c r="I544" s="11" t="s">
        <v>49</v>
      </c>
      <c r="J544" s="11">
        <v>90.86</v>
      </c>
      <c r="K544" s="11">
        <v>90.86</v>
      </c>
      <c r="L544" s="11"/>
      <c r="M544" s="11">
        <v>90.86</v>
      </c>
      <c r="N544" s="11" t="s">
        <v>1601</v>
      </c>
      <c r="O544" s="11" t="s">
        <v>50</v>
      </c>
    </row>
    <row r="545" spans="1:15" s="13" customFormat="1" ht="19.5" customHeight="1" x14ac:dyDescent="0.25">
      <c r="A545" s="11" t="s">
        <v>1602</v>
      </c>
      <c r="B545" s="11" t="s">
        <v>1603</v>
      </c>
      <c r="C545" s="12">
        <v>46071</v>
      </c>
      <c r="D545" s="12">
        <v>46071</v>
      </c>
      <c r="E545" s="11" t="s">
        <v>6</v>
      </c>
      <c r="F545" s="11" t="s">
        <v>1604</v>
      </c>
      <c r="G545" s="11" t="s">
        <v>1603</v>
      </c>
      <c r="H545" s="11" t="s">
        <v>762</v>
      </c>
      <c r="I545" s="11" t="s">
        <v>49</v>
      </c>
      <c r="J545" s="11">
        <v>155.69999999999999</v>
      </c>
      <c r="K545" s="11">
        <v>155.69999999999999</v>
      </c>
      <c r="L545" s="11"/>
      <c r="M545" s="11">
        <v>155.69999999999999</v>
      </c>
      <c r="N545" s="11"/>
      <c r="O545" s="11" t="s">
        <v>50</v>
      </c>
    </row>
    <row r="546" spans="1:15" s="13" customFormat="1" ht="19.5" customHeight="1" x14ac:dyDescent="0.25">
      <c r="A546" s="11" t="s">
        <v>1605</v>
      </c>
      <c r="B546" s="11" t="s">
        <v>1606</v>
      </c>
      <c r="C546" s="12">
        <v>46071</v>
      </c>
      <c r="D546" s="12">
        <v>46071</v>
      </c>
      <c r="E546" s="11" t="s">
        <v>6</v>
      </c>
      <c r="F546" s="11" t="s">
        <v>1607</v>
      </c>
      <c r="G546" s="11" t="s">
        <v>1606</v>
      </c>
      <c r="H546" s="11" t="s">
        <v>1608</v>
      </c>
      <c r="I546" s="11" t="s">
        <v>49</v>
      </c>
      <c r="J546" s="11">
        <v>247.15</v>
      </c>
      <c r="K546" s="11">
        <v>247.15</v>
      </c>
      <c r="L546" s="11"/>
      <c r="M546" s="11">
        <v>247.15</v>
      </c>
      <c r="N546" s="11" t="s">
        <v>1609</v>
      </c>
      <c r="O546" s="11" t="s">
        <v>50</v>
      </c>
    </row>
    <row r="547" spans="1:15" s="13" customFormat="1" ht="19.5" customHeight="1" x14ac:dyDescent="0.25">
      <c r="A547" s="11" t="s">
        <v>1610</v>
      </c>
      <c r="B547" s="11" t="s">
        <v>1610</v>
      </c>
      <c r="C547" s="12">
        <v>46070</v>
      </c>
      <c r="D547" s="12">
        <v>46115</v>
      </c>
      <c r="E547" s="11" t="s">
        <v>6</v>
      </c>
      <c r="F547" s="11" t="s">
        <v>843</v>
      </c>
      <c r="G547" s="11" t="s">
        <v>1610</v>
      </c>
      <c r="H547" s="11"/>
      <c r="I547" s="11" t="s">
        <v>49</v>
      </c>
      <c r="J547" s="11">
        <v>7081.54</v>
      </c>
      <c r="K547" s="11">
        <v>7081.54</v>
      </c>
      <c r="L547" s="11"/>
      <c r="M547" s="11">
        <v>7081.54</v>
      </c>
      <c r="N547" s="11"/>
      <c r="O547" s="11" t="s">
        <v>50</v>
      </c>
    </row>
    <row r="548" spans="1:15" s="13" customFormat="1" ht="19.5" customHeight="1" x14ac:dyDescent="0.25">
      <c r="A548" s="11" t="s">
        <v>1610</v>
      </c>
      <c r="B548" s="11" t="s">
        <v>1610</v>
      </c>
      <c r="C548" s="12">
        <v>46070</v>
      </c>
      <c r="D548" s="12">
        <v>46124</v>
      </c>
      <c r="E548" s="11" t="s">
        <v>6</v>
      </c>
      <c r="F548" s="11" t="s">
        <v>843</v>
      </c>
      <c r="G548" s="11" t="s">
        <v>1610</v>
      </c>
      <c r="H548" s="11"/>
      <c r="I548" s="11" t="s">
        <v>49</v>
      </c>
      <c r="J548" s="11">
        <v>7068.82</v>
      </c>
      <c r="K548" s="11">
        <v>7068.82</v>
      </c>
      <c r="L548" s="11"/>
      <c r="M548" s="11">
        <v>7068.82</v>
      </c>
      <c r="N548" s="11"/>
      <c r="O548" s="11" t="s">
        <v>50</v>
      </c>
    </row>
    <row r="549" spans="1:15" s="13" customFormat="1" ht="19.5" customHeight="1" x14ac:dyDescent="0.25">
      <c r="A549" s="11" t="s">
        <v>1610</v>
      </c>
      <c r="B549" s="11" t="s">
        <v>1610</v>
      </c>
      <c r="C549" s="12">
        <v>46070</v>
      </c>
      <c r="D549" s="12">
        <v>46133</v>
      </c>
      <c r="E549" s="11" t="s">
        <v>6</v>
      </c>
      <c r="F549" s="11" t="s">
        <v>843</v>
      </c>
      <c r="G549" s="11" t="s">
        <v>1610</v>
      </c>
      <c r="H549" s="11"/>
      <c r="I549" s="11" t="s">
        <v>49</v>
      </c>
      <c r="J549" s="11">
        <v>7068.82</v>
      </c>
      <c r="K549" s="11">
        <v>7068.82</v>
      </c>
      <c r="L549" s="11"/>
      <c r="M549" s="11">
        <v>7068.82</v>
      </c>
      <c r="N549" s="11"/>
      <c r="O549" s="11" t="s">
        <v>50</v>
      </c>
    </row>
    <row r="550" spans="1:15" s="13" customFormat="1" ht="19.5" customHeight="1" x14ac:dyDescent="0.25">
      <c r="A550" s="11" t="s">
        <v>1610</v>
      </c>
      <c r="B550" s="11" t="s">
        <v>1610</v>
      </c>
      <c r="C550" s="12">
        <v>46070</v>
      </c>
      <c r="D550" s="12">
        <v>46142</v>
      </c>
      <c r="E550" s="11" t="s">
        <v>6</v>
      </c>
      <c r="F550" s="11" t="s">
        <v>843</v>
      </c>
      <c r="G550" s="11" t="s">
        <v>1610</v>
      </c>
      <c r="H550" s="11"/>
      <c r="I550" s="11" t="s">
        <v>49</v>
      </c>
      <c r="J550" s="11">
        <v>7068.82</v>
      </c>
      <c r="K550" s="11">
        <v>7068.82</v>
      </c>
      <c r="L550" s="11"/>
      <c r="M550" s="11">
        <v>7068.82</v>
      </c>
      <c r="N550" s="11"/>
      <c r="O550" s="11" t="s">
        <v>50</v>
      </c>
    </row>
    <row r="551" spans="1:15" s="13" customFormat="1" ht="19.5" customHeight="1" x14ac:dyDescent="0.25">
      <c r="A551" s="11" t="s">
        <v>1610</v>
      </c>
      <c r="B551" s="11" t="s">
        <v>1610</v>
      </c>
      <c r="C551" s="12">
        <v>46070</v>
      </c>
      <c r="D551" s="12">
        <v>46151</v>
      </c>
      <c r="E551" s="11" t="s">
        <v>6</v>
      </c>
      <c r="F551" s="11" t="s">
        <v>843</v>
      </c>
      <c r="G551" s="11" t="s">
        <v>1610</v>
      </c>
      <c r="H551" s="11"/>
      <c r="I551" s="11" t="s">
        <v>49</v>
      </c>
      <c r="J551" s="11">
        <v>7068.82</v>
      </c>
      <c r="K551" s="11">
        <v>7068.82</v>
      </c>
      <c r="L551" s="11"/>
      <c r="M551" s="11">
        <v>7068.82</v>
      </c>
      <c r="N551" s="11"/>
      <c r="O551" s="11" t="s">
        <v>50</v>
      </c>
    </row>
    <row r="552" spans="1:15" s="13" customFormat="1" ht="19.5" customHeight="1" x14ac:dyDescent="0.25">
      <c r="A552" s="11" t="s">
        <v>1610</v>
      </c>
      <c r="B552" s="11" t="s">
        <v>1610</v>
      </c>
      <c r="C552" s="12">
        <v>46070</v>
      </c>
      <c r="D552" s="12">
        <v>46160</v>
      </c>
      <c r="E552" s="11" t="s">
        <v>6</v>
      </c>
      <c r="F552" s="11" t="s">
        <v>843</v>
      </c>
      <c r="G552" s="11" t="s">
        <v>1610</v>
      </c>
      <c r="H552" s="11"/>
      <c r="I552" s="11" t="s">
        <v>49</v>
      </c>
      <c r="J552" s="11">
        <v>7047.59</v>
      </c>
      <c r="K552" s="11">
        <v>7047.59</v>
      </c>
      <c r="L552" s="11"/>
      <c r="M552" s="11">
        <v>7047.59</v>
      </c>
      <c r="N552" s="11"/>
      <c r="O552" s="11" t="s">
        <v>50</v>
      </c>
    </row>
    <row r="553" spans="1:15" s="13" customFormat="1" ht="19.5" customHeight="1" x14ac:dyDescent="0.25">
      <c r="A553" s="11" t="s">
        <v>1611</v>
      </c>
      <c r="B553" s="11" t="s">
        <v>1611</v>
      </c>
      <c r="C553" s="12">
        <v>46070</v>
      </c>
      <c r="D553" s="12">
        <v>46115</v>
      </c>
      <c r="E553" s="11" t="s">
        <v>6</v>
      </c>
      <c r="F553" s="11" t="s">
        <v>843</v>
      </c>
      <c r="G553" s="11" t="s">
        <v>1611</v>
      </c>
      <c r="H553" s="11"/>
      <c r="I553" s="11" t="s">
        <v>49</v>
      </c>
      <c r="J553" s="11">
        <v>16787.689999999999</v>
      </c>
      <c r="K553" s="11">
        <v>16787.689999999999</v>
      </c>
      <c r="L553" s="11"/>
      <c r="M553" s="11">
        <v>16787.689999999999</v>
      </c>
      <c r="N553" s="11"/>
      <c r="O553" s="11" t="s">
        <v>50</v>
      </c>
    </row>
    <row r="554" spans="1:15" s="13" customFormat="1" ht="19.5" customHeight="1" x14ac:dyDescent="0.25">
      <c r="A554" s="11" t="s">
        <v>1611</v>
      </c>
      <c r="B554" s="11" t="s">
        <v>1611</v>
      </c>
      <c r="C554" s="12">
        <v>46070</v>
      </c>
      <c r="D554" s="12">
        <v>46125</v>
      </c>
      <c r="E554" s="11" t="s">
        <v>6</v>
      </c>
      <c r="F554" s="11" t="s">
        <v>843</v>
      </c>
      <c r="G554" s="11" t="s">
        <v>1611</v>
      </c>
      <c r="H554" s="11"/>
      <c r="I554" s="11" t="s">
        <v>49</v>
      </c>
      <c r="J554" s="11">
        <v>16787.689999999999</v>
      </c>
      <c r="K554" s="11">
        <v>16787.689999999999</v>
      </c>
      <c r="L554" s="11"/>
      <c r="M554" s="11">
        <v>16787.689999999999</v>
      </c>
      <c r="N554" s="11"/>
      <c r="O554" s="11" t="s">
        <v>50</v>
      </c>
    </row>
    <row r="555" spans="1:15" s="13" customFormat="1" ht="19.5" customHeight="1" x14ac:dyDescent="0.25">
      <c r="A555" s="11" t="s">
        <v>1611</v>
      </c>
      <c r="B555" s="11" t="s">
        <v>1611</v>
      </c>
      <c r="C555" s="12">
        <v>46070</v>
      </c>
      <c r="D555" s="12">
        <v>46135</v>
      </c>
      <c r="E555" s="11" t="s">
        <v>6</v>
      </c>
      <c r="F555" s="11" t="s">
        <v>843</v>
      </c>
      <c r="G555" s="11" t="s">
        <v>1611</v>
      </c>
      <c r="H555" s="11"/>
      <c r="I555" s="11" t="s">
        <v>49</v>
      </c>
      <c r="J555" s="11">
        <v>16787.689999999999</v>
      </c>
      <c r="K555" s="11">
        <v>16787.689999999999</v>
      </c>
      <c r="L555" s="11"/>
      <c r="M555" s="11">
        <v>16787.689999999999</v>
      </c>
      <c r="N555" s="11"/>
      <c r="O555" s="11" t="s">
        <v>50</v>
      </c>
    </row>
    <row r="556" spans="1:15" s="13" customFormat="1" ht="19.5" customHeight="1" x14ac:dyDescent="0.25">
      <c r="A556" s="11" t="s">
        <v>1611</v>
      </c>
      <c r="B556" s="11" t="s">
        <v>1611</v>
      </c>
      <c r="C556" s="12">
        <v>46070</v>
      </c>
      <c r="D556" s="12">
        <v>46145</v>
      </c>
      <c r="E556" s="11" t="s">
        <v>6</v>
      </c>
      <c r="F556" s="11" t="s">
        <v>843</v>
      </c>
      <c r="G556" s="11" t="s">
        <v>1611</v>
      </c>
      <c r="H556" s="11"/>
      <c r="I556" s="11" t="s">
        <v>49</v>
      </c>
      <c r="J556" s="11">
        <v>16787.689999999999</v>
      </c>
      <c r="K556" s="11">
        <v>16787.689999999999</v>
      </c>
      <c r="L556" s="11"/>
      <c r="M556" s="11">
        <v>16787.689999999999</v>
      </c>
      <c r="N556" s="11"/>
      <c r="O556" s="11" t="s">
        <v>50</v>
      </c>
    </row>
    <row r="557" spans="1:15" s="13" customFormat="1" ht="19.5" customHeight="1" x14ac:dyDescent="0.25">
      <c r="A557" s="11" t="s">
        <v>1611</v>
      </c>
      <c r="B557" s="11" t="s">
        <v>1611</v>
      </c>
      <c r="C557" s="12">
        <v>46070</v>
      </c>
      <c r="D557" s="12">
        <v>46155</v>
      </c>
      <c r="E557" s="11" t="s">
        <v>6</v>
      </c>
      <c r="F557" s="11" t="s">
        <v>843</v>
      </c>
      <c r="G557" s="11" t="s">
        <v>1611</v>
      </c>
      <c r="H557" s="11"/>
      <c r="I557" s="11" t="s">
        <v>49</v>
      </c>
      <c r="J557" s="11">
        <v>16787.689999999999</v>
      </c>
      <c r="K557" s="11">
        <v>16787.689999999999</v>
      </c>
      <c r="L557" s="11"/>
      <c r="M557" s="11">
        <v>16787.689999999999</v>
      </c>
      <c r="N557" s="11"/>
      <c r="O557" s="11" t="s">
        <v>50</v>
      </c>
    </row>
    <row r="558" spans="1:15" s="13" customFormat="1" ht="19.5" customHeight="1" x14ac:dyDescent="0.25">
      <c r="A558" s="11" t="s">
        <v>1611</v>
      </c>
      <c r="B558" s="11" t="s">
        <v>1611</v>
      </c>
      <c r="C558" s="12">
        <v>46070</v>
      </c>
      <c r="D558" s="12">
        <v>46165</v>
      </c>
      <c r="E558" s="11" t="s">
        <v>6</v>
      </c>
      <c r="F558" s="11" t="s">
        <v>843</v>
      </c>
      <c r="G558" s="11" t="s">
        <v>1611</v>
      </c>
      <c r="H558" s="11"/>
      <c r="I558" s="11" t="s">
        <v>49</v>
      </c>
      <c r="J558" s="11">
        <v>16787.689999999999</v>
      </c>
      <c r="K558" s="11">
        <v>16787.689999999999</v>
      </c>
      <c r="L558" s="11"/>
      <c r="M558" s="11">
        <v>16787.689999999999</v>
      </c>
      <c r="N558" s="11"/>
      <c r="O558" s="11" t="s">
        <v>50</v>
      </c>
    </row>
    <row r="559" spans="1:15" s="13" customFormat="1" ht="19.5" customHeight="1" x14ac:dyDescent="0.25">
      <c r="A559" s="11" t="s">
        <v>1611</v>
      </c>
      <c r="B559" s="11" t="s">
        <v>1611</v>
      </c>
      <c r="C559" s="12">
        <v>46070</v>
      </c>
      <c r="D559" s="12">
        <v>46175</v>
      </c>
      <c r="E559" s="11" t="s">
        <v>6</v>
      </c>
      <c r="F559" s="11" t="s">
        <v>843</v>
      </c>
      <c r="G559" s="11" t="s">
        <v>1611</v>
      </c>
      <c r="H559" s="11"/>
      <c r="I559" s="11" t="s">
        <v>49</v>
      </c>
      <c r="J559" s="11">
        <v>16787.689999999999</v>
      </c>
      <c r="K559" s="11">
        <v>16787.689999999999</v>
      </c>
      <c r="L559" s="11"/>
      <c r="M559" s="11">
        <v>16787.689999999999</v>
      </c>
      <c r="N559" s="11"/>
      <c r="O559" s="11" t="s">
        <v>50</v>
      </c>
    </row>
    <row r="560" spans="1:15" s="13" customFormat="1" ht="19.5" customHeight="1" x14ac:dyDescent="0.25">
      <c r="A560" s="11" t="s">
        <v>1611</v>
      </c>
      <c r="B560" s="11" t="s">
        <v>1611</v>
      </c>
      <c r="C560" s="12">
        <v>46070</v>
      </c>
      <c r="D560" s="12">
        <v>46185</v>
      </c>
      <c r="E560" s="11" t="s">
        <v>6</v>
      </c>
      <c r="F560" s="11" t="s">
        <v>843</v>
      </c>
      <c r="G560" s="11" t="s">
        <v>1611</v>
      </c>
      <c r="H560" s="11"/>
      <c r="I560" s="11" t="s">
        <v>49</v>
      </c>
      <c r="J560" s="11">
        <v>16787.689999999999</v>
      </c>
      <c r="K560" s="11">
        <v>16787.689999999999</v>
      </c>
      <c r="L560" s="11"/>
      <c r="M560" s="11">
        <v>16787.689999999999</v>
      </c>
      <c r="N560" s="11"/>
      <c r="O560" s="11" t="s">
        <v>50</v>
      </c>
    </row>
    <row r="561" spans="1:15" s="13" customFormat="1" ht="19.5" customHeight="1" x14ac:dyDescent="0.25">
      <c r="A561" s="11" t="s">
        <v>1611</v>
      </c>
      <c r="B561" s="11" t="s">
        <v>1611</v>
      </c>
      <c r="C561" s="12">
        <v>46070</v>
      </c>
      <c r="D561" s="12">
        <v>46195</v>
      </c>
      <c r="E561" s="11" t="s">
        <v>6</v>
      </c>
      <c r="F561" s="11" t="s">
        <v>843</v>
      </c>
      <c r="G561" s="11" t="s">
        <v>1611</v>
      </c>
      <c r="H561" s="11"/>
      <c r="I561" s="11" t="s">
        <v>49</v>
      </c>
      <c r="J561" s="11">
        <v>16802.759999999998</v>
      </c>
      <c r="K561" s="11">
        <v>16802.759999999998</v>
      </c>
      <c r="L561" s="11"/>
      <c r="M561" s="11">
        <v>16802.759999999998</v>
      </c>
      <c r="N561" s="11"/>
      <c r="O561" s="11" t="s">
        <v>50</v>
      </c>
    </row>
    <row r="562" spans="1:15" s="13" customFormat="1" ht="19.5" customHeight="1" x14ac:dyDescent="0.25">
      <c r="A562" s="11" t="s">
        <v>1612</v>
      </c>
      <c r="B562" s="11" t="s">
        <v>1612</v>
      </c>
      <c r="C562" s="12">
        <v>46070</v>
      </c>
      <c r="D562" s="12">
        <v>46070</v>
      </c>
      <c r="E562" s="11" t="s">
        <v>6</v>
      </c>
      <c r="F562" s="11" t="s">
        <v>74</v>
      </c>
      <c r="G562" s="11" t="s">
        <v>1612</v>
      </c>
      <c r="H562" s="11"/>
      <c r="I562" s="11" t="s">
        <v>49</v>
      </c>
      <c r="J562" s="11">
        <v>101.39</v>
      </c>
      <c r="K562" s="11">
        <v>101.39</v>
      </c>
      <c r="L562" s="11"/>
      <c r="M562" s="11">
        <v>101.39</v>
      </c>
      <c r="N562" s="11"/>
      <c r="O562" s="11" t="s">
        <v>75</v>
      </c>
    </row>
    <row r="563" spans="1:15" s="13" customFormat="1" ht="19.5" customHeight="1" x14ac:dyDescent="0.25">
      <c r="A563" s="11" t="s">
        <v>1613</v>
      </c>
      <c r="B563" s="11" t="s">
        <v>1613</v>
      </c>
      <c r="C563" s="12">
        <v>46070</v>
      </c>
      <c r="D563" s="12">
        <v>46070</v>
      </c>
      <c r="E563" s="11" t="s">
        <v>6</v>
      </c>
      <c r="F563" s="11" t="s">
        <v>74</v>
      </c>
      <c r="G563" s="11" t="s">
        <v>1613</v>
      </c>
      <c r="H563" s="11"/>
      <c r="I563" s="11" t="s">
        <v>49</v>
      </c>
      <c r="J563" s="11">
        <v>100.27</v>
      </c>
      <c r="K563" s="11">
        <v>100.27</v>
      </c>
      <c r="L563" s="11"/>
      <c r="M563" s="11">
        <v>100.27</v>
      </c>
      <c r="N563" s="11" t="s">
        <v>1614</v>
      </c>
      <c r="O563" s="11" t="s">
        <v>75</v>
      </c>
    </row>
    <row r="564" spans="1:15" s="13" customFormat="1" ht="19.5" customHeight="1" x14ac:dyDescent="0.25">
      <c r="A564" s="11" t="s">
        <v>1615</v>
      </c>
      <c r="B564" s="11" t="s">
        <v>1616</v>
      </c>
      <c r="C564" s="12">
        <v>46070</v>
      </c>
      <c r="D564" s="12">
        <v>46070</v>
      </c>
      <c r="E564" s="11" t="s">
        <v>6</v>
      </c>
      <c r="F564" s="11" t="s">
        <v>1617</v>
      </c>
      <c r="G564" s="11" t="s">
        <v>1616</v>
      </c>
      <c r="H564" s="11" t="s">
        <v>762</v>
      </c>
      <c r="I564" s="11" t="s">
        <v>49</v>
      </c>
      <c r="J564" s="11">
        <v>248.4</v>
      </c>
      <c r="K564" s="11">
        <v>248.4</v>
      </c>
      <c r="L564" s="11"/>
      <c r="M564" s="11">
        <v>248.4</v>
      </c>
      <c r="N564" s="11"/>
      <c r="O564" s="11" t="s">
        <v>50</v>
      </c>
    </row>
    <row r="565" spans="1:15" s="13" customFormat="1" ht="19.5" customHeight="1" x14ac:dyDescent="0.25">
      <c r="A565" s="11" t="s">
        <v>1618</v>
      </c>
      <c r="B565" s="11" t="s">
        <v>1619</v>
      </c>
      <c r="C565" s="12">
        <v>46070</v>
      </c>
      <c r="D565" s="12">
        <v>46070</v>
      </c>
      <c r="E565" s="11" t="s">
        <v>6</v>
      </c>
      <c r="F565" s="11" t="s">
        <v>498</v>
      </c>
      <c r="G565" s="11" t="s">
        <v>1619</v>
      </c>
      <c r="H565" s="11" t="s">
        <v>1620</v>
      </c>
      <c r="I565" s="11" t="s">
        <v>49</v>
      </c>
      <c r="J565" s="11">
        <v>72</v>
      </c>
      <c r="K565" s="11">
        <v>72</v>
      </c>
      <c r="L565" s="11"/>
      <c r="M565" s="11">
        <v>72</v>
      </c>
      <c r="N565" s="11" t="s">
        <v>1621</v>
      </c>
      <c r="O565" s="11" t="s">
        <v>50</v>
      </c>
    </row>
    <row r="566" spans="1:15" s="13" customFormat="1" ht="19.5" customHeight="1" x14ac:dyDescent="0.25">
      <c r="A566" s="11" t="s">
        <v>1622</v>
      </c>
      <c r="B566" s="11" t="s">
        <v>1623</v>
      </c>
      <c r="C566" s="12">
        <v>46070</v>
      </c>
      <c r="D566" s="12">
        <v>46070</v>
      </c>
      <c r="E566" s="11" t="s">
        <v>6</v>
      </c>
      <c r="F566" s="11" t="s">
        <v>1624</v>
      </c>
      <c r="G566" s="11" t="s">
        <v>1623</v>
      </c>
      <c r="H566" s="11" t="s">
        <v>1625</v>
      </c>
      <c r="I566" s="11" t="s">
        <v>49</v>
      </c>
      <c r="J566" s="11">
        <v>140.74</v>
      </c>
      <c r="K566" s="11">
        <v>140.74</v>
      </c>
      <c r="L566" s="11"/>
      <c r="M566" s="11">
        <v>140.74</v>
      </c>
      <c r="N566" s="11" t="s">
        <v>1626</v>
      </c>
      <c r="O566" s="11" t="s">
        <v>50</v>
      </c>
    </row>
    <row r="567" spans="1:15" s="13" customFormat="1" ht="19.5" customHeight="1" x14ac:dyDescent="0.25">
      <c r="A567" s="11" t="s">
        <v>1627</v>
      </c>
      <c r="B567" s="11" t="s">
        <v>1628</v>
      </c>
      <c r="C567" s="12">
        <v>46070</v>
      </c>
      <c r="D567" s="12">
        <v>46070</v>
      </c>
      <c r="E567" s="11" t="s">
        <v>6</v>
      </c>
      <c r="F567" s="11" t="s">
        <v>1629</v>
      </c>
      <c r="G567" s="11" t="s">
        <v>1628</v>
      </c>
      <c r="H567" s="11" t="s">
        <v>1630</v>
      </c>
      <c r="I567" s="11" t="s">
        <v>49</v>
      </c>
      <c r="J567" s="11">
        <v>52.2</v>
      </c>
      <c r="K567" s="11">
        <v>52.2</v>
      </c>
      <c r="L567" s="11"/>
      <c r="M567" s="11">
        <v>52.2</v>
      </c>
      <c r="N567" s="11" t="s">
        <v>1631</v>
      </c>
      <c r="O567" s="11" t="s">
        <v>50</v>
      </c>
    </row>
    <row r="568" spans="1:15" s="13" customFormat="1" ht="19.5" customHeight="1" x14ac:dyDescent="0.25">
      <c r="A568" s="11" t="s">
        <v>1632</v>
      </c>
      <c r="B568" s="11" t="s">
        <v>1633</v>
      </c>
      <c r="C568" s="12">
        <v>46070</v>
      </c>
      <c r="D568" s="12">
        <v>46070</v>
      </c>
      <c r="E568" s="11" t="s">
        <v>6</v>
      </c>
      <c r="F568" s="11" t="s">
        <v>1634</v>
      </c>
      <c r="G568" s="11" t="s">
        <v>1633</v>
      </c>
      <c r="H568" s="11" t="s">
        <v>762</v>
      </c>
      <c r="I568" s="11" t="s">
        <v>49</v>
      </c>
      <c r="J568" s="11">
        <v>257.3</v>
      </c>
      <c r="K568" s="11">
        <v>257.3</v>
      </c>
      <c r="L568" s="11"/>
      <c r="M568" s="11">
        <v>257.3</v>
      </c>
      <c r="N568" s="11"/>
      <c r="O568" s="11" t="s">
        <v>50</v>
      </c>
    </row>
    <row r="569" spans="1:15" s="13" customFormat="1" ht="19.5" customHeight="1" x14ac:dyDescent="0.25">
      <c r="A569" s="11" t="s">
        <v>1635</v>
      </c>
      <c r="B569" s="11" t="s">
        <v>1636</v>
      </c>
      <c r="C569" s="12">
        <v>46070</v>
      </c>
      <c r="D569" s="12">
        <v>46070</v>
      </c>
      <c r="E569" s="11" t="s">
        <v>6</v>
      </c>
      <c r="F569" s="11" t="s">
        <v>1637</v>
      </c>
      <c r="G569" s="11" t="s">
        <v>1636</v>
      </c>
      <c r="H569" s="11" t="s">
        <v>762</v>
      </c>
      <c r="I569" s="11" t="s">
        <v>49</v>
      </c>
      <c r="J569" s="11">
        <v>128.24</v>
      </c>
      <c r="K569" s="11">
        <v>128.24</v>
      </c>
      <c r="L569" s="11"/>
      <c r="M569" s="11">
        <v>128.24</v>
      </c>
      <c r="N569" s="11" t="s">
        <v>1638</v>
      </c>
      <c r="O569" s="11" t="s">
        <v>50</v>
      </c>
    </row>
    <row r="570" spans="1:15" s="13" customFormat="1" ht="19.5" customHeight="1" x14ac:dyDescent="0.25">
      <c r="A570" s="11" t="s">
        <v>1639</v>
      </c>
      <c r="B570" s="11" t="s">
        <v>1640</v>
      </c>
      <c r="C570" s="12">
        <v>46070</v>
      </c>
      <c r="D570" s="12">
        <v>46070</v>
      </c>
      <c r="E570" s="11" t="s">
        <v>6</v>
      </c>
      <c r="F570" s="11" t="s">
        <v>1641</v>
      </c>
      <c r="G570" s="11" t="s">
        <v>1640</v>
      </c>
      <c r="H570" s="11" t="s">
        <v>762</v>
      </c>
      <c r="I570" s="11" t="s">
        <v>49</v>
      </c>
      <c r="J570" s="11">
        <v>43.2</v>
      </c>
      <c r="K570" s="11">
        <v>43.2</v>
      </c>
      <c r="L570" s="11"/>
      <c r="M570" s="11">
        <v>43.2</v>
      </c>
      <c r="N570" s="11" t="s">
        <v>1642</v>
      </c>
      <c r="O570" s="11" t="s">
        <v>50</v>
      </c>
    </row>
    <row r="571" spans="1:15" s="13" customFormat="1" ht="19.5" customHeight="1" x14ac:dyDescent="0.25">
      <c r="A571" s="11" t="s">
        <v>1643</v>
      </c>
      <c r="B571" s="11" t="s">
        <v>1644</v>
      </c>
      <c r="C571" s="12">
        <v>46070</v>
      </c>
      <c r="D571" s="12">
        <v>46070</v>
      </c>
      <c r="E571" s="11" t="s">
        <v>6</v>
      </c>
      <c r="F571" s="11" t="s">
        <v>1645</v>
      </c>
      <c r="G571" s="11" t="s">
        <v>1644</v>
      </c>
      <c r="H571" s="11" t="s">
        <v>1646</v>
      </c>
      <c r="I571" s="11" t="s">
        <v>49</v>
      </c>
      <c r="J571" s="11">
        <v>140.26</v>
      </c>
      <c r="K571" s="11">
        <v>140.26</v>
      </c>
      <c r="L571" s="11"/>
      <c r="M571" s="11">
        <v>140.26</v>
      </c>
      <c r="N571" s="11" t="s">
        <v>1647</v>
      </c>
      <c r="O571" s="11" t="s">
        <v>50</v>
      </c>
    </row>
    <row r="572" spans="1:15" s="13" customFormat="1" ht="19.5" customHeight="1" x14ac:dyDescent="0.25">
      <c r="A572" s="11" t="s">
        <v>1648</v>
      </c>
      <c r="B572" s="11" t="s">
        <v>1649</v>
      </c>
      <c r="C572" s="12">
        <v>46070</v>
      </c>
      <c r="D572" s="12">
        <v>46070</v>
      </c>
      <c r="E572" s="11" t="s">
        <v>6</v>
      </c>
      <c r="F572" s="11" t="s">
        <v>498</v>
      </c>
      <c r="G572" s="11" t="s">
        <v>1649</v>
      </c>
      <c r="H572" s="11" t="s">
        <v>1650</v>
      </c>
      <c r="I572" s="11" t="s">
        <v>49</v>
      </c>
      <c r="J572" s="11">
        <v>610.54</v>
      </c>
      <c r="K572" s="11">
        <v>610.54</v>
      </c>
      <c r="L572" s="11"/>
      <c r="M572" s="11">
        <v>610.54</v>
      </c>
      <c r="N572" s="11" t="s">
        <v>1651</v>
      </c>
      <c r="O572" s="11" t="s">
        <v>50</v>
      </c>
    </row>
    <row r="573" spans="1:15" s="13" customFormat="1" ht="19.5" customHeight="1" x14ac:dyDescent="0.25">
      <c r="A573" s="11" t="s">
        <v>1652</v>
      </c>
      <c r="B573" s="11" t="s">
        <v>1653</v>
      </c>
      <c r="C573" s="12">
        <v>46069</v>
      </c>
      <c r="D573" s="12">
        <v>46069</v>
      </c>
      <c r="E573" s="11" t="s">
        <v>6</v>
      </c>
      <c r="F573" s="11" t="s">
        <v>1654</v>
      </c>
      <c r="G573" s="11" t="s">
        <v>1655</v>
      </c>
      <c r="H573" s="11" t="s">
        <v>1656</v>
      </c>
      <c r="I573" s="11" t="s">
        <v>49</v>
      </c>
      <c r="J573" s="11">
        <v>-57801.66</v>
      </c>
      <c r="K573" s="11"/>
      <c r="L573" s="11">
        <v>57801.66</v>
      </c>
      <c r="M573" s="11">
        <v>-57801.66</v>
      </c>
      <c r="N573" s="11"/>
      <c r="O573" s="11" t="s">
        <v>75</v>
      </c>
    </row>
    <row r="574" spans="1:15" s="13" customFormat="1" ht="19.5" customHeight="1" x14ac:dyDescent="0.25">
      <c r="A574" s="11" t="s">
        <v>1657</v>
      </c>
      <c r="B574" s="11" t="s">
        <v>1658</v>
      </c>
      <c r="C574" s="12">
        <v>46069</v>
      </c>
      <c r="D574" s="12">
        <v>46069</v>
      </c>
      <c r="E574" s="11" t="s">
        <v>6</v>
      </c>
      <c r="F574" s="11" t="s">
        <v>275</v>
      </c>
      <c r="G574" s="11" t="s">
        <v>1659</v>
      </c>
      <c r="H574" s="11" t="s">
        <v>1660</v>
      </c>
      <c r="I574" s="11" t="s">
        <v>49</v>
      </c>
      <c r="J574" s="11">
        <v>-20963.46</v>
      </c>
      <c r="K574" s="11"/>
      <c r="L574" s="11">
        <v>20963.46</v>
      </c>
      <c r="M574" s="11">
        <v>-20963.46</v>
      </c>
      <c r="N574" s="11"/>
      <c r="O574" s="11" t="s">
        <v>75</v>
      </c>
    </row>
    <row r="575" spans="1:15" s="13" customFormat="1" ht="19.5" customHeight="1" x14ac:dyDescent="0.25">
      <c r="A575" s="11" t="s">
        <v>1661</v>
      </c>
      <c r="B575" s="11" t="s">
        <v>1662</v>
      </c>
      <c r="C575" s="12">
        <v>46069</v>
      </c>
      <c r="D575" s="12">
        <v>46069</v>
      </c>
      <c r="E575" s="11" t="s">
        <v>6</v>
      </c>
      <c r="F575" s="11" t="s">
        <v>275</v>
      </c>
      <c r="G575" s="11" t="s">
        <v>1663</v>
      </c>
      <c r="H575" s="11" t="s">
        <v>1664</v>
      </c>
      <c r="I575" s="11" t="s">
        <v>49</v>
      </c>
      <c r="J575" s="11">
        <v>-12158.7</v>
      </c>
      <c r="K575" s="11"/>
      <c r="L575" s="11">
        <v>12158.7</v>
      </c>
      <c r="M575" s="11">
        <v>-12158.7</v>
      </c>
      <c r="N575" s="11"/>
      <c r="O575" s="11" t="s">
        <v>75</v>
      </c>
    </row>
    <row r="576" spans="1:15" s="13" customFormat="1" ht="19.5" customHeight="1" x14ac:dyDescent="0.25">
      <c r="A576" s="11" t="s">
        <v>1665</v>
      </c>
      <c r="B576" s="11" t="s">
        <v>1666</v>
      </c>
      <c r="C576" s="12">
        <v>46069</v>
      </c>
      <c r="D576" s="12">
        <v>46069</v>
      </c>
      <c r="E576" s="11" t="s">
        <v>6</v>
      </c>
      <c r="F576" s="11" t="s">
        <v>275</v>
      </c>
      <c r="G576" s="11" t="s">
        <v>1667</v>
      </c>
      <c r="H576" s="11" t="s">
        <v>1668</v>
      </c>
      <c r="I576" s="11" t="s">
        <v>49</v>
      </c>
      <c r="J576" s="11">
        <v>-35931.96</v>
      </c>
      <c r="K576" s="11"/>
      <c r="L576" s="11">
        <v>35931.96</v>
      </c>
      <c r="M576" s="11">
        <v>-35931.96</v>
      </c>
      <c r="N576" s="11"/>
      <c r="O576" s="11" t="s">
        <v>75</v>
      </c>
    </row>
    <row r="577" spans="1:15" s="13" customFormat="1" ht="19.5" customHeight="1" x14ac:dyDescent="0.25">
      <c r="A577" s="11" t="s">
        <v>1669</v>
      </c>
      <c r="B577" s="11" t="s">
        <v>1670</v>
      </c>
      <c r="C577" s="12">
        <v>46069</v>
      </c>
      <c r="D577" s="12">
        <v>46069</v>
      </c>
      <c r="E577" s="11" t="s">
        <v>6</v>
      </c>
      <c r="F577" s="11" t="s">
        <v>64</v>
      </c>
      <c r="G577" s="11" t="s">
        <v>1671</v>
      </c>
      <c r="H577" s="11" t="s">
        <v>1672</v>
      </c>
      <c r="I577" s="11" t="s">
        <v>49</v>
      </c>
      <c r="J577" s="11">
        <v>-24806.880000000001</v>
      </c>
      <c r="K577" s="11"/>
      <c r="L577" s="11">
        <v>24806.880000000001</v>
      </c>
      <c r="M577" s="11">
        <v>-24806.880000000001</v>
      </c>
      <c r="N577" s="11"/>
      <c r="O577" s="11" t="s">
        <v>75</v>
      </c>
    </row>
    <row r="578" spans="1:15" s="13" customFormat="1" ht="19.5" customHeight="1" x14ac:dyDescent="0.25">
      <c r="A578" s="11" t="s">
        <v>1673</v>
      </c>
      <c r="B578" s="11" t="s">
        <v>1674</v>
      </c>
      <c r="C578" s="12">
        <v>46069</v>
      </c>
      <c r="D578" s="12">
        <v>46069</v>
      </c>
      <c r="E578" s="11" t="s">
        <v>6</v>
      </c>
      <c r="F578" s="11" t="s">
        <v>64</v>
      </c>
      <c r="G578" s="11" t="s">
        <v>1675</v>
      </c>
      <c r="H578" s="11" t="s">
        <v>1676</v>
      </c>
      <c r="I578" s="11" t="s">
        <v>49</v>
      </c>
      <c r="J578" s="11">
        <v>-91680.75</v>
      </c>
      <c r="K578" s="11"/>
      <c r="L578" s="11">
        <v>91680.75</v>
      </c>
      <c r="M578" s="11">
        <v>-91680.75</v>
      </c>
      <c r="N578" s="11"/>
      <c r="O578" s="11" t="s">
        <v>75</v>
      </c>
    </row>
    <row r="579" spans="1:15" s="13" customFormat="1" ht="19.5" customHeight="1" x14ac:dyDescent="0.25">
      <c r="A579" s="11" t="s">
        <v>1677</v>
      </c>
      <c r="B579" s="11" t="s">
        <v>1678</v>
      </c>
      <c r="C579" s="12">
        <v>46069</v>
      </c>
      <c r="D579" s="12">
        <v>46069</v>
      </c>
      <c r="E579" s="11" t="s">
        <v>6</v>
      </c>
      <c r="F579" s="11" t="s">
        <v>1571</v>
      </c>
      <c r="G579" s="11" t="s">
        <v>1678</v>
      </c>
      <c r="H579" s="11" t="s">
        <v>762</v>
      </c>
      <c r="I579" s="11" t="s">
        <v>49</v>
      </c>
      <c r="J579" s="11">
        <v>43</v>
      </c>
      <c r="K579" s="11">
        <v>43</v>
      </c>
      <c r="L579" s="11"/>
      <c r="M579" s="11">
        <v>43</v>
      </c>
      <c r="N579" s="11"/>
      <c r="O579" s="11" t="s">
        <v>50</v>
      </c>
    </row>
    <row r="580" spans="1:15" s="13" customFormat="1" ht="19.5" customHeight="1" x14ac:dyDescent="0.25">
      <c r="A580" s="11" t="s">
        <v>1679</v>
      </c>
      <c r="B580" s="11" t="s">
        <v>1680</v>
      </c>
      <c r="C580" s="12">
        <v>46069</v>
      </c>
      <c r="D580" s="12">
        <v>46069</v>
      </c>
      <c r="E580" s="11" t="s">
        <v>6</v>
      </c>
      <c r="F580" s="11" t="s">
        <v>1681</v>
      </c>
      <c r="G580" s="11" t="s">
        <v>1680</v>
      </c>
      <c r="H580" s="11" t="s">
        <v>1682</v>
      </c>
      <c r="I580" s="11" t="s">
        <v>49</v>
      </c>
      <c r="J580" s="11">
        <v>149.9</v>
      </c>
      <c r="K580" s="11">
        <v>149.9</v>
      </c>
      <c r="L580" s="11"/>
      <c r="M580" s="11">
        <v>149.9</v>
      </c>
      <c r="N580" s="11" t="s">
        <v>1683</v>
      </c>
      <c r="O580" s="11" t="s">
        <v>50</v>
      </c>
    </row>
    <row r="581" spans="1:15" s="13" customFormat="1" ht="19.5" customHeight="1" x14ac:dyDescent="0.25">
      <c r="A581" s="11" t="s">
        <v>1684</v>
      </c>
      <c r="B581" s="11" t="s">
        <v>1685</v>
      </c>
      <c r="C581" s="12">
        <v>46069</v>
      </c>
      <c r="D581" s="12">
        <v>46069</v>
      </c>
      <c r="E581" s="11" t="s">
        <v>6</v>
      </c>
      <c r="F581" s="11" t="s">
        <v>1686</v>
      </c>
      <c r="G581" s="11" t="s">
        <v>1685</v>
      </c>
      <c r="H581" s="11" t="s">
        <v>762</v>
      </c>
      <c r="I581" s="11" t="s">
        <v>49</v>
      </c>
      <c r="J581" s="11">
        <v>94.05</v>
      </c>
      <c r="K581" s="11">
        <v>94.05</v>
      </c>
      <c r="L581" s="11"/>
      <c r="M581" s="11">
        <v>94.05</v>
      </c>
      <c r="N581" s="11" t="s">
        <v>1687</v>
      </c>
      <c r="O581" s="11" t="s">
        <v>50</v>
      </c>
    </row>
    <row r="582" spans="1:15" s="13" customFormat="1" ht="19.5" customHeight="1" x14ac:dyDescent="0.25">
      <c r="A582" s="11" t="s">
        <v>1688</v>
      </c>
      <c r="B582" s="11" t="s">
        <v>1689</v>
      </c>
      <c r="C582" s="12">
        <v>46069</v>
      </c>
      <c r="D582" s="12">
        <v>46069</v>
      </c>
      <c r="E582" s="11" t="s">
        <v>6</v>
      </c>
      <c r="F582" s="11" t="s">
        <v>1690</v>
      </c>
      <c r="G582" s="11" t="s">
        <v>1689</v>
      </c>
      <c r="H582" s="11" t="s">
        <v>1691</v>
      </c>
      <c r="I582" s="11" t="s">
        <v>49</v>
      </c>
      <c r="J582" s="11">
        <v>257.39999999999998</v>
      </c>
      <c r="K582" s="11">
        <v>257.39999999999998</v>
      </c>
      <c r="L582" s="11"/>
      <c r="M582" s="11">
        <v>257.39999999999998</v>
      </c>
      <c r="N582" s="11" t="s">
        <v>1692</v>
      </c>
      <c r="O582" s="11" t="s">
        <v>50</v>
      </c>
    </row>
    <row r="583" spans="1:15" s="13" customFormat="1" ht="19.5" customHeight="1" x14ac:dyDescent="0.25">
      <c r="A583" s="11" t="s">
        <v>1693</v>
      </c>
      <c r="B583" s="11" t="s">
        <v>1694</v>
      </c>
      <c r="C583" s="12">
        <v>46069</v>
      </c>
      <c r="D583" s="12">
        <v>46069</v>
      </c>
      <c r="E583" s="11" t="s">
        <v>6</v>
      </c>
      <c r="F583" s="11" t="s">
        <v>1695</v>
      </c>
      <c r="G583" s="11" t="s">
        <v>1694</v>
      </c>
      <c r="H583" s="11" t="s">
        <v>1696</v>
      </c>
      <c r="I583" s="11" t="s">
        <v>49</v>
      </c>
      <c r="J583" s="11">
        <v>262.79000000000002</v>
      </c>
      <c r="K583" s="11">
        <v>262.79000000000002</v>
      </c>
      <c r="L583" s="11"/>
      <c r="M583" s="11">
        <v>262.79000000000002</v>
      </c>
      <c r="N583" s="11" t="s">
        <v>1697</v>
      </c>
      <c r="O583" s="11" t="s">
        <v>50</v>
      </c>
    </row>
    <row r="584" spans="1:15" s="13" customFormat="1" ht="19.5" customHeight="1" x14ac:dyDescent="0.25">
      <c r="A584" s="11" t="s">
        <v>1698</v>
      </c>
      <c r="B584" s="11" t="s">
        <v>1699</v>
      </c>
      <c r="C584" s="12">
        <v>46069</v>
      </c>
      <c r="D584" s="12">
        <v>46069</v>
      </c>
      <c r="E584" s="11" t="s">
        <v>6</v>
      </c>
      <c r="F584" s="11" t="s">
        <v>1700</v>
      </c>
      <c r="G584" s="11" t="s">
        <v>1699</v>
      </c>
      <c r="H584" s="11" t="s">
        <v>762</v>
      </c>
      <c r="I584" s="11" t="s">
        <v>49</v>
      </c>
      <c r="J584" s="11">
        <v>245.7</v>
      </c>
      <c r="K584" s="11">
        <v>245.7</v>
      </c>
      <c r="L584" s="11"/>
      <c r="M584" s="11">
        <v>245.7</v>
      </c>
      <c r="N584" s="11"/>
      <c r="O584" s="11" t="s">
        <v>50</v>
      </c>
    </row>
    <row r="585" spans="1:15" s="13" customFormat="1" ht="19.5" customHeight="1" x14ac:dyDescent="0.25">
      <c r="A585" s="11" t="s">
        <v>1701</v>
      </c>
      <c r="B585" s="11" t="s">
        <v>1702</v>
      </c>
      <c r="C585" s="12">
        <v>46069</v>
      </c>
      <c r="D585" s="12">
        <v>46069</v>
      </c>
      <c r="E585" s="11" t="s">
        <v>6</v>
      </c>
      <c r="F585" s="11" t="s">
        <v>1703</v>
      </c>
      <c r="G585" s="11" t="s">
        <v>1702</v>
      </c>
      <c r="H585" s="11" t="s">
        <v>762</v>
      </c>
      <c r="I585" s="11" t="s">
        <v>49</v>
      </c>
      <c r="J585" s="11">
        <v>245.7</v>
      </c>
      <c r="K585" s="11">
        <v>245.7</v>
      </c>
      <c r="L585" s="11"/>
      <c r="M585" s="11">
        <v>245.7</v>
      </c>
      <c r="N585" s="11"/>
      <c r="O585" s="11" t="s">
        <v>50</v>
      </c>
    </row>
    <row r="586" spans="1:15" s="13" customFormat="1" ht="19.5" customHeight="1" x14ac:dyDescent="0.25">
      <c r="A586" s="11" t="s">
        <v>1704</v>
      </c>
      <c r="B586" s="11" t="s">
        <v>1705</v>
      </c>
      <c r="C586" s="12">
        <v>46069</v>
      </c>
      <c r="D586" s="12">
        <v>46069</v>
      </c>
      <c r="E586" s="11" t="s">
        <v>6</v>
      </c>
      <c r="F586" s="11" t="s">
        <v>1706</v>
      </c>
      <c r="G586" s="11" t="s">
        <v>1705</v>
      </c>
      <c r="H586" s="11" t="s">
        <v>762</v>
      </c>
      <c r="I586" s="11" t="s">
        <v>49</v>
      </c>
      <c r="J586" s="11">
        <v>69.099999999999994</v>
      </c>
      <c r="K586" s="11">
        <v>69.099999999999994</v>
      </c>
      <c r="L586" s="11"/>
      <c r="M586" s="11">
        <v>69.099999999999994</v>
      </c>
      <c r="N586" s="11" t="s">
        <v>1707</v>
      </c>
      <c r="O586" s="11" t="s">
        <v>75</v>
      </c>
    </row>
    <row r="587" spans="1:15" s="13" customFormat="1" ht="19.5" customHeight="1" x14ac:dyDescent="0.25">
      <c r="A587" s="11" t="s">
        <v>1708</v>
      </c>
      <c r="B587" s="11" t="s">
        <v>1708</v>
      </c>
      <c r="C587" s="12">
        <v>46069</v>
      </c>
      <c r="D587" s="12">
        <v>46069</v>
      </c>
      <c r="E587" s="11" t="s">
        <v>6</v>
      </c>
      <c r="F587" s="11" t="s">
        <v>1709</v>
      </c>
      <c r="G587" s="11" t="s">
        <v>1708</v>
      </c>
      <c r="H587" s="11"/>
      <c r="I587" s="11" t="s">
        <v>49</v>
      </c>
      <c r="J587" s="11">
        <v>113.91</v>
      </c>
      <c r="K587" s="11">
        <v>113.91</v>
      </c>
      <c r="L587" s="11"/>
      <c r="M587" s="11">
        <v>113.91</v>
      </c>
      <c r="N587" s="11"/>
      <c r="O587" s="11" t="s">
        <v>50</v>
      </c>
    </row>
    <row r="588" spans="1:15" s="13" customFormat="1" ht="19.5" customHeight="1" x14ac:dyDescent="0.25">
      <c r="A588" s="11" t="s">
        <v>1710</v>
      </c>
      <c r="B588" s="11" t="s">
        <v>1711</v>
      </c>
      <c r="C588" s="12">
        <v>46069</v>
      </c>
      <c r="D588" s="12">
        <v>46069</v>
      </c>
      <c r="E588" s="11" t="s">
        <v>6</v>
      </c>
      <c r="F588" s="11" t="s">
        <v>1712</v>
      </c>
      <c r="G588" s="11" t="s">
        <v>1711</v>
      </c>
      <c r="H588" s="11" t="s">
        <v>762</v>
      </c>
      <c r="I588" s="11" t="s">
        <v>49</v>
      </c>
      <c r="J588" s="11">
        <v>356.22</v>
      </c>
      <c r="K588" s="11">
        <v>356.22</v>
      </c>
      <c r="L588" s="11"/>
      <c r="M588" s="11">
        <v>356.22</v>
      </c>
      <c r="N588" s="11"/>
      <c r="O588" s="11" t="s">
        <v>50</v>
      </c>
    </row>
    <row r="589" spans="1:15" s="13" customFormat="1" ht="19.5" customHeight="1" x14ac:dyDescent="0.25">
      <c r="A589" s="11" t="s">
        <v>1713</v>
      </c>
      <c r="B589" s="11" t="s">
        <v>1714</v>
      </c>
      <c r="C589" s="12">
        <v>46069</v>
      </c>
      <c r="D589" s="12">
        <v>46069</v>
      </c>
      <c r="E589" s="11" t="s">
        <v>6</v>
      </c>
      <c r="F589" s="11" t="s">
        <v>1715</v>
      </c>
      <c r="G589" s="11" t="s">
        <v>1714</v>
      </c>
      <c r="H589" s="11" t="s">
        <v>762</v>
      </c>
      <c r="I589" s="11" t="s">
        <v>49</v>
      </c>
      <c r="J589" s="11">
        <v>148.5</v>
      </c>
      <c r="K589" s="11">
        <v>148.5</v>
      </c>
      <c r="L589" s="11"/>
      <c r="M589" s="11">
        <v>148.5</v>
      </c>
      <c r="N589" s="11" t="s">
        <v>1716</v>
      </c>
      <c r="O589" s="11" t="s">
        <v>50</v>
      </c>
    </row>
    <row r="590" spans="1:15" s="13" customFormat="1" ht="19.5" customHeight="1" x14ac:dyDescent="0.25">
      <c r="A590" s="11" t="s">
        <v>1717</v>
      </c>
      <c r="B590" s="11" t="s">
        <v>1718</v>
      </c>
      <c r="C590" s="12">
        <v>46069</v>
      </c>
      <c r="D590" s="12">
        <v>46069</v>
      </c>
      <c r="E590" s="11" t="s">
        <v>6</v>
      </c>
      <c r="F590" s="11" t="s">
        <v>1719</v>
      </c>
      <c r="G590" s="11" t="s">
        <v>1718</v>
      </c>
      <c r="H590" s="11" t="s">
        <v>1720</v>
      </c>
      <c r="I590" s="11" t="s">
        <v>49</v>
      </c>
      <c r="J590" s="11">
        <v>78.5</v>
      </c>
      <c r="K590" s="11">
        <v>78.5</v>
      </c>
      <c r="L590" s="11"/>
      <c r="M590" s="11">
        <v>78.5</v>
      </c>
      <c r="N590" s="11" t="s">
        <v>1721</v>
      </c>
      <c r="O590" s="11" t="s">
        <v>50</v>
      </c>
    </row>
    <row r="591" spans="1:15" s="13" customFormat="1" ht="19.5" customHeight="1" x14ac:dyDescent="0.25">
      <c r="A591" s="11" t="s">
        <v>1722</v>
      </c>
      <c r="B591" s="11" t="s">
        <v>1722</v>
      </c>
      <c r="C591" s="12">
        <v>46066</v>
      </c>
      <c r="D591" s="12">
        <v>46066</v>
      </c>
      <c r="E591" s="11" t="s">
        <v>6</v>
      </c>
      <c r="F591" s="11" t="s">
        <v>1723</v>
      </c>
      <c r="G591" s="11" t="s">
        <v>1722</v>
      </c>
      <c r="H591" s="11"/>
      <c r="I591" s="11" t="s">
        <v>49</v>
      </c>
      <c r="J591" s="11">
        <v>188.11</v>
      </c>
      <c r="K591" s="11">
        <v>188.11</v>
      </c>
      <c r="L591" s="11"/>
      <c r="M591" s="11">
        <v>188.11</v>
      </c>
      <c r="N591" s="11" t="s">
        <v>1724</v>
      </c>
      <c r="O591" s="11" t="s">
        <v>75</v>
      </c>
    </row>
    <row r="592" spans="1:15" s="13" customFormat="1" ht="19.5" customHeight="1" x14ac:dyDescent="0.25">
      <c r="A592" s="11" t="s">
        <v>1725</v>
      </c>
      <c r="B592" s="11" t="s">
        <v>1726</v>
      </c>
      <c r="C592" s="12">
        <v>46066</v>
      </c>
      <c r="D592" s="12">
        <v>46066</v>
      </c>
      <c r="E592" s="11" t="s">
        <v>6</v>
      </c>
      <c r="F592" s="11" t="s">
        <v>1727</v>
      </c>
      <c r="G592" s="11" t="s">
        <v>1726</v>
      </c>
      <c r="H592" s="11" t="s">
        <v>762</v>
      </c>
      <c r="I592" s="11" t="s">
        <v>49</v>
      </c>
      <c r="J592" s="11">
        <v>127.42</v>
      </c>
      <c r="K592" s="11">
        <v>127.42</v>
      </c>
      <c r="L592" s="11"/>
      <c r="M592" s="11">
        <v>127.42</v>
      </c>
      <c r="N592" s="11" t="s">
        <v>1728</v>
      </c>
      <c r="O592" s="11" t="s">
        <v>75</v>
      </c>
    </row>
    <row r="593" spans="1:15" s="13" customFormat="1" ht="19.5" customHeight="1" x14ac:dyDescent="0.25">
      <c r="A593" s="11" t="s">
        <v>1729</v>
      </c>
      <c r="B593" s="11" t="s">
        <v>1730</v>
      </c>
      <c r="C593" s="12">
        <v>46066</v>
      </c>
      <c r="D593" s="12">
        <v>46066</v>
      </c>
      <c r="E593" s="11" t="s">
        <v>6</v>
      </c>
      <c r="F593" s="11" t="s">
        <v>1731</v>
      </c>
      <c r="G593" s="11" t="s">
        <v>1730</v>
      </c>
      <c r="H593" s="11" t="s">
        <v>762</v>
      </c>
      <c r="I593" s="11" t="s">
        <v>49</v>
      </c>
      <c r="J593" s="11">
        <v>128.24</v>
      </c>
      <c r="K593" s="11">
        <v>128.24</v>
      </c>
      <c r="L593" s="11"/>
      <c r="M593" s="11">
        <v>128.24</v>
      </c>
      <c r="N593" s="11" t="s">
        <v>1732</v>
      </c>
      <c r="O593" s="11" t="s">
        <v>75</v>
      </c>
    </row>
    <row r="594" spans="1:15" s="13" customFormat="1" ht="19.5" customHeight="1" x14ac:dyDescent="0.25">
      <c r="A594" s="11" t="s">
        <v>1733</v>
      </c>
      <c r="B594" s="11" t="s">
        <v>1734</v>
      </c>
      <c r="C594" s="12">
        <v>46066</v>
      </c>
      <c r="D594" s="12">
        <v>46066</v>
      </c>
      <c r="E594" s="11" t="s">
        <v>6</v>
      </c>
      <c r="F594" s="11" t="s">
        <v>1735</v>
      </c>
      <c r="G594" s="11" t="s">
        <v>1734</v>
      </c>
      <c r="H594" s="11" t="s">
        <v>762</v>
      </c>
      <c r="I594" s="11" t="s">
        <v>49</v>
      </c>
      <c r="J594" s="11">
        <v>59.08</v>
      </c>
      <c r="K594" s="11">
        <v>59.08</v>
      </c>
      <c r="L594" s="11"/>
      <c r="M594" s="11">
        <v>59.08</v>
      </c>
      <c r="N594" s="11" t="s">
        <v>1736</v>
      </c>
      <c r="O594" s="11" t="s">
        <v>75</v>
      </c>
    </row>
    <row r="595" spans="1:15" s="13" customFormat="1" ht="19.5" customHeight="1" x14ac:dyDescent="0.25">
      <c r="A595" s="11" t="s">
        <v>1737</v>
      </c>
      <c r="B595" s="11" t="s">
        <v>1737</v>
      </c>
      <c r="C595" s="12">
        <v>46065</v>
      </c>
      <c r="D595" s="12">
        <v>46065</v>
      </c>
      <c r="E595" s="11" t="s">
        <v>6</v>
      </c>
      <c r="F595" s="11" t="s">
        <v>74</v>
      </c>
      <c r="G595" s="11" t="s">
        <v>1737</v>
      </c>
      <c r="H595" s="11"/>
      <c r="I595" s="11" t="s">
        <v>49</v>
      </c>
      <c r="J595" s="11">
        <v>100.94</v>
      </c>
      <c r="K595" s="11">
        <v>100.94</v>
      </c>
      <c r="L595" s="11"/>
      <c r="M595" s="11">
        <v>100.94</v>
      </c>
      <c r="N595" s="11"/>
      <c r="O595" s="11" t="s">
        <v>75</v>
      </c>
    </row>
    <row r="596" spans="1:15" s="13" customFormat="1" ht="19.5" customHeight="1" x14ac:dyDescent="0.25">
      <c r="A596" s="11" t="s">
        <v>1738</v>
      </c>
      <c r="B596" s="11" t="s">
        <v>1739</v>
      </c>
      <c r="C596" s="12">
        <v>46065</v>
      </c>
      <c r="D596" s="12">
        <v>46065</v>
      </c>
      <c r="E596" s="11" t="s">
        <v>6</v>
      </c>
      <c r="F596" s="11" t="s">
        <v>1740</v>
      </c>
      <c r="G596" s="11" t="s">
        <v>1739</v>
      </c>
      <c r="H596" s="11" t="s">
        <v>762</v>
      </c>
      <c r="I596" s="11" t="s">
        <v>49</v>
      </c>
      <c r="J596" s="11">
        <v>128.24</v>
      </c>
      <c r="K596" s="11">
        <v>128.24</v>
      </c>
      <c r="L596" s="11"/>
      <c r="M596" s="11">
        <v>128.24</v>
      </c>
      <c r="N596" s="11" t="s">
        <v>1741</v>
      </c>
      <c r="O596" s="11" t="s">
        <v>75</v>
      </c>
    </row>
    <row r="597" spans="1:15" s="13" customFormat="1" ht="19.5" customHeight="1" x14ac:dyDescent="0.25">
      <c r="A597" s="11" t="s">
        <v>1742</v>
      </c>
      <c r="B597" s="11" t="s">
        <v>1743</v>
      </c>
      <c r="C597" s="12">
        <v>46065</v>
      </c>
      <c r="D597" s="12">
        <v>46065</v>
      </c>
      <c r="E597" s="11" t="s">
        <v>6</v>
      </c>
      <c r="F597" s="11" t="s">
        <v>1744</v>
      </c>
      <c r="G597" s="11" t="s">
        <v>1743</v>
      </c>
      <c r="H597" s="11" t="s">
        <v>1745</v>
      </c>
      <c r="I597" s="11" t="s">
        <v>49</v>
      </c>
      <c r="J597" s="11">
        <v>81.52</v>
      </c>
      <c r="K597" s="11">
        <v>81.52</v>
      </c>
      <c r="L597" s="11"/>
      <c r="M597" s="11">
        <v>81.52</v>
      </c>
      <c r="N597" s="11" t="s">
        <v>1746</v>
      </c>
      <c r="O597" s="11" t="s">
        <v>75</v>
      </c>
    </row>
    <row r="598" spans="1:15" s="13" customFormat="1" ht="19.5" customHeight="1" x14ac:dyDescent="0.25">
      <c r="A598" s="11" t="s">
        <v>1747</v>
      </c>
      <c r="B598" s="11" t="s">
        <v>1748</v>
      </c>
      <c r="C598" s="12">
        <v>46065</v>
      </c>
      <c r="D598" s="12">
        <v>46065</v>
      </c>
      <c r="E598" s="11" t="s">
        <v>6</v>
      </c>
      <c r="F598" s="11" t="s">
        <v>1749</v>
      </c>
      <c r="G598" s="11" t="s">
        <v>1748</v>
      </c>
      <c r="H598" s="11" t="s">
        <v>762</v>
      </c>
      <c r="I598" s="11" t="s">
        <v>49</v>
      </c>
      <c r="J598" s="11">
        <v>90.86</v>
      </c>
      <c r="K598" s="11">
        <v>90.86</v>
      </c>
      <c r="L598" s="11"/>
      <c r="M598" s="11">
        <v>90.86</v>
      </c>
      <c r="N598" s="11" t="s">
        <v>1750</v>
      </c>
      <c r="O598" s="11" t="s">
        <v>75</v>
      </c>
    </row>
    <row r="599" spans="1:15" s="13" customFormat="1" ht="19.5" customHeight="1" x14ac:dyDescent="0.25">
      <c r="A599" s="11" t="s">
        <v>1751</v>
      </c>
      <c r="B599" s="11" t="s">
        <v>1752</v>
      </c>
      <c r="C599" s="12">
        <v>46064</v>
      </c>
      <c r="D599" s="12">
        <v>46064</v>
      </c>
      <c r="E599" s="11" t="s">
        <v>6</v>
      </c>
      <c r="F599" s="11" t="s">
        <v>588</v>
      </c>
      <c r="G599" s="11" t="s">
        <v>1753</v>
      </c>
      <c r="H599" s="11" t="s">
        <v>1754</v>
      </c>
      <c r="I599" s="11" t="s">
        <v>49</v>
      </c>
      <c r="J599" s="11">
        <v>-7180.92</v>
      </c>
      <c r="K599" s="11"/>
      <c r="L599" s="11">
        <v>7180.92</v>
      </c>
      <c r="M599" s="11">
        <v>-7180.92</v>
      </c>
      <c r="N599" s="11"/>
      <c r="O599" s="11" t="s">
        <v>75</v>
      </c>
    </row>
    <row r="600" spans="1:15" s="13" customFormat="1" ht="19.5" customHeight="1" x14ac:dyDescent="0.25">
      <c r="A600" s="11" t="s">
        <v>1755</v>
      </c>
      <c r="B600" s="11" t="s">
        <v>1755</v>
      </c>
      <c r="C600" s="12">
        <v>46064</v>
      </c>
      <c r="D600" s="12">
        <v>46109</v>
      </c>
      <c r="E600" s="11" t="s">
        <v>6</v>
      </c>
      <c r="F600" s="11" t="s">
        <v>108</v>
      </c>
      <c r="G600" s="11" t="s">
        <v>1755</v>
      </c>
      <c r="H600" s="11"/>
      <c r="I600" s="11" t="s">
        <v>49</v>
      </c>
      <c r="J600" s="11">
        <v>3664.65</v>
      </c>
      <c r="K600" s="11">
        <v>3664.65</v>
      </c>
      <c r="L600" s="11"/>
      <c r="M600" s="11">
        <v>3664.65</v>
      </c>
      <c r="N600" s="11"/>
      <c r="O600" s="11" t="s">
        <v>75</v>
      </c>
    </row>
    <row r="601" spans="1:15" s="13" customFormat="1" ht="19.5" customHeight="1" x14ac:dyDescent="0.25">
      <c r="A601" s="11" t="s">
        <v>1755</v>
      </c>
      <c r="B601" s="11" t="s">
        <v>1755</v>
      </c>
      <c r="C601" s="12">
        <v>46064</v>
      </c>
      <c r="D601" s="12">
        <v>46116</v>
      </c>
      <c r="E601" s="11" t="s">
        <v>6</v>
      </c>
      <c r="F601" s="11" t="s">
        <v>108</v>
      </c>
      <c r="G601" s="11" t="s">
        <v>1755</v>
      </c>
      <c r="H601" s="11"/>
      <c r="I601" s="11" t="s">
        <v>49</v>
      </c>
      <c r="J601" s="11">
        <v>3664.65</v>
      </c>
      <c r="K601" s="11">
        <v>3664.65</v>
      </c>
      <c r="L601" s="11"/>
      <c r="M601" s="11">
        <v>3664.65</v>
      </c>
      <c r="N601" s="11"/>
      <c r="O601" s="11" t="s">
        <v>75</v>
      </c>
    </row>
    <row r="602" spans="1:15" s="13" customFormat="1" ht="19.5" customHeight="1" x14ac:dyDescent="0.25">
      <c r="A602" s="11" t="s">
        <v>1755</v>
      </c>
      <c r="B602" s="11" t="s">
        <v>1755</v>
      </c>
      <c r="C602" s="12">
        <v>46064</v>
      </c>
      <c r="D602" s="12">
        <v>46123</v>
      </c>
      <c r="E602" s="11" t="s">
        <v>6</v>
      </c>
      <c r="F602" s="11" t="s">
        <v>108</v>
      </c>
      <c r="G602" s="11" t="s">
        <v>1755</v>
      </c>
      <c r="H602" s="11"/>
      <c r="I602" s="11" t="s">
        <v>49</v>
      </c>
      <c r="J602" s="11">
        <v>3664.65</v>
      </c>
      <c r="K602" s="11">
        <v>3664.65</v>
      </c>
      <c r="L602" s="11"/>
      <c r="M602" s="11">
        <v>3664.65</v>
      </c>
      <c r="N602" s="11"/>
      <c r="O602" s="11" t="s">
        <v>75</v>
      </c>
    </row>
    <row r="603" spans="1:15" s="13" customFormat="1" ht="19.5" customHeight="1" x14ac:dyDescent="0.25">
      <c r="A603" s="11" t="s">
        <v>1755</v>
      </c>
      <c r="B603" s="11" t="s">
        <v>1755</v>
      </c>
      <c r="C603" s="12">
        <v>46064</v>
      </c>
      <c r="D603" s="12">
        <v>46130</v>
      </c>
      <c r="E603" s="11" t="s">
        <v>6</v>
      </c>
      <c r="F603" s="11" t="s">
        <v>108</v>
      </c>
      <c r="G603" s="11" t="s">
        <v>1755</v>
      </c>
      <c r="H603" s="11"/>
      <c r="I603" s="11" t="s">
        <v>49</v>
      </c>
      <c r="J603" s="11">
        <v>3664.65</v>
      </c>
      <c r="K603" s="11">
        <v>3664.65</v>
      </c>
      <c r="L603" s="11"/>
      <c r="M603" s="11">
        <v>3664.65</v>
      </c>
      <c r="N603" s="11"/>
      <c r="O603" s="11" t="s">
        <v>75</v>
      </c>
    </row>
    <row r="604" spans="1:15" s="13" customFormat="1" ht="19.5" customHeight="1" x14ac:dyDescent="0.25">
      <c r="A604" s="11" t="s">
        <v>1755</v>
      </c>
      <c r="B604" s="11" t="s">
        <v>1755</v>
      </c>
      <c r="C604" s="12">
        <v>46064</v>
      </c>
      <c r="D604" s="12">
        <v>46137</v>
      </c>
      <c r="E604" s="11" t="s">
        <v>6</v>
      </c>
      <c r="F604" s="11" t="s">
        <v>108</v>
      </c>
      <c r="G604" s="11" t="s">
        <v>1755</v>
      </c>
      <c r="H604" s="11"/>
      <c r="I604" s="11" t="s">
        <v>49</v>
      </c>
      <c r="J604" s="11">
        <v>3664.65</v>
      </c>
      <c r="K604" s="11">
        <v>3664.65</v>
      </c>
      <c r="L604" s="11"/>
      <c r="M604" s="11">
        <v>3664.65</v>
      </c>
      <c r="N604" s="11"/>
      <c r="O604" s="11" t="s">
        <v>75</v>
      </c>
    </row>
    <row r="605" spans="1:15" s="13" customFormat="1" ht="19.5" customHeight="1" x14ac:dyDescent="0.25">
      <c r="A605" s="11" t="s">
        <v>1755</v>
      </c>
      <c r="B605" s="11" t="s">
        <v>1755</v>
      </c>
      <c r="C605" s="12">
        <v>46064</v>
      </c>
      <c r="D605" s="12">
        <v>46154</v>
      </c>
      <c r="E605" s="11" t="s">
        <v>6</v>
      </c>
      <c r="F605" s="11" t="s">
        <v>108</v>
      </c>
      <c r="G605" s="11" t="s">
        <v>1755</v>
      </c>
      <c r="H605" s="11"/>
      <c r="I605" s="11" t="s">
        <v>49</v>
      </c>
      <c r="J605" s="11">
        <v>3673.42</v>
      </c>
      <c r="K605" s="11">
        <v>3673.42</v>
      </c>
      <c r="L605" s="11"/>
      <c r="M605" s="11">
        <v>3673.42</v>
      </c>
      <c r="N605" s="11"/>
      <c r="O605" s="11" t="s">
        <v>75</v>
      </c>
    </row>
    <row r="606" spans="1:15" s="13" customFormat="1" ht="19.5" customHeight="1" x14ac:dyDescent="0.25">
      <c r="A606" s="11" t="s">
        <v>1756</v>
      </c>
      <c r="B606" s="11" t="s">
        <v>1756</v>
      </c>
      <c r="C606" s="12">
        <v>46064</v>
      </c>
      <c r="D606" s="12">
        <v>46064</v>
      </c>
      <c r="E606" s="11" t="s">
        <v>6</v>
      </c>
      <c r="F606" s="11" t="s">
        <v>74</v>
      </c>
      <c r="G606" s="11" t="s">
        <v>1756</v>
      </c>
      <c r="H606" s="11"/>
      <c r="I606" s="11" t="s">
        <v>49</v>
      </c>
      <c r="J606" s="11">
        <v>100.27</v>
      </c>
      <c r="K606" s="11">
        <v>100.27</v>
      </c>
      <c r="L606" s="11"/>
      <c r="M606" s="11">
        <v>100.27</v>
      </c>
      <c r="N606" s="11"/>
      <c r="O606" s="11" t="s">
        <v>75</v>
      </c>
    </row>
    <row r="607" spans="1:15" s="13" customFormat="1" ht="19.5" customHeight="1" x14ac:dyDescent="0.25">
      <c r="A607" s="11" t="s">
        <v>1757</v>
      </c>
      <c r="B607" s="11" t="s">
        <v>1758</v>
      </c>
      <c r="C607" s="12">
        <v>46064</v>
      </c>
      <c r="D607" s="12">
        <v>46064</v>
      </c>
      <c r="E607" s="11" t="s">
        <v>6</v>
      </c>
      <c r="F607" s="11" t="s">
        <v>1759</v>
      </c>
      <c r="G607" s="11" t="s">
        <v>1758</v>
      </c>
      <c r="H607" s="11" t="s">
        <v>762</v>
      </c>
      <c r="I607" s="11" t="s">
        <v>49</v>
      </c>
      <c r="J607" s="11">
        <v>94.05</v>
      </c>
      <c r="K607" s="11">
        <v>94.05</v>
      </c>
      <c r="L607" s="11"/>
      <c r="M607" s="11">
        <v>94.05</v>
      </c>
      <c r="N607" s="11" t="s">
        <v>1760</v>
      </c>
      <c r="O607" s="11" t="s">
        <v>75</v>
      </c>
    </row>
    <row r="608" spans="1:15" s="13" customFormat="1" ht="19.5" customHeight="1" x14ac:dyDescent="0.25">
      <c r="A608" s="11" t="s">
        <v>1761</v>
      </c>
      <c r="B608" s="11" t="s">
        <v>1762</v>
      </c>
      <c r="C608" s="12">
        <v>46064</v>
      </c>
      <c r="D608" s="12">
        <v>46064</v>
      </c>
      <c r="E608" s="11" t="s">
        <v>6</v>
      </c>
      <c r="F608" s="11" t="s">
        <v>1763</v>
      </c>
      <c r="G608" s="11" t="s">
        <v>1762</v>
      </c>
      <c r="H608" s="11" t="s">
        <v>762</v>
      </c>
      <c r="I608" s="11" t="s">
        <v>49</v>
      </c>
      <c r="J608" s="11">
        <v>254.82</v>
      </c>
      <c r="K608" s="11">
        <v>254.82</v>
      </c>
      <c r="L608" s="11"/>
      <c r="M608" s="11">
        <v>254.82</v>
      </c>
      <c r="N608" s="11"/>
      <c r="O608" s="11" t="s">
        <v>75</v>
      </c>
    </row>
    <row r="609" spans="1:15" s="13" customFormat="1" ht="19.5" customHeight="1" x14ac:dyDescent="0.25">
      <c r="A609" s="11" t="s">
        <v>1764</v>
      </c>
      <c r="B609" s="11" t="s">
        <v>1765</v>
      </c>
      <c r="C609" s="12">
        <v>46064</v>
      </c>
      <c r="D609" s="12">
        <v>46064</v>
      </c>
      <c r="E609" s="11" t="s">
        <v>6</v>
      </c>
      <c r="F609" s="11" t="s">
        <v>1766</v>
      </c>
      <c r="G609" s="11" t="s">
        <v>1765</v>
      </c>
      <c r="H609" s="11" t="s">
        <v>762</v>
      </c>
      <c r="I609" s="11" t="s">
        <v>49</v>
      </c>
      <c r="J609" s="11">
        <v>182.79</v>
      </c>
      <c r="K609" s="11">
        <v>182.79</v>
      </c>
      <c r="L609" s="11"/>
      <c r="M609" s="11">
        <v>182.79</v>
      </c>
      <c r="N609" s="11"/>
      <c r="O609" s="11" t="s">
        <v>75</v>
      </c>
    </row>
    <row r="610" spans="1:15" s="13" customFormat="1" ht="19.5" customHeight="1" x14ac:dyDescent="0.25">
      <c r="A610" s="11" t="s">
        <v>1767</v>
      </c>
      <c r="B610" s="11" t="s">
        <v>1768</v>
      </c>
      <c r="C610" s="12">
        <v>46064</v>
      </c>
      <c r="D610" s="12">
        <v>46064</v>
      </c>
      <c r="E610" s="11" t="s">
        <v>6</v>
      </c>
      <c r="F610" s="11" t="s">
        <v>1769</v>
      </c>
      <c r="G610" s="11" t="s">
        <v>1768</v>
      </c>
      <c r="H610" s="11" t="s">
        <v>762</v>
      </c>
      <c r="I610" s="11" t="s">
        <v>49</v>
      </c>
      <c r="J610" s="11">
        <v>50.4</v>
      </c>
      <c r="K610" s="11">
        <v>50.4</v>
      </c>
      <c r="L610" s="11"/>
      <c r="M610" s="11">
        <v>50.4</v>
      </c>
      <c r="N610" s="11" t="s">
        <v>1770</v>
      </c>
      <c r="O610" s="11" t="s">
        <v>75</v>
      </c>
    </row>
    <row r="611" spans="1:15" s="13" customFormat="1" ht="19.5" customHeight="1" x14ac:dyDescent="0.25">
      <c r="A611" s="11" t="s">
        <v>1771</v>
      </c>
      <c r="B611" s="11" t="s">
        <v>1772</v>
      </c>
      <c r="C611" s="12">
        <v>46064</v>
      </c>
      <c r="D611" s="12">
        <v>46064</v>
      </c>
      <c r="E611" s="11" t="s">
        <v>6</v>
      </c>
      <c r="F611" s="11" t="s">
        <v>1773</v>
      </c>
      <c r="G611" s="11" t="s">
        <v>1772</v>
      </c>
      <c r="H611" s="11" t="s">
        <v>762</v>
      </c>
      <c r="I611" s="11" t="s">
        <v>49</v>
      </c>
      <c r="J611" s="11">
        <v>49.5</v>
      </c>
      <c r="K611" s="11">
        <v>49.5</v>
      </c>
      <c r="L611" s="11"/>
      <c r="M611" s="11">
        <v>49.5</v>
      </c>
      <c r="N611" s="11" t="s">
        <v>1774</v>
      </c>
      <c r="O611" s="11" t="s">
        <v>75</v>
      </c>
    </row>
    <row r="612" spans="1:15" s="13" customFormat="1" ht="19.5" customHeight="1" x14ac:dyDescent="0.25">
      <c r="A612" s="11" t="s">
        <v>1775</v>
      </c>
      <c r="B612" s="11" t="s">
        <v>1776</v>
      </c>
      <c r="C612" s="12">
        <v>46064</v>
      </c>
      <c r="D612" s="12">
        <v>46064</v>
      </c>
      <c r="E612" s="11" t="s">
        <v>6</v>
      </c>
      <c r="F612" s="11" t="s">
        <v>1777</v>
      </c>
      <c r="G612" s="11" t="s">
        <v>1776</v>
      </c>
      <c r="H612" s="11" t="s">
        <v>762</v>
      </c>
      <c r="I612" s="11" t="s">
        <v>49</v>
      </c>
      <c r="J612" s="11">
        <v>113.91</v>
      </c>
      <c r="K612" s="11">
        <v>113.91</v>
      </c>
      <c r="L612" s="11"/>
      <c r="M612" s="11">
        <v>113.91</v>
      </c>
      <c r="N612" s="11" t="s">
        <v>1778</v>
      </c>
      <c r="O612" s="11" t="s">
        <v>75</v>
      </c>
    </row>
    <row r="613" spans="1:15" s="13" customFormat="1" ht="19.5" customHeight="1" x14ac:dyDescent="0.25">
      <c r="A613" s="11" t="s">
        <v>1779</v>
      </c>
      <c r="B613" s="11" t="s">
        <v>1779</v>
      </c>
      <c r="C613" s="12">
        <v>46064</v>
      </c>
      <c r="D613" s="12">
        <v>46064</v>
      </c>
      <c r="E613" s="11" t="s">
        <v>6</v>
      </c>
      <c r="F613" s="11" t="s">
        <v>1780</v>
      </c>
      <c r="G613" s="11" t="s">
        <v>1779</v>
      </c>
      <c r="H613" s="11"/>
      <c r="I613" s="11" t="s">
        <v>49</v>
      </c>
      <c r="J613" s="11">
        <v>109.25</v>
      </c>
      <c r="K613" s="11">
        <v>109.25</v>
      </c>
      <c r="L613" s="11"/>
      <c r="M613" s="11">
        <v>109.25</v>
      </c>
      <c r="N613" s="11"/>
      <c r="O613" s="11" t="s">
        <v>75</v>
      </c>
    </row>
    <row r="614" spans="1:15" s="13" customFormat="1" ht="19.5" customHeight="1" x14ac:dyDescent="0.25">
      <c r="A614" s="11" t="s">
        <v>1781</v>
      </c>
      <c r="B614" s="11" t="s">
        <v>1782</v>
      </c>
      <c r="C614" s="12">
        <v>46064</v>
      </c>
      <c r="D614" s="12">
        <v>46064</v>
      </c>
      <c r="E614" s="11" t="s">
        <v>6</v>
      </c>
      <c r="F614" s="11" t="s">
        <v>1783</v>
      </c>
      <c r="G614" s="11" t="s">
        <v>1782</v>
      </c>
      <c r="H614" s="11" t="s">
        <v>1784</v>
      </c>
      <c r="I614" s="11" t="s">
        <v>49</v>
      </c>
      <c r="J614" s="11">
        <v>181.7</v>
      </c>
      <c r="K614" s="11">
        <v>181.7</v>
      </c>
      <c r="L614" s="11"/>
      <c r="M614" s="11">
        <v>181.7</v>
      </c>
      <c r="N614" s="11" t="s">
        <v>1785</v>
      </c>
      <c r="O614" s="11" t="s">
        <v>75</v>
      </c>
    </row>
    <row r="615" spans="1:15" s="13" customFormat="1" ht="19.5" customHeight="1" x14ac:dyDescent="0.25">
      <c r="A615" s="11" t="s">
        <v>1786</v>
      </c>
      <c r="B615" s="11" t="s">
        <v>1787</v>
      </c>
      <c r="C615" s="12">
        <v>46064</v>
      </c>
      <c r="D615" s="12">
        <v>46064</v>
      </c>
      <c r="E615" s="11" t="s">
        <v>6</v>
      </c>
      <c r="F615" s="11" t="s">
        <v>1788</v>
      </c>
      <c r="G615" s="11" t="s">
        <v>1787</v>
      </c>
      <c r="H615" s="11" t="s">
        <v>1789</v>
      </c>
      <c r="I615" s="11" t="s">
        <v>49</v>
      </c>
      <c r="J615" s="11">
        <v>45.91</v>
      </c>
      <c r="K615" s="11">
        <v>45.91</v>
      </c>
      <c r="L615" s="11"/>
      <c r="M615" s="11">
        <v>45.91</v>
      </c>
      <c r="N615" s="11" t="s">
        <v>1790</v>
      </c>
      <c r="O615" s="11" t="s">
        <v>75</v>
      </c>
    </row>
    <row r="616" spans="1:15" s="13" customFormat="1" ht="19.5" customHeight="1" x14ac:dyDescent="0.25">
      <c r="A616" s="11" t="s">
        <v>1791</v>
      </c>
      <c r="B616" s="11" t="s">
        <v>1792</v>
      </c>
      <c r="C616" s="12">
        <v>46063</v>
      </c>
      <c r="D616" s="12">
        <v>46063</v>
      </c>
      <c r="E616" s="11" t="s">
        <v>6</v>
      </c>
      <c r="F616" s="11" t="s">
        <v>1793</v>
      </c>
      <c r="G616" s="11" t="s">
        <v>1792</v>
      </c>
      <c r="H616" s="11" t="s">
        <v>762</v>
      </c>
      <c r="I616" s="11" t="s">
        <v>49</v>
      </c>
      <c r="J616" s="11">
        <v>87.38</v>
      </c>
      <c r="K616" s="11">
        <v>87.38</v>
      </c>
      <c r="L616" s="11"/>
      <c r="M616" s="11">
        <v>87.38</v>
      </c>
      <c r="N616" s="11" t="s">
        <v>1794</v>
      </c>
      <c r="O616" s="11" t="s">
        <v>75</v>
      </c>
    </row>
    <row r="617" spans="1:15" s="13" customFormat="1" ht="19.5" customHeight="1" x14ac:dyDescent="0.25">
      <c r="A617" s="11" t="s">
        <v>1795</v>
      </c>
      <c r="B617" s="11" t="s">
        <v>1796</v>
      </c>
      <c r="C617" s="12">
        <v>46063</v>
      </c>
      <c r="D617" s="12">
        <v>46063</v>
      </c>
      <c r="E617" s="11" t="s">
        <v>6</v>
      </c>
      <c r="F617" s="11" t="s">
        <v>1797</v>
      </c>
      <c r="G617" s="11" t="s">
        <v>1796</v>
      </c>
      <c r="H617" s="11" t="s">
        <v>1798</v>
      </c>
      <c r="I617" s="11" t="s">
        <v>49</v>
      </c>
      <c r="J617" s="11">
        <v>53.91</v>
      </c>
      <c r="K617" s="11">
        <v>53.91</v>
      </c>
      <c r="L617" s="11"/>
      <c r="M617" s="11">
        <v>53.91</v>
      </c>
      <c r="N617" s="11" t="s">
        <v>1799</v>
      </c>
      <c r="O617" s="11" t="s">
        <v>75</v>
      </c>
    </row>
    <row r="618" spans="1:15" s="13" customFormat="1" ht="19.5" customHeight="1" x14ac:dyDescent="0.25">
      <c r="A618" s="11" t="s">
        <v>1800</v>
      </c>
      <c r="B618" s="11" t="s">
        <v>1801</v>
      </c>
      <c r="C618" s="12">
        <v>46063</v>
      </c>
      <c r="D618" s="12">
        <v>46063</v>
      </c>
      <c r="E618" s="11" t="s">
        <v>6</v>
      </c>
      <c r="F618" s="11" t="s">
        <v>1802</v>
      </c>
      <c r="G618" s="11" t="s">
        <v>1801</v>
      </c>
      <c r="H618" s="11" t="s">
        <v>1803</v>
      </c>
      <c r="I618" s="11" t="s">
        <v>49</v>
      </c>
      <c r="J618" s="11">
        <v>171.45</v>
      </c>
      <c r="K618" s="11">
        <v>171.45</v>
      </c>
      <c r="L618" s="11"/>
      <c r="M618" s="11">
        <v>171.45</v>
      </c>
      <c r="N618" s="11" t="s">
        <v>1804</v>
      </c>
      <c r="O618" s="11" t="s">
        <v>75</v>
      </c>
    </row>
    <row r="619" spans="1:15" s="13" customFormat="1" ht="19.5" customHeight="1" x14ac:dyDescent="0.25">
      <c r="A619" s="11" t="s">
        <v>1805</v>
      </c>
      <c r="B619" s="11" t="s">
        <v>1806</v>
      </c>
      <c r="C619" s="12">
        <v>46063</v>
      </c>
      <c r="D619" s="12">
        <v>46063</v>
      </c>
      <c r="E619" s="11" t="s">
        <v>6</v>
      </c>
      <c r="F619" s="11" t="s">
        <v>1807</v>
      </c>
      <c r="G619" s="11" t="s">
        <v>1806</v>
      </c>
      <c r="H619" s="11" t="s">
        <v>1808</v>
      </c>
      <c r="I619" s="11" t="s">
        <v>49</v>
      </c>
      <c r="J619" s="11">
        <v>362.16</v>
      </c>
      <c r="K619" s="11">
        <v>362.16</v>
      </c>
      <c r="L619" s="11"/>
      <c r="M619" s="11">
        <v>362.16</v>
      </c>
      <c r="N619" s="11" t="s">
        <v>1809</v>
      </c>
      <c r="O619" s="11" t="s">
        <v>75</v>
      </c>
    </row>
    <row r="620" spans="1:15" s="13" customFormat="1" ht="19.5" customHeight="1" x14ac:dyDescent="0.25">
      <c r="A620" s="11" t="s">
        <v>1810</v>
      </c>
      <c r="B620" s="11" t="s">
        <v>1811</v>
      </c>
      <c r="C620" s="12">
        <v>46063</v>
      </c>
      <c r="D620" s="12">
        <v>46063</v>
      </c>
      <c r="E620" s="11" t="s">
        <v>6</v>
      </c>
      <c r="F620" s="11" t="s">
        <v>1812</v>
      </c>
      <c r="G620" s="11" t="s">
        <v>1811</v>
      </c>
      <c r="H620" s="11" t="s">
        <v>1813</v>
      </c>
      <c r="I620" s="11" t="s">
        <v>49</v>
      </c>
      <c r="J620" s="11">
        <v>53.91</v>
      </c>
      <c r="K620" s="11">
        <v>53.91</v>
      </c>
      <c r="L620" s="11"/>
      <c r="M620" s="11">
        <v>53.91</v>
      </c>
      <c r="N620" s="11" t="s">
        <v>1814</v>
      </c>
      <c r="O620" s="11" t="s">
        <v>75</v>
      </c>
    </row>
    <row r="621" spans="1:15" s="13" customFormat="1" ht="19.5" customHeight="1" x14ac:dyDescent="0.25">
      <c r="A621" s="11" t="s">
        <v>1815</v>
      </c>
      <c r="B621" s="11" t="s">
        <v>1816</v>
      </c>
      <c r="C621" s="12">
        <v>46063</v>
      </c>
      <c r="D621" s="12">
        <v>46063</v>
      </c>
      <c r="E621" s="11" t="s">
        <v>6</v>
      </c>
      <c r="F621" s="11" t="s">
        <v>1817</v>
      </c>
      <c r="G621" s="11" t="s">
        <v>1816</v>
      </c>
      <c r="H621" s="11" t="s">
        <v>1818</v>
      </c>
      <c r="I621" s="11" t="s">
        <v>49</v>
      </c>
      <c r="J621" s="11">
        <v>210.6</v>
      </c>
      <c r="K621" s="11">
        <v>210.6</v>
      </c>
      <c r="L621" s="11"/>
      <c r="M621" s="11">
        <v>210.6</v>
      </c>
      <c r="N621" s="11" t="s">
        <v>1819</v>
      </c>
      <c r="O621" s="11" t="s">
        <v>75</v>
      </c>
    </row>
    <row r="622" spans="1:15" s="13" customFormat="1" ht="19.5" customHeight="1" x14ac:dyDescent="0.25">
      <c r="A622" s="11" t="s">
        <v>1820</v>
      </c>
      <c r="B622" s="11" t="s">
        <v>1821</v>
      </c>
      <c r="C622" s="12">
        <v>46062</v>
      </c>
      <c r="D622" s="12">
        <v>46062</v>
      </c>
      <c r="E622" s="11" t="s">
        <v>6</v>
      </c>
      <c r="F622" s="11" t="s">
        <v>101</v>
      </c>
      <c r="G622" s="11" t="s">
        <v>1822</v>
      </c>
      <c r="H622" s="11" t="s">
        <v>1823</v>
      </c>
      <c r="I622" s="11" t="s">
        <v>49</v>
      </c>
      <c r="J622" s="11">
        <v>-10495.4</v>
      </c>
      <c r="K622" s="11"/>
      <c r="L622" s="11">
        <v>10495.4</v>
      </c>
      <c r="M622" s="11">
        <v>-10495.4</v>
      </c>
      <c r="N622" s="11"/>
      <c r="O622" s="11" t="s">
        <v>75</v>
      </c>
    </row>
    <row r="623" spans="1:15" s="13" customFormat="1" ht="19.5" customHeight="1" x14ac:dyDescent="0.25">
      <c r="A623" s="11" t="s">
        <v>1824</v>
      </c>
      <c r="B623" s="11" t="s">
        <v>1825</v>
      </c>
      <c r="C623" s="12">
        <v>46062</v>
      </c>
      <c r="D623" s="12">
        <v>46062</v>
      </c>
      <c r="E623" s="11" t="s">
        <v>6</v>
      </c>
      <c r="F623" s="11" t="s">
        <v>1826</v>
      </c>
      <c r="G623" s="11" t="s">
        <v>1827</v>
      </c>
      <c r="H623" s="11" t="s">
        <v>1828</v>
      </c>
      <c r="I623" s="11" t="s">
        <v>49</v>
      </c>
      <c r="J623" s="11">
        <v>-60330.76</v>
      </c>
      <c r="K623" s="11"/>
      <c r="L623" s="11">
        <v>60330.76</v>
      </c>
      <c r="M623" s="11">
        <v>-60330.76</v>
      </c>
      <c r="N623" s="11"/>
      <c r="O623" s="11" t="s">
        <v>75</v>
      </c>
    </row>
    <row r="624" spans="1:15" s="13" customFormat="1" ht="19.5" customHeight="1" x14ac:dyDescent="0.25">
      <c r="A624" s="11" t="s">
        <v>1829</v>
      </c>
      <c r="B624" s="11" t="s">
        <v>1829</v>
      </c>
      <c r="C624" s="12">
        <v>46062</v>
      </c>
      <c r="D624" s="12">
        <v>46107</v>
      </c>
      <c r="E624" s="11" t="s">
        <v>6</v>
      </c>
      <c r="F624" s="11" t="s">
        <v>275</v>
      </c>
      <c r="G624" s="11" t="s">
        <v>1829</v>
      </c>
      <c r="H624" s="11"/>
      <c r="I624" s="11" t="s">
        <v>49</v>
      </c>
      <c r="J624" s="11">
        <v>3492.52</v>
      </c>
      <c r="K624" s="11">
        <v>3492.52</v>
      </c>
      <c r="L624" s="11"/>
      <c r="M624" s="11">
        <v>3492.52</v>
      </c>
      <c r="N624" s="11"/>
      <c r="O624" s="11" t="s">
        <v>75</v>
      </c>
    </row>
    <row r="625" spans="1:15" s="13" customFormat="1" ht="19.5" customHeight="1" x14ac:dyDescent="0.25">
      <c r="A625" s="11" t="s">
        <v>1829</v>
      </c>
      <c r="B625" s="11" t="s">
        <v>1829</v>
      </c>
      <c r="C625" s="12">
        <v>46062</v>
      </c>
      <c r="D625" s="12">
        <v>46114</v>
      </c>
      <c r="E625" s="11" t="s">
        <v>6</v>
      </c>
      <c r="F625" s="11" t="s">
        <v>275</v>
      </c>
      <c r="G625" s="11" t="s">
        <v>1829</v>
      </c>
      <c r="H625" s="11"/>
      <c r="I625" s="11" t="s">
        <v>49</v>
      </c>
      <c r="J625" s="11">
        <v>3492.52</v>
      </c>
      <c r="K625" s="11">
        <v>3492.52</v>
      </c>
      <c r="L625" s="11"/>
      <c r="M625" s="11">
        <v>3492.52</v>
      </c>
      <c r="N625" s="11"/>
      <c r="O625" s="11" t="s">
        <v>75</v>
      </c>
    </row>
    <row r="626" spans="1:15" s="13" customFormat="1" ht="19.5" customHeight="1" x14ac:dyDescent="0.25">
      <c r="A626" s="11" t="s">
        <v>1829</v>
      </c>
      <c r="B626" s="11" t="s">
        <v>1829</v>
      </c>
      <c r="C626" s="12">
        <v>46062</v>
      </c>
      <c r="D626" s="12">
        <v>46121</v>
      </c>
      <c r="E626" s="11" t="s">
        <v>6</v>
      </c>
      <c r="F626" s="11" t="s">
        <v>275</v>
      </c>
      <c r="G626" s="11" t="s">
        <v>1829</v>
      </c>
      <c r="H626" s="11"/>
      <c r="I626" s="11" t="s">
        <v>49</v>
      </c>
      <c r="J626" s="11">
        <v>3492.52</v>
      </c>
      <c r="K626" s="11">
        <v>3492.52</v>
      </c>
      <c r="L626" s="11"/>
      <c r="M626" s="11">
        <v>3492.52</v>
      </c>
      <c r="N626" s="11"/>
      <c r="O626" s="11" t="s">
        <v>75</v>
      </c>
    </row>
    <row r="627" spans="1:15" s="13" customFormat="1" ht="19.5" customHeight="1" x14ac:dyDescent="0.25">
      <c r="A627" s="11" t="s">
        <v>1829</v>
      </c>
      <c r="B627" s="11" t="s">
        <v>1829</v>
      </c>
      <c r="C627" s="12">
        <v>46062</v>
      </c>
      <c r="D627" s="12">
        <v>46128</v>
      </c>
      <c r="E627" s="11" t="s">
        <v>6</v>
      </c>
      <c r="F627" s="11" t="s">
        <v>275</v>
      </c>
      <c r="G627" s="11" t="s">
        <v>1829</v>
      </c>
      <c r="H627" s="11"/>
      <c r="I627" s="11" t="s">
        <v>49</v>
      </c>
      <c r="J627" s="11">
        <v>3492.52</v>
      </c>
      <c r="K627" s="11">
        <v>3492.52</v>
      </c>
      <c r="L627" s="11"/>
      <c r="M627" s="11">
        <v>3492.52</v>
      </c>
      <c r="N627" s="11"/>
      <c r="O627" s="11" t="s">
        <v>75</v>
      </c>
    </row>
    <row r="628" spans="1:15" s="13" customFormat="1" ht="19.5" customHeight="1" x14ac:dyDescent="0.25">
      <c r="A628" s="11" t="s">
        <v>1829</v>
      </c>
      <c r="B628" s="11" t="s">
        <v>1829</v>
      </c>
      <c r="C628" s="12">
        <v>46062</v>
      </c>
      <c r="D628" s="12">
        <v>46135</v>
      </c>
      <c r="E628" s="11" t="s">
        <v>6</v>
      </c>
      <c r="F628" s="11" t="s">
        <v>275</v>
      </c>
      <c r="G628" s="11" t="s">
        <v>1829</v>
      </c>
      <c r="H628" s="11"/>
      <c r="I628" s="11" t="s">
        <v>49</v>
      </c>
      <c r="J628" s="11">
        <v>3492.52</v>
      </c>
      <c r="K628" s="11">
        <v>3492.52</v>
      </c>
      <c r="L628" s="11"/>
      <c r="M628" s="11">
        <v>3492.52</v>
      </c>
      <c r="N628" s="11"/>
      <c r="O628" s="11" t="s">
        <v>75</v>
      </c>
    </row>
    <row r="629" spans="1:15" s="13" customFormat="1" ht="19.5" customHeight="1" x14ac:dyDescent="0.25">
      <c r="A629" s="11" t="s">
        <v>1829</v>
      </c>
      <c r="B629" s="11" t="s">
        <v>1829</v>
      </c>
      <c r="C629" s="12">
        <v>46062</v>
      </c>
      <c r="D629" s="12">
        <v>46152</v>
      </c>
      <c r="E629" s="11" t="s">
        <v>6</v>
      </c>
      <c r="F629" s="11" t="s">
        <v>275</v>
      </c>
      <c r="G629" s="11" t="s">
        <v>1829</v>
      </c>
      <c r="H629" s="11"/>
      <c r="I629" s="11" t="s">
        <v>49</v>
      </c>
      <c r="J629" s="11">
        <v>3500.88</v>
      </c>
      <c r="K629" s="11">
        <v>3500.88</v>
      </c>
      <c r="L629" s="11"/>
      <c r="M629" s="11">
        <v>3500.88</v>
      </c>
      <c r="N629" s="11"/>
      <c r="O629" s="11" t="s">
        <v>75</v>
      </c>
    </row>
    <row r="630" spans="1:15" s="13" customFormat="1" ht="19.5" customHeight="1" x14ac:dyDescent="0.25">
      <c r="A630" s="11" t="s">
        <v>1830</v>
      </c>
      <c r="B630" s="11" t="s">
        <v>1830</v>
      </c>
      <c r="C630" s="12">
        <v>46062</v>
      </c>
      <c r="D630" s="12">
        <v>46107</v>
      </c>
      <c r="E630" s="11" t="s">
        <v>6</v>
      </c>
      <c r="F630" s="11" t="s">
        <v>1831</v>
      </c>
      <c r="G630" s="11" t="s">
        <v>1830</v>
      </c>
      <c r="H630" s="11"/>
      <c r="I630" s="11" t="s">
        <v>49</v>
      </c>
      <c r="J630" s="11">
        <v>3943.56</v>
      </c>
      <c r="K630" s="11">
        <v>3943.56</v>
      </c>
      <c r="L630" s="11"/>
      <c r="M630" s="11">
        <v>3943.56</v>
      </c>
      <c r="N630" s="11" t="s">
        <v>1832</v>
      </c>
      <c r="O630" s="11" t="s">
        <v>75</v>
      </c>
    </row>
    <row r="631" spans="1:15" s="13" customFormat="1" ht="19.5" customHeight="1" x14ac:dyDescent="0.25">
      <c r="A631" s="11" t="s">
        <v>1833</v>
      </c>
      <c r="B631" s="11" t="s">
        <v>1833</v>
      </c>
      <c r="C631" s="12">
        <v>46062</v>
      </c>
      <c r="D631" s="12">
        <v>46062</v>
      </c>
      <c r="E631" s="11" t="s">
        <v>6</v>
      </c>
      <c r="F631" s="11" t="s">
        <v>1834</v>
      </c>
      <c r="G631" s="11" t="s">
        <v>1833</v>
      </c>
      <c r="H631" s="11"/>
      <c r="I631" s="11" t="s">
        <v>49</v>
      </c>
      <c r="J631" s="11">
        <v>51.75</v>
      </c>
      <c r="K631" s="11">
        <v>51.75</v>
      </c>
      <c r="L631" s="11"/>
      <c r="M631" s="11">
        <v>51.75</v>
      </c>
      <c r="N631" s="11" t="s">
        <v>1835</v>
      </c>
      <c r="O631" s="11" t="s">
        <v>75</v>
      </c>
    </row>
    <row r="632" spans="1:15" s="13" customFormat="1" ht="19.5" customHeight="1" x14ac:dyDescent="0.25">
      <c r="A632" s="11" t="s">
        <v>1836</v>
      </c>
      <c r="B632" s="11" t="s">
        <v>1836</v>
      </c>
      <c r="C632" s="12">
        <v>46062</v>
      </c>
      <c r="D632" s="12">
        <v>46062</v>
      </c>
      <c r="E632" s="11" t="s">
        <v>6</v>
      </c>
      <c r="F632" s="11" t="s">
        <v>1837</v>
      </c>
      <c r="G632" s="11" t="s">
        <v>1836</v>
      </c>
      <c r="H632" s="11"/>
      <c r="I632" s="11" t="s">
        <v>49</v>
      </c>
      <c r="J632" s="11">
        <v>63.9</v>
      </c>
      <c r="K632" s="11">
        <v>63.9</v>
      </c>
      <c r="L632" s="11"/>
      <c r="M632" s="11">
        <v>63.9</v>
      </c>
      <c r="N632" s="11"/>
      <c r="O632" s="11" t="s">
        <v>75</v>
      </c>
    </row>
    <row r="633" spans="1:15" s="13" customFormat="1" ht="19.5" customHeight="1" x14ac:dyDescent="0.25">
      <c r="A633" s="11" t="s">
        <v>1838</v>
      </c>
      <c r="B633" s="11" t="s">
        <v>1839</v>
      </c>
      <c r="C633" s="12">
        <v>46062</v>
      </c>
      <c r="D633" s="12">
        <v>46062</v>
      </c>
      <c r="E633" s="11" t="s">
        <v>6</v>
      </c>
      <c r="F633" s="11" t="s">
        <v>1840</v>
      </c>
      <c r="G633" s="11" t="s">
        <v>1839</v>
      </c>
      <c r="H633" s="11" t="s">
        <v>1841</v>
      </c>
      <c r="I633" s="11" t="s">
        <v>49</v>
      </c>
      <c r="J633" s="11">
        <v>155.34</v>
      </c>
      <c r="K633" s="11">
        <v>155.34</v>
      </c>
      <c r="L633" s="11"/>
      <c r="M633" s="11">
        <v>155.34</v>
      </c>
      <c r="N633" s="11"/>
      <c r="O633" s="11" t="s">
        <v>75</v>
      </c>
    </row>
    <row r="634" spans="1:15" s="13" customFormat="1" ht="19.5" customHeight="1" x14ac:dyDescent="0.25">
      <c r="A634" s="11" t="s">
        <v>1842</v>
      </c>
      <c r="B634" s="11" t="s">
        <v>1843</v>
      </c>
      <c r="C634" s="12">
        <v>46062</v>
      </c>
      <c r="D634" s="12">
        <v>46062</v>
      </c>
      <c r="E634" s="11" t="s">
        <v>6</v>
      </c>
      <c r="F634" s="11" t="s">
        <v>1844</v>
      </c>
      <c r="G634" s="11" t="s">
        <v>1843</v>
      </c>
      <c r="H634" s="11" t="s">
        <v>1845</v>
      </c>
      <c r="I634" s="11" t="s">
        <v>49</v>
      </c>
      <c r="J634" s="11">
        <v>175.8</v>
      </c>
      <c r="K634" s="11">
        <v>175.8</v>
      </c>
      <c r="L634" s="11"/>
      <c r="M634" s="11">
        <v>175.8</v>
      </c>
      <c r="N634" s="11"/>
      <c r="O634" s="11" t="s">
        <v>75</v>
      </c>
    </row>
    <row r="635" spans="1:15" s="13" customFormat="1" ht="19.5" customHeight="1" x14ac:dyDescent="0.25">
      <c r="A635" s="11" t="s">
        <v>1846</v>
      </c>
      <c r="B635" s="11" t="s">
        <v>1847</v>
      </c>
      <c r="C635" s="12">
        <v>46062</v>
      </c>
      <c r="D635" s="12">
        <v>46062</v>
      </c>
      <c r="E635" s="11" t="s">
        <v>6</v>
      </c>
      <c r="F635" s="11" t="s">
        <v>1848</v>
      </c>
      <c r="G635" s="11" t="s">
        <v>1847</v>
      </c>
      <c r="H635" s="11" t="s">
        <v>1849</v>
      </c>
      <c r="I635" s="11" t="s">
        <v>49</v>
      </c>
      <c r="J635" s="11">
        <v>75.33</v>
      </c>
      <c r="K635" s="11">
        <v>75.33</v>
      </c>
      <c r="L635" s="11"/>
      <c r="M635" s="11">
        <v>75.33</v>
      </c>
      <c r="N635" s="11" t="s">
        <v>1850</v>
      </c>
      <c r="O635" s="11" t="s">
        <v>75</v>
      </c>
    </row>
    <row r="636" spans="1:15" s="13" customFormat="1" ht="19.5" customHeight="1" x14ac:dyDescent="0.25">
      <c r="A636" s="11" t="s">
        <v>1851</v>
      </c>
      <c r="B636" s="11" t="s">
        <v>1852</v>
      </c>
      <c r="C636" s="12">
        <v>46062</v>
      </c>
      <c r="D636" s="12">
        <v>46062</v>
      </c>
      <c r="E636" s="11" t="s">
        <v>6</v>
      </c>
      <c r="F636" s="11" t="s">
        <v>1853</v>
      </c>
      <c r="G636" s="11" t="s">
        <v>1852</v>
      </c>
      <c r="H636" s="11" t="s">
        <v>1854</v>
      </c>
      <c r="I636" s="11" t="s">
        <v>49</v>
      </c>
      <c r="J636" s="11">
        <v>149.86000000000001</v>
      </c>
      <c r="K636" s="11">
        <v>149.86000000000001</v>
      </c>
      <c r="L636" s="11"/>
      <c r="M636" s="11">
        <v>149.86000000000001</v>
      </c>
      <c r="N636" s="11" t="s">
        <v>1855</v>
      </c>
      <c r="O636" s="11" t="s">
        <v>75</v>
      </c>
    </row>
    <row r="637" spans="1:15" s="13" customFormat="1" ht="19.5" customHeight="1" x14ac:dyDescent="0.25">
      <c r="A637" s="11" t="s">
        <v>1856</v>
      </c>
      <c r="B637" s="11" t="s">
        <v>1857</v>
      </c>
      <c r="C637" s="12">
        <v>46062</v>
      </c>
      <c r="D637" s="12">
        <v>46062</v>
      </c>
      <c r="E637" s="11" t="s">
        <v>6</v>
      </c>
      <c r="F637" s="11" t="s">
        <v>1858</v>
      </c>
      <c r="G637" s="11" t="s">
        <v>1857</v>
      </c>
      <c r="H637" s="11" t="s">
        <v>1859</v>
      </c>
      <c r="I637" s="11" t="s">
        <v>49</v>
      </c>
      <c r="J637" s="11">
        <v>91.9</v>
      </c>
      <c r="K637" s="11">
        <v>91.9</v>
      </c>
      <c r="L637" s="11"/>
      <c r="M637" s="11">
        <v>91.9</v>
      </c>
      <c r="N637" s="11" t="s">
        <v>1860</v>
      </c>
      <c r="O637" s="11" t="s">
        <v>75</v>
      </c>
    </row>
    <row r="638" spans="1:15" s="13" customFormat="1" ht="19.5" customHeight="1" x14ac:dyDescent="0.25">
      <c r="A638" s="11" t="s">
        <v>1861</v>
      </c>
      <c r="B638" s="11" t="s">
        <v>1862</v>
      </c>
      <c r="C638" s="12">
        <v>46062</v>
      </c>
      <c r="D638" s="12">
        <v>46062</v>
      </c>
      <c r="E638" s="11" t="s">
        <v>6</v>
      </c>
      <c r="F638" s="11" t="s">
        <v>1863</v>
      </c>
      <c r="G638" s="11" t="s">
        <v>1862</v>
      </c>
      <c r="H638" s="11" t="s">
        <v>1864</v>
      </c>
      <c r="I638" s="11" t="s">
        <v>49</v>
      </c>
      <c r="J638" s="11">
        <v>61.62</v>
      </c>
      <c r="K638" s="11">
        <v>61.62</v>
      </c>
      <c r="L638" s="11"/>
      <c r="M638" s="11">
        <v>61.62</v>
      </c>
      <c r="N638" s="11" t="s">
        <v>1865</v>
      </c>
      <c r="O638" s="11" t="s">
        <v>75</v>
      </c>
    </row>
    <row r="639" spans="1:15" s="13" customFormat="1" ht="19.5" customHeight="1" x14ac:dyDescent="0.25">
      <c r="A639" s="11" t="s">
        <v>1866</v>
      </c>
      <c r="B639" s="11" t="s">
        <v>1866</v>
      </c>
      <c r="C639" s="12">
        <v>46062</v>
      </c>
      <c r="D639" s="12">
        <v>46062</v>
      </c>
      <c r="E639" s="11" t="s">
        <v>6</v>
      </c>
      <c r="F639" s="11" t="s">
        <v>1867</v>
      </c>
      <c r="G639" s="11" t="s">
        <v>1866</v>
      </c>
      <c r="H639" s="11"/>
      <c r="I639" s="11" t="s">
        <v>49</v>
      </c>
      <c r="J639" s="11">
        <v>50.4</v>
      </c>
      <c r="K639" s="11">
        <v>50.4</v>
      </c>
      <c r="L639" s="11"/>
      <c r="M639" s="11">
        <v>50.4</v>
      </c>
      <c r="N639" s="11" t="s">
        <v>1868</v>
      </c>
      <c r="O639" s="11" t="s">
        <v>75</v>
      </c>
    </row>
    <row r="640" spans="1:15" s="13" customFormat="1" ht="19.5" customHeight="1" x14ac:dyDescent="0.25">
      <c r="A640" s="11" t="s">
        <v>1869</v>
      </c>
      <c r="B640" s="11" t="s">
        <v>1870</v>
      </c>
      <c r="C640" s="12">
        <v>46062</v>
      </c>
      <c r="D640" s="12">
        <v>46062</v>
      </c>
      <c r="E640" s="11" t="s">
        <v>6</v>
      </c>
      <c r="F640" s="11" t="s">
        <v>1871</v>
      </c>
      <c r="G640" s="11" t="s">
        <v>1870</v>
      </c>
      <c r="H640" s="11" t="s">
        <v>762</v>
      </c>
      <c r="I640" s="11" t="s">
        <v>49</v>
      </c>
      <c r="J640" s="11">
        <v>94.05</v>
      </c>
      <c r="K640" s="11">
        <v>94.05</v>
      </c>
      <c r="L640" s="11"/>
      <c r="M640" s="11">
        <v>94.05</v>
      </c>
      <c r="N640" s="11" t="s">
        <v>1872</v>
      </c>
      <c r="O640" s="11" t="s">
        <v>75</v>
      </c>
    </row>
    <row r="641" spans="1:15" s="13" customFormat="1" ht="19.5" customHeight="1" x14ac:dyDescent="0.25">
      <c r="A641" s="11" t="s">
        <v>1873</v>
      </c>
      <c r="B641" s="11" t="s">
        <v>1874</v>
      </c>
      <c r="C641" s="12">
        <v>46062</v>
      </c>
      <c r="D641" s="12">
        <v>46062</v>
      </c>
      <c r="E641" s="11" t="s">
        <v>6</v>
      </c>
      <c r="F641" s="11" t="s">
        <v>1875</v>
      </c>
      <c r="G641" s="11" t="s">
        <v>1874</v>
      </c>
      <c r="H641" s="11" t="s">
        <v>762</v>
      </c>
      <c r="I641" s="11" t="s">
        <v>49</v>
      </c>
      <c r="J641" s="11">
        <v>90.86</v>
      </c>
      <c r="K641" s="11">
        <v>90.86</v>
      </c>
      <c r="L641" s="11"/>
      <c r="M641" s="11">
        <v>90.86</v>
      </c>
      <c r="N641" s="11" t="s">
        <v>1876</v>
      </c>
      <c r="O641" s="11" t="s">
        <v>75</v>
      </c>
    </row>
    <row r="642" spans="1:15" s="13" customFormat="1" ht="19.5" customHeight="1" x14ac:dyDescent="0.25">
      <c r="A642" s="11" t="s">
        <v>1877</v>
      </c>
      <c r="B642" s="11" t="s">
        <v>1878</v>
      </c>
      <c r="C642" s="12">
        <v>46062</v>
      </c>
      <c r="D642" s="12">
        <v>46062</v>
      </c>
      <c r="E642" s="11" t="s">
        <v>6</v>
      </c>
      <c r="F642" s="11" t="s">
        <v>1879</v>
      </c>
      <c r="G642" s="11" t="s">
        <v>1878</v>
      </c>
      <c r="H642" s="11" t="s">
        <v>1880</v>
      </c>
      <c r="I642" s="11" t="s">
        <v>49</v>
      </c>
      <c r="J642" s="11">
        <v>265</v>
      </c>
      <c r="K642" s="11">
        <v>265</v>
      </c>
      <c r="L642" s="11"/>
      <c r="M642" s="11">
        <v>265</v>
      </c>
      <c r="N642" s="11" t="s">
        <v>1881</v>
      </c>
      <c r="O642" s="11" t="s">
        <v>75</v>
      </c>
    </row>
    <row r="643" spans="1:15" s="13" customFormat="1" ht="19.5" customHeight="1" x14ac:dyDescent="0.25">
      <c r="A643" s="11" t="s">
        <v>1882</v>
      </c>
      <c r="B643" s="11" t="s">
        <v>1882</v>
      </c>
      <c r="C643" s="12">
        <v>46059</v>
      </c>
      <c r="D643" s="12">
        <v>46104</v>
      </c>
      <c r="E643" s="11" t="s">
        <v>6</v>
      </c>
      <c r="F643" s="11" t="s">
        <v>64</v>
      </c>
      <c r="G643" s="11" t="s">
        <v>1882</v>
      </c>
      <c r="H643" s="11"/>
      <c r="I643" s="11" t="s">
        <v>49</v>
      </c>
      <c r="J643" s="11">
        <v>9079.4</v>
      </c>
      <c r="K643" s="11">
        <v>9079.4</v>
      </c>
      <c r="L643" s="11"/>
      <c r="M643" s="11">
        <v>9079.4</v>
      </c>
      <c r="N643" s="11"/>
      <c r="O643" s="11" t="s">
        <v>75</v>
      </c>
    </row>
    <row r="644" spans="1:15" s="13" customFormat="1" ht="19.5" customHeight="1" x14ac:dyDescent="0.25">
      <c r="A644" s="11" t="s">
        <v>1882</v>
      </c>
      <c r="B644" s="11" t="s">
        <v>1882</v>
      </c>
      <c r="C644" s="12">
        <v>46059</v>
      </c>
      <c r="D644" s="12">
        <v>46111</v>
      </c>
      <c r="E644" s="11" t="s">
        <v>6</v>
      </c>
      <c r="F644" s="11" t="s">
        <v>64</v>
      </c>
      <c r="G644" s="11" t="s">
        <v>1882</v>
      </c>
      <c r="H644" s="11"/>
      <c r="I644" s="11" t="s">
        <v>49</v>
      </c>
      <c r="J644" s="11">
        <v>9079.4</v>
      </c>
      <c r="K644" s="11">
        <v>9079.4</v>
      </c>
      <c r="L644" s="11"/>
      <c r="M644" s="11">
        <v>9079.4</v>
      </c>
      <c r="N644" s="11"/>
      <c r="O644" s="11" t="s">
        <v>75</v>
      </c>
    </row>
    <row r="645" spans="1:15" s="13" customFormat="1" ht="19.5" customHeight="1" x14ac:dyDescent="0.25">
      <c r="A645" s="11" t="s">
        <v>1882</v>
      </c>
      <c r="B645" s="11" t="s">
        <v>1882</v>
      </c>
      <c r="C645" s="12">
        <v>46059</v>
      </c>
      <c r="D645" s="12">
        <v>46118</v>
      </c>
      <c r="E645" s="11" t="s">
        <v>6</v>
      </c>
      <c r="F645" s="11" t="s">
        <v>64</v>
      </c>
      <c r="G645" s="11" t="s">
        <v>1882</v>
      </c>
      <c r="H645" s="11"/>
      <c r="I645" s="11" t="s">
        <v>49</v>
      </c>
      <c r="J645" s="11">
        <v>9079.4</v>
      </c>
      <c r="K645" s="11">
        <v>9079.4</v>
      </c>
      <c r="L645" s="11"/>
      <c r="M645" s="11">
        <v>9079.4</v>
      </c>
      <c r="N645" s="11"/>
      <c r="O645" s="11" t="s">
        <v>75</v>
      </c>
    </row>
    <row r="646" spans="1:15" s="13" customFormat="1" ht="19.5" customHeight="1" x14ac:dyDescent="0.25">
      <c r="A646" s="11" t="s">
        <v>1882</v>
      </c>
      <c r="B646" s="11" t="s">
        <v>1882</v>
      </c>
      <c r="C646" s="12">
        <v>46059</v>
      </c>
      <c r="D646" s="12">
        <v>46125</v>
      </c>
      <c r="E646" s="11" t="s">
        <v>6</v>
      </c>
      <c r="F646" s="11" t="s">
        <v>64</v>
      </c>
      <c r="G646" s="11" t="s">
        <v>1882</v>
      </c>
      <c r="H646" s="11"/>
      <c r="I646" s="11" t="s">
        <v>49</v>
      </c>
      <c r="J646" s="11">
        <v>9079.4</v>
      </c>
      <c r="K646" s="11">
        <v>9079.4</v>
      </c>
      <c r="L646" s="11"/>
      <c r="M646" s="11">
        <v>9079.4</v>
      </c>
      <c r="N646" s="11"/>
      <c r="O646" s="11" t="s">
        <v>75</v>
      </c>
    </row>
    <row r="647" spans="1:15" s="13" customFormat="1" ht="19.5" customHeight="1" x14ac:dyDescent="0.25">
      <c r="A647" s="11" t="s">
        <v>1882</v>
      </c>
      <c r="B647" s="11" t="s">
        <v>1882</v>
      </c>
      <c r="C647" s="12">
        <v>46059</v>
      </c>
      <c r="D647" s="12">
        <v>46132</v>
      </c>
      <c r="E647" s="11" t="s">
        <v>6</v>
      </c>
      <c r="F647" s="11" t="s">
        <v>64</v>
      </c>
      <c r="G647" s="11" t="s">
        <v>1882</v>
      </c>
      <c r="H647" s="11"/>
      <c r="I647" s="11" t="s">
        <v>49</v>
      </c>
      <c r="J647" s="11">
        <v>9079.4</v>
      </c>
      <c r="K647" s="11">
        <v>9079.4</v>
      </c>
      <c r="L647" s="11"/>
      <c r="M647" s="11">
        <v>9079.4</v>
      </c>
      <c r="N647" s="11"/>
      <c r="O647" s="11" t="s">
        <v>75</v>
      </c>
    </row>
    <row r="648" spans="1:15" s="13" customFormat="1" ht="19.5" customHeight="1" x14ac:dyDescent="0.25">
      <c r="A648" s="11" t="s">
        <v>1882</v>
      </c>
      <c r="B648" s="11" t="s">
        <v>1882</v>
      </c>
      <c r="C648" s="12">
        <v>46059</v>
      </c>
      <c r="D648" s="12">
        <v>46139</v>
      </c>
      <c r="E648" s="11" t="s">
        <v>6</v>
      </c>
      <c r="F648" s="11" t="s">
        <v>64</v>
      </c>
      <c r="G648" s="11" t="s">
        <v>1882</v>
      </c>
      <c r="H648" s="11"/>
      <c r="I648" s="11" t="s">
        <v>49</v>
      </c>
      <c r="J648" s="11">
        <v>9079.4</v>
      </c>
      <c r="K648" s="11">
        <v>9079.4</v>
      </c>
      <c r="L648" s="11"/>
      <c r="M648" s="11">
        <v>9079.4</v>
      </c>
      <c r="N648" s="11"/>
      <c r="O648" s="11" t="s">
        <v>75</v>
      </c>
    </row>
    <row r="649" spans="1:15" s="13" customFormat="1" ht="19.5" customHeight="1" x14ac:dyDescent="0.25">
      <c r="A649" s="11" t="s">
        <v>1882</v>
      </c>
      <c r="B649" s="11" t="s">
        <v>1882</v>
      </c>
      <c r="C649" s="12">
        <v>46059</v>
      </c>
      <c r="D649" s="12">
        <v>46149</v>
      </c>
      <c r="E649" s="11" t="s">
        <v>6</v>
      </c>
      <c r="F649" s="11" t="s">
        <v>64</v>
      </c>
      <c r="G649" s="11" t="s">
        <v>1882</v>
      </c>
      <c r="H649" s="11"/>
      <c r="I649" s="11" t="s">
        <v>49</v>
      </c>
      <c r="J649" s="11">
        <v>9104.82</v>
      </c>
      <c r="K649" s="11">
        <v>9104.82</v>
      </c>
      <c r="L649" s="11"/>
      <c r="M649" s="11">
        <v>9104.82</v>
      </c>
      <c r="N649" s="11"/>
      <c r="O649" s="11" t="s">
        <v>75</v>
      </c>
    </row>
    <row r="650" spans="1:15" s="13" customFormat="1" ht="19.5" customHeight="1" x14ac:dyDescent="0.25">
      <c r="A650" s="11" t="s">
        <v>1883</v>
      </c>
      <c r="B650" s="11" t="s">
        <v>1883</v>
      </c>
      <c r="C650" s="12">
        <v>46059</v>
      </c>
      <c r="D650" s="12">
        <v>46059</v>
      </c>
      <c r="E650" s="11" t="s">
        <v>6</v>
      </c>
      <c r="F650" s="11" t="s">
        <v>1884</v>
      </c>
      <c r="G650" s="11" t="s">
        <v>1883</v>
      </c>
      <c r="H650" s="11"/>
      <c r="I650" s="11" t="s">
        <v>49</v>
      </c>
      <c r="J650" s="11">
        <v>65.95</v>
      </c>
      <c r="K650" s="11">
        <v>65.95</v>
      </c>
      <c r="L650" s="11"/>
      <c r="M650" s="11">
        <v>65.95</v>
      </c>
      <c r="N650" s="11" t="s">
        <v>1885</v>
      </c>
      <c r="O650" s="11" t="s">
        <v>75</v>
      </c>
    </row>
    <row r="651" spans="1:15" s="13" customFormat="1" ht="19.5" customHeight="1" x14ac:dyDescent="0.25">
      <c r="A651" s="11" t="s">
        <v>1886</v>
      </c>
      <c r="B651" s="11" t="s">
        <v>1887</v>
      </c>
      <c r="C651" s="12">
        <v>46059</v>
      </c>
      <c r="D651" s="12">
        <v>46059</v>
      </c>
      <c r="E651" s="11" t="s">
        <v>6</v>
      </c>
      <c r="F651" s="11" t="s">
        <v>1888</v>
      </c>
      <c r="G651" s="11" t="s">
        <v>1887</v>
      </c>
      <c r="H651" s="11" t="s">
        <v>1889</v>
      </c>
      <c r="I651" s="11" t="s">
        <v>49</v>
      </c>
      <c r="J651" s="11">
        <v>211.96</v>
      </c>
      <c r="K651" s="11">
        <v>211.96</v>
      </c>
      <c r="L651" s="11"/>
      <c r="M651" s="11">
        <v>211.96</v>
      </c>
      <c r="N651" s="11" t="s">
        <v>1890</v>
      </c>
      <c r="O651" s="11" t="s">
        <v>75</v>
      </c>
    </row>
    <row r="652" spans="1:15" s="13" customFormat="1" ht="19.5" customHeight="1" x14ac:dyDescent="0.25">
      <c r="A652" s="11" t="s">
        <v>1891</v>
      </c>
      <c r="B652" s="11" t="s">
        <v>1891</v>
      </c>
      <c r="C652" s="12">
        <v>46059</v>
      </c>
      <c r="D652" s="12">
        <v>46059</v>
      </c>
      <c r="E652" s="11" t="s">
        <v>6</v>
      </c>
      <c r="F652" s="11" t="s">
        <v>1892</v>
      </c>
      <c r="G652" s="11" t="s">
        <v>1891</v>
      </c>
      <c r="H652" s="11"/>
      <c r="I652" s="11" t="s">
        <v>49</v>
      </c>
      <c r="J652" s="11">
        <v>37.799999999999997</v>
      </c>
      <c r="K652" s="11">
        <v>37.799999999999997</v>
      </c>
      <c r="L652" s="11"/>
      <c r="M652" s="11">
        <v>37.799999999999997</v>
      </c>
      <c r="N652" s="11" t="s">
        <v>1893</v>
      </c>
      <c r="O652" s="11" t="s">
        <v>75</v>
      </c>
    </row>
    <row r="653" spans="1:15" s="13" customFormat="1" ht="19.5" customHeight="1" x14ac:dyDescent="0.25">
      <c r="A653" s="11" t="s">
        <v>1894</v>
      </c>
      <c r="B653" s="11" t="s">
        <v>1895</v>
      </c>
      <c r="C653" s="12">
        <v>46059</v>
      </c>
      <c r="D653" s="12">
        <v>46059</v>
      </c>
      <c r="E653" s="11" t="s">
        <v>6</v>
      </c>
      <c r="F653" s="11" t="s">
        <v>1896</v>
      </c>
      <c r="G653" s="11" t="s">
        <v>1895</v>
      </c>
      <c r="H653" s="11" t="s">
        <v>1897</v>
      </c>
      <c r="I653" s="11" t="s">
        <v>49</v>
      </c>
      <c r="J653" s="11">
        <v>53.91</v>
      </c>
      <c r="K653" s="11">
        <v>53.91</v>
      </c>
      <c r="L653" s="11"/>
      <c r="M653" s="11">
        <v>53.91</v>
      </c>
      <c r="N653" s="11" t="s">
        <v>1898</v>
      </c>
      <c r="O653" s="11" t="s">
        <v>75</v>
      </c>
    </row>
    <row r="654" spans="1:15" s="13" customFormat="1" ht="19.5" customHeight="1" x14ac:dyDescent="0.25">
      <c r="A654" s="11" t="s">
        <v>1899</v>
      </c>
      <c r="B654" s="11" t="s">
        <v>1900</v>
      </c>
      <c r="C654" s="12">
        <v>46059</v>
      </c>
      <c r="D654" s="12">
        <v>46059</v>
      </c>
      <c r="E654" s="11" t="s">
        <v>6</v>
      </c>
      <c r="F654" s="11" t="s">
        <v>87</v>
      </c>
      <c r="G654" s="11" t="s">
        <v>1900</v>
      </c>
      <c r="H654" s="11" t="s">
        <v>1901</v>
      </c>
      <c r="I654" s="11" t="s">
        <v>49</v>
      </c>
      <c r="J654" s="11">
        <v>86.27</v>
      </c>
      <c r="K654" s="11">
        <v>86.27</v>
      </c>
      <c r="L654" s="11"/>
      <c r="M654" s="11">
        <v>86.27</v>
      </c>
      <c r="N654" s="11"/>
      <c r="O654" s="11" t="s">
        <v>75</v>
      </c>
    </row>
    <row r="655" spans="1:15" s="13" customFormat="1" ht="19.5" customHeight="1" x14ac:dyDescent="0.25">
      <c r="A655" s="11" t="s">
        <v>1902</v>
      </c>
      <c r="B655" s="11" t="s">
        <v>1902</v>
      </c>
      <c r="C655" s="12">
        <v>46058</v>
      </c>
      <c r="D655" s="12">
        <v>46058</v>
      </c>
      <c r="E655" s="11" t="s">
        <v>6</v>
      </c>
      <c r="F655" s="11" t="s">
        <v>1903</v>
      </c>
      <c r="G655" s="11" t="s">
        <v>1902</v>
      </c>
      <c r="H655" s="11"/>
      <c r="I655" s="11" t="s">
        <v>49</v>
      </c>
      <c r="J655" s="11">
        <v>90.86</v>
      </c>
      <c r="K655" s="11">
        <v>90.86</v>
      </c>
      <c r="L655" s="11"/>
      <c r="M655" s="11">
        <v>90.86</v>
      </c>
      <c r="N655" s="11" t="s">
        <v>1904</v>
      </c>
      <c r="O655" s="11" t="s">
        <v>75</v>
      </c>
    </row>
    <row r="656" spans="1:15" s="13" customFormat="1" ht="19.5" customHeight="1" x14ac:dyDescent="0.25">
      <c r="A656" s="11" t="s">
        <v>1905</v>
      </c>
      <c r="B656" s="11" t="s">
        <v>1905</v>
      </c>
      <c r="C656" s="12">
        <v>46058</v>
      </c>
      <c r="D656" s="12">
        <v>46058</v>
      </c>
      <c r="E656" s="11" t="s">
        <v>6</v>
      </c>
      <c r="F656" s="11" t="s">
        <v>1906</v>
      </c>
      <c r="G656" s="11" t="s">
        <v>1905</v>
      </c>
      <c r="H656" s="11"/>
      <c r="I656" s="11" t="s">
        <v>49</v>
      </c>
      <c r="J656" s="11">
        <v>223.1</v>
      </c>
      <c r="K656" s="11">
        <v>223.1</v>
      </c>
      <c r="L656" s="11"/>
      <c r="M656" s="11">
        <v>223.1</v>
      </c>
      <c r="N656" s="11" t="s">
        <v>1907</v>
      </c>
      <c r="O656" s="11" t="s">
        <v>75</v>
      </c>
    </row>
    <row r="657" spans="1:15" s="13" customFormat="1" ht="19.5" customHeight="1" x14ac:dyDescent="0.25">
      <c r="A657" s="11" t="s">
        <v>1908</v>
      </c>
      <c r="B657" s="11" t="s">
        <v>1908</v>
      </c>
      <c r="C657" s="12">
        <v>46058</v>
      </c>
      <c r="D657" s="12">
        <v>46058</v>
      </c>
      <c r="E657" s="11" t="s">
        <v>6</v>
      </c>
      <c r="F657" s="11" t="s">
        <v>1909</v>
      </c>
      <c r="G657" s="11" t="s">
        <v>1908</v>
      </c>
      <c r="H657" s="11"/>
      <c r="I657" s="11" t="s">
        <v>49</v>
      </c>
      <c r="J657" s="11">
        <v>182.79</v>
      </c>
      <c r="K657" s="11">
        <v>182.79</v>
      </c>
      <c r="L657" s="11"/>
      <c r="M657" s="11">
        <v>182.79</v>
      </c>
      <c r="N657" s="11" t="s">
        <v>1910</v>
      </c>
      <c r="O657" s="11" t="s">
        <v>75</v>
      </c>
    </row>
    <row r="658" spans="1:15" s="13" customFormat="1" ht="19.5" customHeight="1" x14ac:dyDescent="0.25">
      <c r="A658" s="11" t="s">
        <v>1911</v>
      </c>
      <c r="B658" s="11" t="s">
        <v>1912</v>
      </c>
      <c r="C658" s="12">
        <v>46058</v>
      </c>
      <c r="D658" s="12">
        <v>46058</v>
      </c>
      <c r="E658" s="11" t="s">
        <v>6</v>
      </c>
      <c r="F658" s="11" t="s">
        <v>1913</v>
      </c>
      <c r="G658" s="11" t="s">
        <v>1912</v>
      </c>
      <c r="H658" s="11" t="s">
        <v>1914</v>
      </c>
      <c r="I658" s="11" t="s">
        <v>49</v>
      </c>
      <c r="J658" s="11">
        <v>366</v>
      </c>
      <c r="K658" s="11">
        <v>366</v>
      </c>
      <c r="L658" s="11"/>
      <c r="M658" s="11">
        <v>366</v>
      </c>
      <c r="N658" s="11" t="s">
        <v>1915</v>
      </c>
      <c r="O658" s="11" t="s">
        <v>75</v>
      </c>
    </row>
    <row r="659" spans="1:15" s="13" customFormat="1" ht="19.5" customHeight="1" x14ac:dyDescent="0.25">
      <c r="A659" s="11" t="s">
        <v>1916</v>
      </c>
      <c r="B659" s="11" t="s">
        <v>1916</v>
      </c>
      <c r="C659" s="12">
        <v>46058</v>
      </c>
      <c r="D659" s="12">
        <v>46058</v>
      </c>
      <c r="E659" s="11" t="s">
        <v>6</v>
      </c>
      <c r="F659" s="11" t="s">
        <v>1917</v>
      </c>
      <c r="G659" s="11" t="s">
        <v>1916</v>
      </c>
      <c r="H659" s="11"/>
      <c r="I659" s="11" t="s">
        <v>49</v>
      </c>
      <c r="J659" s="11">
        <v>44.11</v>
      </c>
      <c r="K659" s="11">
        <v>44.11</v>
      </c>
      <c r="L659" s="11"/>
      <c r="M659" s="11">
        <v>44.11</v>
      </c>
      <c r="N659" s="11"/>
      <c r="O659" s="11" t="s">
        <v>75</v>
      </c>
    </row>
    <row r="660" spans="1:15" s="13" customFormat="1" ht="19.5" customHeight="1" x14ac:dyDescent="0.25">
      <c r="A660" s="11" t="s">
        <v>1918</v>
      </c>
      <c r="B660" s="11" t="s">
        <v>1919</v>
      </c>
      <c r="C660" s="12">
        <v>46057</v>
      </c>
      <c r="D660" s="12">
        <v>46057</v>
      </c>
      <c r="E660" s="11" t="s">
        <v>6</v>
      </c>
      <c r="F660" s="11" t="s">
        <v>1920</v>
      </c>
      <c r="G660" s="11" t="s">
        <v>1921</v>
      </c>
      <c r="H660" s="11" t="s">
        <v>1922</v>
      </c>
      <c r="I660" s="11" t="s">
        <v>49</v>
      </c>
      <c r="J660" s="11">
        <v>-11922.54</v>
      </c>
      <c r="K660" s="11"/>
      <c r="L660" s="11">
        <v>11922.54</v>
      </c>
      <c r="M660" s="11">
        <v>-11922.54</v>
      </c>
      <c r="N660" s="11"/>
      <c r="O660" s="11" t="s">
        <v>75</v>
      </c>
    </row>
    <row r="661" spans="1:15" s="13" customFormat="1" ht="19.5" customHeight="1" x14ac:dyDescent="0.25">
      <c r="A661" s="11" t="s">
        <v>1923</v>
      </c>
      <c r="B661" s="11" t="s">
        <v>1924</v>
      </c>
      <c r="C661" s="12">
        <v>46057</v>
      </c>
      <c r="D661" s="12">
        <v>46057</v>
      </c>
      <c r="E661" s="11" t="s">
        <v>6</v>
      </c>
      <c r="F661" s="11" t="s">
        <v>64</v>
      </c>
      <c r="G661" s="11" t="s">
        <v>1925</v>
      </c>
      <c r="H661" s="11" t="s">
        <v>1926</v>
      </c>
      <c r="I661" s="11" t="s">
        <v>49</v>
      </c>
      <c r="J661" s="11">
        <v>-56429.17</v>
      </c>
      <c r="K661" s="11"/>
      <c r="L661" s="11">
        <v>56429.17</v>
      </c>
      <c r="M661" s="11">
        <v>-56429.17</v>
      </c>
      <c r="N661" s="11"/>
      <c r="O661" s="11" t="s">
        <v>75</v>
      </c>
    </row>
    <row r="662" spans="1:15" s="13" customFormat="1" ht="19.5" customHeight="1" x14ac:dyDescent="0.25">
      <c r="A662" s="11" t="s">
        <v>1927</v>
      </c>
      <c r="B662" s="11" t="s">
        <v>1928</v>
      </c>
      <c r="C662" s="12">
        <v>46057</v>
      </c>
      <c r="D662" s="12">
        <v>46057</v>
      </c>
      <c r="E662" s="11" t="s">
        <v>6</v>
      </c>
      <c r="F662" s="11" t="s">
        <v>1929</v>
      </c>
      <c r="G662" s="11" t="s">
        <v>1930</v>
      </c>
      <c r="H662" s="11" t="s">
        <v>1931</v>
      </c>
      <c r="I662" s="11" t="s">
        <v>49</v>
      </c>
      <c r="J662" s="11">
        <v>-10678.05</v>
      </c>
      <c r="K662" s="11"/>
      <c r="L662" s="11">
        <v>10678.05</v>
      </c>
      <c r="M662" s="11">
        <v>-10678.05</v>
      </c>
      <c r="N662" s="11"/>
      <c r="O662" s="11" t="s">
        <v>75</v>
      </c>
    </row>
    <row r="663" spans="1:15" s="13" customFormat="1" ht="19.5" customHeight="1" x14ac:dyDescent="0.25">
      <c r="A663" s="11" t="s">
        <v>1932</v>
      </c>
      <c r="B663" s="11" t="s">
        <v>1932</v>
      </c>
      <c r="C663" s="12">
        <v>46057</v>
      </c>
      <c r="D663" s="12">
        <v>46102</v>
      </c>
      <c r="E663" s="11" t="s">
        <v>6</v>
      </c>
      <c r="F663" s="11" t="s">
        <v>863</v>
      </c>
      <c r="G663" s="11" t="s">
        <v>1932</v>
      </c>
      <c r="H663" s="11"/>
      <c r="I663" s="11" t="s">
        <v>49</v>
      </c>
      <c r="J663" s="11">
        <v>8530.09</v>
      </c>
      <c r="K663" s="11">
        <v>8530.09</v>
      </c>
      <c r="L663" s="11"/>
      <c r="M663" s="11">
        <v>8530.09</v>
      </c>
      <c r="N663" s="11"/>
      <c r="O663" s="11" t="s">
        <v>75</v>
      </c>
    </row>
    <row r="664" spans="1:15" s="13" customFormat="1" ht="19.5" customHeight="1" x14ac:dyDescent="0.25">
      <c r="A664" s="11" t="s">
        <v>1932</v>
      </c>
      <c r="B664" s="11" t="s">
        <v>1932</v>
      </c>
      <c r="C664" s="12">
        <v>46057</v>
      </c>
      <c r="D664" s="12">
        <v>46109</v>
      </c>
      <c r="E664" s="11" t="s">
        <v>6</v>
      </c>
      <c r="F664" s="11" t="s">
        <v>863</v>
      </c>
      <c r="G664" s="11" t="s">
        <v>1932</v>
      </c>
      <c r="H664" s="11"/>
      <c r="I664" s="11" t="s">
        <v>49</v>
      </c>
      <c r="J664" s="11">
        <v>8530.09</v>
      </c>
      <c r="K664" s="11">
        <v>8530.09</v>
      </c>
      <c r="L664" s="11"/>
      <c r="M664" s="11">
        <v>8530.09</v>
      </c>
      <c r="N664" s="11"/>
      <c r="O664" s="11" t="s">
        <v>75</v>
      </c>
    </row>
    <row r="665" spans="1:15" s="13" customFormat="1" ht="19.5" customHeight="1" x14ac:dyDescent="0.25">
      <c r="A665" s="11" t="s">
        <v>1932</v>
      </c>
      <c r="B665" s="11" t="s">
        <v>1932</v>
      </c>
      <c r="C665" s="12">
        <v>46057</v>
      </c>
      <c r="D665" s="12">
        <v>46116</v>
      </c>
      <c r="E665" s="11" t="s">
        <v>6</v>
      </c>
      <c r="F665" s="11" t="s">
        <v>863</v>
      </c>
      <c r="G665" s="11" t="s">
        <v>1932</v>
      </c>
      <c r="H665" s="11"/>
      <c r="I665" s="11" t="s">
        <v>49</v>
      </c>
      <c r="J665" s="11">
        <v>8530.09</v>
      </c>
      <c r="K665" s="11">
        <v>8530.09</v>
      </c>
      <c r="L665" s="11"/>
      <c r="M665" s="11">
        <v>8530.09</v>
      </c>
      <c r="N665" s="11"/>
      <c r="O665" s="11" t="s">
        <v>75</v>
      </c>
    </row>
    <row r="666" spans="1:15" s="13" customFormat="1" ht="19.5" customHeight="1" x14ac:dyDescent="0.25">
      <c r="A666" s="11" t="s">
        <v>1932</v>
      </c>
      <c r="B666" s="11" t="s">
        <v>1932</v>
      </c>
      <c r="C666" s="12">
        <v>46057</v>
      </c>
      <c r="D666" s="12">
        <v>46123</v>
      </c>
      <c r="E666" s="11" t="s">
        <v>6</v>
      </c>
      <c r="F666" s="11" t="s">
        <v>863</v>
      </c>
      <c r="G666" s="11" t="s">
        <v>1932</v>
      </c>
      <c r="H666" s="11"/>
      <c r="I666" s="11" t="s">
        <v>49</v>
      </c>
      <c r="J666" s="11">
        <v>8530.09</v>
      </c>
      <c r="K666" s="11">
        <v>8530.09</v>
      </c>
      <c r="L666" s="11"/>
      <c r="M666" s="11">
        <v>8530.09</v>
      </c>
      <c r="N666" s="11"/>
      <c r="O666" s="11" t="s">
        <v>75</v>
      </c>
    </row>
    <row r="667" spans="1:15" s="13" customFormat="1" ht="19.5" customHeight="1" x14ac:dyDescent="0.25">
      <c r="A667" s="11" t="s">
        <v>1932</v>
      </c>
      <c r="B667" s="11" t="s">
        <v>1932</v>
      </c>
      <c r="C667" s="12">
        <v>46057</v>
      </c>
      <c r="D667" s="12">
        <v>46130</v>
      </c>
      <c r="E667" s="11" t="s">
        <v>6</v>
      </c>
      <c r="F667" s="11" t="s">
        <v>863</v>
      </c>
      <c r="G667" s="11" t="s">
        <v>1932</v>
      </c>
      <c r="H667" s="11"/>
      <c r="I667" s="11" t="s">
        <v>49</v>
      </c>
      <c r="J667" s="11">
        <v>8530.09</v>
      </c>
      <c r="K667" s="11">
        <v>8530.09</v>
      </c>
      <c r="L667" s="11"/>
      <c r="M667" s="11">
        <v>8530.09</v>
      </c>
      <c r="N667" s="11"/>
      <c r="O667" s="11" t="s">
        <v>75</v>
      </c>
    </row>
    <row r="668" spans="1:15" s="13" customFormat="1" ht="19.5" customHeight="1" x14ac:dyDescent="0.25">
      <c r="A668" s="11" t="s">
        <v>1932</v>
      </c>
      <c r="B668" s="11" t="s">
        <v>1932</v>
      </c>
      <c r="C668" s="12">
        <v>46057</v>
      </c>
      <c r="D668" s="12">
        <v>46137</v>
      </c>
      <c r="E668" s="11" t="s">
        <v>6</v>
      </c>
      <c r="F668" s="11" t="s">
        <v>863</v>
      </c>
      <c r="G668" s="11" t="s">
        <v>1932</v>
      </c>
      <c r="H668" s="11"/>
      <c r="I668" s="11" t="s">
        <v>49</v>
      </c>
      <c r="J668" s="11">
        <v>8530.09</v>
      </c>
      <c r="K668" s="11">
        <v>8530.09</v>
      </c>
      <c r="L668" s="11"/>
      <c r="M668" s="11">
        <v>8530.09</v>
      </c>
      <c r="N668" s="11"/>
      <c r="O668" s="11" t="s">
        <v>75</v>
      </c>
    </row>
    <row r="669" spans="1:15" s="13" customFormat="1" ht="19.5" customHeight="1" x14ac:dyDescent="0.25">
      <c r="A669" s="11" t="s">
        <v>1932</v>
      </c>
      <c r="B669" s="11" t="s">
        <v>1932</v>
      </c>
      <c r="C669" s="12">
        <v>46057</v>
      </c>
      <c r="D669" s="12">
        <v>46147</v>
      </c>
      <c r="E669" s="11" t="s">
        <v>6</v>
      </c>
      <c r="F669" s="11" t="s">
        <v>863</v>
      </c>
      <c r="G669" s="11" t="s">
        <v>1932</v>
      </c>
      <c r="H669" s="11"/>
      <c r="I669" s="11" t="s">
        <v>49</v>
      </c>
      <c r="J669" s="11">
        <v>8553.9699999999993</v>
      </c>
      <c r="K669" s="11">
        <v>8553.9699999999993</v>
      </c>
      <c r="L669" s="11"/>
      <c r="M669" s="11">
        <v>8553.9699999999993</v>
      </c>
      <c r="N669" s="11"/>
      <c r="O669" s="11" t="s">
        <v>75</v>
      </c>
    </row>
    <row r="670" spans="1:15" s="13" customFormat="1" ht="19.5" customHeight="1" x14ac:dyDescent="0.25">
      <c r="A670" s="11" t="s">
        <v>1933</v>
      </c>
      <c r="B670" s="11" t="s">
        <v>1933</v>
      </c>
      <c r="C670" s="12">
        <v>46057</v>
      </c>
      <c r="D670" s="12">
        <v>46057</v>
      </c>
      <c r="E670" s="11" t="s">
        <v>6</v>
      </c>
      <c r="F670" s="11" t="s">
        <v>74</v>
      </c>
      <c r="G670" s="11" t="s">
        <v>1933</v>
      </c>
      <c r="H670" s="11"/>
      <c r="I670" s="11" t="s">
        <v>49</v>
      </c>
      <c r="J670" s="11">
        <v>100.98</v>
      </c>
      <c r="K670" s="11">
        <v>100.98</v>
      </c>
      <c r="L670" s="11"/>
      <c r="M670" s="11">
        <v>100.98</v>
      </c>
      <c r="N670" s="11"/>
      <c r="O670" s="11" t="s">
        <v>75</v>
      </c>
    </row>
    <row r="671" spans="1:15" s="13" customFormat="1" ht="19.5" customHeight="1" x14ac:dyDescent="0.25">
      <c r="A671" s="11" t="s">
        <v>1934</v>
      </c>
      <c r="B671" s="11" t="s">
        <v>1934</v>
      </c>
      <c r="C671" s="12">
        <v>46057</v>
      </c>
      <c r="D671" s="12">
        <v>46057</v>
      </c>
      <c r="E671" s="11" t="s">
        <v>6</v>
      </c>
      <c r="F671" s="11" t="s">
        <v>1935</v>
      </c>
      <c r="G671" s="11" t="s">
        <v>1934</v>
      </c>
      <c r="H671" s="11"/>
      <c r="I671" s="11" t="s">
        <v>49</v>
      </c>
      <c r="J671" s="11">
        <v>109.8</v>
      </c>
      <c r="K671" s="11">
        <v>109.8</v>
      </c>
      <c r="L671" s="11"/>
      <c r="M671" s="11">
        <v>109.8</v>
      </c>
      <c r="N671" s="11" t="s">
        <v>1936</v>
      </c>
      <c r="O671" s="11" t="s">
        <v>75</v>
      </c>
    </row>
    <row r="672" spans="1:15" s="13" customFormat="1" ht="19.5" customHeight="1" x14ac:dyDescent="0.25">
      <c r="A672" s="11" t="s">
        <v>1937</v>
      </c>
      <c r="B672" s="11" t="s">
        <v>1937</v>
      </c>
      <c r="C672" s="12">
        <v>46057</v>
      </c>
      <c r="D672" s="12">
        <v>46057</v>
      </c>
      <c r="E672" s="11" t="s">
        <v>6</v>
      </c>
      <c r="F672" s="11" t="s">
        <v>1938</v>
      </c>
      <c r="G672" s="11" t="s">
        <v>1937</v>
      </c>
      <c r="H672" s="11"/>
      <c r="I672" s="11" t="s">
        <v>49</v>
      </c>
      <c r="J672" s="11">
        <v>137.19999999999999</v>
      </c>
      <c r="K672" s="11">
        <v>137.19999999999999</v>
      </c>
      <c r="L672" s="11"/>
      <c r="M672" s="11">
        <v>137.19999999999999</v>
      </c>
      <c r="N672" s="11" t="s">
        <v>1939</v>
      </c>
      <c r="O672" s="11" t="s">
        <v>75</v>
      </c>
    </row>
    <row r="673" spans="1:15" s="13" customFormat="1" ht="19.5" customHeight="1" x14ac:dyDescent="0.25">
      <c r="A673" s="11" t="s">
        <v>1940</v>
      </c>
      <c r="B673" s="11" t="s">
        <v>1940</v>
      </c>
      <c r="C673" s="12">
        <v>46056</v>
      </c>
      <c r="D673" s="12">
        <v>46146</v>
      </c>
      <c r="E673" s="11" t="s">
        <v>6</v>
      </c>
      <c r="F673" s="11" t="s">
        <v>1419</v>
      </c>
      <c r="G673" s="11" t="s">
        <v>1940</v>
      </c>
      <c r="H673" s="11"/>
      <c r="I673" s="11" t="s">
        <v>49</v>
      </c>
      <c r="J673" s="11">
        <v>2294.1799999999998</v>
      </c>
      <c r="K673" s="11">
        <v>2294.1799999999998</v>
      </c>
      <c r="L673" s="11"/>
      <c r="M673" s="11">
        <v>2294.1799999999998</v>
      </c>
      <c r="N673" s="11"/>
      <c r="O673" s="11" t="s">
        <v>75</v>
      </c>
    </row>
    <row r="674" spans="1:15" s="13" customFormat="1" ht="19.5" customHeight="1" x14ac:dyDescent="0.25">
      <c r="A674" s="11" t="s">
        <v>1941</v>
      </c>
      <c r="B674" s="11" t="s">
        <v>1941</v>
      </c>
      <c r="C674" s="12">
        <v>46056</v>
      </c>
      <c r="D674" s="12">
        <v>46101</v>
      </c>
      <c r="E674" s="11" t="s">
        <v>6</v>
      </c>
      <c r="F674" s="11" t="s">
        <v>524</v>
      </c>
      <c r="G674" s="11" t="s">
        <v>1941</v>
      </c>
      <c r="H674" s="11"/>
      <c r="I674" s="11" t="s">
        <v>49</v>
      </c>
      <c r="J674" s="11">
        <v>3871.29</v>
      </c>
      <c r="K674" s="11">
        <v>3871.29</v>
      </c>
      <c r="L674" s="11"/>
      <c r="M674" s="11">
        <v>3871.29</v>
      </c>
      <c r="N674" s="11"/>
      <c r="O674" s="11" t="s">
        <v>75</v>
      </c>
    </row>
    <row r="675" spans="1:15" s="13" customFormat="1" ht="19.5" customHeight="1" x14ac:dyDescent="0.25">
      <c r="A675" s="11" t="s">
        <v>1941</v>
      </c>
      <c r="B675" s="11" t="s">
        <v>1941</v>
      </c>
      <c r="C675" s="12">
        <v>46056</v>
      </c>
      <c r="D675" s="12">
        <v>46110</v>
      </c>
      <c r="E675" s="11" t="s">
        <v>6</v>
      </c>
      <c r="F675" s="11" t="s">
        <v>524</v>
      </c>
      <c r="G675" s="11" t="s">
        <v>1941</v>
      </c>
      <c r="H675" s="11"/>
      <c r="I675" s="11" t="s">
        <v>49</v>
      </c>
      <c r="J675" s="11">
        <v>3871.29</v>
      </c>
      <c r="K675" s="11">
        <v>3871.29</v>
      </c>
      <c r="L675" s="11"/>
      <c r="M675" s="11">
        <v>3871.29</v>
      </c>
      <c r="N675" s="11"/>
      <c r="O675" s="11" t="s">
        <v>75</v>
      </c>
    </row>
    <row r="676" spans="1:15" s="13" customFormat="1" ht="19.5" customHeight="1" x14ac:dyDescent="0.25">
      <c r="A676" s="11" t="s">
        <v>1941</v>
      </c>
      <c r="B676" s="11" t="s">
        <v>1941</v>
      </c>
      <c r="C676" s="12">
        <v>46056</v>
      </c>
      <c r="D676" s="12">
        <v>46119</v>
      </c>
      <c r="E676" s="11" t="s">
        <v>6</v>
      </c>
      <c r="F676" s="11" t="s">
        <v>524</v>
      </c>
      <c r="G676" s="11" t="s">
        <v>1941</v>
      </c>
      <c r="H676" s="11"/>
      <c r="I676" s="11" t="s">
        <v>49</v>
      </c>
      <c r="J676" s="11">
        <v>3871.29</v>
      </c>
      <c r="K676" s="11">
        <v>3871.29</v>
      </c>
      <c r="L676" s="11"/>
      <c r="M676" s="11">
        <v>3871.29</v>
      </c>
      <c r="N676" s="11"/>
      <c r="O676" s="11" t="s">
        <v>75</v>
      </c>
    </row>
    <row r="677" spans="1:15" s="13" customFormat="1" ht="19.5" customHeight="1" x14ac:dyDescent="0.25">
      <c r="A677" s="11" t="s">
        <v>1941</v>
      </c>
      <c r="B677" s="11" t="s">
        <v>1941</v>
      </c>
      <c r="C677" s="12">
        <v>46056</v>
      </c>
      <c r="D677" s="12">
        <v>46128</v>
      </c>
      <c r="E677" s="11" t="s">
        <v>6</v>
      </c>
      <c r="F677" s="11" t="s">
        <v>524</v>
      </c>
      <c r="G677" s="11" t="s">
        <v>1941</v>
      </c>
      <c r="H677" s="11"/>
      <c r="I677" s="11" t="s">
        <v>49</v>
      </c>
      <c r="J677" s="11">
        <v>3871.29</v>
      </c>
      <c r="K677" s="11">
        <v>3871.29</v>
      </c>
      <c r="L677" s="11"/>
      <c r="M677" s="11">
        <v>3871.29</v>
      </c>
      <c r="N677" s="11"/>
      <c r="O677" s="11" t="s">
        <v>75</v>
      </c>
    </row>
    <row r="678" spans="1:15" s="13" customFormat="1" ht="19.5" customHeight="1" x14ac:dyDescent="0.25">
      <c r="A678" s="11" t="s">
        <v>1941</v>
      </c>
      <c r="B678" s="11" t="s">
        <v>1941</v>
      </c>
      <c r="C678" s="12">
        <v>46056</v>
      </c>
      <c r="D678" s="12">
        <v>46137</v>
      </c>
      <c r="E678" s="11" t="s">
        <v>6</v>
      </c>
      <c r="F678" s="11" t="s">
        <v>524</v>
      </c>
      <c r="G678" s="11" t="s">
        <v>1941</v>
      </c>
      <c r="H678" s="11"/>
      <c r="I678" s="11" t="s">
        <v>49</v>
      </c>
      <c r="J678" s="11">
        <v>3871.29</v>
      </c>
      <c r="K678" s="11">
        <v>3871.29</v>
      </c>
      <c r="L678" s="11"/>
      <c r="M678" s="11">
        <v>3871.29</v>
      </c>
      <c r="N678" s="11"/>
      <c r="O678" s="11" t="s">
        <v>75</v>
      </c>
    </row>
    <row r="679" spans="1:15" s="13" customFormat="1" ht="19.5" customHeight="1" x14ac:dyDescent="0.25">
      <c r="A679" s="11" t="s">
        <v>1941</v>
      </c>
      <c r="B679" s="11" t="s">
        <v>1941</v>
      </c>
      <c r="C679" s="12">
        <v>46056</v>
      </c>
      <c r="D679" s="12">
        <v>46146</v>
      </c>
      <c r="E679" s="11" t="s">
        <v>6</v>
      </c>
      <c r="F679" s="11" t="s">
        <v>524</v>
      </c>
      <c r="G679" s="11" t="s">
        <v>1941</v>
      </c>
      <c r="H679" s="11"/>
      <c r="I679" s="11" t="s">
        <v>49</v>
      </c>
      <c r="J679" s="11">
        <v>3866.62</v>
      </c>
      <c r="K679" s="11">
        <v>3866.62</v>
      </c>
      <c r="L679" s="11"/>
      <c r="M679" s="11">
        <v>3866.62</v>
      </c>
      <c r="N679" s="11"/>
      <c r="O679" s="11" t="s">
        <v>75</v>
      </c>
    </row>
    <row r="680" spans="1:15" s="13" customFormat="1" ht="19.5" customHeight="1" x14ac:dyDescent="0.25">
      <c r="A680" s="11" t="s">
        <v>1942</v>
      </c>
      <c r="B680" s="11" t="s">
        <v>1942</v>
      </c>
      <c r="C680" s="12">
        <v>46056</v>
      </c>
      <c r="D680" s="12">
        <v>46101</v>
      </c>
      <c r="E680" s="11" t="s">
        <v>6</v>
      </c>
      <c r="F680" s="11" t="s">
        <v>1826</v>
      </c>
      <c r="G680" s="11" t="s">
        <v>1942</v>
      </c>
      <c r="H680" s="11"/>
      <c r="I680" s="11" t="s">
        <v>49</v>
      </c>
      <c r="J680" s="11">
        <v>8621.27</v>
      </c>
      <c r="K680" s="11">
        <v>8621.27</v>
      </c>
      <c r="L680" s="11"/>
      <c r="M680" s="11">
        <v>8621.27</v>
      </c>
      <c r="N680" s="11"/>
      <c r="O680" s="11" t="s">
        <v>75</v>
      </c>
    </row>
    <row r="681" spans="1:15" s="13" customFormat="1" ht="19.5" customHeight="1" x14ac:dyDescent="0.25">
      <c r="A681" s="11" t="s">
        <v>1942</v>
      </c>
      <c r="B681" s="11" t="s">
        <v>1942</v>
      </c>
      <c r="C681" s="12">
        <v>46056</v>
      </c>
      <c r="D681" s="12">
        <v>46109</v>
      </c>
      <c r="E681" s="11" t="s">
        <v>6</v>
      </c>
      <c r="F681" s="11" t="s">
        <v>1826</v>
      </c>
      <c r="G681" s="11" t="s">
        <v>1942</v>
      </c>
      <c r="H681" s="11"/>
      <c r="I681" s="11" t="s">
        <v>49</v>
      </c>
      <c r="J681" s="11">
        <v>8621.27</v>
      </c>
      <c r="K681" s="11">
        <v>8621.27</v>
      </c>
      <c r="L681" s="11"/>
      <c r="M681" s="11">
        <v>8621.27</v>
      </c>
      <c r="N681" s="11"/>
      <c r="O681" s="11" t="s">
        <v>75</v>
      </c>
    </row>
    <row r="682" spans="1:15" s="13" customFormat="1" ht="19.5" customHeight="1" x14ac:dyDescent="0.25">
      <c r="A682" s="11" t="s">
        <v>1942</v>
      </c>
      <c r="B682" s="11" t="s">
        <v>1942</v>
      </c>
      <c r="C682" s="12">
        <v>46056</v>
      </c>
      <c r="D682" s="12">
        <v>46117</v>
      </c>
      <c r="E682" s="11" t="s">
        <v>6</v>
      </c>
      <c r="F682" s="11" t="s">
        <v>1826</v>
      </c>
      <c r="G682" s="11" t="s">
        <v>1942</v>
      </c>
      <c r="H682" s="11"/>
      <c r="I682" s="11" t="s">
        <v>49</v>
      </c>
      <c r="J682" s="11">
        <v>8621.27</v>
      </c>
      <c r="K682" s="11">
        <v>8621.27</v>
      </c>
      <c r="L682" s="11"/>
      <c r="M682" s="11">
        <v>8621.27</v>
      </c>
      <c r="N682" s="11"/>
      <c r="O682" s="11" t="s">
        <v>75</v>
      </c>
    </row>
    <row r="683" spans="1:15" s="13" customFormat="1" ht="19.5" customHeight="1" x14ac:dyDescent="0.25">
      <c r="A683" s="11" t="s">
        <v>1942</v>
      </c>
      <c r="B683" s="11" t="s">
        <v>1942</v>
      </c>
      <c r="C683" s="12">
        <v>46056</v>
      </c>
      <c r="D683" s="12">
        <v>46125</v>
      </c>
      <c r="E683" s="11" t="s">
        <v>6</v>
      </c>
      <c r="F683" s="11" t="s">
        <v>1826</v>
      </c>
      <c r="G683" s="11" t="s">
        <v>1942</v>
      </c>
      <c r="H683" s="11"/>
      <c r="I683" s="11" t="s">
        <v>49</v>
      </c>
      <c r="J683" s="11">
        <v>8621.27</v>
      </c>
      <c r="K683" s="11">
        <v>8621.27</v>
      </c>
      <c r="L683" s="11"/>
      <c r="M683" s="11">
        <v>8621.27</v>
      </c>
      <c r="N683" s="11"/>
      <c r="O683" s="11" t="s">
        <v>75</v>
      </c>
    </row>
    <row r="684" spans="1:15" s="13" customFormat="1" ht="19.5" customHeight="1" x14ac:dyDescent="0.25">
      <c r="A684" s="11" t="s">
        <v>1942</v>
      </c>
      <c r="B684" s="11" t="s">
        <v>1942</v>
      </c>
      <c r="C684" s="12">
        <v>46056</v>
      </c>
      <c r="D684" s="12">
        <v>46133</v>
      </c>
      <c r="E684" s="11" t="s">
        <v>6</v>
      </c>
      <c r="F684" s="11" t="s">
        <v>1826</v>
      </c>
      <c r="G684" s="11" t="s">
        <v>1942</v>
      </c>
      <c r="H684" s="11"/>
      <c r="I684" s="11" t="s">
        <v>49</v>
      </c>
      <c r="J684" s="11">
        <v>8621.27</v>
      </c>
      <c r="K684" s="11">
        <v>8621.27</v>
      </c>
      <c r="L684" s="11"/>
      <c r="M684" s="11">
        <v>8621.27</v>
      </c>
      <c r="N684" s="11"/>
      <c r="O684" s="11" t="s">
        <v>75</v>
      </c>
    </row>
    <row r="685" spans="1:15" s="13" customFormat="1" ht="19.5" customHeight="1" x14ac:dyDescent="0.25">
      <c r="A685" s="11" t="s">
        <v>1942</v>
      </c>
      <c r="B685" s="11" t="s">
        <v>1942</v>
      </c>
      <c r="C685" s="12">
        <v>46056</v>
      </c>
      <c r="D685" s="12">
        <v>46141</v>
      </c>
      <c r="E685" s="11" t="s">
        <v>6</v>
      </c>
      <c r="F685" s="11" t="s">
        <v>1826</v>
      </c>
      <c r="G685" s="11" t="s">
        <v>1942</v>
      </c>
      <c r="H685" s="11"/>
      <c r="I685" s="11" t="s">
        <v>49</v>
      </c>
      <c r="J685" s="11">
        <v>8621.27</v>
      </c>
      <c r="K685" s="11">
        <v>8621.27</v>
      </c>
      <c r="L685" s="11"/>
      <c r="M685" s="11">
        <v>8621.27</v>
      </c>
      <c r="N685" s="11"/>
      <c r="O685" s="11" t="s">
        <v>75</v>
      </c>
    </row>
    <row r="686" spans="1:15" s="13" customFormat="1" ht="19.5" customHeight="1" x14ac:dyDescent="0.25">
      <c r="A686" s="11" t="s">
        <v>1942</v>
      </c>
      <c r="B686" s="11" t="s">
        <v>1942</v>
      </c>
      <c r="C686" s="12">
        <v>46056</v>
      </c>
      <c r="D686" s="12">
        <v>46149</v>
      </c>
      <c r="E686" s="11" t="s">
        <v>6</v>
      </c>
      <c r="F686" s="11" t="s">
        <v>1826</v>
      </c>
      <c r="G686" s="11" t="s">
        <v>1942</v>
      </c>
      <c r="H686" s="11"/>
      <c r="I686" s="11" t="s">
        <v>49</v>
      </c>
      <c r="J686" s="11">
        <v>8603.16</v>
      </c>
      <c r="K686" s="11">
        <v>8603.16</v>
      </c>
      <c r="L686" s="11"/>
      <c r="M686" s="11">
        <v>8603.16</v>
      </c>
      <c r="N686" s="11"/>
      <c r="O686" s="11" t="s">
        <v>75</v>
      </c>
    </row>
    <row r="687" spans="1:15" s="13" customFormat="1" ht="19.5" customHeight="1" x14ac:dyDescent="0.25">
      <c r="A687" s="11" t="s">
        <v>1943</v>
      </c>
      <c r="B687" s="11" t="s">
        <v>1943</v>
      </c>
      <c r="C687" s="12">
        <v>46056</v>
      </c>
      <c r="D687" s="12">
        <v>46056</v>
      </c>
      <c r="E687" s="11" t="s">
        <v>6</v>
      </c>
      <c r="F687" s="11" t="s">
        <v>532</v>
      </c>
      <c r="G687" s="11" t="s">
        <v>1943</v>
      </c>
      <c r="H687" s="11"/>
      <c r="I687" s="11" t="s">
        <v>49</v>
      </c>
      <c r="J687" s="11">
        <v>109.8</v>
      </c>
      <c r="K687" s="11">
        <v>109.8</v>
      </c>
      <c r="L687" s="11"/>
      <c r="M687" s="11">
        <v>109.8</v>
      </c>
      <c r="N687" s="11" t="s">
        <v>1944</v>
      </c>
      <c r="O687" s="11" t="s">
        <v>75</v>
      </c>
    </row>
    <row r="688" spans="1:15" s="13" customFormat="1" ht="19.5" customHeight="1" x14ac:dyDescent="0.25">
      <c r="A688" s="11" t="s">
        <v>1945</v>
      </c>
      <c r="B688" s="11" t="s">
        <v>1945</v>
      </c>
      <c r="C688" s="12">
        <v>46056</v>
      </c>
      <c r="D688" s="12">
        <v>46056</v>
      </c>
      <c r="E688" s="11" t="s">
        <v>6</v>
      </c>
      <c r="F688" s="11" t="s">
        <v>1946</v>
      </c>
      <c r="G688" s="11" t="s">
        <v>1945</v>
      </c>
      <c r="H688" s="11"/>
      <c r="I688" s="11" t="s">
        <v>49</v>
      </c>
      <c r="J688" s="11">
        <v>44.99</v>
      </c>
      <c r="K688" s="11">
        <v>44.99</v>
      </c>
      <c r="L688" s="11"/>
      <c r="M688" s="11">
        <v>44.99</v>
      </c>
      <c r="N688" s="11" t="s">
        <v>1947</v>
      </c>
      <c r="O688" s="11" t="s">
        <v>75</v>
      </c>
    </row>
    <row r="689" spans="1:15" s="13" customFormat="1" ht="19.5" customHeight="1" x14ac:dyDescent="0.25">
      <c r="A689" s="11" t="s">
        <v>1948</v>
      </c>
      <c r="B689" s="11" t="s">
        <v>1948</v>
      </c>
      <c r="C689" s="12">
        <v>46056</v>
      </c>
      <c r="D689" s="12">
        <v>46056</v>
      </c>
      <c r="E689" s="11" t="s">
        <v>6</v>
      </c>
      <c r="F689" s="11" t="s">
        <v>1949</v>
      </c>
      <c r="G689" s="11" t="s">
        <v>1948</v>
      </c>
      <c r="H689" s="11"/>
      <c r="I689" s="11" t="s">
        <v>49</v>
      </c>
      <c r="J689" s="11">
        <v>211.95</v>
      </c>
      <c r="K689" s="11">
        <v>211.95</v>
      </c>
      <c r="L689" s="11"/>
      <c r="M689" s="11">
        <v>211.95</v>
      </c>
      <c r="N689" s="11" t="s">
        <v>1950</v>
      </c>
      <c r="O689" s="11" t="s">
        <v>75</v>
      </c>
    </row>
    <row r="690" spans="1:15" s="13" customFormat="1" ht="19.5" customHeight="1" x14ac:dyDescent="0.25">
      <c r="A690" s="11" t="s">
        <v>1951</v>
      </c>
      <c r="B690" s="11" t="s">
        <v>1952</v>
      </c>
      <c r="C690" s="12">
        <v>46055</v>
      </c>
      <c r="D690" s="12">
        <v>46055</v>
      </c>
      <c r="E690" s="11" t="s">
        <v>6</v>
      </c>
      <c r="F690" s="11" t="s">
        <v>1405</v>
      </c>
      <c r="G690" s="11" t="s">
        <v>1953</v>
      </c>
      <c r="H690" s="11" t="s">
        <v>1954</v>
      </c>
      <c r="I690" s="11" t="s">
        <v>49</v>
      </c>
      <c r="J690" s="11">
        <v>-69270.67</v>
      </c>
      <c r="K690" s="11"/>
      <c r="L690" s="11">
        <v>69270.67</v>
      </c>
      <c r="M690" s="11">
        <v>-69270.67</v>
      </c>
      <c r="N690" s="11"/>
      <c r="O690" s="11" t="s">
        <v>75</v>
      </c>
    </row>
    <row r="691" spans="1:15" s="13" customFormat="1" ht="19.5" customHeight="1" x14ac:dyDescent="0.25">
      <c r="A691" s="11" t="s">
        <v>1955</v>
      </c>
      <c r="B691" s="11" t="s">
        <v>1955</v>
      </c>
      <c r="C691" s="12">
        <v>46055</v>
      </c>
      <c r="D691" s="12">
        <v>46100</v>
      </c>
      <c r="E691" s="11" t="s">
        <v>6</v>
      </c>
      <c r="F691" s="11" t="s">
        <v>101</v>
      </c>
      <c r="G691" s="11" t="s">
        <v>1955</v>
      </c>
      <c r="H691" s="11"/>
      <c r="I691" s="11" t="s">
        <v>49</v>
      </c>
      <c r="J691" s="11">
        <v>16162.31</v>
      </c>
      <c r="K691" s="11">
        <v>16162.31</v>
      </c>
      <c r="L691" s="11"/>
      <c r="M691" s="11">
        <v>16162.31</v>
      </c>
      <c r="N691" s="11"/>
      <c r="O691" s="11" t="s">
        <v>75</v>
      </c>
    </row>
    <row r="692" spans="1:15" s="13" customFormat="1" ht="19.5" customHeight="1" x14ac:dyDescent="0.25">
      <c r="A692" s="11" t="s">
        <v>1955</v>
      </c>
      <c r="B692" s="11" t="s">
        <v>1955</v>
      </c>
      <c r="C692" s="12">
        <v>46055</v>
      </c>
      <c r="D692" s="12">
        <v>46110</v>
      </c>
      <c r="E692" s="11" t="s">
        <v>6</v>
      </c>
      <c r="F692" s="11" t="s">
        <v>101</v>
      </c>
      <c r="G692" s="11" t="s">
        <v>1955</v>
      </c>
      <c r="H692" s="11"/>
      <c r="I692" s="11" t="s">
        <v>49</v>
      </c>
      <c r="J692" s="11">
        <v>16162.31</v>
      </c>
      <c r="K692" s="11">
        <v>16162.31</v>
      </c>
      <c r="L692" s="11"/>
      <c r="M692" s="11">
        <v>16162.31</v>
      </c>
      <c r="N692" s="11"/>
      <c r="O692" s="11" t="s">
        <v>75</v>
      </c>
    </row>
    <row r="693" spans="1:15" s="13" customFormat="1" ht="19.5" customHeight="1" x14ac:dyDescent="0.25">
      <c r="A693" s="11" t="s">
        <v>1955</v>
      </c>
      <c r="B693" s="11" t="s">
        <v>1955</v>
      </c>
      <c r="C693" s="12">
        <v>46055</v>
      </c>
      <c r="D693" s="12">
        <v>46120</v>
      </c>
      <c r="E693" s="11" t="s">
        <v>6</v>
      </c>
      <c r="F693" s="11" t="s">
        <v>101</v>
      </c>
      <c r="G693" s="11" t="s">
        <v>1955</v>
      </c>
      <c r="H693" s="11"/>
      <c r="I693" s="11" t="s">
        <v>49</v>
      </c>
      <c r="J693" s="11">
        <v>16162.31</v>
      </c>
      <c r="K693" s="11">
        <v>16162.31</v>
      </c>
      <c r="L693" s="11"/>
      <c r="M693" s="11">
        <v>16162.31</v>
      </c>
      <c r="N693" s="11"/>
      <c r="O693" s="11" t="s">
        <v>75</v>
      </c>
    </row>
    <row r="694" spans="1:15" s="13" customFormat="1" ht="19.5" customHeight="1" x14ac:dyDescent="0.25">
      <c r="A694" s="11" t="s">
        <v>1955</v>
      </c>
      <c r="B694" s="11" t="s">
        <v>1955</v>
      </c>
      <c r="C694" s="12">
        <v>46055</v>
      </c>
      <c r="D694" s="12">
        <v>46130</v>
      </c>
      <c r="E694" s="11" t="s">
        <v>6</v>
      </c>
      <c r="F694" s="11" t="s">
        <v>101</v>
      </c>
      <c r="G694" s="11" t="s">
        <v>1955</v>
      </c>
      <c r="H694" s="11"/>
      <c r="I694" s="11" t="s">
        <v>49</v>
      </c>
      <c r="J694" s="11">
        <v>16162.31</v>
      </c>
      <c r="K694" s="11">
        <v>16162.31</v>
      </c>
      <c r="L694" s="11"/>
      <c r="M694" s="11">
        <v>16162.31</v>
      </c>
      <c r="N694" s="11"/>
      <c r="O694" s="11" t="s">
        <v>75</v>
      </c>
    </row>
    <row r="695" spans="1:15" s="13" customFormat="1" ht="19.5" customHeight="1" x14ac:dyDescent="0.25">
      <c r="A695" s="11" t="s">
        <v>1955</v>
      </c>
      <c r="B695" s="11" t="s">
        <v>1955</v>
      </c>
      <c r="C695" s="12">
        <v>46055</v>
      </c>
      <c r="D695" s="12">
        <v>46140</v>
      </c>
      <c r="E695" s="11" t="s">
        <v>6</v>
      </c>
      <c r="F695" s="11" t="s">
        <v>101</v>
      </c>
      <c r="G695" s="11" t="s">
        <v>1955</v>
      </c>
      <c r="H695" s="11"/>
      <c r="I695" s="11" t="s">
        <v>49</v>
      </c>
      <c r="J695" s="11">
        <v>16162.31</v>
      </c>
      <c r="K695" s="11">
        <v>16162.31</v>
      </c>
      <c r="L695" s="11"/>
      <c r="M695" s="11">
        <v>16162.31</v>
      </c>
      <c r="N695" s="11"/>
      <c r="O695" s="11" t="s">
        <v>75</v>
      </c>
    </row>
    <row r="696" spans="1:15" s="13" customFormat="1" ht="19.5" customHeight="1" x14ac:dyDescent="0.25">
      <c r="A696" s="11" t="s">
        <v>1955</v>
      </c>
      <c r="B696" s="11" t="s">
        <v>1955</v>
      </c>
      <c r="C696" s="12">
        <v>46055</v>
      </c>
      <c r="D696" s="12">
        <v>46150</v>
      </c>
      <c r="E696" s="11" t="s">
        <v>6</v>
      </c>
      <c r="F696" s="11" t="s">
        <v>101</v>
      </c>
      <c r="G696" s="11" t="s">
        <v>1955</v>
      </c>
      <c r="H696" s="11"/>
      <c r="I696" s="11" t="s">
        <v>49</v>
      </c>
      <c r="J696" s="11">
        <v>16162.31</v>
      </c>
      <c r="K696" s="11">
        <v>16162.31</v>
      </c>
      <c r="L696" s="11"/>
      <c r="M696" s="11">
        <v>16162.31</v>
      </c>
      <c r="N696" s="11"/>
      <c r="O696" s="11" t="s">
        <v>75</v>
      </c>
    </row>
    <row r="697" spans="1:15" s="13" customFormat="1" ht="19.5" customHeight="1" x14ac:dyDescent="0.25">
      <c r="A697" s="11" t="s">
        <v>1955</v>
      </c>
      <c r="B697" s="11" t="s">
        <v>1955</v>
      </c>
      <c r="C697" s="12">
        <v>46055</v>
      </c>
      <c r="D697" s="12">
        <v>46160</v>
      </c>
      <c r="E697" s="11" t="s">
        <v>6</v>
      </c>
      <c r="F697" s="11" t="s">
        <v>101</v>
      </c>
      <c r="G697" s="11" t="s">
        <v>1955</v>
      </c>
      <c r="H697" s="11"/>
      <c r="I697" s="11" t="s">
        <v>49</v>
      </c>
      <c r="J697" s="11">
        <v>16162.31</v>
      </c>
      <c r="K697" s="11">
        <v>16162.31</v>
      </c>
      <c r="L697" s="11"/>
      <c r="M697" s="11">
        <v>16162.31</v>
      </c>
      <c r="N697" s="11"/>
      <c r="O697" s="11" t="s">
        <v>75</v>
      </c>
    </row>
    <row r="698" spans="1:15" s="13" customFormat="1" ht="19.5" customHeight="1" x14ac:dyDescent="0.25">
      <c r="A698" s="11" t="s">
        <v>1955</v>
      </c>
      <c r="B698" s="11" t="s">
        <v>1955</v>
      </c>
      <c r="C698" s="12">
        <v>46055</v>
      </c>
      <c r="D698" s="12">
        <v>46170</v>
      </c>
      <c r="E698" s="11" t="s">
        <v>6</v>
      </c>
      <c r="F698" s="11" t="s">
        <v>101</v>
      </c>
      <c r="G698" s="11" t="s">
        <v>1955</v>
      </c>
      <c r="H698" s="11"/>
      <c r="I698" s="11" t="s">
        <v>49</v>
      </c>
      <c r="J698" s="11">
        <v>16162.31</v>
      </c>
      <c r="K698" s="11">
        <v>16162.31</v>
      </c>
      <c r="L698" s="11"/>
      <c r="M698" s="11">
        <v>16162.31</v>
      </c>
      <c r="N698" s="11"/>
      <c r="O698" s="11" t="s">
        <v>75</v>
      </c>
    </row>
    <row r="699" spans="1:15" s="13" customFormat="1" ht="19.5" customHeight="1" x14ac:dyDescent="0.25">
      <c r="A699" s="11" t="s">
        <v>1955</v>
      </c>
      <c r="B699" s="11" t="s">
        <v>1955</v>
      </c>
      <c r="C699" s="12">
        <v>46055</v>
      </c>
      <c r="D699" s="12">
        <v>46180</v>
      </c>
      <c r="E699" s="11" t="s">
        <v>6</v>
      </c>
      <c r="F699" s="11" t="s">
        <v>101</v>
      </c>
      <c r="G699" s="11" t="s">
        <v>1955</v>
      </c>
      <c r="H699" s="11"/>
      <c r="I699" s="11" t="s">
        <v>49</v>
      </c>
      <c r="J699" s="11">
        <v>16176.84</v>
      </c>
      <c r="K699" s="11">
        <v>16176.84</v>
      </c>
      <c r="L699" s="11"/>
      <c r="M699" s="11">
        <v>16176.84</v>
      </c>
      <c r="N699" s="11"/>
      <c r="O699" s="11" t="s">
        <v>75</v>
      </c>
    </row>
    <row r="700" spans="1:15" s="13" customFormat="1" ht="19.5" customHeight="1" x14ac:dyDescent="0.25">
      <c r="A700" s="11" t="s">
        <v>1956</v>
      </c>
      <c r="B700" s="11" t="s">
        <v>1956</v>
      </c>
      <c r="C700" s="12">
        <v>46055</v>
      </c>
      <c r="D700" s="12">
        <v>46055</v>
      </c>
      <c r="E700" s="11" t="s">
        <v>6</v>
      </c>
      <c r="F700" s="11" t="s">
        <v>1957</v>
      </c>
      <c r="G700" s="11" t="s">
        <v>1956</v>
      </c>
      <c r="H700" s="11"/>
      <c r="I700" s="11" t="s">
        <v>49</v>
      </c>
      <c r="J700" s="11">
        <v>61.21</v>
      </c>
      <c r="K700" s="11">
        <v>61.21</v>
      </c>
      <c r="L700" s="11"/>
      <c r="M700" s="11">
        <v>61.21</v>
      </c>
      <c r="N700" s="11" t="s">
        <v>1958</v>
      </c>
      <c r="O700" s="11" t="s">
        <v>75</v>
      </c>
    </row>
    <row r="701" spans="1:15" s="13" customFormat="1" ht="19.5" customHeight="1" x14ac:dyDescent="0.25">
      <c r="A701" s="11" t="s">
        <v>1959</v>
      </c>
      <c r="B701" s="11" t="s">
        <v>1959</v>
      </c>
      <c r="C701" s="12">
        <v>46055</v>
      </c>
      <c r="D701" s="12">
        <v>46055</v>
      </c>
      <c r="E701" s="11" t="s">
        <v>6</v>
      </c>
      <c r="F701" s="11" t="s">
        <v>1960</v>
      </c>
      <c r="G701" s="11" t="s">
        <v>1959</v>
      </c>
      <c r="H701" s="11"/>
      <c r="I701" s="11" t="s">
        <v>49</v>
      </c>
      <c r="J701" s="11">
        <v>51.75</v>
      </c>
      <c r="K701" s="11">
        <v>51.75</v>
      </c>
      <c r="L701" s="11"/>
      <c r="M701" s="11">
        <v>51.75</v>
      </c>
      <c r="N701" s="11"/>
      <c r="O701" s="11" t="s">
        <v>75</v>
      </c>
    </row>
    <row r="702" spans="1:15" s="13" customFormat="1" ht="19.5" customHeight="1" x14ac:dyDescent="0.25">
      <c r="A702" s="11" t="s">
        <v>1961</v>
      </c>
      <c r="B702" s="11" t="s">
        <v>1961</v>
      </c>
      <c r="C702" s="12">
        <v>46055</v>
      </c>
      <c r="D702" s="12">
        <v>46055</v>
      </c>
      <c r="E702" s="11" t="s">
        <v>6</v>
      </c>
      <c r="F702" s="11" t="s">
        <v>1962</v>
      </c>
      <c r="G702" s="11" t="s">
        <v>1961</v>
      </c>
      <c r="H702" s="11"/>
      <c r="I702" s="11" t="s">
        <v>49</v>
      </c>
      <c r="J702" s="11">
        <v>104.12</v>
      </c>
      <c r="K702" s="11">
        <v>104.12</v>
      </c>
      <c r="L702" s="11"/>
      <c r="M702" s="11">
        <v>104.12</v>
      </c>
      <c r="N702" s="11"/>
      <c r="O702" s="11" t="s">
        <v>75</v>
      </c>
    </row>
    <row r="703" spans="1:15" s="13" customFormat="1" ht="19.5" customHeight="1" x14ac:dyDescent="0.25">
      <c r="A703" s="11" t="s">
        <v>1963</v>
      </c>
      <c r="B703" s="11" t="s">
        <v>1963</v>
      </c>
      <c r="C703" s="12">
        <v>46055</v>
      </c>
      <c r="D703" s="12">
        <v>46055</v>
      </c>
      <c r="E703" s="11" t="s">
        <v>6</v>
      </c>
      <c r="F703" s="11" t="s">
        <v>1964</v>
      </c>
      <c r="G703" s="11" t="s">
        <v>1963</v>
      </c>
      <c r="H703" s="11"/>
      <c r="I703" s="11" t="s">
        <v>49</v>
      </c>
      <c r="J703" s="11">
        <v>76.75</v>
      </c>
      <c r="K703" s="11">
        <v>76.75</v>
      </c>
      <c r="L703" s="11"/>
      <c r="M703" s="11">
        <v>76.75</v>
      </c>
      <c r="N703" s="11"/>
      <c r="O703" s="11" t="s">
        <v>75</v>
      </c>
    </row>
    <row r="704" spans="1:15" s="13" customFormat="1" ht="19.5" customHeight="1" x14ac:dyDescent="0.25">
      <c r="A704" s="11" t="s">
        <v>1965</v>
      </c>
      <c r="B704" s="11" t="s">
        <v>1965</v>
      </c>
      <c r="C704" s="12">
        <v>46052</v>
      </c>
      <c r="D704" s="12">
        <v>46097</v>
      </c>
      <c r="E704" s="11" t="s">
        <v>6</v>
      </c>
      <c r="F704" s="11" t="s">
        <v>275</v>
      </c>
      <c r="G704" s="11" t="s">
        <v>1965</v>
      </c>
      <c r="H704" s="11"/>
      <c r="I704" s="11" t="s">
        <v>49</v>
      </c>
      <c r="J704" s="11">
        <v>6000.64</v>
      </c>
      <c r="K704" s="11">
        <v>6000.64</v>
      </c>
      <c r="L704" s="11"/>
      <c r="M704" s="11">
        <v>6000.64</v>
      </c>
      <c r="N704" s="11"/>
      <c r="O704" s="11" t="s">
        <v>50</v>
      </c>
    </row>
    <row r="705" spans="1:15" s="13" customFormat="1" ht="19.5" customHeight="1" x14ac:dyDescent="0.25">
      <c r="A705" s="11" t="s">
        <v>1965</v>
      </c>
      <c r="B705" s="11" t="s">
        <v>1965</v>
      </c>
      <c r="C705" s="12">
        <v>46052</v>
      </c>
      <c r="D705" s="12">
        <v>46106</v>
      </c>
      <c r="E705" s="11" t="s">
        <v>6</v>
      </c>
      <c r="F705" s="11" t="s">
        <v>275</v>
      </c>
      <c r="G705" s="11" t="s">
        <v>1965</v>
      </c>
      <c r="H705" s="11"/>
      <c r="I705" s="11" t="s">
        <v>49</v>
      </c>
      <c r="J705" s="11">
        <v>5989.86</v>
      </c>
      <c r="K705" s="11">
        <v>5989.86</v>
      </c>
      <c r="L705" s="11"/>
      <c r="M705" s="11">
        <v>5989.86</v>
      </c>
      <c r="N705" s="11"/>
      <c r="O705" s="11" t="s">
        <v>50</v>
      </c>
    </row>
    <row r="706" spans="1:15" s="13" customFormat="1" ht="19.5" customHeight="1" x14ac:dyDescent="0.25">
      <c r="A706" s="11" t="s">
        <v>1965</v>
      </c>
      <c r="B706" s="11" t="s">
        <v>1965</v>
      </c>
      <c r="C706" s="12">
        <v>46052</v>
      </c>
      <c r="D706" s="12">
        <v>46115</v>
      </c>
      <c r="E706" s="11" t="s">
        <v>6</v>
      </c>
      <c r="F706" s="11" t="s">
        <v>275</v>
      </c>
      <c r="G706" s="11" t="s">
        <v>1965</v>
      </c>
      <c r="H706" s="11"/>
      <c r="I706" s="11" t="s">
        <v>49</v>
      </c>
      <c r="J706" s="11">
        <v>5989.86</v>
      </c>
      <c r="K706" s="11">
        <v>5989.86</v>
      </c>
      <c r="L706" s="11"/>
      <c r="M706" s="11">
        <v>5989.86</v>
      </c>
      <c r="N706" s="11"/>
      <c r="O706" s="11" t="s">
        <v>50</v>
      </c>
    </row>
    <row r="707" spans="1:15" s="13" customFormat="1" ht="19.5" customHeight="1" x14ac:dyDescent="0.25">
      <c r="A707" s="11" t="s">
        <v>1965</v>
      </c>
      <c r="B707" s="11" t="s">
        <v>1965</v>
      </c>
      <c r="C707" s="12">
        <v>46052</v>
      </c>
      <c r="D707" s="12">
        <v>46124</v>
      </c>
      <c r="E707" s="11" t="s">
        <v>6</v>
      </c>
      <c r="F707" s="11" t="s">
        <v>275</v>
      </c>
      <c r="G707" s="11" t="s">
        <v>1965</v>
      </c>
      <c r="H707" s="11"/>
      <c r="I707" s="11" t="s">
        <v>49</v>
      </c>
      <c r="J707" s="11">
        <v>5989.86</v>
      </c>
      <c r="K707" s="11">
        <v>5989.86</v>
      </c>
      <c r="L707" s="11"/>
      <c r="M707" s="11">
        <v>5989.86</v>
      </c>
      <c r="N707" s="11"/>
      <c r="O707" s="11" t="s">
        <v>50</v>
      </c>
    </row>
    <row r="708" spans="1:15" s="13" customFormat="1" ht="19.5" customHeight="1" x14ac:dyDescent="0.25">
      <c r="A708" s="11" t="s">
        <v>1965</v>
      </c>
      <c r="B708" s="11" t="s">
        <v>1965</v>
      </c>
      <c r="C708" s="12">
        <v>46052</v>
      </c>
      <c r="D708" s="12">
        <v>46133</v>
      </c>
      <c r="E708" s="11" t="s">
        <v>6</v>
      </c>
      <c r="F708" s="11" t="s">
        <v>275</v>
      </c>
      <c r="G708" s="11" t="s">
        <v>1965</v>
      </c>
      <c r="H708" s="11"/>
      <c r="I708" s="11" t="s">
        <v>49</v>
      </c>
      <c r="J708" s="11">
        <v>5989.86</v>
      </c>
      <c r="K708" s="11">
        <v>5989.86</v>
      </c>
      <c r="L708" s="11"/>
      <c r="M708" s="11">
        <v>5989.86</v>
      </c>
      <c r="N708" s="11"/>
      <c r="O708" s="11" t="s">
        <v>50</v>
      </c>
    </row>
    <row r="709" spans="1:15" s="13" customFormat="1" ht="19.5" customHeight="1" x14ac:dyDescent="0.25">
      <c r="A709" s="11" t="s">
        <v>1965</v>
      </c>
      <c r="B709" s="11" t="s">
        <v>1965</v>
      </c>
      <c r="C709" s="12">
        <v>46052</v>
      </c>
      <c r="D709" s="12">
        <v>46142</v>
      </c>
      <c r="E709" s="11" t="s">
        <v>6</v>
      </c>
      <c r="F709" s="11" t="s">
        <v>275</v>
      </c>
      <c r="G709" s="11" t="s">
        <v>1965</v>
      </c>
      <c r="H709" s="11"/>
      <c r="I709" s="11" t="s">
        <v>49</v>
      </c>
      <c r="J709" s="11">
        <v>5971.89</v>
      </c>
      <c r="K709" s="11">
        <v>5971.89</v>
      </c>
      <c r="L709" s="11"/>
      <c r="M709" s="11">
        <v>5971.89</v>
      </c>
      <c r="N709" s="11"/>
      <c r="O709" s="11" t="s">
        <v>50</v>
      </c>
    </row>
    <row r="710" spans="1:15" s="13" customFormat="1" ht="19.5" customHeight="1" x14ac:dyDescent="0.25">
      <c r="A710" s="11" t="s">
        <v>1966</v>
      </c>
      <c r="B710" s="11" t="s">
        <v>1966</v>
      </c>
      <c r="C710" s="12">
        <v>46052</v>
      </c>
      <c r="D710" s="12">
        <v>46097</v>
      </c>
      <c r="E710" s="11" t="s">
        <v>6</v>
      </c>
      <c r="F710" s="11" t="s">
        <v>1654</v>
      </c>
      <c r="G710" s="11" t="s">
        <v>1966</v>
      </c>
      <c r="H710" s="11"/>
      <c r="I710" s="11" t="s">
        <v>49</v>
      </c>
      <c r="J710" s="11">
        <v>8254.08</v>
      </c>
      <c r="K710" s="11">
        <v>8254.08</v>
      </c>
      <c r="L710" s="11"/>
      <c r="M710" s="11">
        <v>8254.08</v>
      </c>
      <c r="N710" s="11"/>
      <c r="O710" s="11" t="s">
        <v>50</v>
      </c>
    </row>
    <row r="711" spans="1:15" s="13" customFormat="1" ht="19.5" customHeight="1" x14ac:dyDescent="0.25">
      <c r="A711" s="11" t="s">
        <v>1966</v>
      </c>
      <c r="B711" s="11" t="s">
        <v>1966</v>
      </c>
      <c r="C711" s="12">
        <v>46052</v>
      </c>
      <c r="D711" s="12">
        <v>46104</v>
      </c>
      <c r="E711" s="11" t="s">
        <v>6</v>
      </c>
      <c r="F711" s="11" t="s">
        <v>1654</v>
      </c>
      <c r="G711" s="11" t="s">
        <v>1966</v>
      </c>
      <c r="H711" s="11"/>
      <c r="I711" s="11" t="s">
        <v>49</v>
      </c>
      <c r="J711" s="11">
        <v>8254.08</v>
      </c>
      <c r="K711" s="11">
        <v>8254.08</v>
      </c>
      <c r="L711" s="11"/>
      <c r="M711" s="11">
        <v>8254.08</v>
      </c>
      <c r="N711" s="11"/>
      <c r="O711" s="11" t="s">
        <v>50</v>
      </c>
    </row>
    <row r="712" spans="1:15" s="13" customFormat="1" ht="19.5" customHeight="1" x14ac:dyDescent="0.25">
      <c r="A712" s="11" t="s">
        <v>1966</v>
      </c>
      <c r="B712" s="11" t="s">
        <v>1966</v>
      </c>
      <c r="C712" s="12">
        <v>46052</v>
      </c>
      <c r="D712" s="12">
        <v>46111</v>
      </c>
      <c r="E712" s="11" t="s">
        <v>6</v>
      </c>
      <c r="F712" s="11" t="s">
        <v>1654</v>
      </c>
      <c r="G712" s="11" t="s">
        <v>1966</v>
      </c>
      <c r="H712" s="11"/>
      <c r="I712" s="11" t="s">
        <v>49</v>
      </c>
      <c r="J712" s="11">
        <v>8254.08</v>
      </c>
      <c r="K712" s="11">
        <v>8254.08</v>
      </c>
      <c r="L712" s="11"/>
      <c r="M712" s="11">
        <v>8254.08</v>
      </c>
      <c r="N712" s="11"/>
      <c r="O712" s="11" t="s">
        <v>50</v>
      </c>
    </row>
    <row r="713" spans="1:15" s="13" customFormat="1" ht="19.5" customHeight="1" x14ac:dyDescent="0.25">
      <c r="A713" s="11" t="s">
        <v>1966</v>
      </c>
      <c r="B713" s="11" t="s">
        <v>1966</v>
      </c>
      <c r="C713" s="12">
        <v>46052</v>
      </c>
      <c r="D713" s="12">
        <v>46118</v>
      </c>
      <c r="E713" s="11" t="s">
        <v>6</v>
      </c>
      <c r="F713" s="11" t="s">
        <v>1654</v>
      </c>
      <c r="G713" s="11" t="s">
        <v>1966</v>
      </c>
      <c r="H713" s="11"/>
      <c r="I713" s="11" t="s">
        <v>49</v>
      </c>
      <c r="J713" s="11">
        <v>8254.08</v>
      </c>
      <c r="K713" s="11">
        <v>8254.08</v>
      </c>
      <c r="L713" s="11"/>
      <c r="M713" s="11">
        <v>8254.08</v>
      </c>
      <c r="N713" s="11"/>
      <c r="O713" s="11" t="s">
        <v>50</v>
      </c>
    </row>
    <row r="714" spans="1:15" s="13" customFormat="1" ht="19.5" customHeight="1" x14ac:dyDescent="0.25">
      <c r="A714" s="11" t="s">
        <v>1966</v>
      </c>
      <c r="B714" s="11" t="s">
        <v>1966</v>
      </c>
      <c r="C714" s="12">
        <v>46052</v>
      </c>
      <c r="D714" s="12">
        <v>46125</v>
      </c>
      <c r="E714" s="11" t="s">
        <v>6</v>
      </c>
      <c r="F714" s="11" t="s">
        <v>1654</v>
      </c>
      <c r="G714" s="11" t="s">
        <v>1966</v>
      </c>
      <c r="H714" s="11"/>
      <c r="I714" s="11" t="s">
        <v>49</v>
      </c>
      <c r="J714" s="11">
        <v>8254.08</v>
      </c>
      <c r="K714" s="11">
        <v>8254.08</v>
      </c>
      <c r="L714" s="11"/>
      <c r="M714" s="11">
        <v>8254.08</v>
      </c>
      <c r="N714" s="11"/>
      <c r="O714" s="11" t="s">
        <v>50</v>
      </c>
    </row>
    <row r="715" spans="1:15" s="13" customFormat="1" ht="19.5" customHeight="1" x14ac:dyDescent="0.25">
      <c r="A715" s="11" t="s">
        <v>1966</v>
      </c>
      <c r="B715" s="11" t="s">
        <v>1966</v>
      </c>
      <c r="C715" s="12">
        <v>46052</v>
      </c>
      <c r="D715" s="12">
        <v>46132</v>
      </c>
      <c r="E715" s="11" t="s">
        <v>6</v>
      </c>
      <c r="F715" s="11" t="s">
        <v>1654</v>
      </c>
      <c r="G715" s="11" t="s">
        <v>1966</v>
      </c>
      <c r="H715" s="11"/>
      <c r="I715" s="11" t="s">
        <v>49</v>
      </c>
      <c r="J715" s="11">
        <v>8254.08</v>
      </c>
      <c r="K715" s="11">
        <v>8254.08</v>
      </c>
      <c r="L715" s="11"/>
      <c r="M715" s="11">
        <v>8254.08</v>
      </c>
      <c r="N715" s="11"/>
      <c r="O715" s="11" t="s">
        <v>50</v>
      </c>
    </row>
    <row r="716" spans="1:15" s="13" customFormat="1" ht="19.5" customHeight="1" x14ac:dyDescent="0.25">
      <c r="A716" s="11" t="s">
        <v>1966</v>
      </c>
      <c r="B716" s="11" t="s">
        <v>1966</v>
      </c>
      <c r="C716" s="12">
        <v>46052</v>
      </c>
      <c r="D716" s="12">
        <v>46142</v>
      </c>
      <c r="E716" s="11" t="s">
        <v>6</v>
      </c>
      <c r="F716" s="11" t="s">
        <v>1654</v>
      </c>
      <c r="G716" s="11" t="s">
        <v>1966</v>
      </c>
      <c r="H716" s="11"/>
      <c r="I716" s="11" t="s">
        <v>49</v>
      </c>
      <c r="J716" s="11">
        <v>8277.2099999999991</v>
      </c>
      <c r="K716" s="11">
        <v>8277.2099999999991</v>
      </c>
      <c r="L716" s="11"/>
      <c r="M716" s="11">
        <v>8277.2099999999991</v>
      </c>
      <c r="N716" s="11"/>
      <c r="O716" s="11" t="s">
        <v>50</v>
      </c>
    </row>
    <row r="717" spans="1:15" s="13" customFormat="1" ht="19.5" customHeight="1" x14ac:dyDescent="0.25">
      <c r="A717" s="11" t="s">
        <v>1967</v>
      </c>
      <c r="B717" s="11" t="s">
        <v>1967</v>
      </c>
      <c r="C717" s="12">
        <v>46052</v>
      </c>
      <c r="D717" s="12">
        <v>46052</v>
      </c>
      <c r="E717" s="11" t="s">
        <v>6</v>
      </c>
      <c r="F717" s="11" t="s">
        <v>74</v>
      </c>
      <c r="G717" s="11" t="s">
        <v>1967</v>
      </c>
      <c r="H717" s="11"/>
      <c r="I717" s="11" t="s">
        <v>49</v>
      </c>
      <c r="J717" s="11">
        <v>102.01</v>
      </c>
      <c r="K717" s="11">
        <v>102.01</v>
      </c>
      <c r="L717" s="11"/>
      <c r="M717" s="11">
        <v>102.01</v>
      </c>
      <c r="N717" s="11"/>
      <c r="O717" s="11" t="s">
        <v>75</v>
      </c>
    </row>
    <row r="718" spans="1:15" s="13" customFormat="1" ht="19.5" customHeight="1" x14ac:dyDescent="0.25">
      <c r="A718" s="11" t="s">
        <v>1968</v>
      </c>
      <c r="B718" s="11" t="s">
        <v>1969</v>
      </c>
      <c r="C718" s="12">
        <v>46051</v>
      </c>
      <c r="D718" s="12">
        <v>46051</v>
      </c>
      <c r="E718" s="11" t="s">
        <v>6</v>
      </c>
      <c r="F718" s="11" t="s">
        <v>834</v>
      </c>
      <c r="G718" s="11" t="s">
        <v>1970</v>
      </c>
      <c r="H718" s="11" t="s">
        <v>1971</v>
      </c>
      <c r="I718" s="11" t="s">
        <v>49</v>
      </c>
      <c r="J718" s="11">
        <v>-12038.82</v>
      </c>
      <c r="K718" s="11"/>
      <c r="L718" s="11">
        <v>12038.82</v>
      </c>
      <c r="M718" s="11">
        <v>-12038.82</v>
      </c>
      <c r="N718" s="11"/>
      <c r="O718" s="11" t="s">
        <v>75</v>
      </c>
    </row>
    <row r="719" spans="1:15" s="13" customFormat="1" ht="19.5" customHeight="1" x14ac:dyDescent="0.25">
      <c r="A719" s="11" t="s">
        <v>1972</v>
      </c>
      <c r="B719" s="11" t="s">
        <v>1973</v>
      </c>
      <c r="C719" s="12">
        <v>46051</v>
      </c>
      <c r="D719" s="12">
        <v>46051</v>
      </c>
      <c r="E719" s="11" t="s">
        <v>6</v>
      </c>
      <c r="F719" s="11" t="s">
        <v>834</v>
      </c>
      <c r="G719" s="11" t="s">
        <v>1974</v>
      </c>
      <c r="H719" s="11" t="s">
        <v>1975</v>
      </c>
      <c r="I719" s="11" t="s">
        <v>49</v>
      </c>
      <c r="J719" s="11">
        <v>-83588.19</v>
      </c>
      <c r="K719" s="11"/>
      <c r="L719" s="11">
        <v>83588.19</v>
      </c>
      <c r="M719" s="11">
        <v>-83588.19</v>
      </c>
      <c r="N719" s="11"/>
      <c r="O719" s="11" t="s">
        <v>75</v>
      </c>
    </row>
    <row r="720" spans="1:15" s="13" customFormat="1" ht="19.5" customHeight="1" x14ac:dyDescent="0.25">
      <c r="A720" s="11" t="s">
        <v>1976</v>
      </c>
      <c r="B720" s="11" t="s">
        <v>1977</v>
      </c>
      <c r="C720" s="12">
        <v>46051</v>
      </c>
      <c r="D720" s="12">
        <v>46051</v>
      </c>
      <c r="E720" s="11" t="s">
        <v>6</v>
      </c>
      <c r="F720" s="11" t="s">
        <v>834</v>
      </c>
      <c r="G720" s="11" t="s">
        <v>1978</v>
      </c>
      <c r="H720" s="11" t="s">
        <v>1979</v>
      </c>
      <c r="I720" s="11" t="s">
        <v>49</v>
      </c>
      <c r="J720" s="11">
        <v>-9627.4</v>
      </c>
      <c r="K720" s="11"/>
      <c r="L720" s="11">
        <v>9627.4</v>
      </c>
      <c r="M720" s="11">
        <v>-9627.4</v>
      </c>
      <c r="N720" s="11"/>
      <c r="O720" s="11" t="s">
        <v>75</v>
      </c>
    </row>
    <row r="721" spans="1:15" s="13" customFormat="1" ht="19.5" customHeight="1" x14ac:dyDescent="0.25">
      <c r="A721" s="11" t="s">
        <v>1980</v>
      </c>
      <c r="B721" s="11" t="s">
        <v>1980</v>
      </c>
      <c r="C721" s="12">
        <v>46051</v>
      </c>
      <c r="D721" s="12">
        <v>46096</v>
      </c>
      <c r="E721" s="11" t="s">
        <v>6</v>
      </c>
      <c r="F721" s="11" t="s">
        <v>101</v>
      </c>
      <c r="G721" s="11" t="s">
        <v>1980</v>
      </c>
      <c r="H721" s="11"/>
      <c r="I721" s="11" t="s">
        <v>49</v>
      </c>
      <c r="J721" s="11">
        <v>2623.85</v>
      </c>
      <c r="K721" s="11">
        <v>2623.85</v>
      </c>
      <c r="L721" s="11"/>
      <c r="M721" s="11">
        <v>2623.85</v>
      </c>
      <c r="N721" s="11"/>
      <c r="O721" s="11" t="s">
        <v>50</v>
      </c>
    </row>
    <row r="722" spans="1:15" s="13" customFormat="1" ht="19.5" customHeight="1" x14ac:dyDescent="0.25">
      <c r="A722" s="11" t="s">
        <v>1980</v>
      </c>
      <c r="B722" s="11" t="s">
        <v>1980</v>
      </c>
      <c r="C722" s="12">
        <v>46051</v>
      </c>
      <c r="D722" s="12">
        <v>46106</v>
      </c>
      <c r="E722" s="11" t="s">
        <v>6</v>
      </c>
      <c r="F722" s="11" t="s">
        <v>101</v>
      </c>
      <c r="G722" s="11" t="s">
        <v>1980</v>
      </c>
      <c r="H722" s="11"/>
      <c r="I722" s="11" t="s">
        <v>49</v>
      </c>
      <c r="J722" s="11">
        <v>2623.85</v>
      </c>
      <c r="K722" s="11">
        <v>2623.85</v>
      </c>
      <c r="L722" s="11"/>
      <c r="M722" s="11">
        <v>2623.85</v>
      </c>
      <c r="N722" s="11"/>
      <c r="O722" s="11" t="s">
        <v>50</v>
      </c>
    </row>
    <row r="723" spans="1:15" s="13" customFormat="1" ht="19.5" customHeight="1" x14ac:dyDescent="0.25">
      <c r="A723" s="11" t="s">
        <v>1980</v>
      </c>
      <c r="B723" s="11" t="s">
        <v>1980</v>
      </c>
      <c r="C723" s="12">
        <v>46051</v>
      </c>
      <c r="D723" s="12">
        <v>46116</v>
      </c>
      <c r="E723" s="11" t="s">
        <v>6</v>
      </c>
      <c r="F723" s="11" t="s">
        <v>101</v>
      </c>
      <c r="G723" s="11" t="s">
        <v>1980</v>
      </c>
      <c r="H723" s="11"/>
      <c r="I723" s="11" t="s">
        <v>49</v>
      </c>
      <c r="J723" s="11">
        <v>2623.85</v>
      </c>
      <c r="K723" s="11">
        <v>2623.85</v>
      </c>
      <c r="L723" s="11"/>
      <c r="M723" s="11">
        <v>2623.85</v>
      </c>
      <c r="N723" s="11"/>
      <c r="O723" s="11" t="s">
        <v>50</v>
      </c>
    </row>
    <row r="724" spans="1:15" s="13" customFormat="1" ht="19.5" customHeight="1" x14ac:dyDescent="0.25">
      <c r="A724" s="11" t="s">
        <v>1980</v>
      </c>
      <c r="B724" s="11" t="s">
        <v>1980</v>
      </c>
      <c r="C724" s="12">
        <v>46051</v>
      </c>
      <c r="D724" s="12">
        <v>46126</v>
      </c>
      <c r="E724" s="11" t="s">
        <v>6</v>
      </c>
      <c r="F724" s="11" t="s">
        <v>101</v>
      </c>
      <c r="G724" s="11" t="s">
        <v>1980</v>
      </c>
      <c r="H724" s="11"/>
      <c r="I724" s="11" t="s">
        <v>49</v>
      </c>
      <c r="J724" s="11">
        <v>2623.86</v>
      </c>
      <c r="K724" s="11">
        <v>2623.86</v>
      </c>
      <c r="L724" s="11"/>
      <c r="M724" s="11">
        <v>2623.86</v>
      </c>
      <c r="N724" s="11"/>
      <c r="O724" s="11" t="s">
        <v>50</v>
      </c>
    </row>
    <row r="725" spans="1:15" s="13" customFormat="1" ht="19.5" customHeight="1" x14ac:dyDescent="0.25">
      <c r="A725" s="11" t="s">
        <v>1981</v>
      </c>
      <c r="B725" s="11" t="s">
        <v>1981</v>
      </c>
      <c r="C725" s="12">
        <v>46051</v>
      </c>
      <c r="D725" s="12">
        <v>46096</v>
      </c>
      <c r="E725" s="11" t="s">
        <v>6</v>
      </c>
      <c r="F725" s="11" t="s">
        <v>64</v>
      </c>
      <c r="G725" s="11" t="s">
        <v>1981</v>
      </c>
      <c r="H725" s="11"/>
      <c r="I725" s="11" t="s">
        <v>49</v>
      </c>
      <c r="J725" s="11">
        <v>13092.01</v>
      </c>
      <c r="K725" s="11">
        <v>13092.01</v>
      </c>
      <c r="L725" s="11"/>
      <c r="M725" s="11">
        <v>13092.01</v>
      </c>
      <c r="N725" s="11"/>
      <c r="O725" s="11" t="s">
        <v>50</v>
      </c>
    </row>
    <row r="726" spans="1:15" s="13" customFormat="1" ht="19.5" customHeight="1" x14ac:dyDescent="0.25">
      <c r="A726" s="11" t="s">
        <v>1981</v>
      </c>
      <c r="B726" s="11" t="s">
        <v>1981</v>
      </c>
      <c r="C726" s="12">
        <v>46051</v>
      </c>
      <c r="D726" s="12">
        <v>46103</v>
      </c>
      <c r="E726" s="11" t="s">
        <v>6</v>
      </c>
      <c r="F726" s="11" t="s">
        <v>64</v>
      </c>
      <c r="G726" s="11" t="s">
        <v>1981</v>
      </c>
      <c r="H726" s="11"/>
      <c r="I726" s="11" t="s">
        <v>49</v>
      </c>
      <c r="J726" s="11">
        <v>13092.01</v>
      </c>
      <c r="K726" s="11">
        <v>13092.01</v>
      </c>
      <c r="L726" s="11"/>
      <c r="M726" s="11">
        <v>13092.01</v>
      </c>
      <c r="N726" s="11"/>
      <c r="O726" s="11" t="s">
        <v>50</v>
      </c>
    </row>
    <row r="727" spans="1:15" s="13" customFormat="1" ht="19.5" customHeight="1" x14ac:dyDescent="0.25">
      <c r="A727" s="11" t="s">
        <v>1981</v>
      </c>
      <c r="B727" s="11" t="s">
        <v>1981</v>
      </c>
      <c r="C727" s="12">
        <v>46051</v>
      </c>
      <c r="D727" s="12">
        <v>46110</v>
      </c>
      <c r="E727" s="11" t="s">
        <v>6</v>
      </c>
      <c r="F727" s="11" t="s">
        <v>64</v>
      </c>
      <c r="G727" s="11" t="s">
        <v>1981</v>
      </c>
      <c r="H727" s="11"/>
      <c r="I727" s="11" t="s">
        <v>49</v>
      </c>
      <c r="J727" s="11">
        <v>13092.01</v>
      </c>
      <c r="K727" s="11">
        <v>13092.01</v>
      </c>
      <c r="L727" s="11"/>
      <c r="M727" s="11">
        <v>13092.01</v>
      </c>
      <c r="N727" s="11"/>
      <c r="O727" s="11" t="s">
        <v>50</v>
      </c>
    </row>
    <row r="728" spans="1:15" s="13" customFormat="1" ht="19.5" customHeight="1" x14ac:dyDescent="0.25">
      <c r="A728" s="11" t="s">
        <v>1981</v>
      </c>
      <c r="B728" s="11" t="s">
        <v>1981</v>
      </c>
      <c r="C728" s="12">
        <v>46051</v>
      </c>
      <c r="D728" s="12">
        <v>46117</v>
      </c>
      <c r="E728" s="11" t="s">
        <v>6</v>
      </c>
      <c r="F728" s="11" t="s">
        <v>64</v>
      </c>
      <c r="G728" s="11" t="s">
        <v>1981</v>
      </c>
      <c r="H728" s="11"/>
      <c r="I728" s="11" t="s">
        <v>49</v>
      </c>
      <c r="J728" s="11">
        <v>13092.01</v>
      </c>
      <c r="K728" s="11">
        <v>13092.01</v>
      </c>
      <c r="L728" s="11"/>
      <c r="M728" s="11">
        <v>13092.01</v>
      </c>
      <c r="N728" s="11"/>
      <c r="O728" s="11" t="s">
        <v>50</v>
      </c>
    </row>
    <row r="729" spans="1:15" s="13" customFormat="1" ht="19.5" customHeight="1" x14ac:dyDescent="0.25">
      <c r="A729" s="11" t="s">
        <v>1981</v>
      </c>
      <c r="B729" s="11" t="s">
        <v>1981</v>
      </c>
      <c r="C729" s="12">
        <v>46051</v>
      </c>
      <c r="D729" s="12">
        <v>46124</v>
      </c>
      <c r="E729" s="11" t="s">
        <v>6</v>
      </c>
      <c r="F729" s="11" t="s">
        <v>64</v>
      </c>
      <c r="G729" s="11" t="s">
        <v>1981</v>
      </c>
      <c r="H729" s="11"/>
      <c r="I729" s="11" t="s">
        <v>49</v>
      </c>
      <c r="J729" s="11">
        <v>13092.01</v>
      </c>
      <c r="K729" s="11">
        <v>13092.01</v>
      </c>
      <c r="L729" s="11"/>
      <c r="M729" s="11">
        <v>13092.01</v>
      </c>
      <c r="N729" s="11"/>
      <c r="O729" s="11" t="s">
        <v>50</v>
      </c>
    </row>
    <row r="730" spans="1:15" s="13" customFormat="1" ht="19.5" customHeight="1" x14ac:dyDescent="0.25">
      <c r="A730" s="11" t="s">
        <v>1981</v>
      </c>
      <c r="B730" s="11" t="s">
        <v>1981</v>
      </c>
      <c r="C730" s="12">
        <v>46051</v>
      </c>
      <c r="D730" s="12">
        <v>46131</v>
      </c>
      <c r="E730" s="11" t="s">
        <v>6</v>
      </c>
      <c r="F730" s="11" t="s">
        <v>64</v>
      </c>
      <c r="G730" s="11" t="s">
        <v>1981</v>
      </c>
      <c r="H730" s="11"/>
      <c r="I730" s="11" t="s">
        <v>49</v>
      </c>
      <c r="J730" s="11">
        <v>13092.01</v>
      </c>
      <c r="K730" s="11">
        <v>13092.01</v>
      </c>
      <c r="L730" s="11"/>
      <c r="M730" s="11">
        <v>13092.01</v>
      </c>
      <c r="N730" s="11"/>
      <c r="O730" s="11" t="s">
        <v>50</v>
      </c>
    </row>
    <row r="731" spans="1:15" s="13" customFormat="1" ht="19.5" customHeight="1" x14ac:dyDescent="0.25">
      <c r="A731" s="11" t="s">
        <v>1981</v>
      </c>
      <c r="B731" s="11" t="s">
        <v>1981</v>
      </c>
      <c r="C731" s="12">
        <v>46051</v>
      </c>
      <c r="D731" s="12">
        <v>46141</v>
      </c>
      <c r="E731" s="11" t="s">
        <v>6</v>
      </c>
      <c r="F731" s="11" t="s">
        <v>64</v>
      </c>
      <c r="G731" s="11" t="s">
        <v>1981</v>
      </c>
      <c r="H731" s="11"/>
      <c r="I731" s="11" t="s">
        <v>49</v>
      </c>
      <c r="J731" s="11">
        <v>13128.71</v>
      </c>
      <c r="K731" s="11">
        <v>13128.71</v>
      </c>
      <c r="L731" s="11"/>
      <c r="M731" s="11">
        <v>13128.71</v>
      </c>
      <c r="N731" s="11"/>
      <c r="O731" s="11" t="s">
        <v>50</v>
      </c>
    </row>
    <row r="732" spans="1:15" s="13" customFormat="1" ht="19.5" customHeight="1" x14ac:dyDescent="0.25">
      <c r="A732" s="11" t="s">
        <v>1982</v>
      </c>
      <c r="B732" s="11" t="s">
        <v>1982</v>
      </c>
      <c r="C732" s="12">
        <v>46051</v>
      </c>
      <c r="D732" s="12">
        <v>46081</v>
      </c>
      <c r="E732" s="11" t="s">
        <v>6</v>
      </c>
      <c r="F732" s="11" t="s">
        <v>1983</v>
      </c>
      <c r="G732" s="11" t="s">
        <v>1982</v>
      </c>
      <c r="H732" s="11"/>
      <c r="I732" s="11" t="s">
        <v>49</v>
      </c>
      <c r="J732" s="11">
        <v>1089</v>
      </c>
      <c r="K732" s="11">
        <v>1089</v>
      </c>
      <c r="L732" s="11"/>
      <c r="M732" s="11">
        <v>1089</v>
      </c>
      <c r="N732" s="11" t="s">
        <v>1984</v>
      </c>
      <c r="O732" s="11" t="s">
        <v>50</v>
      </c>
    </row>
    <row r="733" spans="1:15" s="13" customFormat="1" ht="19.5" customHeight="1" x14ac:dyDescent="0.25">
      <c r="A733" s="11" t="s">
        <v>1985</v>
      </c>
      <c r="B733" s="11" t="s">
        <v>1985</v>
      </c>
      <c r="C733" s="12">
        <v>46051</v>
      </c>
      <c r="D733" s="12">
        <v>46051</v>
      </c>
      <c r="E733" s="11" t="s">
        <v>6</v>
      </c>
      <c r="F733" s="11" t="s">
        <v>670</v>
      </c>
      <c r="G733" s="11" t="s">
        <v>1985</v>
      </c>
      <c r="H733" s="11"/>
      <c r="I733" s="11" t="s">
        <v>49</v>
      </c>
      <c r="J733" s="11">
        <v>72.680000000000007</v>
      </c>
      <c r="K733" s="11">
        <v>72.680000000000007</v>
      </c>
      <c r="L733" s="11"/>
      <c r="M733" s="11">
        <v>72.680000000000007</v>
      </c>
      <c r="N733" s="11" t="s">
        <v>1986</v>
      </c>
      <c r="O733" s="11" t="s">
        <v>50</v>
      </c>
    </row>
    <row r="734" spans="1:15" s="13" customFormat="1" ht="19.5" customHeight="1" x14ac:dyDescent="0.25">
      <c r="A734" s="11" t="s">
        <v>1987</v>
      </c>
      <c r="B734" s="11" t="s">
        <v>1987</v>
      </c>
      <c r="C734" s="12">
        <v>46051</v>
      </c>
      <c r="D734" s="12">
        <v>46051</v>
      </c>
      <c r="E734" s="11" t="s">
        <v>6</v>
      </c>
      <c r="F734" s="11" t="s">
        <v>1507</v>
      </c>
      <c r="G734" s="11" t="s">
        <v>1987</v>
      </c>
      <c r="H734" s="11"/>
      <c r="I734" s="11" t="s">
        <v>49</v>
      </c>
      <c r="J734" s="11">
        <v>256.5</v>
      </c>
      <c r="K734" s="11">
        <v>256.5</v>
      </c>
      <c r="L734" s="11"/>
      <c r="M734" s="11">
        <v>256.5</v>
      </c>
      <c r="N734" s="11" t="s">
        <v>1988</v>
      </c>
      <c r="O734" s="11" t="s">
        <v>50</v>
      </c>
    </row>
    <row r="735" spans="1:15" s="13" customFormat="1" ht="19.5" customHeight="1" x14ac:dyDescent="0.25">
      <c r="A735" s="11" t="s">
        <v>1989</v>
      </c>
      <c r="B735" s="11" t="s">
        <v>1990</v>
      </c>
      <c r="C735" s="12">
        <v>46050</v>
      </c>
      <c r="D735" s="12">
        <v>46050</v>
      </c>
      <c r="E735" s="11" t="s">
        <v>6</v>
      </c>
      <c r="F735" s="11" t="s">
        <v>593</v>
      </c>
      <c r="G735" s="11" t="s">
        <v>1991</v>
      </c>
      <c r="H735" s="11" t="s">
        <v>1992</v>
      </c>
      <c r="I735" s="11" t="s">
        <v>49</v>
      </c>
      <c r="J735" s="11">
        <v>-15413.88</v>
      </c>
      <c r="K735" s="11"/>
      <c r="L735" s="11">
        <v>15413.88</v>
      </c>
      <c r="M735" s="11">
        <v>-15413.88</v>
      </c>
      <c r="N735" s="11"/>
      <c r="O735" s="11" t="s">
        <v>75</v>
      </c>
    </row>
    <row r="736" spans="1:15" s="13" customFormat="1" ht="19.5" customHeight="1" x14ac:dyDescent="0.25">
      <c r="A736" s="11" t="s">
        <v>1993</v>
      </c>
      <c r="B736" s="11" t="s">
        <v>1994</v>
      </c>
      <c r="C736" s="12">
        <v>46050</v>
      </c>
      <c r="D736" s="12">
        <v>46050</v>
      </c>
      <c r="E736" s="11" t="s">
        <v>6</v>
      </c>
      <c r="F736" s="11" t="s">
        <v>843</v>
      </c>
      <c r="G736" s="11" t="s">
        <v>1995</v>
      </c>
      <c r="H736" s="11" t="s">
        <v>1996</v>
      </c>
      <c r="I736" s="11" t="s">
        <v>49</v>
      </c>
      <c r="J736" s="11">
        <v>-107498.96</v>
      </c>
      <c r="K736" s="11"/>
      <c r="L736" s="11">
        <v>107498.96</v>
      </c>
      <c r="M736" s="11">
        <v>-107498.96</v>
      </c>
      <c r="N736" s="11"/>
      <c r="O736" s="11" t="s">
        <v>75</v>
      </c>
    </row>
    <row r="737" spans="1:15" s="13" customFormat="1" ht="19.5" customHeight="1" x14ac:dyDescent="0.25">
      <c r="A737" s="11" t="s">
        <v>1997</v>
      </c>
      <c r="B737" s="11" t="s">
        <v>1997</v>
      </c>
      <c r="C737" s="12">
        <v>46050</v>
      </c>
      <c r="D737" s="12">
        <v>46095</v>
      </c>
      <c r="E737" s="11" t="s">
        <v>6</v>
      </c>
      <c r="F737" s="11" t="s">
        <v>275</v>
      </c>
      <c r="G737" s="11" t="s">
        <v>1997</v>
      </c>
      <c r="H737" s="11"/>
      <c r="I737" s="11" t="s">
        <v>49</v>
      </c>
      <c r="J737" s="11">
        <v>2058.96</v>
      </c>
      <c r="K737" s="11">
        <v>2058.96</v>
      </c>
      <c r="L737" s="11"/>
      <c r="M737" s="11">
        <v>2058.96</v>
      </c>
      <c r="N737" s="11"/>
      <c r="O737" s="11" t="s">
        <v>50</v>
      </c>
    </row>
    <row r="738" spans="1:15" s="13" customFormat="1" ht="19.5" customHeight="1" x14ac:dyDescent="0.25">
      <c r="A738" s="11" t="s">
        <v>1997</v>
      </c>
      <c r="B738" s="11" t="s">
        <v>1997</v>
      </c>
      <c r="C738" s="12">
        <v>46050</v>
      </c>
      <c r="D738" s="12">
        <v>46102</v>
      </c>
      <c r="E738" s="11" t="s">
        <v>6</v>
      </c>
      <c r="F738" s="11" t="s">
        <v>275</v>
      </c>
      <c r="G738" s="11" t="s">
        <v>1997</v>
      </c>
      <c r="H738" s="11"/>
      <c r="I738" s="11" t="s">
        <v>49</v>
      </c>
      <c r="J738" s="11">
        <v>2058.96</v>
      </c>
      <c r="K738" s="11">
        <v>2058.96</v>
      </c>
      <c r="L738" s="11"/>
      <c r="M738" s="11">
        <v>2058.96</v>
      </c>
      <c r="N738" s="11"/>
      <c r="O738" s="11" t="s">
        <v>50</v>
      </c>
    </row>
    <row r="739" spans="1:15" s="13" customFormat="1" ht="19.5" customHeight="1" x14ac:dyDescent="0.25">
      <c r="A739" s="11" t="s">
        <v>1997</v>
      </c>
      <c r="B739" s="11" t="s">
        <v>1997</v>
      </c>
      <c r="C739" s="12">
        <v>46050</v>
      </c>
      <c r="D739" s="12">
        <v>46109</v>
      </c>
      <c r="E739" s="11" t="s">
        <v>6</v>
      </c>
      <c r="F739" s="11" t="s">
        <v>275</v>
      </c>
      <c r="G739" s="11" t="s">
        <v>1997</v>
      </c>
      <c r="H739" s="11"/>
      <c r="I739" s="11" t="s">
        <v>49</v>
      </c>
      <c r="J739" s="11">
        <v>2058.96</v>
      </c>
      <c r="K739" s="11">
        <v>2058.96</v>
      </c>
      <c r="L739" s="11"/>
      <c r="M739" s="11">
        <v>2058.96</v>
      </c>
      <c r="N739" s="11"/>
      <c r="O739" s="11" t="s">
        <v>50</v>
      </c>
    </row>
    <row r="740" spans="1:15" s="13" customFormat="1" ht="19.5" customHeight="1" x14ac:dyDescent="0.25">
      <c r="A740" s="11" t="s">
        <v>1997</v>
      </c>
      <c r="B740" s="11" t="s">
        <v>1997</v>
      </c>
      <c r="C740" s="12">
        <v>46050</v>
      </c>
      <c r="D740" s="12">
        <v>46116</v>
      </c>
      <c r="E740" s="11" t="s">
        <v>6</v>
      </c>
      <c r="F740" s="11" t="s">
        <v>275</v>
      </c>
      <c r="G740" s="11" t="s">
        <v>1997</v>
      </c>
      <c r="H740" s="11"/>
      <c r="I740" s="11" t="s">
        <v>49</v>
      </c>
      <c r="J740" s="11">
        <v>2058.96</v>
      </c>
      <c r="K740" s="11">
        <v>2058.96</v>
      </c>
      <c r="L740" s="11"/>
      <c r="M740" s="11">
        <v>2058.96</v>
      </c>
      <c r="N740" s="11"/>
      <c r="O740" s="11" t="s">
        <v>50</v>
      </c>
    </row>
    <row r="741" spans="1:15" s="13" customFormat="1" ht="19.5" customHeight="1" x14ac:dyDescent="0.25">
      <c r="A741" s="11" t="s">
        <v>1997</v>
      </c>
      <c r="B741" s="11" t="s">
        <v>1997</v>
      </c>
      <c r="C741" s="12">
        <v>46050</v>
      </c>
      <c r="D741" s="12">
        <v>46123</v>
      </c>
      <c r="E741" s="11" t="s">
        <v>6</v>
      </c>
      <c r="F741" s="11" t="s">
        <v>275</v>
      </c>
      <c r="G741" s="11" t="s">
        <v>1997</v>
      </c>
      <c r="H741" s="11"/>
      <c r="I741" s="11" t="s">
        <v>49</v>
      </c>
      <c r="J741" s="11">
        <v>2058.96</v>
      </c>
      <c r="K741" s="11">
        <v>2058.96</v>
      </c>
      <c r="L741" s="11"/>
      <c r="M741" s="11">
        <v>2058.96</v>
      </c>
      <c r="N741" s="11"/>
      <c r="O741" s="11" t="s">
        <v>50</v>
      </c>
    </row>
    <row r="742" spans="1:15" s="13" customFormat="1" ht="19.5" customHeight="1" x14ac:dyDescent="0.25">
      <c r="A742" s="11" t="s">
        <v>1997</v>
      </c>
      <c r="B742" s="11" t="s">
        <v>1997</v>
      </c>
      <c r="C742" s="12">
        <v>46050</v>
      </c>
      <c r="D742" s="12">
        <v>46140</v>
      </c>
      <c r="E742" s="11" t="s">
        <v>6</v>
      </c>
      <c r="F742" s="11" t="s">
        <v>275</v>
      </c>
      <c r="G742" s="11" t="s">
        <v>1997</v>
      </c>
      <c r="H742" s="11"/>
      <c r="I742" s="11" t="s">
        <v>49</v>
      </c>
      <c r="J742" s="11">
        <v>2063.92</v>
      </c>
      <c r="K742" s="11">
        <v>2063.92</v>
      </c>
      <c r="L742" s="11"/>
      <c r="M742" s="11">
        <v>2063.92</v>
      </c>
      <c r="N742" s="11"/>
      <c r="O742" s="11" t="s">
        <v>50</v>
      </c>
    </row>
    <row r="743" spans="1:15" s="13" customFormat="1" ht="19.5" customHeight="1" x14ac:dyDescent="0.25">
      <c r="A743" s="11" t="s">
        <v>1998</v>
      </c>
      <c r="B743" s="11" t="s">
        <v>1998</v>
      </c>
      <c r="C743" s="12">
        <v>46050</v>
      </c>
      <c r="D743" s="12">
        <v>46095</v>
      </c>
      <c r="E743" s="11" t="s">
        <v>6</v>
      </c>
      <c r="F743" s="11" t="s">
        <v>1920</v>
      </c>
      <c r="G743" s="11" t="s">
        <v>1998</v>
      </c>
      <c r="H743" s="11"/>
      <c r="I743" s="11" t="s">
        <v>49</v>
      </c>
      <c r="J743" s="11">
        <v>1986.3</v>
      </c>
      <c r="K743" s="11">
        <v>1986.3</v>
      </c>
      <c r="L743" s="11"/>
      <c r="M743" s="11">
        <v>1986.3</v>
      </c>
      <c r="N743" s="11"/>
      <c r="O743" s="11" t="s">
        <v>50</v>
      </c>
    </row>
    <row r="744" spans="1:15" s="13" customFormat="1" ht="19.5" customHeight="1" x14ac:dyDescent="0.25">
      <c r="A744" s="11" t="s">
        <v>1998</v>
      </c>
      <c r="B744" s="11" t="s">
        <v>1998</v>
      </c>
      <c r="C744" s="12">
        <v>46050</v>
      </c>
      <c r="D744" s="12">
        <v>46102</v>
      </c>
      <c r="E744" s="11" t="s">
        <v>6</v>
      </c>
      <c r="F744" s="11" t="s">
        <v>1920</v>
      </c>
      <c r="G744" s="11" t="s">
        <v>1998</v>
      </c>
      <c r="H744" s="11"/>
      <c r="I744" s="11" t="s">
        <v>49</v>
      </c>
      <c r="J744" s="11">
        <v>1986.3</v>
      </c>
      <c r="K744" s="11">
        <v>1986.3</v>
      </c>
      <c r="L744" s="11"/>
      <c r="M744" s="11">
        <v>1986.3</v>
      </c>
      <c r="N744" s="11"/>
      <c r="O744" s="11" t="s">
        <v>50</v>
      </c>
    </row>
    <row r="745" spans="1:15" s="13" customFormat="1" ht="19.5" customHeight="1" x14ac:dyDescent="0.25">
      <c r="A745" s="11" t="s">
        <v>1998</v>
      </c>
      <c r="B745" s="11" t="s">
        <v>1998</v>
      </c>
      <c r="C745" s="12">
        <v>46050</v>
      </c>
      <c r="D745" s="12">
        <v>46109</v>
      </c>
      <c r="E745" s="11" t="s">
        <v>6</v>
      </c>
      <c r="F745" s="11" t="s">
        <v>1920</v>
      </c>
      <c r="G745" s="11" t="s">
        <v>1998</v>
      </c>
      <c r="H745" s="11"/>
      <c r="I745" s="11" t="s">
        <v>49</v>
      </c>
      <c r="J745" s="11">
        <v>1986.3</v>
      </c>
      <c r="K745" s="11">
        <v>1986.3</v>
      </c>
      <c r="L745" s="11"/>
      <c r="M745" s="11">
        <v>1986.3</v>
      </c>
      <c r="N745" s="11"/>
      <c r="O745" s="11" t="s">
        <v>50</v>
      </c>
    </row>
    <row r="746" spans="1:15" s="13" customFormat="1" ht="19.5" customHeight="1" x14ac:dyDescent="0.25">
      <c r="A746" s="11" t="s">
        <v>1998</v>
      </c>
      <c r="B746" s="11" t="s">
        <v>1998</v>
      </c>
      <c r="C746" s="12">
        <v>46050</v>
      </c>
      <c r="D746" s="12">
        <v>46116</v>
      </c>
      <c r="E746" s="11" t="s">
        <v>6</v>
      </c>
      <c r="F746" s="11" t="s">
        <v>1920</v>
      </c>
      <c r="G746" s="11" t="s">
        <v>1998</v>
      </c>
      <c r="H746" s="11"/>
      <c r="I746" s="11" t="s">
        <v>49</v>
      </c>
      <c r="J746" s="11">
        <v>1986.3</v>
      </c>
      <c r="K746" s="11">
        <v>1986.3</v>
      </c>
      <c r="L746" s="11"/>
      <c r="M746" s="11">
        <v>1986.3</v>
      </c>
      <c r="N746" s="11"/>
      <c r="O746" s="11" t="s">
        <v>50</v>
      </c>
    </row>
    <row r="747" spans="1:15" s="13" customFormat="1" ht="19.5" customHeight="1" x14ac:dyDescent="0.25">
      <c r="A747" s="11" t="s">
        <v>1998</v>
      </c>
      <c r="B747" s="11" t="s">
        <v>1998</v>
      </c>
      <c r="C747" s="12">
        <v>46050</v>
      </c>
      <c r="D747" s="12">
        <v>46123</v>
      </c>
      <c r="E747" s="11" t="s">
        <v>6</v>
      </c>
      <c r="F747" s="11" t="s">
        <v>1920</v>
      </c>
      <c r="G747" s="11" t="s">
        <v>1998</v>
      </c>
      <c r="H747" s="11"/>
      <c r="I747" s="11" t="s">
        <v>49</v>
      </c>
      <c r="J747" s="11">
        <v>1986.3</v>
      </c>
      <c r="K747" s="11">
        <v>1986.3</v>
      </c>
      <c r="L747" s="11"/>
      <c r="M747" s="11">
        <v>1986.3</v>
      </c>
      <c r="N747" s="11"/>
      <c r="O747" s="11" t="s">
        <v>50</v>
      </c>
    </row>
    <row r="748" spans="1:15" s="13" customFormat="1" ht="19.5" customHeight="1" x14ac:dyDescent="0.25">
      <c r="A748" s="11" t="s">
        <v>1998</v>
      </c>
      <c r="B748" s="11" t="s">
        <v>1998</v>
      </c>
      <c r="C748" s="12">
        <v>46050</v>
      </c>
      <c r="D748" s="12">
        <v>46140</v>
      </c>
      <c r="E748" s="11" t="s">
        <v>6</v>
      </c>
      <c r="F748" s="11" t="s">
        <v>1920</v>
      </c>
      <c r="G748" s="11" t="s">
        <v>1998</v>
      </c>
      <c r="H748" s="11"/>
      <c r="I748" s="11" t="s">
        <v>49</v>
      </c>
      <c r="J748" s="11">
        <v>1991.05</v>
      </c>
      <c r="K748" s="11">
        <v>1991.05</v>
      </c>
      <c r="L748" s="11"/>
      <c r="M748" s="11">
        <v>1991.05</v>
      </c>
      <c r="N748" s="11"/>
      <c r="O748" s="11" t="s">
        <v>50</v>
      </c>
    </row>
    <row r="749" spans="1:15" s="13" customFormat="1" ht="19.5" customHeight="1" x14ac:dyDescent="0.25">
      <c r="A749" s="11" t="s">
        <v>1999</v>
      </c>
      <c r="B749" s="11" t="s">
        <v>1999</v>
      </c>
      <c r="C749" s="12">
        <v>46050</v>
      </c>
      <c r="D749" s="11"/>
      <c r="E749" s="11" t="s">
        <v>6</v>
      </c>
      <c r="F749" s="11" t="s">
        <v>275</v>
      </c>
      <c r="G749" s="11" t="s">
        <v>1997</v>
      </c>
      <c r="H749" s="11"/>
      <c r="I749" s="11" t="s">
        <v>49</v>
      </c>
      <c r="J749" s="11">
        <v>-200</v>
      </c>
      <c r="K749" s="11"/>
      <c r="L749" s="11">
        <v>200</v>
      </c>
      <c r="M749" s="11">
        <v>-200</v>
      </c>
      <c r="N749" s="11"/>
      <c r="O749" s="11" t="s">
        <v>2000</v>
      </c>
    </row>
    <row r="750" spans="1:15" s="13" customFormat="1" ht="19.5" customHeight="1" x14ac:dyDescent="0.25">
      <c r="A750" s="11" t="s">
        <v>2001</v>
      </c>
      <c r="B750" s="11" t="s">
        <v>2001</v>
      </c>
      <c r="C750" s="12">
        <v>46050</v>
      </c>
      <c r="D750" s="12">
        <v>46050</v>
      </c>
      <c r="E750" s="11" t="s">
        <v>6</v>
      </c>
      <c r="F750" s="11" t="s">
        <v>2002</v>
      </c>
      <c r="G750" s="11" t="s">
        <v>2001</v>
      </c>
      <c r="H750" s="11"/>
      <c r="I750" s="11" t="s">
        <v>49</v>
      </c>
      <c r="J750" s="11">
        <v>365.59</v>
      </c>
      <c r="K750" s="11">
        <v>365.59</v>
      </c>
      <c r="L750" s="11"/>
      <c r="M750" s="11">
        <v>365.59</v>
      </c>
      <c r="N750" s="11" t="s">
        <v>2003</v>
      </c>
      <c r="O750" s="11" t="s">
        <v>50</v>
      </c>
    </row>
    <row r="751" spans="1:15" s="13" customFormat="1" ht="19.5" customHeight="1" x14ac:dyDescent="0.25">
      <c r="A751" s="11" t="s">
        <v>2004</v>
      </c>
      <c r="B751" s="11" t="s">
        <v>2004</v>
      </c>
      <c r="C751" s="12">
        <v>46050</v>
      </c>
      <c r="D751" s="12">
        <v>46050</v>
      </c>
      <c r="E751" s="11" t="s">
        <v>6</v>
      </c>
      <c r="F751" s="11" t="s">
        <v>2005</v>
      </c>
      <c r="G751" s="11" t="s">
        <v>2004</v>
      </c>
      <c r="H751" s="11"/>
      <c r="I751" s="11" t="s">
        <v>49</v>
      </c>
      <c r="J751" s="11">
        <v>85.16</v>
      </c>
      <c r="K751" s="11">
        <v>85.16</v>
      </c>
      <c r="L751" s="11"/>
      <c r="M751" s="11">
        <v>85.16</v>
      </c>
      <c r="N751" s="11" t="s">
        <v>2006</v>
      </c>
      <c r="O751" s="11" t="s">
        <v>50</v>
      </c>
    </row>
    <row r="752" spans="1:15" s="13" customFormat="1" ht="19.5" customHeight="1" x14ac:dyDescent="0.25">
      <c r="A752" s="11" t="s">
        <v>2007</v>
      </c>
      <c r="B752" s="11" t="s">
        <v>2007</v>
      </c>
      <c r="C752" s="12">
        <v>46050</v>
      </c>
      <c r="D752" s="12">
        <v>46050</v>
      </c>
      <c r="E752" s="11" t="s">
        <v>6</v>
      </c>
      <c r="F752" s="11" t="s">
        <v>2008</v>
      </c>
      <c r="G752" s="11" t="s">
        <v>2007</v>
      </c>
      <c r="H752" s="11"/>
      <c r="I752" s="11" t="s">
        <v>49</v>
      </c>
      <c r="J752" s="11">
        <v>49.5</v>
      </c>
      <c r="K752" s="11">
        <v>49.5</v>
      </c>
      <c r="L752" s="11"/>
      <c r="M752" s="11">
        <v>49.5</v>
      </c>
      <c r="N752" s="11" t="s">
        <v>2009</v>
      </c>
      <c r="O752" s="11" t="s">
        <v>50</v>
      </c>
    </row>
    <row r="753" spans="1:15" s="13" customFormat="1" ht="19.5" customHeight="1" x14ac:dyDescent="0.25">
      <c r="A753" s="11" t="s">
        <v>2010</v>
      </c>
      <c r="B753" s="11" t="s">
        <v>2010</v>
      </c>
      <c r="C753" s="12">
        <v>46049</v>
      </c>
      <c r="D753" s="12">
        <v>46139</v>
      </c>
      <c r="E753" s="11" t="s">
        <v>6</v>
      </c>
      <c r="F753" s="11" t="s">
        <v>59</v>
      </c>
      <c r="G753" s="11" t="s">
        <v>2010</v>
      </c>
      <c r="H753" s="11"/>
      <c r="I753" s="11" t="s">
        <v>49</v>
      </c>
      <c r="J753" s="11">
        <v>6205.02</v>
      </c>
      <c r="K753" s="11">
        <v>6205.02</v>
      </c>
      <c r="L753" s="11"/>
      <c r="M753" s="11">
        <v>6205.02</v>
      </c>
      <c r="N753" s="11" t="s">
        <v>2011</v>
      </c>
      <c r="O753" s="11" t="s">
        <v>50</v>
      </c>
    </row>
    <row r="754" spans="1:15" s="13" customFormat="1" ht="19.5" customHeight="1" x14ac:dyDescent="0.25">
      <c r="A754" s="11" t="s">
        <v>2012</v>
      </c>
      <c r="B754" s="11" t="s">
        <v>2012</v>
      </c>
      <c r="C754" s="12">
        <v>46049</v>
      </c>
      <c r="D754" s="12">
        <v>46049</v>
      </c>
      <c r="E754" s="11" t="s">
        <v>6</v>
      </c>
      <c r="F754" s="11" t="s">
        <v>1542</v>
      </c>
      <c r="G754" s="11" t="s">
        <v>2012</v>
      </c>
      <c r="H754" s="11"/>
      <c r="I754" s="11" t="s">
        <v>49</v>
      </c>
      <c r="J754" s="11">
        <v>110.71</v>
      </c>
      <c r="K754" s="11">
        <v>110.71</v>
      </c>
      <c r="L754" s="11"/>
      <c r="M754" s="11">
        <v>110.71</v>
      </c>
      <c r="N754" s="11" t="s">
        <v>2013</v>
      </c>
      <c r="O754" s="11" t="s">
        <v>50</v>
      </c>
    </row>
    <row r="755" spans="1:15" s="13" customFormat="1" ht="19.5" customHeight="1" x14ac:dyDescent="0.25">
      <c r="A755" s="11" t="s">
        <v>2014</v>
      </c>
      <c r="B755" s="11" t="s">
        <v>2014</v>
      </c>
      <c r="C755" s="12">
        <v>46049</v>
      </c>
      <c r="D755" s="12">
        <v>46049</v>
      </c>
      <c r="E755" s="11" t="s">
        <v>6</v>
      </c>
      <c r="F755" s="11" t="s">
        <v>2015</v>
      </c>
      <c r="G755" s="11" t="s">
        <v>2014</v>
      </c>
      <c r="H755" s="11"/>
      <c r="I755" s="11" t="s">
        <v>49</v>
      </c>
      <c r="J755" s="11">
        <v>128.24</v>
      </c>
      <c r="K755" s="11">
        <v>128.24</v>
      </c>
      <c r="L755" s="11"/>
      <c r="M755" s="11">
        <v>128.24</v>
      </c>
      <c r="N755" s="11" t="s">
        <v>2016</v>
      </c>
      <c r="O755" s="11" t="s">
        <v>50</v>
      </c>
    </row>
    <row r="756" spans="1:15" s="13" customFormat="1" ht="19.5" customHeight="1" x14ac:dyDescent="0.25">
      <c r="A756" s="11" t="s">
        <v>2017</v>
      </c>
      <c r="B756" s="11" t="s">
        <v>2017</v>
      </c>
      <c r="C756" s="12">
        <v>46049</v>
      </c>
      <c r="D756" s="12">
        <v>46049</v>
      </c>
      <c r="E756" s="11" t="s">
        <v>6</v>
      </c>
      <c r="F756" s="11" t="s">
        <v>2018</v>
      </c>
      <c r="G756" s="11" t="s">
        <v>2017</v>
      </c>
      <c r="H756" s="11"/>
      <c r="I756" s="11" t="s">
        <v>49</v>
      </c>
      <c r="J756" s="11">
        <v>192.9</v>
      </c>
      <c r="K756" s="11">
        <v>192.9</v>
      </c>
      <c r="L756" s="11"/>
      <c r="M756" s="11">
        <v>192.9</v>
      </c>
      <c r="N756" s="11" t="s">
        <v>2019</v>
      </c>
      <c r="O756" s="11" t="s">
        <v>50</v>
      </c>
    </row>
    <row r="757" spans="1:15" s="13" customFormat="1" ht="19.5" customHeight="1" x14ac:dyDescent="0.25">
      <c r="A757" s="11" t="s">
        <v>2020</v>
      </c>
      <c r="B757" s="11" t="s">
        <v>2020</v>
      </c>
      <c r="C757" s="12">
        <v>46048</v>
      </c>
      <c r="D757" s="12">
        <v>46093</v>
      </c>
      <c r="E757" s="11" t="s">
        <v>6</v>
      </c>
      <c r="F757" s="11" t="s">
        <v>834</v>
      </c>
      <c r="G757" s="11" t="s">
        <v>2020</v>
      </c>
      <c r="H757" s="11"/>
      <c r="I757" s="11" t="s">
        <v>49</v>
      </c>
      <c r="J757" s="11">
        <v>2005.67</v>
      </c>
      <c r="K757" s="11">
        <v>2005.67</v>
      </c>
      <c r="L757" s="11"/>
      <c r="M757" s="11">
        <v>2005.67</v>
      </c>
      <c r="N757" s="11"/>
      <c r="O757" s="11" t="s">
        <v>50</v>
      </c>
    </row>
    <row r="758" spans="1:15" s="13" customFormat="1" ht="19.5" customHeight="1" x14ac:dyDescent="0.25">
      <c r="A758" s="11" t="s">
        <v>2020</v>
      </c>
      <c r="B758" s="11" t="s">
        <v>2020</v>
      </c>
      <c r="C758" s="12">
        <v>46048</v>
      </c>
      <c r="D758" s="12">
        <v>46100</v>
      </c>
      <c r="E758" s="11" t="s">
        <v>6</v>
      </c>
      <c r="F758" s="11" t="s">
        <v>834</v>
      </c>
      <c r="G758" s="11" t="s">
        <v>2020</v>
      </c>
      <c r="H758" s="11"/>
      <c r="I758" s="11" t="s">
        <v>49</v>
      </c>
      <c r="J758" s="11">
        <v>2005.67</v>
      </c>
      <c r="K758" s="11">
        <v>2005.67</v>
      </c>
      <c r="L758" s="11"/>
      <c r="M758" s="11">
        <v>2005.67</v>
      </c>
      <c r="N758" s="11"/>
      <c r="O758" s="11" t="s">
        <v>50</v>
      </c>
    </row>
    <row r="759" spans="1:15" s="13" customFormat="1" ht="19.5" customHeight="1" x14ac:dyDescent="0.25">
      <c r="A759" s="11" t="s">
        <v>2020</v>
      </c>
      <c r="B759" s="11" t="s">
        <v>2020</v>
      </c>
      <c r="C759" s="12">
        <v>46048</v>
      </c>
      <c r="D759" s="12">
        <v>46107</v>
      </c>
      <c r="E759" s="11" t="s">
        <v>6</v>
      </c>
      <c r="F759" s="11" t="s">
        <v>834</v>
      </c>
      <c r="G759" s="11" t="s">
        <v>2020</v>
      </c>
      <c r="H759" s="11"/>
      <c r="I759" s="11" t="s">
        <v>49</v>
      </c>
      <c r="J759" s="11">
        <v>2005.67</v>
      </c>
      <c r="K759" s="11">
        <v>2005.67</v>
      </c>
      <c r="L759" s="11"/>
      <c r="M759" s="11">
        <v>2005.67</v>
      </c>
      <c r="N759" s="11"/>
      <c r="O759" s="11" t="s">
        <v>50</v>
      </c>
    </row>
    <row r="760" spans="1:15" s="13" customFormat="1" ht="19.5" customHeight="1" x14ac:dyDescent="0.25">
      <c r="A760" s="11" t="s">
        <v>2020</v>
      </c>
      <c r="B760" s="11" t="s">
        <v>2020</v>
      </c>
      <c r="C760" s="12">
        <v>46048</v>
      </c>
      <c r="D760" s="12">
        <v>46114</v>
      </c>
      <c r="E760" s="11" t="s">
        <v>6</v>
      </c>
      <c r="F760" s="11" t="s">
        <v>834</v>
      </c>
      <c r="G760" s="11" t="s">
        <v>2020</v>
      </c>
      <c r="H760" s="11"/>
      <c r="I760" s="11" t="s">
        <v>49</v>
      </c>
      <c r="J760" s="11">
        <v>2005.67</v>
      </c>
      <c r="K760" s="11">
        <v>2005.67</v>
      </c>
      <c r="L760" s="11"/>
      <c r="M760" s="11">
        <v>2005.67</v>
      </c>
      <c r="N760" s="11"/>
      <c r="O760" s="11" t="s">
        <v>50</v>
      </c>
    </row>
    <row r="761" spans="1:15" s="13" customFormat="1" ht="19.5" customHeight="1" x14ac:dyDescent="0.25">
      <c r="A761" s="11" t="s">
        <v>2020</v>
      </c>
      <c r="B761" s="11" t="s">
        <v>2020</v>
      </c>
      <c r="C761" s="12">
        <v>46048</v>
      </c>
      <c r="D761" s="12">
        <v>46121</v>
      </c>
      <c r="E761" s="11" t="s">
        <v>6</v>
      </c>
      <c r="F761" s="11" t="s">
        <v>834</v>
      </c>
      <c r="G761" s="11" t="s">
        <v>2020</v>
      </c>
      <c r="H761" s="11"/>
      <c r="I761" s="11" t="s">
        <v>49</v>
      </c>
      <c r="J761" s="11">
        <v>2005.67</v>
      </c>
      <c r="K761" s="11">
        <v>2005.67</v>
      </c>
      <c r="L761" s="11"/>
      <c r="M761" s="11">
        <v>2005.67</v>
      </c>
      <c r="N761" s="11"/>
      <c r="O761" s="11" t="s">
        <v>50</v>
      </c>
    </row>
    <row r="762" spans="1:15" s="13" customFormat="1" ht="19.5" customHeight="1" x14ac:dyDescent="0.25">
      <c r="A762" s="11" t="s">
        <v>2020</v>
      </c>
      <c r="B762" s="11" t="s">
        <v>2020</v>
      </c>
      <c r="C762" s="12">
        <v>46048</v>
      </c>
      <c r="D762" s="12">
        <v>46138</v>
      </c>
      <c r="E762" s="11" t="s">
        <v>6</v>
      </c>
      <c r="F762" s="11" t="s">
        <v>834</v>
      </c>
      <c r="G762" s="11" t="s">
        <v>2020</v>
      </c>
      <c r="H762" s="11"/>
      <c r="I762" s="11" t="s">
        <v>49</v>
      </c>
      <c r="J762" s="11">
        <v>2010.48</v>
      </c>
      <c r="K762" s="11">
        <v>2010.48</v>
      </c>
      <c r="L762" s="11"/>
      <c r="M762" s="11">
        <v>2010.48</v>
      </c>
      <c r="N762" s="11"/>
      <c r="O762" s="11" t="s">
        <v>50</v>
      </c>
    </row>
    <row r="763" spans="1:15" s="13" customFormat="1" ht="19.5" customHeight="1" x14ac:dyDescent="0.25">
      <c r="A763" s="11" t="s">
        <v>2021</v>
      </c>
      <c r="B763" s="11" t="s">
        <v>2021</v>
      </c>
      <c r="C763" s="12">
        <v>46048</v>
      </c>
      <c r="D763" s="12">
        <v>46093</v>
      </c>
      <c r="E763" s="11" t="s">
        <v>6</v>
      </c>
      <c r="F763" s="11" t="s">
        <v>834</v>
      </c>
      <c r="G763" s="11" t="s">
        <v>2021</v>
      </c>
      <c r="H763" s="11"/>
      <c r="I763" s="11" t="s">
        <v>49</v>
      </c>
      <c r="J763" s="11">
        <v>11944.76</v>
      </c>
      <c r="K763" s="11">
        <v>11944.76</v>
      </c>
      <c r="L763" s="11"/>
      <c r="M763" s="11">
        <v>11944.76</v>
      </c>
      <c r="N763" s="11"/>
      <c r="O763" s="11" t="s">
        <v>50</v>
      </c>
    </row>
    <row r="764" spans="1:15" s="13" customFormat="1" ht="19.5" customHeight="1" x14ac:dyDescent="0.25">
      <c r="A764" s="11" t="s">
        <v>2021</v>
      </c>
      <c r="B764" s="11" t="s">
        <v>2021</v>
      </c>
      <c r="C764" s="12">
        <v>46048</v>
      </c>
      <c r="D764" s="12">
        <v>46106</v>
      </c>
      <c r="E764" s="11" t="s">
        <v>6</v>
      </c>
      <c r="F764" s="11" t="s">
        <v>834</v>
      </c>
      <c r="G764" s="11" t="s">
        <v>2021</v>
      </c>
      <c r="H764" s="11"/>
      <c r="I764" s="11" t="s">
        <v>49</v>
      </c>
      <c r="J764" s="11">
        <v>11944.76</v>
      </c>
      <c r="K764" s="11">
        <v>11944.76</v>
      </c>
      <c r="L764" s="11"/>
      <c r="M764" s="11">
        <v>11944.76</v>
      </c>
      <c r="N764" s="11"/>
      <c r="O764" s="11" t="s">
        <v>50</v>
      </c>
    </row>
    <row r="765" spans="1:15" s="13" customFormat="1" ht="19.5" customHeight="1" x14ac:dyDescent="0.25">
      <c r="A765" s="11" t="s">
        <v>2021</v>
      </c>
      <c r="B765" s="11" t="s">
        <v>2021</v>
      </c>
      <c r="C765" s="12">
        <v>46048</v>
      </c>
      <c r="D765" s="12">
        <v>46119</v>
      </c>
      <c r="E765" s="11" t="s">
        <v>6</v>
      </c>
      <c r="F765" s="11" t="s">
        <v>834</v>
      </c>
      <c r="G765" s="11" t="s">
        <v>2021</v>
      </c>
      <c r="H765" s="11"/>
      <c r="I765" s="11" t="s">
        <v>49</v>
      </c>
      <c r="J765" s="11">
        <v>11944.76</v>
      </c>
      <c r="K765" s="11">
        <v>11944.76</v>
      </c>
      <c r="L765" s="11"/>
      <c r="M765" s="11">
        <v>11944.76</v>
      </c>
      <c r="N765" s="11"/>
      <c r="O765" s="11" t="s">
        <v>50</v>
      </c>
    </row>
    <row r="766" spans="1:15" s="13" customFormat="1" ht="19.5" customHeight="1" x14ac:dyDescent="0.25">
      <c r="A766" s="11" t="s">
        <v>2021</v>
      </c>
      <c r="B766" s="11" t="s">
        <v>2021</v>
      </c>
      <c r="C766" s="12">
        <v>46048</v>
      </c>
      <c r="D766" s="12">
        <v>46132</v>
      </c>
      <c r="E766" s="11" t="s">
        <v>6</v>
      </c>
      <c r="F766" s="11" t="s">
        <v>834</v>
      </c>
      <c r="G766" s="11" t="s">
        <v>2021</v>
      </c>
      <c r="H766" s="11"/>
      <c r="I766" s="11" t="s">
        <v>49</v>
      </c>
      <c r="J766" s="11">
        <v>11944.76</v>
      </c>
      <c r="K766" s="11">
        <v>11944.76</v>
      </c>
      <c r="L766" s="11"/>
      <c r="M766" s="11">
        <v>11944.76</v>
      </c>
      <c r="N766" s="11"/>
      <c r="O766" s="11" t="s">
        <v>50</v>
      </c>
    </row>
    <row r="767" spans="1:15" s="13" customFormat="1" ht="19.5" customHeight="1" x14ac:dyDescent="0.25">
      <c r="A767" s="11" t="s">
        <v>2021</v>
      </c>
      <c r="B767" s="11" t="s">
        <v>2021</v>
      </c>
      <c r="C767" s="12">
        <v>46048</v>
      </c>
      <c r="D767" s="12">
        <v>46145</v>
      </c>
      <c r="E767" s="11" t="s">
        <v>6</v>
      </c>
      <c r="F767" s="11" t="s">
        <v>834</v>
      </c>
      <c r="G767" s="11" t="s">
        <v>2021</v>
      </c>
      <c r="H767" s="11"/>
      <c r="I767" s="11" t="s">
        <v>49</v>
      </c>
      <c r="J767" s="11">
        <v>11944.76</v>
      </c>
      <c r="K767" s="11">
        <v>11944.76</v>
      </c>
      <c r="L767" s="11"/>
      <c r="M767" s="11">
        <v>11944.76</v>
      </c>
      <c r="N767" s="11"/>
      <c r="O767" s="11" t="s">
        <v>50</v>
      </c>
    </row>
    <row r="768" spans="1:15" s="13" customFormat="1" ht="19.5" customHeight="1" x14ac:dyDescent="0.25">
      <c r="A768" s="11" t="s">
        <v>2021</v>
      </c>
      <c r="B768" s="11" t="s">
        <v>2021</v>
      </c>
      <c r="C768" s="12">
        <v>46048</v>
      </c>
      <c r="D768" s="12">
        <v>46158</v>
      </c>
      <c r="E768" s="11" t="s">
        <v>6</v>
      </c>
      <c r="F768" s="11" t="s">
        <v>834</v>
      </c>
      <c r="G768" s="11" t="s">
        <v>2021</v>
      </c>
      <c r="H768" s="11"/>
      <c r="I768" s="11" t="s">
        <v>49</v>
      </c>
      <c r="J768" s="11">
        <v>11944.76</v>
      </c>
      <c r="K768" s="11">
        <v>11944.76</v>
      </c>
      <c r="L768" s="11"/>
      <c r="M768" s="11">
        <v>11944.76</v>
      </c>
      <c r="N768" s="11"/>
      <c r="O768" s="11" t="s">
        <v>50</v>
      </c>
    </row>
    <row r="769" spans="1:15" s="13" customFormat="1" ht="19.5" customHeight="1" x14ac:dyDescent="0.25">
      <c r="A769" s="11" t="s">
        <v>2021</v>
      </c>
      <c r="B769" s="11" t="s">
        <v>2021</v>
      </c>
      <c r="C769" s="12">
        <v>46048</v>
      </c>
      <c r="D769" s="12">
        <v>46171</v>
      </c>
      <c r="E769" s="11" t="s">
        <v>6</v>
      </c>
      <c r="F769" s="11" t="s">
        <v>834</v>
      </c>
      <c r="G769" s="11" t="s">
        <v>2021</v>
      </c>
      <c r="H769" s="11"/>
      <c r="I769" s="11" t="s">
        <v>49</v>
      </c>
      <c r="J769" s="11">
        <v>11919.65</v>
      </c>
      <c r="K769" s="11">
        <v>11919.65</v>
      </c>
      <c r="L769" s="11"/>
      <c r="M769" s="11">
        <v>11919.65</v>
      </c>
      <c r="N769" s="11"/>
      <c r="O769" s="11" t="s">
        <v>50</v>
      </c>
    </row>
    <row r="770" spans="1:15" s="13" customFormat="1" ht="19.5" customHeight="1" x14ac:dyDescent="0.25">
      <c r="A770" s="11" t="s">
        <v>2022</v>
      </c>
      <c r="B770" s="11" t="s">
        <v>2022</v>
      </c>
      <c r="C770" s="12">
        <v>46048</v>
      </c>
      <c r="D770" s="12">
        <v>46048</v>
      </c>
      <c r="E770" s="11" t="s">
        <v>6</v>
      </c>
      <c r="F770" s="11" t="s">
        <v>2023</v>
      </c>
      <c r="G770" s="11" t="s">
        <v>2022</v>
      </c>
      <c r="H770" s="11"/>
      <c r="I770" s="11" t="s">
        <v>49</v>
      </c>
      <c r="J770" s="11">
        <v>127.42</v>
      </c>
      <c r="K770" s="11">
        <v>127.42</v>
      </c>
      <c r="L770" s="11"/>
      <c r="M770" s="11">
        <v>127.42</v>
      </c>
      <c r="N770" s="11" t="s">
        <v>2024</v>
      </c>
      <c r="O770" s="11" t="s">
        <v>50</v>
      </c>
    </row>
    <row r="771" spans="1:15" s="13" customFormat="1" ht="19.5" customHeight="1" x14ac:dyDescent="0.25">
      <c r="A771" s="11" t="s">
        <v>2025</v>
      </c>
      <c r="B771" s="11" t="s">
        <v>2025</v>
      </c>
      <c r="C771" s="12">
        <v>46048</v>
      </c>
      <c r="D771" s="12">
        <v>46048</v>
      </c>
      <c r="E771" s="11" t="s">
        <v>6</v>
      </c>
      <c r="F771" s="11" t="s">
        <v>2026</v>
      </c>
      <c r="G771" s="11" t="s">
        <v>2025</v>
      </c>
      <c r="H771" s="11"/>
      <c r="I771" s="11" t="s">
        <v>49</v>
      </c>
      <c r="J771" s="11">
        <v>45.48</v>
      </c>
      <c r="K771" s="11">
        <v>45.48</v>
      </c>
      <c r="L771" s="11"/>
      <c r="M771" s="11">
        <v>45.48</v>
      </c>
      <c r="N771" s="11" t="s">
        <v>2027</v>
      </c>
      <c r="O771" s="11" t="s">
        <v>50</v>
      </c>
    </row>
    <row r="772" spans="1:15" s="13" customFormat="1" ht="19.5" customHeight="1" x14ac:dyDescent="0.25">
      <c r="A772" s="11" t="s">
        <v>2028</v>
      </c>
      <c r="B772" s="11" t="s">
        <v>2028</v>
      </c>
      <c r="C772" s="12">
        <v>46048</v>
      </c>
      <c r="D772" s="12">
        <v>46048</v>
      </c>
      <c r="E772" s="11" t="s">
        <v>6</v>
      </c>
      <c r="F772" s="11" t="s">
        <v>2029</v>
      </c>
      <c r="G772" s="11" t="s">
        <v>2028</v>
      </c>
      <c r="H772" s="11"/>
      <c r="I772" s="11" t="s">
        <v>49</v>
      </c>
      <c r="J772" s="11">
        <v>35.11</v>
      </c>
      <c r="K772" s="11">
        <v>35.11</v>
      </c>
      <c r="L772" s="11"/>
      <c r="M772" s="11">
        <v>35.11</v>
      </c>
      <c r="N772" s="11"/>
      <c r="O772" s="11" t="s">
        <v>50</v>
      </c>
    </row>
    <row r="773" spans="1:15" s="13" customFormat="1" ht="19.5" customHeight="1" x14ac:dyDescent="0.25">
      <c r="A773" s="11" t="s">
        <v>2030</v>
      </c>
      <c r="B773" s="11" t="s">
        <v>2030</v>
      </c>
      <c r="C773" s="12">
        <v>46048</v>
      </c>
      <c r="D773" s="12">
        <v>46048</v>
      </c>
      <c r="E773" s="11" t="s">
        <v>6</v>
      </c>
      <c r="F773" s="11" t="s">
        <v>2031</v>
      </c>
      <c r="G773" s="11" t="s">
        <v>2030</v>
      </c>
      <c r="H773" s="11"/>
      <c r="I773" s="11" t="s">
        <v>49</v>
      </c>
      <c r="J773" s="11">
        <v>94.05</v>
      </c>
      <c r="K773" s="11">
        <v>94.05</v>
      </c>
      <c r="L773" s="11"/>
      <c r="M773" s="11">
        <v>94.05</v>
      </c>
      <c r="N773" s="11"/>
      <c r="O773" s="11" t="s">
        <v>50</v>
      </c>
    </row>
    <row r="774" spans="1:15" s="13" customFormat="1" ht="19.5" customHeight="1" x14ac:dyDescent="0.25">
      <c r="A774" s="11" t="s">
        <v>2032</v>
      </c>
      <c r="B774" s="11" t="s">
        <v>2032</v>
      </c>
      <c r="C774" s="12">
        <v>46048</v>
      </c>
      <c r="D774" s="12">
        <v>46048</v>
      </c>
      <c r="E774" s="11" t="s">
        <v>6</v>
      </c>
      <c r="F774" s="11" t="s">
        <v>2033</v>
      </c>
      <c r="G774" s="11" t="s">
        <v>2032</v>
      </c>
      <c r="H774" s="11"/>
      <c r="I774" s="11" t="s">
        <v>49</v>
      </c>
      <c r="J774" s="11">
        <v>93.51</v>
      </c>
      <c r="K774" s="11">
        <v>93.51</v>
      </c>
      <c r="L774" s="11"/>
      <c r="M774" s="11">
        <v>93.51</v>
      </c>
      <c r="N774" s="11"/>
      <c r="O774" s="11" t="s">
        <v>50</v>
      </c>
    </row>
    <row r="775" spans="1:15" s="13" customFormat="1" ht="19.5" customHeight="1" x14ac:dyDescent="0.25">
      <c r="A775" s="11" t="s">
        <v>2034</v>
      </c>
      <c r="B775" s="11" t="s">
        <v>2034</v>
      </c>
      <c r="C775" s="12">
        <v>46048</v>
      </c>
      <c r="D775" s="12">
        <v>46048</v>
      </c>
      <c r="E775" s="11" t="s">
        <v>6</v>
      </c>
      <c r="F775" s="11" t="s">
        <v>2035</v>
      </c>
      <c r="G775" s="11" t="s">
        <v>2034</v>
      </c>
      <c r="H775" s="11"/>
      <c r="I775" s="11" t="s">
        <v>49</v>
      </c>
      <c r="J775" s="11">
        <v>140.52000000000001</v>
      </c>
      <c r="K775" s="11">
        <v>140.52000000000001</v>
      </c>
      <c r="L775" s="11"/>
      <c r="M775" s="11">
        <v>140.52000000000001</v>
      </c>
      <c r="N775" s="11" t="s">
        <v>2036</v>
      </c>
      <c r="O775" s="11" t="s">
        <v>50</v>
      </c>
    </row>
    <row r="776" spans="1:15" s="13" customFormat="1" ht="19.5" customHeight="1" x14ac:dyDescent="0.25">
      <c r="A776" s="11" t="s">
        <v>2037</v>
      </c>
      <c r="B776" s="11" t="s">
        <v>2037</v>
      </c>
      <c r="C776" s="12">
        <v>46048</v>
      </c>
      <c r="D776" s="12">
        <v>46048</v>
      </c>
      <c r="E776" s="11" t="s">
        <v>6</v>
      </c>
      <c r="F776" s="11" t="s">
        <v>2038</v>
      </c>
      <c r="G776" s="11" t="s">
        <v>2037</v>
      </c>
      <c r="H776" s="11"/>
      <c r="I776" s="11" t="s">
        <v>49</v>
      </c>
      <c r="J776" s="11">
        <v>39.51</v>
      </c>
      <c r="K776" s="11">
        <v>39.51</v>
      </c>
      <c r="L776" s="11"/>
      <c r="M776" s="11">
        <v>39.51</v>
      </c>
      <c r="N776" s="11" t="s">
        <v>2039</v>
      </c>
      <c r="O776" s="11" t="s">
        <v>50</v>
      </c>
    </row>
    <row r="777" spans="1:15" s="13" customFormat="1" ht="19.5" customHeight="1" x14ac:dyDescent="0.25">
      <c r="A777" s="11" t="s">
        <v>2040</v>
      </c>
      <c r="B777" s="11" t="s">
        <v>2040</v>
      </c>
      <c r="C777" s="12">
        <v>46048</v>
      </c>
      <c r="D777" s="12">
        <v>46048</v>
      </c>
      <c r="E777" s="11" t="s">
        <v>6</v>
      </c>
      <c r="F777" s="11" t="s">
        <v>2041</v>
      </c>
      <c r="G777" s="11" t="s">
        <v>2040</v>
      </c>
      <c r="H777" s="11"/>
      <c r="I777" s="11" t="s">
        <v>49</v>
      </c>
      <c r="J777" s="11">
        <v>140.24</v>
      </c>
      <c r="K777" s="11">
        <v>140.24</v>
      </c>
      <c r="L777" s="11"/>
      <c r="M777" s="11">
        <v>140.24</v>
      </c>
      <c r="N777" s="11"/>
      <c r="O777" s="11" t="s">
        <v>50</v>
      </c>
    </row>
    <row r="778" spans="1:15" s="13" customFormat="1" ht="19.5" customHeight="1" x14ac:dyDescent="0.25">
      <c r="A778" s="11" t="s">
        <v>2042</v>
      </c>
      <c r="B778" s="11" t="s">
        <v>2042</v>
      </c>
      <c r="C778" s="12">
        <v>46048</v>
      </c>
      <c r="D778" s="12">
        <v>46048</v>
      </c>
      <c r="E778" s="11" t="s">
        <v>6</v>
      </c>
      <c r="F778" s="11" t="s">
        <v>2043</v>
      </c>
      <c r="G778" s="11" t="s">
        <v>2042</v>
      </c>
      <c r="H778" s="11"/>
      <c r="I778" s="11" t="s">
        <v>49</v>
      </c>
      <c r="J778" s="11">
        <v>128.24</v>
      </c>
      <c r="K778" s="11">
        <v>128.24</v>
      </c>
      <c r="L778" s="11"/>
      <c r="M778" s="11">
        <v>128.24</v>
      </c>
      <c r="N778" s="11" t="s">
        <v>2044</v>
      </c>
      <c r="O778" s="11" t="s">
        <v>50</v>
      </c>
    </row>
    <row r="779" spans="1:15" s="13" customFormat="1" ht="19.5" customHeight="1" x14ac:dyDescent="0.25">
      <c r="A779" s="11" t="s">
        <v>2045</v>
      </c>
      <c r="B779" s="11" t="s">
        <v>2045</v>
      </c>
      <c r="C779" s="12">
        <v>46048</v>
      </c>
      <c r="D779" s="12">
        <v>46048</v>
      </c>
      <c r="E779" s="11" t="s">
        <v>6</v>
      </c>
      <c r="F779" s="11" t="s">
        <v>2046</v>
      </c>
      <c r="G779" s="11" t="s">
        <v>2045</v>
      </c>
      <c r="H779" s="11"/>
      <c r="I779" s="11" t="s">
        <v>49</v>
      </c>
      <c r="J779" s="11">
        <v>44.99</v>
      </c>
      <c r="K779" s="11">
        <v>44.99</v>
      </c>
      <c r="L779" s="11"/>
      <c r="M779" s="11">
        <v>44.99</v>
      </c>
      <c r="N779" s="11" t="s">
        <v>2047</v>
      </c>
      <c r="O779" s="11" t="s">
        <v>50</v>
      </c>
    </row>
    <row r="780" spans="1:15" s="13" customFormat="1" ht="19.5" customHeight="1" x14ac:dyDescent="0.25">
      <c r="A780" s="11" t="s">
        <v>2048</v>
      </c>
      <c r="B780" s="11" t="s">
        <v>2048</v>
      </c>
      <c r="C780" s="12">
        <v>46045</v>
      </c>
      <c r="D780" s="12">
        <v>46090</v>
      </c>
      <c r="E780" s="11" t="s">
        <v>6</v>
      </c>
      <c r="F780" s="11" t="s">
        <v>1405</v>
      </c>
      <c r="G780" s="11" t="s">
        <v>2048</v>
      </c>
      <c r="H780" s="11"/>
      <c r="I780" s="11" t="s">
        <v>49</v>
      </c>
      <c r="J780" s="11">
        <v>9898.7800000000007</v>
      </c>
      <c r="K780" s="11">
        <v>9898.7800000000007</v>
      </c>
      <c r="L780" s="11"/>
      <c r="M780" s="11">
        <v>9898.7800000000007</v>
      </c>
      <c r="N780" s="11"/>
      <c r="O780" s="11" t="s">
        <v>50</v>
      </c>
    </row>
    <row r="781" spans="1:15" s="13" customFormat="1" ht="19.5" customHeight="1" x14ac:dyDescent="0.25">
      <c r="A781" s="11" t="s">
        <v>2048</v>
      </c>
      <c r="B781" s="11" t="s">
        <v>2048</v>
      </c>
      <c r="C781" s="12">
        <v>46045</v>
      </c>
      <c r="D781" s="12">
        <v>46103</v>
      </c>
      <c r="E781" s="11" t="s">
        <v>6</v>
      </c>
      <c r="F781" s="11" t="s">
        <v>1405</v>
      </c>
      <c r="G781" s="11" t="s">
        <v>2048</v>
      </c>
      <c r="H781" s="11"/>
      <c r="I781" s="11" t="s">
        <v>49</v>
      </c>
      <c r="J781" s="11">
        <v>9898.7800000000007</v>
      </c>
      <c r="K781" s="11">
        <v>9898.7800000000007</v>
      </c>
      <c r="L781" s="11"/>
      <c r="M781" s="11">
        <v>9898.7800000000007</v>
      </c>
      <c r="N781" s="11"/>
      <c r="O781" s="11" t="s">
        <v>50</v>
      </c>
    </row>
    <row r="782" spans="1:15" s="13" customFormat="1" ht="19.5" customHeight="1" x14ac:dyDescent="0.25">
      <c r="A782" s="11" t="s">
        <v>2048</v>
      </c>
      <c r="B782" s="11" t="s">
        <v>2048</v>
      </c>
      <c r="C782" s="12">
        <v>46045</v>
      </c>
      <c r="D782" s="12">
        <v>46116</v>
      </c>
      <c r="E782" s="11" t="s">
        <v>6</v>
      </c>
      <c r="F782" s="11" t="s">
        <v>1405</v>
      </c>
      <c r="G782" s="11" t="s">
        <v>2048</v>
      </c>
      <c r="H782" s="11"/>
      <c r="I782" s="11" t="s">
        <v>49</v>
      </c>
      <c r="J782" s="11">
        <v>9898.7800000000007</v>
      </c>
      <c r="K782" s="11">
        <v>9898.7800000000007</v>
      </c>
      <c r="L782" s="11"/>
      <c r="M782" s="11">
        <v>9898.7800000000007</v>
      </c>
      <c r="N782" s="11"/>
      <c r="O782" s="11" t="s">
        <v>50</v>
      </c>
    </row>
    <row r="783" spans="1:15" s="13" customFormat="1" ht="19.5" customHeight="1" x14ac:dyDescent="0.25">
      <c r="A783" s="11" t="s">
        <v>2048</v>
      </c>
      <c r="B783" s="11" t="s">
        <v>2048</v>
      </c>
      <c r="C783" s="12">
        <v>46045</v>
      </c>
      <c r="D783" s="12">
        <v>46129</v>
      </c>
      <c r="E783" s="11" t="s">
        <v>6</v>
      </c>
      <c r="F783" s="11" t="s">
        <v>1405</v>
      </c>
      <c r="G783" s="11" t="s">
        <v>2048</v>
      </c>
      <c r="H783" s="11"/>
      <c r="I783" s="11" t="s">
        <v>49</v>
      </c>
      <c r="J783" s="11">
        <v>9898.7800000000007</v>
      </c>
      <c r="K783" s="11">
        <v>9898.7800000000007</v>
      </c>
      <c r="L783" s="11"/>
      <c r="M783" s="11">
        <v>9898.7800000000007</v>
      </c>
      <c r="N783" s="11"/>
      <c r="O783" s="11" t="s">
        <v>50</v>
      </c>
    </row>
    <row r="784" spans="1:15" s="13" customFormat="1" ht="19.5" customHeight="1" x14ac:dyDescent="0.25">
      <c r="A784" s="11" t="s">
        <v>2048</v>
      </c>
      <c r="B784" s="11" t="s">
        <v>2048</v>
      </c>
      <c r="C784" s="12">
        <v>46045</v>
      </c>
      <c r="D784" s="12">
        <v>46142</v>
      </c>
      <c r="E784" s="11" t="s">
        <v>6</v>
      </c>
      <c r="F784" s="11" t="s">
        <v>1405</v>
      </c>
      <c r="G784" s="11" t="s">
        <v>2048</v>
      </c>
      <c r="H784" s="11"/>
      <c r="I784" s="11" t="s">
        <v>49</v>
      </c>
      <c r="J784" s="11">
        <v>9898.7800000000007</v>
      </c>
      <c r="K784" s="11">
        <v>9898.7800000000007</v>
      </c>
      <c r="L784" s="11"/>
      <c r="M784" s="11">
        <v>9898.7800000000007</v>
      </c>
      <c r="N784" s="11"/>
      <c r="O784" s="11" t="s">
        <v>50</v>
      </c>
    </row>
    <row r="785" spans="1:15" s="13" customFormat="1" ht="19.5" customHeight="1" x14ac:dyDescent="0.25">
      <c r="A785" s="11" t="s">
        <v>2048</v>
      </c>
      <c r="B785" s="11" t="s">
        <v>2048</v>
      </c>
      <c r="C785" s="12">
        <v>46045</v>
      </c>
      <c r="D785" s="12">
        <v>46155</v>
      </c>
      <c r="E785" s="11" t="s">
        <v>6</v>
      </c>
      <c r="F785" s="11" t="s">
        <v>1405</v>
      </c>
      <c r="G785" s="11" t="s">
        <v>2048</v>
      </c>
      <c r="H785" s="11"/>
      <c r="I785" s="11" t="s">
        <v>49</v>
      </c>
      <c r="J785" s="11">
        <v>9898.7800000000007</v>
      </c>
      <c r="K785" s="11">
        <v>9898.7800000000007</v>
      </c>
      <c r="L785" s="11"/>
      <c r="M785" s="11">
        <v>9898.7800000000007</v>
      </c>
      <c r="N785" s="11"/>
      <c r="O785" s="11" t="s">
        <v>50</v>
      </c>
    </row>
    <row r="786" spans="1:15" s="13" customFormat="1" ht="19.5" customHeight="1" x14ac:dyDescent="0.25">
      <c r="A786" s="11" t="s">
        <v>2048</v>
      </c>
      <c r="B786" s="11" t="s">
        <v>2048</v>
      </c>
      <c r="C786" s="12">
        <v>46045</v>
      </c>
      <c r="D786" s="12">
        <v>46168</v>
      </c>
      <c r="E786" s="11" t="s">
        <v>6</v>
      </c>
      <c r="F786" s="11" t="s">
        <v>1405</v>
      </c>
      <c r="G786" s="11" t="s">
        <v>2048</v>
      </c>
      <c r="H786" s="11"/>
      <c r="I786" s="11" t="s">
        <v>49</v>
      </c>
      <c r="J786" s="11">
        <v>9878</v>
      </c>
      <c r="K786" s="11">
        <v>9878</v>
      </c>
      <c r="L786" s="11"/>
      <c r="M786" s="11">
        <v>9878</v>
      </c>
      <c r="N786" s="11"/>
      <c r="O786" s="11" t="s">
        <v>50</v>
      </c>
    </row>
    <row r="787" spans="1:15" s="13" customFormat="1" ht="19.5" customHeight="1" x14ac:dyDescent="0.25">
      <c r="A787" s="11" t="s">
        <v>2049</v>
      </c>
      <c r="B787" s="11" t="s">
        <v>2049</v>
      </c>
      <c r="C787" s="12">
        <v>46045</v>
      </c>
      <c r="D787" s="12">
        <v>46090</v>
      </c>
      <c r="E787" s="11" t="s">
        <v>6</v>
      </c>
      <c r="F787" s="11" t="s">
        <v>64</v>
      </c>
      <c r="G787" s="11" t="s">
        <v>2049</v>
      </c>
      <c r="H787" s="11"/>
      <c r="I787" s="11" t="s">
        <v>49</v>
      </c>
      <c r="J787" s="11">
        <v>4132.83</v>
      </c>
      <c r="K787" s="11">
        <v>4132.83</v>
      </c>
      <c r="L787" s="11"/>
      <c r="M787" s="11">
        <v>4132.83</v>
      </c>
      <c r="N787" s="11"/>
      <c r="O787" s="11" t="s">
        <v>50</v>
      </c>
    </row>
    <row r="788" spans="1:15" s="13" customFormat="1" ht="19.5" customHeight="1" x14ac:dyDescent="0.25">
      <c r="A788" s="11" t="s">
        <v>2049</v>
      </c>
      <c r="B788" s="11" t="s">
        <v>2049</v>
      </c>
      <c r="C788" s="12">
        <v>46045</v>
      </c>
      <c r="D788" s="12">
        <v>46095</v>
      </c>
      <c r="E788" s="11" t="s">
        <v>6</v>
      </c>
      <c r="F788" s="11" t="s">
        <v>64</v>
      </c>
      <c r="G788" s="11" t="s">
        <v>2049</v>
      </c>
      <c r="H788" s="11"/>
      <c r="I788" s="11" t="s">
        <v>49</v>
      </c>
      <c r="J788" s="11">
        <v>4132.83</v>
      </c>
      <c r="K788" s="11">
        <v>4132.83</v>
      </c>
      <c r="L788" s="11"/>
      <c r="M788" s="11">
        <v>4132.83</v>
      </c>
      <c r="N788" s="11"/>
      <c r="O788" s="11" t="s">
        <v>50</v>
      </c>
    </row>
    <row r="789" spans="1:15" s="13" customFormat="1" ht="19.5" customHeight="1" x14ac:dyDescent="0.25">
      <c r="A789" s="11" t="s">
        <v>2049</v>
      </c>
      <c r="B789" s="11" t="s">
        <v>2049</v>
      </c>
      <c r="C789" s="12">
        <v>46045</v>
      </c>
      <c r="D789" s="12">
        <v>46105</v>
      </c>
      <c r="E789" s="11" t="s">
        <v>6</v>
      </c>
      <c r="F789" s="11" t="s">
        <v>64</v>
      </c>
      <c r="G789" s="11" t="s">
        <v>2049</v>
      </c>
      <c r="H789" s="11"/>
      <c r="I789" s="11" t="s">
        <v>49</v>
      </c>
      <c r="J789" s="11">
        <v>4132.83</v>
      </c>
      <c r="K789" s="11">
        <v>4132.83</v>
      </c>
      <c r="L789" s="11"/>
      <c r="M789" s="11">
        <v>4132.83</v>
      </c>
      <c r="N789" s="11"/>
      <c r="O789" s="11" t="s">
        <v>50</v>
      </c>
    </row>
    <row r="790" spans="1:15" s="13" customFormat="1" ht="19.5" customHeight="1" x14ac:dyDescent="0.25">
      <c r="A790" s="11" t="s">
        <v>2049</v>
      </c>
      <c r="B790" s="11" t="s">
        <v>2049</v>
      </c>
      <c r="C790" s="12">
        <v>46045</v>
      </c>
      <c r="D790" s="12">
        <v>46110</v>
      </c>
      <c r="E790" s="11" t="s">
        <v>6</v>
      </c>
      <c r="F790" s="11" t="s">
        <v>64</v>
      </c>
      <c r="G790" s="11" t="s">
        <v>2049</v>
      </c>
      <c r="H790" s="11"/>
      <c r="I790" s="11" t="s">
        <v>49</v>
      </c>
      <c r="J790" s="11">
        <v>4132.83</v>
      </c>
      <c r="K790" s="11">
        <v>4132.83</v>
      </c>
      <c r="L790" s="11"/>
      <c r="M790" s="11">
        <v>4132.83</v>
      </c>
      <c r="N790" s="11"/>
      <c r="O790" s="11" t="s">
        <v>50</v>
      </c>
    </row>
    <row r="791" spans="1:15" s="13" customFormat="1" ht="19.5" customHeight="1" x14ac:dyDescent="0.25">
      <c r="A791" s="11" t="s">
        <v>2049</v>
      </c>
      <c r="B791" s="11" t="s">
        <v>2049</v>
      </c>
      <c r="C791" s="12">
        <v>46045</v>
      </c>
      <c r="D791" s="12">
        <v>46115</v>
      </c>
      <c r="E791" s="11" t="s">
        <v>6</v>
      </c>
      <c r="F791" s="11" t="s">
        <v>64</v>
      </c>
      <c r="G791" s="11" t="s">
        <v>2049</v>
      </c>
      <c r="H791" s="11"/>
      <c r="I791" s="11" t="s">
        <v>49</v>
      </c>
      <c r="J791" s="11">
        <v>4132.83</v>
      </c>
      <c r="K791" s="11">
        <v>4132.83</v>
      </c>
      <c r="L791" s="11"/>
      <c r="M791" s="11">
        <v>4132.83</v>
      </c>
      <c r="N791" s="11"/>
      <c r="O791" s="11" t="s">
        <v>50</v>
      </c>
    </row>
    <row r="792" spans="1:15" s="13" customFormat="1" ht="19.5" customHeight="1" x14ac:dyDescent="0.25">
      <c r="A792" s="11" t="s">
        <v>2049</v>
      </c>
      <c r="B792" s="11" t="s">
        <v>2049</v>
      </c>
      <c r="C792" s="12">
        <v>46045</v>
      </c>
      <c r="D792" s="12">
        <v>46120</v>
      </c>
      <c r="E792" s="11" t="s">
        <v>6</v>
      </c>
      <c r="F792" s="11" t="s">
        <v>64</v>
      </c>
      <c r="G792" s="11" t="s">
        <v>2049</v>
      </c>
      <c r="H792" s="11"/>
      <c r="I792" s="11" t="s">
        <v>49</v>
      </c>
      <c r="J792" s="11">
        <v>4142.75</v>
      </c>
      <c r="K792" s="11">
        <v>4142.75</v>
      </c>
      <c r="L792" s="11"/>
      <c r="M792" s="11">
        <v>4142.75</v>
      </c>
      <c r="N792" s="11"/>
      <c r="O792" s="11" t="s">
        <v>50</v>
      </c>
    </row>
    <row r="793" spans="1:15" s="13" customFormat="1" ht="19.5" customHeight="1" x14ac:dyDescent="0.25">
      <c r="A793" s="11" t="s">
        <v>2050</v>
      </c>
      <c r="B793" s="11" t="s">
        <v>2050</v>
      </c>
      <c r="C793" s="12">
        <v>46045</v>
      </c>
      <c r="D793" s="12">
        <v>46090</v>
      </c>
      <c r="E793" s="11" t="s">
        <v>6</v>
      </c>
      <c r="F793" s="11" t="s">
        <v>588</v>
      </c>
      <c r="G793" s="11" t="s">
        <v>2050</v>
      </c>
      <c r="H793" s="11"/>
      <c r="I793" s="11" t="s">
        <v>49</v>
      </c>
      <c r="J793" s="11">
        <v>1795.23</v>
      </c>
      <c r="K793" s="11">
        <v>1795.23</v>
      </c>
      <c r="L793" s="11"/>
      <c r="M793" s="11">
        <v>1795.23</v>
      </c>
      <c r="N793" s="11"/>
      <c r="O793" s="11" t="s">
        <v>50</v>
      </c>
    </row>
    <row r="794" spans="1:15" s="13" customFormat="1" ht="19.5" customHeight="1" x14ac:dyDescent="0.25">
      <c r="A794" s="11" t="s">
        <v>2050</v>
      </c>
      <c r="B794" s="11" t="s">
        <v>2050</v>
      </c>
      <c r="C794" s="12">
        <v>46045</v>
      </c>
      <c r="D794" s="12">
        <v>46100</v>
      </c>
      <c r="E794" s="11" t="s">
        <v>6</v>
      </c>
      <c r="F794" s="11" t="s">
        <v>588</v>
      </c>
      <c r="G794" s="11" t="s">
        <v>2050</v>
      </c>
      <c r="H794" s="11"/>
      <c r="I794" s="11" t="s">
        <v>49</v>
      </c>
      <c r="J794" s="11">
        <v>1795.23</v>
      </c>
      <c r="K794" s="11">
        <v>1795.23</v>
      </c>
      <c r="L794" s="11"/>
      <c r="M794" s="11">
        <v>1795.23</v>
      </c>
      <c r="N794" s="11"/>
      <c r="O794" s="11" t="s">
        <v>50</v>
      </c>
    </row>
    <row r="795" spans="1:15" s="13" customFormat="1" ht="19.5" customHeight="1" x14ac:dyDescent="0.25">
      <c r="A795" s="11" t="s">
        <v>2050</v>
      </c>
      <c r="B795" s="11" t="s">
        <v>2050</v>
      </c>
      <c r="C795" s="12">
        <v>46045</v>
      </c>
      <c r="D795" s="12">
        <v>46110</v>
      </c>
      <c r="E795" s="11" t="s">
        <v>6</v>
      </c>
      <c r="F795" s="11" t="s">
        <v>588</v>
      </c>
      <c r="G795" s="11" t="s">
        <v>2050</v>
      </c>
      <c r="H795" s="11"/>
      <c r="I795" s="11" t="s">
        <v>49</v>
      </c>
      <c r="J795" s="11">
        <v>1795.23</v>
      </c>
      <c r="K795" s="11">
        <v>1795.23</v>
      </c>
      <c r="L795" s="11"/>
      <c r="M795" s="11">
        <v>1795.23</v>
      </c>
      <c r="N795" s="11"/>
      <c r="O795" s="11" t="s">
        <v>50</v>
      </c>
    </row>
    <row r="796" spans="1:15" s="13" customFormat="1" ht="19.5" customHeight="1" x14ac:dyDescent="0.25">
      <c r="A796" s="11" t="s">
        <v>2050</v>
      </c>
      <c r="B796" s="11" t="s">
        <v>2050</v>
      </c>
      <c r="C796" s="12">
        <v>46045</v>
      </c>
      <c r="D796" s="12">
        <v>46120</v>
      </c>
      <c r="E796" s="11" t="s">
        <v>6</v>
      </c>
      <c r="F796" s="11" t="s">
        <v>588</v>
      </c>
      <c r="G796" s="11" t="s">
        <v>2050</v>
      </c>
      <c r="H796" s="11"/>
      <c r="I796" s="11" t="s">
        <v>49</v>
      </c>
      <c r="J796" s="11">
        <v>1795.24</v>
      </c>
      <c r="K796" s="11">
        <v>1795.24</v>
      </c>
      <c r="L796" s="11"/>
      <c r="M796" s="11">
        <v>1795.24</v>
      </c>
      <c r="N796" s="11"/>
      <c r="O796" s="11" t="s">
        <v>50</v>
      </c>
    </row>
    <row r="797" spans="1:15" s="13" customFormat="1" ht="19.5" customHeight="1" x14ac:dyDescent="0.25">
      <c r="A797" s="11" t="s">
        <v>2051</v>
      </c>
      <c r="B797" s="11" t="s">
        <v>2051</v>
      </c>
      <c r="C797" s="12">
        <v>46045</v>
      </c>
      <c r="D797" s="12">
        <v>46090</v>
      </c>
      <c r="E797" s="11" t="s">
        <v>6</v>
      </c>
      <c r="F797" s="11" t="s">
        <v>64</v>
      </c>
      <c r="G797" s="11" t="s">
        <v>2051</v>
      </c>
      <c r="H797" s="11"/>
      <c r="I797" s="11" t="s">
        <v>49</v>
      </c>
      <c r="J797" s="11">
        <v>8058.09</v>
      </c>
      <c r="K797" s="11">
        <v>8058.09</v>
      </c>
      <c r="L797" s="11"/>
      <c r="M797" s="11">
        <v>8058.09</v>
      </c>
      <c r="N797" s="11"/>
      <c r="O797" s="11" t="s">
        <v>50</v>
      </c>
    </row>
    <row r="798" spans="1:15" s="13" customFormat="1" ht="19.5" customHeight="1" x14ac:dyDescent="0.25">
      <c r="A798" s="11" t="s">
        <v>2051</v>
      </c>
      <c r="B798" s="11" t="s">
        <v>2051</v>
      </c>
      <c r="C798" s="12">
        <v>46045</v>
      </c>
      <c r="D798" s="12">
        <v>46097</v>
      </c>
      <c r="E798" s="11" t="s">
        <v>6</v>
      </c>
      <c r="F798" s="11" t="s">
        <v>64</v>
      </c>
      <c r="G798" s="11" t="s">
        <v>2051</v>
      </c>
      <c r="H798" s="11"/>
      <c r="I798" s="11" t="s">
        <v>49</v>
      </c>
      <c r="J798" s="11">
        <v>8058.09</v>
      </c>
      <c r="K798" s="11">
        <v>8058.09</v>
      </c>
      <c r="L798" s="11"/>
      <c r="M798" s="11">
        <v>8058.09</v>
      </c>
      <c r="N798" s="11"/>
      <c r="O798" s="11" t="s">
        <v>50</v>
      </c>
    </row>
    <row r="799" spans="1:15" s="13" customFormat="1" ht="19.5" customHeight="1" x14ac:dyDescent="0.25">
      <c r="A799" s="11" t="s">
        <v>2051</v>
      </c>
      <c r="B799" s="11" t="s">
        <v>2051</v>
      </c>
      <c r="C799" s="12">
        <v>46045</v>
      </c>
      <c r="D799" s="12">
        <v>46104</v>
      </c>
      <c r="E799" s="11" t="s">
        <v>6</v>
      </c>
      <c r="F799" s="11" t="s">
        <v>64</v>
      </c>
      <c r="G799" s="11" t="s">
        <v>2051</v>
      </c>
      <c r="H799" s="11"/>
      <c r="I799" s="11" t="s">
        <v>49</v>
      </c>
      <c r="J799" s="11">
        <v>8058.09</v>
      </c>
      <c r="K799" s="11">
        <v>8058.09</v>
      </c>
      <c r="L799" s="11"/>
      <c r="M799" s="11">
        <v>8058.09</v>
      </c>
      <c r="N799" s="11"/>
      <c r="O799" s="11" t="s">
        <v>50</v>
      </c>
    </row>
    <row r="800" spans="1:15" s="13" customFormat="1" ht="19.5" customHeight="1" x14ac:dyDescent="0.25">
      <c r="A800" s="11" t="s">
        <v>2051</v>
      </c>
      <c r="B800" s="11" t="s">
        <v>2051</v>
      </c>
      <c r="C800" s="12">
        <v>46045</v>
      </c>
      <c r="D800" s="12">
        <v>46111</v>
      </c>
      <c r="E800" s="11" t="s">
        <v>6</v>
      </c>
      <c r="F800" s="11" t="s">
        <v>64</v>
      </c>
      <c r="G800" s="11" t="s">
        <v>2051</v>
      </c>
      <c r="H800" s="11"/>
      <c r="I800" s="11" t="s">
        <v>49</v>
      </c>
      <c r="J800" s="11">
        <v>8058.09</v>
      </c>
      <c r="K800" s="11">
        <v>8058.09</v>
      </c>
      <c r="L800" s="11"/>
      <c r="M800" s="11">
        <v>8058.09</v>
      </c>
      <c r="N800" s="11"/>
      <c r="O800" s="11" t="s">
        <v>50</v>
      </c>
    </row>
    <row r="801" spans="1:15" s="13" customFormat="1" ht="19.5" customHeight="1" x14ac:dyDescent="0.25">
      <c r="A801" s="11" t="s">
        <v>2051</v>
      </c>
      <c r="B801" s="11" t="s">
        <v>2051</v>
      </c>
      <c r="C801" s="12">
        <v>46045</v>
      </c>
      <c r="D801" s="12">
        <v>46118</v>
      </c>
      <c r="E801" s="11" t="s">
        <v>6</v>
      </c>
      <c r="F801" s="11" t="s">
        <v>64</v>
      </c>
      <c r="G801" s="11" t="s">
        <v>2051</v>
      </c>
      <c r="H801" s="11"/>
      <c r="I801" s="11" t="s">
        <v>49</v>
      </c>
      <c r="J801" s="11">
        <v>8058.09</v>
      </c>
      <c r="K801" s="11">
        <v>8058.09</v>
      </c>
      <c r="L801" s="11"/>
      <c r="M801" s="11">
        <v>8058.09</v>
      </c>
      <c r="N801" s="11"/>
      <c r="O801" s="11" t="s">
        <v>50</v>
      </c>
    </row>
    <row r="802" spans="1:15" s="13" customFormat="1" ht="19.5" customHeight="1" x14ac:dyDescent="0.25">
      <c r="A802" s="11" t="s">
        <v>2051</v>
      </c>
      <c r="B802" s="11" t="s">
        <v>2051</v>
      </c>
      <c r="C802" s="12">
        <v>46045</v>
      </c>
      <c r="D802" s="12">
        <v>46125</v>
      </c>
      <c r="E802" s="11" t="s">
        <v>6</v>
      </c>
      <c r="F802" s="11" t="s">
        <v>64</v>
      </c>
      <c r="G802" s="11" t="s">
        <v>2051</v>
      </c>
      <c r="H802" s="11"/>
      <c r="I802" s="11" t="s">
        <v>49</v>
      </c>
      <c r="J802" s="11">
        <v>8058.09</v>
      </c>
      <c r="K802" s="11">
        <v>8058.09</v>
      </c>
      <c r="L802" s="11"/>
      <c r="M802" s="11">
        <v>8058.09</v>
      </c>
      <c r="N802" s="11"/>
      <c r="O802" s="11" t="s">
        <v>50</v>
      </c>
    </row>
    <row r="803" spans="1:15" s="13" customFormat="1" ht="19.5" customHeight="1" x14ac:dyDescent="0.25">
      <c r="A803" s="11" t="s">
        <v>2051</v>
      </c>
      <c r="B803" s="11" t="s">
        <v>2051</v>
      </c>
      <c r="C803" s="12">
        <v>46045</v>
      </c>
      <c r="D803" s="12">
        <v>46135</v>
      </c>
      <c r="E803" s="11" t="s">
        <v>6</v>
      </c>
      <c r="F803" s="11" t="s">
        <v>64</v>
      </c>
      <c r="G803" s="11" t="s">
        <v>2051</v>
      </c>
      <c r="H803" s="11"/>
      <c r="I803" s="11" t="s">
        <v>49</v>
      </c>
      <c r="J803" s="11">
        <v>8080.64</v>
      </c>
      <c r="K803" s="11">
        <v>8080.64</v>
      </c>
      <c r="L803" s="11"/>
      <c r="M803" s="11">
        <v>8080.64</v>
      </c>
      <c r="N803" s="11"/>
      <c r="O803" s="11" t="s">
        <v>50</v>
      </c>
    </row>
    <row r="804" spans="1:15" s="13" customFormat="1" ht="19.5" customHeight="1" x14ac:dyDescent="0.25">
      <c r="A804" s="11" t="s">
        <v>2052</v>
      </c>
      <c r="B804" s="11" t="s">
        <v>2052</v>
      </c>
      <c r="C804" s="12">
        <v>46045</v>
      </c>
      <c r="D804" s="12">
        <v>46045</v>
      </c>
      <c r="E804" s="11" t="s">
        <v>6</v>
      </c>
      <c r="F804" s="11" t="s">
        <v>2053</v>
      </c>
      <c r="G804" s="11" t="s">
        <v>2052</v>
      </c>
      <c r="H804" s="11"/>
      <c r="I804" s="11" t="s">
        <v>49</v>
      </c>
      <c r="J804" s="11">
        <v>77.27</v>
      </c>
      <c r="K804" s="11">
        <v>77.27</v>
      </c>
      <c r="L804" s="11"/>
      <c r="M804" s="11">
        <v>77.27</v>
      </c>
      <c r="N804" s="11" t="s">
        <v>2054</v>
      </c>
      <c r="O804" s="11" t="s">
        <v>50</v>
      </c>
    </row>
    <row r="805" spans="1:15" s="13" customFormat="1" ht="19.5" customHeight="1" x14ac:dyDescent="0.25">
      <c r="A805" s="11" t="s">
        <v>2055</v>
      </c>
      <c r="B805" s="11" t="s">
        <v>2055</v>
      </c>
      <c r="C805" s="12">
        <v>46045</v>
      </c>
      <c r="D805" s="12">
        <v>46045</v>
      </c>
      <c r="E805" s="11" t="s">
        <v>6</v>
      </c>
      <c r="F805" s="11" t="s">
        <v>2056</v>
      </c>
      <c r="G805" s="11" t="s">
        <v>2055</v>
      </c>
      <c r="H805" s="11"/>
      <c r="I805" s="11" t="s">
        <v>49</v>
      </c>
      <c r="J805" s="11">
        <v>133.5</v>
      </c>
      <c r="K805" s="11">
        <v>133.5</v>
      </c>
      <c r="L805" s="11"/>
      <c r="M805" s="11">
        <v>133.5</v>
      </c>
      <c r="N805" s="11"/>
      <c r="O805" s="11" t="s">
        <v>50</v>
      </c>
    </row>
    <row r="806" spans="1:15" s="13" customFormat="1" ht="19.5" customHeight="1" x14ac:dyDescent="0.25">
      <c r="A806" s="11" t="s">
        <v>2057</v>
      </c>
      <c r="B806" s="11" t="s">
        <v>2057</v>
      </c>
      <c r="C806" s="12">
        <v>46045</v>
      </c>
      <c r="D806" s="12">
        <v>46045</v>
      </c>
      <c r="E806" s="11" t="s">
        <v>6</v>
      </c>
      <c r="F806" s="11" t="s">
        <v>2058</v>
      </c>
      <c r="G806" s="11" t="s">
        <v>2057</v>
      </c>
      <c r="H806" s="11"/>
      <c r="I806" s="11" t="s">
        <v>49</v>
      </c>
      <c r="J806" s="11">
        <v>94.05</v>
      </c>
      <c r="K806" s="11">
        <v>94.05</v>
      </c>
      <c r="L806" s="11"/>
      <c r="M806" s="11">
        <v>94.05</v>
      </c>
      <c r="N806" s="11" t="s">
        <v>2059</v>
      </c>
      <c r="O806" s="11" t="s">
        <v>50</v>
      </c>
    </row>
    <row r="807" spans="1:15" s="13" customFormat="1" ht="19.5" customHeight="1" x14ac:dyDescent="0.25">
      <c r="A807" s="11" t="s">
        <v>2060</v>
      </c>
      <c r="B807" s="11" t="s">
        <v>2060</v>
      </c>
      <c r="C807" s="12">
        <v>46044</v>
      </c>
      <c r="D807" s="12">
        <v>46089</v>
      </c>
      <c r="E807" s="11" t="s">
        <v>6</v>
      </c>
      <c r="F807" s="11" t="s">
        <v>834</v>
      </c>
      <c r="G807" s="11" t="s">
        <v>2060</v>
      </c>
      <c r="H807" s="11"/>
      <c r="I807" s="11" t="s">
        <v>49</v>
      </c>
      <c r="J807" s="11">
        <v>2406.85</v>
      </c>
      <c r="K807" s="11">
        <v>2406.85</v>
      </c>
      <c r="L807" s="11"/>
      <c r="M807" s="11">
        <v>2406.85</v>
      </c>
      <c r="N807" s="11"/>
      <c r="O807" s="11" t="s">
        <v>50</v>
      </c>
    </row>
    <row r="808" spans="1:15" s="13" customFormat="1" ht="19.5" customHeight="1" x14ac:dyDescent="0.25">
      <c r="A808" s="11" t="s">
        <v>2060</v>
      </c>
      <c r="B808" s="11" t="s">
        <v>2060</v>
      </c>
      <c r="C808" s="12">
        <v>46044</v>
      </c>
      <c r="D808" s="12">
        <v>46099</v>
      </c>
      <c r="E808" s="11" t="s">
        <v>6</v>
      </c>
      <c r="F808" s="11" t="s">
        <v>834</v>
      </c>
      <c r="G808" s="11" t="s">
        <v>2060</v>
      </c>
      <c r="H808" s="11"/>
      <c r="I808" s="11" t="s">
        <v>49</v>
      </c>
      <c r="J808" s="11">
        <v>2406.85</v>
      </c>
      <c r="K808" s="11">
        <v>2406.85</v>
      </c>
      <c r="L808" s="11"/>
      <c r="M808" s="11">
        <v>2406.85</v>
      </c>
      <c r="N808" s="11"/>
      <c r="O808" s="11" t="s">
        <v>50</v>
      </c>
    </row>
    <row r="809" spans="1:15" s="13" customFormat="1" ht="19.5" customHeight="1" x14ac:dyDescent="0.25">
      <c r="A809" s="11" t="s">
        <v>2060</v>
      </c>
      <c r="B809" s="11" t="s">
        <v>2060</v>
      </c>
      <c r="C809" s="12">
        <v>46044</v>
      </c>
      <c r="D809" s="12">
        <v>46109</v>
      </c>
      <c r="E809" s="11" t="s">
        <v>6</v>
      </c>
      <c r="F809" s="11" t="s">
        <v>834</v>
      </c>
      <c r="G809" s="11" t="s">
        <v>2060</v>
      </c>
      <c r="H809" s="11"/>
      <c r="I809" s="11" t="s">
        <v>49</v>
      </c>
      <c r="J809" s="11">
        <v>2406.85</v>
      </c>
      <c r="K809" s="11">
        <v>2406.85</v>
      </c>
      <c r="L809" s="11"/>
      <c r="M809" s="11">
        <v>2406.85</v>
      </c>
      <c r="N809" s="11"/>
      <c r="O809" s="11" t="s">
        <v>50</v>
      </c>
    </row>
    <row r="810" spans="1:15" s="13" customFormat="1" ht="19.5" customHeight="1" x14ac:dyDescent="0.25">
      <c r="A810" s="11" t="s">
        <v>2060</v>
      </c>
      <c r="B810" s="11" t="s">
        <v>2060</v>
      </c>
      <c r="C810" s="12">
        <v>46044</v>
      </c>
      <c r="D810" s="12">
        <v>46119</v>
      </c>
      <c r="E810" s="11" t="s">
        <v>6</v>
      </c>
      <c r="F810" s="11" t="s">
        <v>834</v>
      </c>
      <c r="G810" s="11" t="s">
        <v>2060</v>
      </c>
      <c r="H810" s="11"/>
      <c r="I810" s="11" t="s">
        <v>49</v>
      </c>
      <c r="J810" s="11">
        <v>2406.86</v>
      </c>
      <c r="K810" s="11">
        <v>2406.86</v>
      </c>
      <c r="L810" s="11"/>
      <c r="M810" s="11">
        <v>2406.86</v>
      </c>
      <c r="N810" s="11"/>
      <c r="O810" s="11" t="s">
        <v>50</v>
      </c>
    </row>
    <row r="811" spans="1:15" s="13" customFormat="1" ht="19.5" customHeight="1" x14ac:dyDescent="0.25">
      <c r="A811" s="11" t="s">
        <v>2061</v>
      </c>
      <c r="B811" s="11" t="s">
        <v>2061</v>
      </c>
      <c r="C811" s="12">
        <v>46044</v>
      </c>
      <c r="D811" s="12">
        <v>46089</v>
      </c>
      <c r="E811" s="11" t="s">
        <v>6</v>
      </c>
      <c r="F811" s="11" t="s">
        <v>1929</v>
      </c>
      <c r="G811" s="11" t="s">
        <v>2061</v>
      </c>
      <c r="H811" s="11"/>
      <c r="I811" s="11" t="s">
        <v>49</v>
      </c>
      <c r="J811" s="11">
        <v>2135.61</v>
      </c>
      <c r="K811" s="11">
        <v>2135.61</v>
      </c>
      <c r="L811" s="11"/>
      <c r="M811" s="11">
        <v>2135.61</v>
      </c>
      <c r="N811" s="11"/>
      <c r="O811" s="11" t="s">
        <v>50</v>
      </c>
    </row>
    <row r="812" spans="1:15" s="13" customFormat="1" ht="19.5" customHeight="1" x14ac:dyDescent="0.25">
      <c r="A812" s="11" t="s">
        <v>2061</v>
      </c>
      <c r="B812" s="11" t="s">
        <v>2061</v>
      </c>
      <c r="C812" s="12">
        <v>46044</v>
      </c>
      <c r="D812" s="12">
        <v>46094</v>
      </c>
      <c r="E812" s="11" t="s">
        <v>6</v>
      </c>
      <c r="F812" s="11" t="s">
        <v>1929</v>
      </c>
      <c r="G812" s="11" t="s">
        <v>2061</v>
      </c>
      <c r="H812" s="11"/>
      <c r="I812" s="11" t="s">
        <v>49</v>
      </c>
      <c r="J812" s="11">
        <v>2135.61</v>
      </c>
      <c r="K812" s="11">
        <v>2135.61</v>
      </c>
      <c r="L812" s="11"/>
      <c r="M812" s="11">
        <v>2135.61</v>
      </c>
      <c r="N812" s="11"/>
      <c r="O812" s="11" t="s">
        <v>50</v>
      </c>
    </row>
    <row r="813" spans="1:15" s="13" customFormat="1" ht="19.5" customHeight="1" x14ac:dyDescent="0.25">
      <c r="A813" s="11" t="s">
        <v>2061</v>
      </c>
      <c r="B813" s="11" t="s">
        <v>2061</v>
      </c>
      <c r="C813" s="12">
        <v>46044</v>
      </c>
      <c r="D813" s="12">
        <v>46104</v>
      </c>
      <c r="E813" s="11" t="s">
        <v>6</v>
      </c>
      <c r="F813" s="11" t="s">
        <v>1929</v>
      </c>
      <c r="G813" s="11" t="s">
        <v>2061</v>
      </c>
      <c r="H813" s="11"/>
      <c r="I813" s="11" t="s">
        <v>49</v>
      </c>
      <c r="J813" s="11">
        <v>2135.61</v>
      </c>
      <c r="K813" s="11">
        <v>2135.61</v>
      </c>
      <c r="L813" s="11"/>
      <c r="M813" s="11">
        <v>2135.61</v>
      </c>
      <c r="N813" s="11"/>
      <c r="O813" s="11" t="s">
        <v>50</v>
      </c>
    </row>
    <row r="814" spans="1:15" s="13" customFormat="1" ht="19.5" customHeight="1" x14ac:dyDescent="0.25">
      <c r="A814" s="11" t="s">
        <v>2061</v>
      </c>
      <c r="B814" s="11" t="s">
        <v>2061</v>
      </c>
      <c r="C814" s="12">
        <v>46044</v>
      </c>
      <c r="D814" s="12">
        <v>46109</v>
      </c>
      <c r="E814" s="11" t="s">
        <v>6</v>
      </c>
      <c r="F814" s="11" t="s">
        <v>1929</v>
      </c>
      <c r="G814" s="11" t="s">
        <v>2061</v>
      </c>
      <c r="H814" s="11"/>
      <c r="I814" s="11" t="s">
        <v>49</v>
      </c>
      <c r="J814" s="11">
        <v>2135.61</v>
      </c>
      <c r="K814" s="11">
        <v>2135.61</v>
      </c>
      <c r="L814" s="11"/>
      <c r="M814" s="11">
        <v>2135.61</v>
      </c>
      <c r="N814" s="11"/>
      <c r="O814" s="11" t="s">
        <v>50</v>
      </c>
    </row>
    <row r="815" spans="1:15" s="13" customFormat="1" ht="19.5" customHeight="1" x14ac:dyDescent="0.25">
      <c r="A815" s="11" t="s">
        <v>2061</v>
      </c>
      <c r="B815" s="11" t="s">
        <v>2061</v>
      </c>
      <c r="C815" s="12">
        <v>46044</v>
      </c>
      <c r="D815" s="12">
        <v>46119</v>
      </c>
      <c r="E815" s="11" t="s">
        <v>6</v>
      </c>
      <c r="F815" s="11" t="s">
        <v>1929</v>
      </c>
      <c r="G815" s="11" t="s">
        <v>2061</v>
      </c>
      <c r="H815" s="11"/>
      <c r="I815" s="11" t="s">
        <v>49</v>
      </c>
      <c r="J815" s="11">
        <v>2135.62</v>
      </c>
      <c r="K815" s="11">
        <v>2135.62</v>
      </c>
      <c r="L815" s="11"/>
      <c r="M815" s="11">
        <v>2135.62</v>
      </c>
      <c r="N815" s="11"/>
      <c r="O815" s="11" t="s">
        <v>50</v>
      </c>
    </row>
    <row r="816" spans="1:15" s="13" customFormat="1" ht="19.5" customHeight="1" x14ac:dyDescent="0.25">
      <c r="A816" s="11" t="s">
        <v>2062</v>
      </c>
      <c r="B816" s="11" t="s">
        <v>2062</v>
      </c>
      <c r="C816" s="12">
        <v>46044</v>
      </c>
      <c r="D816" s="12">
        <v>46044</v>
      </c>
      <c r="E816" s="11" t="s">
        <v>6</v>
      </c>
      <c r="F816" s="11" t="s">
        <v>2063</v>
      </c>
      <c r="G816" s="11" t="s">
        <v>2062</v>
      </c>
      <c r="H816" s="11"/>
      <c r="I816" s="11" t="s">
        <v>49</v>
      </c>
      <c r="J816" s="11">
        <v>50.4</v>
      </c>
      <c r="K816" s="11">
        <v>50.4</v>
      </c>
      <c r="L816" s="11"/>
      <c r="M816" s="11">
        <v>50.4</v>
      </c>
      <c r="N816" s="11" t="s">
        <v>2064</v>
      </c>
      <c r="O816" s="11" t="s">
        <v>50</v>
      </c>
    </row>
    <row r="817" spans="1:15" s="13" customFormat="1" ht="19.5" customHeight="1" x14ac:dyDescent="0.25">
      <c r="A817" s="11" t="s">
        <v>2065</v>
      </c>
      <c r="B817" s="11" t="s">
        <v>2065</v>
      </c>
      <c r="C817" s="12">
        <v>46044</v>
      </c>
      <c r="D817" s="12">
        <v>46044</v>
      </c>
      <c r="E817" s="11" t="s">
        <v>6</v>
      </c>
      <c r="F817" s="11" t="s">
        <v>2066</v>
      </c>
      <c r="G817" s="11" t="s">
        <v>2065</v>
      </c>
      <c r="H817" s="11"/>
      <c r="I817" s="11" t="s">
        <v>49</v>
      </c>
      <c r="J817" s="11">
        <v>77.900000000000006</v>
      </c>
      <c r="K817" s="11">
        <v>77.900000000000006</v>
      </c>
      <c r="L817" s="11"/>
      <c r="M817" s="11">
        <v>77.900000000000006</v>
      </c>
      <c r="N817" s="11" t="s">
        <v>2067</v>
      </c>
      <c r="O817" s="11" t="s">
        <v>50</v>
      </c>
    </row>
    <row r="818" spans="1:15" s="13" customFormat="1" ht="19.5" customHeight="1" x14ac:dyDescent="0.25">
      <c r="A818" s="11" t="s">
        <v>2068</v>
      </c>
      <c r="B818" s="11" t="s">
        <v>2068</v>
      </c>
      <c r="C818" s="12">
        <v>46044</v>
      </c>
      <c r="D818" s="12">
        <v>46044</v>
      </c>
      <c r="E818" s="11" t="s">
        <v>6</v>
      </c>
      <c r="F818" s="11" t="s">
        <v>2069</v>
      </c>
      <c r="G818" s="11" t="s">
        <v>2068</v>
      </c>
      <c r="H818" s="11"/>
      <c r="I818" s="11" t="s">
        <v>49</v>
      </c>
      <c r="J818" s="11">
        <v>74.8</v>
      </c>
      <c r="K818" s="11">
        <v>74.8</v>
      </c>
      <c r="L818" s="11"/>
      <c r="M818" s="11">
        <v>74.8</v>
      </c>
      <c r="N818" s="11" t="s">
        <v>2070</v>
      </c>
      <c r="O818" s="11" t="s">
        <v>50</v>
      </c>
    </row>
    <row r="819" spans="1:15" s="13" customFormat="1" ht="19.5" customHeight="1" x14ac:dyDescent="0.25">
      <c r="A819" s="11" t="s">
        <v>2071</v>
      </c>
      <c r="B819" s="11" t="s">
        <v>2071</v>
      </c>
      <c r="C819" s="12">
        <v>46044</v>
      </c>
      <c r="D819" s="12">
        <v>46044</v>
      </c>
      <c r="E819" s="11" t="s">
        <v>6</v>
      </c>
      <c r="F819" s="11" t="s">
        <v>2072</v>
      </c>
      <c r="G819" s="11" t="s">
        <v>2071</v>
      </c>
      <c r="H819" s="11"/>
      <c r="I819" s="11" t="s">
        <v>49</v>
      </c>
      <c r="J819" s="11">
        <v>57.61</v>
      </c>
      <c r="K819" s="11">
        <v>57.61</v>
      </c>
      <c r="L819" s="11"/>
      <c r="M819" s="11">
        <v>57.61</v>
      </c>
      <c r="N819" s="11" t="s">
        <v>2073</v>
      </c>
      <c r="O819" s="11" t="s">
        <v>50</v>
      </c>
    </row>
    <row r="820" spans="1:15" s="13" customFormat="1" ht="19.5" customHeight="1" x14ac:dyDescent="0.25">
      <c r="A820" s="11" t="s">
        <v>2074</v>
      </c>
      <c r="B820" s="11" t="s">
        <v>2074</v>
      </c>
      <c r="C820" s="12">
        <v>46044</v>
      </c>
      <c r="D820" s="12">
        <v>46044</v>
      </c>
      <c r="E820" s="11" t="s">
        <v>6</v>
      </c>
      <c r="F820" s="11" t="s">
        <v>2072</v>
      </c>
      <c r="G820" s="11" t="s">
        <v>2074</v>
      </c>
      <c r="H820" s="11"/>
      <c r="I820" s="11" t="s">
        <v>49</v>
      </c>
      <c r="J820" s="11">
        <v>57.61</v>
      </c>
      <c r="K820" s="11">
        <v>57.61</v>
      </c>
      <c r="L820" s="11"/>
      <c r="M820" s="11">
        <v>57.61</v>
      </c>
      <c r="N820" s="11" t="s">
        <v>2075</v>
      </c>
      <c r="O820" s="11" t="s">
        <v>50</v>
      </c>
    </row>
    <row r="821" spans="1:15" s="13" customFormat="1" ht="19.5" customHeight="1" x14ac:dyDescent="0.25">
      <c r="A821" s="11" t="s">
        <v>2076</v>
      </c>
      <c r="B821" s="11" t="s">
        <v>2076</v>
      </c>
      <c r="C821" s="12">
        <v>46044</v>
      </c>
      <c r="D821" s="12">
        <v>46044</v>
      </c>
      <c r="E821" s="11" t="s">
        <v>6</v>
      </c>
      <c r="F821" s="11" t="s">
        <v>2077</v>
      </c>
      <c r="G821" s="11" t="s">
        <v>2076</v>
      </c>
      <c r="H821" s="11"/>
      <c r="I821" s="11" t="s">
        <v>49</v>
      </c>
      <c r="J821" s="11">
        <v>128.24</v>
      </c>
      <c r="K821" s="11">
        <v>128.24</v>
      </c>
      <c r="L821" s="11"/>
      <c r="M821" s="11">
        <v>128.24</v>
      </c>
      <c r="N821" s="11" t="s">
        <v>2078</v>
      </c>
      <c r="O821" s="11" t="s">
        <v>50</v>
      </c>
    </row>
    <row r="822" spans="1:15" s="13" customFormat="1" ht="19.5" customHeight="1" x14ac:dyDescent="0.25">
      <c r="A822" s="11" t="s">
        <v>2079</v>
      </c>
      <c r="B822" s="11" t="s">
        <v>2079</v>
      </c>
      <c r="C822" s="12">
        <v>46043</v>
      </c>
      <c r="D822" s="12">
        <v>46088</v>
      </c>
      <c r="E822" s="11" t="s">
        <v>6</v>
      </c>
      <c r="F822" s="11" t="s">
        <v>593</v>
      </c>
      <c r="G822" s="11" t="s">
        <v>2079</v>
      </c>
      <c r="H822" s="11"/>
      <c r="I822" s="11" t="s">
        <v>49</v>
      </c>
      <c r="J822" s="11">
        <v>2567.96</v>
      </c>
      <c r="K822" s="11">
        <v>2567.96</v>
      </c>
      <c r="L822" s="11"/>
      <c r="M822" s="11">
        <v>2567.96</v>
      </c>
      <c r="N822" s="11"/>
      <c r="O822" s="11" t="s">
        <v>50</v>
      </c>
    </row>
    <row r="823" spans="1:15" s="13" customFormat="1" ht="19.5" customHeight="1" x14ac:dyDescent="0.25">
      <c r="A823" s="11" t="s">
        <v>2079</v>
      </c>
      <c r="B823" s="11" t="s">
        <v>2079</v>
      </c>
      <c r="C823" s="12">
        <v>46043</v>
      </c>
      <c r="D823" s="12">
        <v>46095</v>
      </c>
      <c r="E823" s="11" t="s">
        <v>6</v>
      </c>
      <c r="F823" s="11" t="s">
        <v>593</v>
      </c>
      <c r="G823" s="11" t="s">
        <v>2079</v>
      </c>
      <c r="H823" s="11"/>
      <c r="I823" s="11" t="s">
        <v>49</v>
      </c>
      <c r="J823" s="11">
        <v>2567.96</v>
      </c>
      <c r="K823" s="11">
        <v>2567.96</v>
      </c>
      <c r="L823" s="11"/>
      <c r="M823" s="11">
        <v>2567.96</v>
      </c>
      <c r="N823" s="11"/>
      <c r="O823" s="11" t="s">
        <v>50</v>
      </c>
    </row>
    <row r="824" spans="1:15" s="13" customFormat="1" ht="19.5" customHeight="1" x14ac:dyDescent="0.25">
      <c r="A824" s="11" t="s">
        <v>2079</v>
      </c>
      <c r="B824" s="11" t="s">
        <v>2079</v>
      </c>
      <c r="C824" s="12">
        <v>46043</v>
      </c>
      <c r="D824" s="12">
        <v>46102</v>
      </c>
      <c r="E824" s="11" t="s">
        <v>6</v>
      </c>
      <c r="F824" s="11" t="s">
        <v>593</v>
      </c>
      <c r="G824" s="11" t="s">
        <v>2079</v>
      </c>
      <c r="H824" s="11"/>
      <c r="I824" s="11" t="s">
        <v>49</v>
      </c>
      <c r="J824" s="11">
        <v>2567.96</v>
      </c>
      <c r="K824" s="11">
        <v>2567.96</v>
      </c>
      <c r="L824" s="11"/>
      <c r="M824" s="11">
        <v>2567.96</v>
      </c>
      <c r="N824" s="11"/>
      <c r="O824" s="11" t="s">
        <v>50</v>
      </c>
    </row>
    <row r="825" spans="1:15" s="13" customFormat="1" ht="19.5" customHeight="1" x14ac:dyDescent="0.25">
      <c r="A825" s="11" t="s">
        <v>2079</v>
      </c>
      <c r="B825" s="11" t="s">
        <v>2079</v>
      </c>
      <c r="C825" s="12">
        <v>46043</v>
      </c>
      <c r="D825" s="12">
        <v>46109</v>
      </c>
      <c r="E825" s="11" t="s">
        <v>6</v>
      </c>
      <c r="F825" s="11" t="s">
        <v>593</v>
      </c>
      <c r="G825" s="11" t="s">
        <v>2079</v>
      </c>
      <c r="H825" s="11"/>
      <c r="I825" s="11" t="s">
        <v>49</v>
      </c>
      <c r="J825" s="11">
        <v>2567.96</v>
      </c>
      <c r="K825" s="11">
        <v>2567.96</v>
      </c>
      <c r="L825" s="11"/>
      <c r="M825" s="11">
        <v>2567.96</v>
      </c>
      <c r="N825" s="11"/>
      <c r="O825" s="11" t="s">
        <v>50</v>
      </c>
    </row>
    <row r="826" spans="1:15" s="13" customFormat="1" ht="19.5" customHeight="1" x14ac:dyDescent="0.25">
      <c r="A826" s="11" t="s">
        <v>2079</v>
      </c>
      <c r="B826" s="11" t="s">
        <v>2079</v>
      </c>
      <c r="C826" s="12">
        <v>46043</v>
      </c>
      <c r="D826" s="12">
        <v>46116</v>
      </c>
      <c r="E826" s="11" t="s">
        <v>6</v>
      </c>
      <c r="F826" s="11" t="s">
        <v>593</v>
      </c>
      <c r="G826" s="11" t="s">
        <v>2079</v>
      </c>
      <c r="H826" s="11"/>
      <c r="I826" s="11" t="s">
        <v>49</v>
      </c>
      <c r="J826" s="11">
        <v>2567.96</v>
      </c>
      <c r="K826" s="11">
        <v>2567.96</v>
      </c>
      <c r="L826" s="11"/>
      <c r="M826" s="11">
        <v>2567.96</v>
      </c>
      <c r="N826" s="11"/>
      <c r="O826" s="11" t="s">
        <v>50</v>
      </c>
    </row>
    <row r="827" spans="1:15" s="13" customFormat="1" ht="19.5" customHeight="1" x14ac:dyDescent="0.25">
      <c r="A827" s="11" t="s">
        <v>2079</v>
      </c>
      <c r="B827" s="11" t="s">
        <v>2079</v>
      </c>
      <c r="C827" s="12">
        <v>46043</v>
      </c>
      <c r="D827" s="12">
        <v>46133</v>
      </c>
      <c r="E827" s="11" t="s">
        <v>6</v>
      </c>
      <c r="F827" s="11" t="s">
        <v>593</v>
      </c>
      <c r="G827" s="11" t="s">
        <v>2079</v>
      </c>
      <c r="H827" s="11"/>
      <c r="I827" s="11" t="s">
        <v>49</v>
      </c>
      <c r="J827" s="11">
        <v>2574.1</v>
      </c>
      <c r="K827" s="11">
        <v>2574.1</v>
      </c>
      <c r="L827" s="11"/>
      <c r="M827" s="11">
        <v>2574.1</v>
      </c>
      <c r="N827" s="11"/>
      <c r="O827" s="11" t="s">
        <v>50</v>
      </c>
    </row>
    <row r="828" spans="1:15" s="13" customFormat="1" ht="19.5" customHeight="1" x14ac:dyDescent="0.25">
      <c r="A828" s="11" t="s">
        <v>2080</v>
      </c>
      <c r="B828" s="11" t="s">
        <v>2080</v>
      </c>
      <c r="C828" s="12">
        <v>46043</v>
      </c>
      <c r="D828" s="12">
        <v>46133</v>
      </c>
      <c r="E828" s="11" t="s">
        <v>6</v>
      </c>
      <c r="F828" s="11" t="s">
        <v>59</v>
      </c>
      <c r="G828" s="11" t="s">
        <v>2080</v>
      </c>
      <c r="H828" s="11"/>
      <c r="I828" s="11" t="s">
        <v>49</v>
      </c>
      <c r="J828" s="11">
        <v>14947.33</v>
      </c>
      <c r="K828" s="11">
        <v>14947.33</v>
      </c>
      <c r="L828" s="11"/>
      <c r="M828" s="11">
        <v>14947.33</v>
      </c>
      <c r="N828" s="11" t="s">
        <v>2081</v>
      </c>
      <c r="O828" s="11" t="s">
        <v>50</v>
      </c>
    </row>
    <row r="829" spans="1:15" s="13" customFormat="1" ht="19.5" customHeight="1" x14ac:dyDescent="0.25">
      <c r="A829" s="11" t="s">
        <v>2082</v>
      </c>
      <c r="B829" s="11" t="s">
        <v>2082</v>
      </c>
      <c r="C829" s="12">
        <v>46043</v>
      </c>
      <c r="D829" s="12">
        <v>46103</v>
      </c>
      <c r="E829" s="11" t="s">
        <v>6</v>
      </c>
      <c r="F829" s="11" t="s">
        <v>555</v>
      </c>
      <c r="G829" s="11" t="s">
        <v>2082</v>
      </c>
      <c r="H829" s="11"/>
      <c r="I829" s="11" t="s">
        <v>49</v>
      </c>
      <c r="J829" s="11">
        <v>14696.43</v>
      </c>
      <c r="K829" s="11">
        <v>14696.43</v>
      </c>
      <c r="L829" s="11"/>
      <c r="M829" s="11">
        <v>14696.43</v>
      </c>
      <c r="N829" s="11" t="s">
        <v>2083</v>
      </c>
      <c r="O829" s="11" t="s">
        <v>50</v>
      </c>
    </row>
    <row r="830" spans="1:15" s="13" customFormat="1" ht="19.5" customHeight="1" x14ac:dyDescent="0.25">
      <c r="A830" s="11" t="s">
        <v>2084</v>
      </c>
      <c r="B830" s="11" t="s">
        <v>2084</v>
      </c>
      <c r="C830" s="12">
        <v>46043</v>
      </c>
      <c r="D830" s="11"/>
      <c r="E830" s="11" t="s">
        <v>6</v>
      </c>
      <c r="F830" s="11" t="s">
        <v>524</v>
      </c>
      <c r="G830" s="11"/>
      <c r="H830" s="11"/>
      <c r="I830" s="11" t="s">
        <v>49</v>
      </c>
      <c r="J830" s="11">
        <v>3396.46</v>
      </c>
      <c r="K830" s="11">
        <v>3396.46</v>
      </c>
      <c r="L830" s="11"/>
      <c r="M830" s="11">
        <v>3396.46</v>
      </c>
      <c r="N830" s="11"/>
      <c r="O830" s="11" t="s">
        <v>234</v>
      </c>
    </row>
    <row r="831" spans="1:15" s="13" customFormat="1" ht="19.5" customHeight="1" x14ac:dyDescent="0.25">
      <c r="A831" s="11" t="s">
        <v>2085</v>
      </c>
      <c r="B831" s="11" t="s">
        <v>2085</v>
      </c>
      <c r="C831" s="12">
        <v>46043</v>
      </c>
      <c r="D831" s="12">
        <v>46043</v>
      </c>
      <c r="E831" s="11" t="s">
        <v>6</v>
      </c>
      <c r="F831" s="11" t="s">
        <v>2086</v>
      </c>
      <c r="G831" s="11"/>
      <c r="H831" s="11"/>
      <c r="I831" s="11" t="s">
        <v>49</v>
      </c>
      <c r="J831" s="11">
        <v>-359.39</v>
      </c>
      <c r="K831" s="11"/>
      <c r="L831" s="11">
        <v>359.39</v>
      </c>
      <c r="M831" s="11">
        <v>-359.39</v>
      </c>
      <c r="N831" s="11"/>
      <c r="O831" s="11" t="s">
        <v>50</v>
      </c>
    </row>
    <row r="832" spans="1:15" s="13" customFormat="1" ht="19.5" customHeight="1" x14ac:dyDescent="0.25">
      <c r="A832" s="11" t="s">
        <v>2087</v>
      </c>
      <c r="B832" s="11" t="s">
        <v>2087</v>
      </c>
      <c r="C832" s="12">
        <v>46043</v>
      </c>
      <c r="D832" s="12">
        <v>46043</v>
      </c>
      <c r="E832" s="11" t="s">
        <v>6</v>
      </c>
      <c r="F832" s="11" t="s">
        <v>2088</v>
      </c>
      <c r="G832" s="11" t="s">
        <v>2087</v>
      </c>
      <c r="H832" s="11"/>
      <c r="I832" s="11" t="s">
        <v>49</v>
      </c>
      <c r="J832" s="11">
        <v>182.79</v>
      </c>
      <c r="K832" s="11">
        <v>182.79</v>
      </c>
      <c r="L832" s="11"/>
      <c r="M832" s="11">
        <v>182.79</v>
      </c>
      <c r="N832" s="11" t="s">
        <v>2089</v>
      </c>
      <c r="O832" s="11" t="s">
        <v>50</v>
      </c>
    </row>
    <row r="833" spans="1:15" s="13" customFormat="1" ht="19.5" customHeight="1" x14ac:dyDescent="0.25">
      <c r="A833" s="11" t="s">
        <v>2090</v>
      </c>
      <c r="B833" s="11" t="s">
        <v>2090</v>
      </c>
      <c r="C833" s="12">
        <v>46042</v>
      </c>
      <c r="D833" s="12">
        <v>46087</v>
      </c>
      <c r="E833" s="11" t="s">
        <v>6</v>
      </c>
      <c r="F833" s="11" t="s">
        <v>1405</v>
      </c>
      <c r="G833" s="11" t="s">
        <v>2090</v>
      </c>
      <c r="H833" s="11"/>
      <c r="I833" s="11" t="s">
        <v>49</v>
      </c>
      <c r="J833" s="11">
        <v>3980.2</v>
      </c>
      <c r="K833" s="11">
        <v>3980.2</v>
      </c>
      <c r="L833" s="11"/>
      <c r="M833" s="11">
        <v>3980.2</v>
      </c>
      <c r="N833" s="11"/>
      <c r="O833" s="11" t="s">
        <v>50</v>
      </c>
    </row>
    <row r="834" spans="1:15" s="13" customFormat="1" ht="19.5" customHeight="1" x14ac:dyDescent="0.25">
      <c r="A834" s="11" t="s">
        <v>2090</v>
      </c>
      <c r="B834" s="11" t="s">
        <v>2090</v>
      </c>
      <c r="C834" s="12">
        <v>46042</v>
      </c>
      <c r="D834" s="12">
        <v>46092</v>
      </c>
      <c r="E834" s="11" t="s">
        <v>6</v>
      </c>
      <c r="F834" s="11" t="s">
        <v>1405</v>
      </c>
      <c r="G834" s="11" t="s">
        <v>2090</v>
      </c>
      <c r="H834" s="11"/>
      <c r="I834" s="11" t="s">
        <v>49</v>
      </c>
      <c r="J834" s="11">
        <v>3980.2</v>
      </c>
      <c r="K834" s="11">
        <v>3980.2</v>
      </c>
      <c r="L834" s="11"/>
      <c r="M834" s="11">
        <v>3980.2</v>
      </c>
      <c r="N834" s="11"/>
      <c r="O834" s="11" t="s">
        <v>50</v>
      </c>
    </row>
    <row r="835" spans="1:15" s="13" customFormat="1" ht="19.5" customHeight="1" x14ac:dyDescent="0.25">
      <c r="A835" s="11" t="s">
        <v>2090</v>
      </c>
      <c r="B835" s="11" t="s">
        <v>2090</v>
      </c>
      <c r="C835" s="12">
        <v>46042</v>
      </c>
      <c r="D835" s="12">
        <v>46102</v>
      </c>
      <c r="E835" s="11" t="s">
        <v>6</v>
      </c>
      <c r="F835" s="11" t="s">
        <v>1405</v>
      </c>
      <c r="G835" s="11" t="s">
        <v>2090</v>
      </c>
      <c r="H835" s="11"/>
      <c r="I835" s="11" t="s">
        <v>49</v>
      </c>
      <c r="J835" s="11">
        <v>3980.2</v>
      </c>
      <c r="K835" s="11">
        <v>3980.2</v>
      </c>
      <c r="L835" s="11"/>
      <c r="M835" s="11">
        <v>3980.2</v>
      </c>
      <c r="N835" s="11"/>
      <c r="O835" s="11" t="s">
        <v>50</v>
      </c>
    </row>
    <row r="836" spans="1:15" s="13" customFormat="1" ht="19.5" customHeight="1" x14ac:dyDescent="0.25">
      <c r="A836" s="11" t="s">
        <v>2090</v>
      </c>
      <c r="B836" s="11" t="s">
        <v>2090</v>
      </c>
      <c r="C836" s="12">
        <v>46042</v>
      </c>
      <c r="D836" s="12">
        <v>46107</v>
      </c>
      <c r="E836" s="11" t="s">
        <v>6</v>
      </c>
      <c r="F836" s="11" t="s">
        <v>1405</v>
      </c>
      <c r="G836" s="11" t="s">
        <v>2090</v>
      </c>
      <c r="H836" s="11"/>
      <c r="I836" s="11" t="s">
        <v>49</v>
      </c>
      <c r="J836" s="11">
        <v>3980.2</v>
      </c>
      <c r="K836" s="11">
        <v>3980.2</v>
      </c>
      <c r="L836" s="11"/>
      <c r="M836" s="11">
        <v>3980.2</v>
      </c>
      <c r="N836" s="11"/>
      <c r="O836" s="11" t="s">
        <v>50</v>
      </c>
    </row>
    <row r="837" spans="1:15" s="13" customFormat="1" ht="19.5" customHeight="1" x14ac:dyDescent="0.25">
      <c r="A837" s="11" t="s">
        <v>2090</v>
      </c>
      <c r="B837" s="11" t="s">
        <v>2090</v>
      </c>
      <c r="C837" s="12">
        <v>46042</v>
      </c>
      <c r="D837" s="12">
        <v>46112</v>
      </c>
      <c r="E837" s="11" t="s">
        <v>6</v>
      </c>
      <c r="F837" s="11" t="s">
        <v>1405</v>
      </c>
      <c r="G837" s="11" t="s">
        <v>2090</v>
      </c>
      <c r="H837" s="11"/>
      <c r="I837" s="11" t="s">
        <v>49</v>
      </c>
      <c r="J837" s="11">
        <v>3980.2</v>
      </c>
      <c r="K837" s="11">
        <v>3980.2</v>
      </c>
      <c r="L837" s="11"/>
      <c r="M837" s="11">
        <v>3980.2</v>
      </c>
      <c r="N837" s="11"/>
      <c r="O837" s="11" t="s">
        <v>50</v>
      </c>
    </row>
    <row r="838" spans="1:15" s="13" customFormat="1" ht="19.5" customHeight="1" x14ac:dyDescent="0.25">
      <c r="A838" s="11" t="s">
        <v>2090</v>
      </c>
      <c r="B838" s="11" t="s">
        <v>2090</v>
      </c>
      <c r="C838" s="12">
        <v>46042</v>
      </c>
      <c r="D838" s="12">
        <v>46117</v>
      </c>
      <c r="E838" s="11" t="s">
        <v>6</v>
      </c>
      <c r="F838" s="11" t="s">
        <v>1405</v>
      </c>
      <c r="G838" s="11" t="s">
        <v>2090</v>
      </c>
      <c r="H838" s="11"/>
      <c r="I838" s="11" t="s">
        <v>49</v>
      </c>
      <c r="J838" s="11">
        <v>3989.75</v>
      </c>
      <c r="K838" s="11">
        <v>3989.75</v>
      </c>
      <c r="L838" s="11"/>
      <c r="M838" s="11">
        <v>3989.75</v>
      </c>
      <c r="N838" s="11"/>
      <c r="O838" s="11" t="s">
        <v>50</v>
      </c>
    </row>
    <row r="839" spans="1:15" s="13" customFormat="1" ht="19.5" customHeight="1" x14ac:dyDescent="0.25">
      <c r="A839" s="11" t="s">
        <v>2091</v>
      </c>
      <c r="B839" s="11" t="s">
        <v>2091</v>
      </c>
      <c r="C839" s="12">
        <v>46042</v>
      </c>
      <c r="D839" s="12">
        <v>46087</v>
      </c>
      <c r="E839" s="11" t="s">
        <v>6</v>
      </c>
      <c r="F839" s="11" t="s">
        <v>843</v>
      </c>
      <c r="G839" s="11" t="s">
        <v>2091</v>
      </c>
      <c r="H839" s="11"/>
      <c r="I839" s="11" t="s">
        <v>49</v>
      </c>
      <c r="J839" s="11">
        <v>13437.37</v>
      </c>
      <c r="K839" s="11">
        <v>13437.37</v>
      </c>
      <c r="L839" s="11"/>
      <c r="M839" s="11">
        <v>13437.37</v>
      </c>
      <c r="N839" s="11"/>
      <c r="O839" s="11" t="s">
        <v>50</v>
      </c>
    </row>
    <row r="840" spans="1:15" s="13" customFormat="1" ht="19.5" customHeight="1" x14ac:dyDescent="0.25">
      <c r="A840" s="11" t="s">
        <v>2091</v>
      </c>
      <c r="B840" s="11" t="s">
        <v>2091</v>
      </c>
      <c r="C840" s="12">
        <v>46042</v>
      </c>
      <c r="D840" s="12">
        <v>46098</v>
      </c>
      <c r="E840" s="11" t="s">
        <v>6</v>
      </c>
      <c r="F840" s="11" t="s">
        <v>843</v>
      </c>
      <c r="G840" s="11" t="s">
        <v>2091</v>
      </c>
      <c r="H840" s="11"/>
      <c r="I840" s="11" t="s">
        <v>49</v>
      </c>
      <c r="J840" s="11">
        <v>13437.37</v>
      </c>
      <c r="K840" s="11">
        <v>13437.37</v>
      </c>
      <c r="L840" s="11"/>
      <c r="M840" s="11">
        <v>13437.37</v>
      </c>
      <c r="N840" s="11"/>
      <c r="O840" s="11" t="s">
        <v>50</v>
      </c>
    </row>
    <row r="841" spans="1:15" s="13" customFormat="1" ht="19.5" customHeight="1" x14ac:dyDescent="0.25">
      <c r="A841" s="11" t="s">
        <v>2091</v>
      </c>
      <c r="B841" s="11" t="s">
        <v>2091</v>
      </c>
      <c r="C841" s="12">
        <v>46042</v>
      </c>
      <c r="D841" s="12">
        <v>46109</v>
      </c>
      <c r="E841" s="11" t="s">
        <v>6</v>
      </c>
      <c r="F841" s="11" t="s">
        <v>843</v>
      </c>
      <c r="G841" s="11" t="s">
        <v>2091</v>
      </c>
      <c r="H841" s="11"/>
      <c r="I841" s="11" t="s">
        <v>49</v>
      </c>
      <c r="J841" s="11">
        <v>13437.37</v>
      </c>
      <c r="K841" s="11">
        <v>13437.37</v>
      </c>
      <c r="L841" s="11"/>
      <c r="M841" s="11">
        <v>13437.37</v>
      </c>
      <c r="N841" s="11"/>
      <c r="O841" s="11" t="s">
        <v>50</v>
      </c>
    </row>
    <row r="842" spans="1:15" s="13" customFormat="1" ht="19.5" customHeight="1" x14ac:dyDescent="0.25">
      <c r="A842" s="11" t="s">
        <v>2091</v>
      </c>
      <c r="B842" s="11" t="s">
        <v>2091</v>
      </c>
      <c r="C842" s="12">
        <v>46042</v>
      </c>
      <c r="D842" s="12">
        <v>46120</v>
      </c>
      <c r="E842" s="11" t="s">
        <v>6</v>
      </c>
      <c r="F842" s="11" t="s">
        <v>843</v>
      </c>
      <c r="G842" s="11" t="s">
        <v>2091</v>
      </c>
      <c r="H842" s="11"/>
      <c r="I842" s="11" t="s">
        <v>49</v>
      </c>
      <c r="J842" s="11">
        <v>13437.37</v>
      </c>
      <c r="K842" s="11">
        <v>13437.37</v>
      </c>
      <c r="L842" s="11"/>
      <c r="M842" s="11">
        <v>13437.37</v>
      </c>
      <c r="N842" s="11"/>
      <c r="O842" s="11" t="s">
        <v>50</v>
      </c>
    </row>
    <row r="843" spans="1:15" s="13" customFormat="1" ht="19.5" customHeight="1" x14ac:dyDescent="0.25">
      <c r="A843" s="11" t="s">
        <v>2091</v>
      </c>
      <c r="B843" s="11" t="s">
        <v>2091</v>
      </c>
      <c r="C843" s="12">
        <v>46042</v>
      </c>
      <c r="D843" s="12">
        <v>46131</v>
      </c>
      <c r="E843" s="11" t="s">
        <v>6</v>
      </c>
      <c r="F843" s="11" t="s">
        <v>843</v>
      </c>
      <c r="G843" s="11" t="s">
        <v>2091</v>
      </c>
      <c r="H843" s="11"/>
      <c r="I843" s="11" t="s">
        <v>49</v>
      </c>
      <c r="J843" s="11">
        <v>13437.37</v>
      </c>
      <c r="K843" s="11">
        <v>13437.37</v>
      </c>
      <c r="L843" s="11"/>
      <c r="M843" s="11">
        <v>13437.37</v>
      </c>
      <c r="N843" s="11"/>
      <c r="O843" s="11" t="s">
        <v>50</v>
      </c>
    </row>
    <row r="844" spans="1:15" s="13" customFormat="1" ht="19.5" customHeight="1" x14ac:dyDescent="0.25">
      <c r="A844" s="11" t="s">
        <v>2091</v>
      </c>
      <c r="B844" s="11" t="s">
        <v>2091</v>
      </c>
      <c r="C844" s="12">
        <v>46042</v>
      </c>
      <c r="D844" s="12">
        <v>46142</v>
      </c>
      <c r="E844" s="11" t="s">
        <v>6</v>
      </c>
      <c r="F844" s="11" t="s">
        <v>843</v>
      </c>
      <c r="G844" s="11" t="s">
        <v>2091</v>
      </c>
      <c r="H844" s="11"/>
      <c r="I844" s="11" t="s">
        <v>49</v>
      </c>
      <c r="J844" s="11">
        <v>13437.37</v>
      </c>
      <c r="K844" s="11">
        <v>13437.37</v>
      </c>
      <c r="L844" s="11"/>
      <c r="M844" s="11">
        <v>13437.37</v>
      </c>
      <c r="N844" s="11"/>
      <c r="O844" s="11" t="s">
        <v>50</v>
      </c>
    </row>
    <row r="845" spans="1:15" s="13" customFormat="1" ht="19.5" customHeight="1" x14ac:dyDescent="0.25">
      <c r="A845" s="11" t="s">
        <v>2091</v>
      </c>
      <c r="B845" s="11" t="s">
        <v>2091</v>
      </c>
      <c r="C845" s="12">
        <v>46042</v>
      </c>
      <c r="D845" s="12">
        <v>46153</v>
      </c>
      <c r="E845" s="11" t="s">
        <v>6</v>
      </c>
      <c r="F845" s="11" t="s">
        <v>843</v>
      </c>
      <c r="G845" s="11" t="s">
        <v>2091</v>
      </c>
      <c r="H845" s="11"/>
      <c r="I845" s="11" t="s">
        <v>49</v>
      </c>
      <c r="J845" s="11">
        <v>13437.37</v>
      </c>
      <c r="K845" s="11">
        <v>13437.37</v>
      </c>
      <c r="L845" s="11"/>
      <c r="M845" s="11">
        <v>13437.37</v>
      </c>
      <c r="N845" s="11"/>
      <c r="O845" s="11" t="s">
        <v>50</v>
      </c>
    </row>
    <row r="846" spans="1:15" s="13" customFormat="1" ht="19.5" customHeight="1" x14ac:dyDescent="0.25">
      <c r="A846" s="11" t="s">
        <v>2091</v>
      </c>
      <c r="B846" s="11" t="s">
        <v>2091</v>
      </c>
      <c r="C846" s="12">
        <v>46042</v>
      </c>
      <c r="D846" s="12">
        <v>46164</v>
      </c>
      <c r="E846" s="11" t="s">
        <v>6</v>
      </c>
      <c r="F846" s="11" t="s">
        <v>843</v>
      </c>
      <c r="G846" s="11" t="s">
        <v>2091</v>
      </c>
      <c r="H846" s="11"/>
      <c r="I846" s="11" t="s">
        <v>49</v>
      </c>
      <c r="J846" s="11">
        <v>13437.39</v>
      </c>
      <c r="K846" s="11">
        <v>13437.39</v>
      </c>
      <c r="L846" s="11"/>
      <c r="M846" s="11">
        <v>13437.39</v>
      </c>
      <c r="N846" s="11"/>
      <c r="O846" s="11" t="s">
        <v>50</v>
      </c>
    </row>
    <row r="847" spans="1:15" s="13" customFormat="1" ht="19.5" customHeight="1" x14ac:dyDescent="0.25">
      <c r="A847" s="11" t="s">
        <v>2092</v>
      </c>
      <c r="B847" s="11" t="s">
        <v>2092</v>
      </c>
      <c r="C847" s="12">
        <v>46042</v>
      </c>
      <c r="D847" s="12">
        <v>46042</v>
      </c>
      <c r="E847" s="11" t="s">
        <v>6</v>
      </c>
      <c r="F847" s="11" t="s">
        <v>834</v>
      </c>
      <c r="G847" s="11"/>
      <c r="H847" s="11"/>
      <c r="I847" s="11" t="s">
        <v>49</v>
      </c>
      <c r="J847" s="11">
        <v>-448.58</v>
      </c>
      <c r="K847" s="11"/>
      <c r="L847" s="11">
        <v>448.58</v>
      </c>
      <c r="M847" s="11">
        <v>-448.58</v>
      </c>
      <c r="N847" s="11"/>
      <c r="O847" s="11" t="s">
        <v>50</v>
      </c>
    </row>
    <row r="848" spans="1:15" s="13" customFormat="1" ht="19.5" customHeight="1" x14ac:dyDescent="0.25">
      <c r="A848" s="11" t="s">
        <v>2093</v>
      </c>
      <c r="B848" s="11" t="s">
        <v>2093</v>
      </c>
      <c r="C848" s="12">
        <v>46042</v>
      </c>
      <c r="D848" s="12">
        <v>46042</v>
      </c>
      <c r="E848" s="11" t="s">
        <v>6</v>
      </c>
      <c r="F848" s="11" t="s">
        <v>2094</v>
      </c>
      <c r="G848" s="11" t="s">
        <v>2093</v>
      </c>
      <c r="H848" s="11"/>
      <c r="I848" s="11" t="s">
        <v>49</v>
      </c>
      <c r="J848" s="11">
        <v>67.290000000000006</v>
      </c>
      <c r="K848" s="11">
        <v>67.290000000000006</v>
      </c>
      <c r="L848" s="11"/>
      <c r="M848" s="11">
        <v>67.290000000000006</v>
      </c>
      <c r="N848" s="11" t="s">
        <v>2095</v>
      </c>
      <c r="O848" s="11" t="s">
        <v>50</v>
      </c>
    </row>
    <row r="849" spans="1:15" s="13" customFormat="1" ht="19.5" customHeight="1" x14ac:dyDescent="0.25">
      <c r="A849" s="11" t="s">
        <v>2096</v>
      </c>
      <c r="B849" s="11" t="s">
        <v>2096</v>
      </c>
      <c r="C849" s="12">
        <v>46042</v>
      </c>
      <c r="D849" s="12">
        <v>46042</v>
      </c>
      <c r="E849" s="11" t="s">
        <v>6</v>
      </c>
      <c r="F849" s="11" t="s">
        <v>2097</v>
      </c>
      <c r="G849" s="11" t="s">
        <v>2096</v>
      </c>
      <c r="H849" s="11"/>
      <c r="I849" s="11" t="s">
        <v>49</v>
      </c>
      <c r="J849" s="11">
        <v>109.8</v>
      </c>
      <c r="K849" s="11">
        <v>109.8</v>
      </c>
      <c r="L849" s="11"/>
      <c r="M849" s="11">
        <v>109.8</v>
      </c>
      <c r="N849" s="11" t="s">
        <v>2098</v>
      </c>
      <c r="O849" s="11" t="s">
        <v>50</v>
      </c>
    </row>
    <row r="850" spans="1:15" s="13" customFormat="1" ht="19.5" customHeight="1" x14ac:dyDescent="0.25">
      <c r="A850" s="11" t="s">
        <v>2099</v>
      </c>
      <c r="B850" s="11" t="s">
        <v>2099</v>
      </c>
      <c r="C850" s="12">
        <v>46042</v>
      </c>
      <c r="D850" s="12">
        <v>46042</v>
      </c>
      <c r="E850" s="11" t="s">
        <v>6</v>
      </c>
      <c r="F850" s="11" t="s">
        <v>2100</v>
      </c>
      <c r="G850" s="11" t="s">
        <v>2099</v>
      </c>
      <c r="H850" s="11"/>
      <c r="I850" s="11" t="s">
        <v>49</v>
      </c>
      <c r="J850" s="11">
        <v>62.29</v>
      </c>
      <c r="K850" s="11">
        <v>62.29</v>
      </c>
      <c r="L850" s="11"/>
      <c r="M850" s="11">
        <v>62.29</v>
      </c>
      <c r="N850" s="11" t="s">
        <v>2101</v>
      </c>
      <c r="O850" s="11" t="s">
        <v>50</v>
      </c>
    </row>
    <row r="851" spans="1:15" s="13" customFormat="1" ht="19.5" customHeight="1" x14ac:dyDescent="0.25">
      <c r="A851" s="11" t="s">
        <v>2102</v>
      </c>
      <c r="B851" s="11" t="s">
        <v>2102</v>
      </c>
      <c r="C851" s="12">
        <v>46042</v>
      </c>
      <c r="D851" s="12">
        <v>46042</v>
      </c>
      <c r="E851" s="11" t="s">
        <v>6</v>
      </c>
      <c r="F851" s="11" t="s">
        <v>2103</v>
      </c>
      <c r="G851" s="11" t="s">
        <v>2102</v>
      </c>
      <c r="H851" s="11"/>
      <c r="I851" s="11" t="s">
        <v>49</v>
      </c>
      <c r="J851" s="11">
        <v>58.04</v>
      </c>
      <c r="K851" s="11">
        <v>58.04</v>
      </c>
      <c r="L851" s="11"/>
      <c r="M851" s="11">
        <v>58.04</v>
      </c>
      <c r="N851" s="11" t="s">
        <v>2104</v>
      </c>
      <c r="O851" s="11" t="s">
        <v>50</v>
      </c>
    </row>
    <row r="852" spans="1:15" s="13" customFormat="1" ht="19.5" customHeight="1" x14ac:dyDescent="0.25">
      <c r="A852" s="11" t="s">
        <v>2105</v>
      </c>
      <c r="B852" s="11" t="s">
        <v>2105</v>
      </c>
      <c r="C852" s="12">
        <v>46041</v>
      </c>
      <c r="D852" s="12">
        <v>46041</v>
      </c>
      <c r="E852" s="11" t="s">
        <v>6</v>
      </c>
      <c r="F852" s="11" t="s">
        <v>2106</v>
      </c>
      <c r="G852" s="11" t="s">
        <v>2105</v>
      </c>
      <c r="H852" s="11"/>
      <c r="I852" s="11" t="s">
        <v>49</v>
      </c>
      <c r="J852" s="11">
        <v>73.3</v>
      </c>
      <c r="K852" s="11">
        <v>73.3</v>
      </c>
      <c r="L852" s="11"/>
      <c r="M852" s="11">
        <v>73.3</v>
      </c>
      <c r="N852" s="11"/>
      <c r="O852" s="11" t="s">
        <v>50</v>
      </c>
    </row>
    <row r="853" spans="1:15" s="13" customFormat="1" ht="19.5" customHeight="1" x14ac:dyDescent="0.25">
      <c r="A853" s="11" t="s">
        <v>2107</v>
      </c>
      <c r="B853" s="11" t="s">
        <v>2107</v>
      </c>
      <c r="C853" s="12">
        <v>46041</v>
      </c>
      <c r="D853" s="12">
        <v>46041</v>
      </c>
      <c r="E853" s="11" t="s">
        <v>6</v>
      </c>
      <c r="F853" s="11" t="s">
        <v>2108</v>
      </c>
      <c r="G853" s="11" t="s">
        <v>2107</v>
      </c>
      <c r="H853" s="11"/>
      <c r="I853" s="11" t="s">
        <v>49</v>
      </c>
      <c r="J853" s="11">
        <v>57.61</v>
      </c>
      <c r="K853" s="11">
        <v>57.61</v>
      </c>
      <c r="L853" s="11"/>
      <c r="M853" s="11">
        <v>57.61</v>
      </c>
      <c r="N853" s="11"/>
      <c r="O853" s="11" t="s">
        <v>50</v>
      </c>
    </row>
    <row r="854" spans="1:15" s="13" customFormat="1" ht="19.5" customHeight="1" x14ac:dyDescent="0.25">
      <c r="A854" s="11" t="s">
        <v>2109</v>
      </c>
      <c r="B854" s="11" t="s">
        <v>2109</v>
      </c>
      <c r="C854" s="12">
        <v>46041</v>
      </c>
      <c r="D854" s="12">
        <v>46041</v>
      </c>
      <c r="E854" s="11" t="s">
        <v>6</v>
      </c>
      <c r="F854" s="11" t="s">
        <v>2110</v>
      </c>
      <c r="G854" s="11" t="s">
        <v>2109</v>
      </c>
      <c r="H854" s="11"/>
      <c r="I854" s="11" t="s">
        <v>49</v>
      </c>
      <c r="J854" s="11">
        <v>211.95</v>
      </c>
      <c r="K854" s="11">
        <v>211.95</v>
      </c>
      <c r="L854" s="11"/>
      <c r="M854" s="11">
        <v>211.95</v>
      </c>
      <c r="N854" s="11"/>
      <c r="O854" s="11" t="s">
        <v>50</v>
      </c>
    </row>
    <row r="855" spans="1:15" s="13" customFormat="1" ht="19.5" customHeight="1" x14ac:dyDescent="0.25">
      <c r="A855" s="11" t="s">
        <v>2111</v>
      </c>
      <c r="B855" s="11" t="s">
        <v>2111</v>
      </c>
      <c r="C855" s="12">
        <v>46040</v>
      </c>
      <c r="D855" s="12">
        <v>46040</v>
      </c>
      <c r="E855" s="11" t="s">
        <v>6</v>
      </c>
      <c r="F855" s="11" t="s">
        <v>2112</v>
      </c>
      <c r="G855" s="11" t="s">
        <v>2111</v>
      </c>
      <c r="H855" s="11"/>
      <c r="I855" s="11" t="s">
        <v>49</v>
      </c>
      <c r="J855" s="11">
        <v>79.099999999999994</v>
      </c>
      <c r="K855" s="11">
        <v>79.099999999999994</v>
      </c>
      <c r="L855" s="11"/>
      <c r="M855" s="11">
        <v>79.099999999999994</v>
      </c>
      <c r="N855" s="11"/>
      <c r="O855" s="11" t="s">
        <v>50</v>
      </c>
    </row>
    <row r="856" spans="1:15" s="13" customFormat="1" ht="19.5" customHeight="1" x14ac:dyDescent="0.25">
      <c r="A856" s="11" t="s">
        <v>2113</v>
      </c>
      <c r="B856" s="11" t="s">
        <v>2113</v>
      </c>
      <c r="C856" s="12">
        <v>46037</v>
      </c>
      <c r="D856" s="12">
        <v>46037</v>
      </c>
      <c r="E856" s="11" t="s">
        <v>6</v>
      </c>
      <c r="F856" s="11" t="s">
        <v>2114</v>
      </c>
      <c r="G856" s="11" t="s">
        <v>2113</v>
      </c>
      <c r="H856" s="11"/>
      <c r="I856" s="11" t="s">
        <v>49</v>
      </c>
      <c r="J856" s="11">
        <v>270.89999999999998</v>
      </c>
      <c r="K856" s="11">
        <v>270.89999999999998</v>
      </c>
      <c r="L856" s="11"/>
      <c r="M856" s="11">
        <v>270.89999999999998</v>
      </c>
      <c r="N856" s="11" t="s">
        <v>2115</v>
      </c>
      <c r="O856" s="11" t="s">
        <v>50</v>
      </c>
    </row>
    <row r="857" spans="1:15" s="13" customFormat="1" ht="19.5" customHeight="1" x14ac:dyDescent="0.25">
      <c r="A857" s="11" t="s">
        <v>2116</v>
      </c>
      <c r="B857" s="11" t="s">
        <v>2116</v>
      </c>
      <c r="C857" s="12">
        <v>46037</v>
      </c>
      <c r="D857" s="12">
        <v>46037</v>
      </c>
      <c r="E857" s="11" t="s">
        <v>6</v>
      </c>
      <c r="F857" s="11" t="s">
        <v>2117</v>
      </c>
      <c r="G857" s="11" t="s">
        <v>2116</v>
      </c>
      <c r="H857" s="11"/>
      <c r="I857" s="11" t="s">
        <v>49</v>
      </c>
      <c r="J857" s="11">
        <v>81.510000000000005</v>
      </c>
      <c r="K857" s="11">
        <v>81.510000000000005</v>
      </c>
      <c r="L857" s="11"/>
      <c r="M857" s="11">
        <v>81.510000000000005</v>
      </c>
      <c r="N857" s="11" t="s">
        <v>2118</v>
      </c>
      <c r="O857" s="11" t="s">
        <v>50</v>
      </c>
    </row>
    <row r="858" spans="1:15" s="13" customFormat="1" ht="19.5" customHeight="1" x14ac:dyDescent="0.25">
      <c r="A858" s="11" t="s">
        <v>2119</v>
      </c>
      <c r="B858" s="11" t="s">
        <v>2119</v>
      </c>
      <c r="C858" s="12">
        <v>46037</v>
      </c>
      <c r="D858" s="12">
        <v>46037</v>
      </c>
      <c r="E858" s="11" t="s">
        <v>6</v>
      </c>
      <c r="F858" s="11" t="s">
        <v>2120</v>
      </c>
      <c r="G858" s="11" t="s">
        <v>2119</v>
      </c>
      <c r="H858" s="11"/>
      <c r="I858" s="11" t="s">
        <v>49</v>
      </c>
      <c r="J858" s="11">
        <v>76.81</v>
      </c>
      <c r="K858" s="11">
        <v>76.81</v>
      </c>
      <c r="L858" s="11"/>
      <c r="M858" s="11">
        <v>76.81</v>
      </c>
      <c r="N858" s="11"/>
      <c r="O858" s="11" t="s">
        <v>50</v>
      </c>
    </row>
    <row r="859" spans="1:15" s="13" customFormat="1" ht="19.5" customHeight="1" x14ac:dyDescent="0.25">
      <c r="A859" s="11" t="s">
        <v>2121</v>
      </c>
      <c r="B859" s="11" t="s">
        <v>2121</v>
      </c>
      <c r="C859" s="12">
        <v>46037</v>
      </c>
      <c r="D859" s="12">
        <v>46037</v>
      </c>
      <c r="E859" s="11" t="s">
        <v>6</v>
      </c>
      <c r="F859" s="11" t="s">
        <v>2122</v>
      </c>
      <c r="G859" s="11" t="s">
        <v>2121</v>
      </c>
      <c r="H859" s="11"/>
      <c r="I859" s="11" t="s">
        <v>49</v>
      </c>
      <c r="J859" s="11">
        <v>54.4</v>
      </c>
      <c r="K859" s="11">
        <v>54.4</v>
      </c>
      <c r="L859" s="11"/>
      <c r="M859" s="11">
        <v>54.4</v>
      </c>
      <c r="N859" s="11" t="s">
        <v>2123</v>
      </c>
      <c r="O859" s="11" t="s">
        <v>50</v>
      </c>
    </row>
    <row r="860" spans="1:15" s="13" customFormat="1" ht="19.5" customHeight="1" x14ac:dyDescent="0.25">
      <c r="A860" s="11" t="s">
        <v>2124</v>
      </c>
      <c r="B860" s="11" t="s">
        <v>2124</v>
      </c>
      <c r="C860" s="12">
        <v>46037</v>
      </c>
      <c r="D860" s="12">
        <v>46037</v>
      </c>
      <c r="E860" s="11" t="s">
        <v>6</v>
      </c>
      <c r="F860" s="11" t="s">
        <v>2125</v>
      </c>
      <c r="G860" s="11" t="s">
        <v>2124</v>
      </c>
      <c r="H860" s="11"/>
      <c r="I860" s="11" t="s">
        <v>49</v>
      </c>
      <c r="J860" s="11">
        <v>471.8</v>
      </c>
      <c r="K860" s="11">
        <v>471.8</v>
      </c>
      <c r="L860" s="11"/>
      <c r="M860" s="11">
        <v>471.8</v>
      </c>
      <c r="N860" s="11"/>
      <c r="O860" s="11" t="s">
        <v>50</v>
      </c>
    </row>
    <row r="861" spans="1:15" s="13" customFormat="1" ht="19.5" customHeight="1" x14ac:dyDescent="0.25">
      <c r="A861" s="11" t="s">
        <v>2126</v>
      </c>
      <c r="B861" s="11" t="s">
        <v>2126</v>
      </c>
      <c r="C861" s="12">
        <v>46037</v>
      </c>
      <c r="D861" s="12">
        <v>46037</v>
      </c>
      <c r="E861" s="11" t="s">
        <v>6</v>
      </c>
      <c r="F861" s="11" t="s">
        <v>2127</v>
      </c>
      <c r="G861" s="11" t="s">
        <v>2126</v>
      </c>
      <c r="H861" s="11"/>
      <c r="I861" s="11" t="s">
        <v>49</v>
      </c>
      <c r="J861" s="11">
        <v>113.91</v>
      </c>
      <c r="K861" s="11">
        <v>113.91</v>
      </c>
      <c r="L861" s="11"/>
      <c r="M861" s="11">
        <v>113.91</v>
      </c>
      <c r="N861" s="11" t="s">
        <v>2128</v>
      </c>
      <c r="O861" s="11" t="s">
        <v>50</v>
      </c>
    </row>
    <row r="862" spans="1:15" s="13" customFormat="1" ht="19.5" customHeight="1" x14ac:dyDescent="0.25">
      <c r="A862" s="11" t="s">
        <v>2129</v>
      </c>
      <c r="B862" s="11" t="s">
        <v>2129</v>
      </c>
      <c r="C862" s="12">
        <v>46037</v>
      </c>
      <c r="D862" s="12">
        <v>46037</v>
      </c>
      <c r="E862" s="11" t="s">
        <v>6</v>
      </c>
      <c r="F862" s="11" t="s">
        <v>2130</v>
      </c>
      <c r="G862" s="11" t="s">
        <v>2129</v>
      </c>
      <c r="H862" s="11"/>
      <c r="I862" s="11" t="s">
        <v>49</v>
      </c>
      <c r="J862" s="11">
        <v>94.05</v>
      </c>
      <c r="K862" s="11">
        <v>94.05</v>
      </c>
      <c r="L862" s="11"/>
      <c r="M862" s="11">
        <v>94.05</v>
      </c>
      <c r="N862" s="11" t="s">
        <v>2131</v>
      </c>
      <c r="O862" s="11" t="s">
        <v>50</v>
      </c>
    </row>
    <row r="863" spans="1:15" s="13" customFormat="1" ht="19.5" customHeight="1" x14ac:dyDescent="0.25">
      <c r="A863" s="11" t="s">
        <v>2132</v>
      </c>
      <c r="B863" s="11" t="s">
        <v>2132</v>
      </c>
      <c r="C863" s="12">
        <v>46036</v>
      </c>
      <c r="D863" s="12">
        <v>46036</v>
      </c>
      <c r="E863" s="11" t="s">
        <v>6</v>
      </c>
      <c r="F863" s="11" t="s">
        <v>524</v>
      </c>
      <c r="G863" s="11"/>
      <c r="H863" s="11"/>
      <c r="I863" s="11" t="s">
        <v>49</v>
      </c>
      <c r="J863" s="11">
        <v>-3399.46</v>
      </c>
      <c r="K863" s="11"/>
      <c r="L863" s="11">
        <v>3399.46</v>
      </c>
      <c r="M863" s="11">
        <v>-3399.46</v>
      </c>
      <c r="N863" s="11"/>
      <c r="O863" s="11" t="s">
        <v>50</v>
      </c>
    </row>
    <row r="864" spans="1:15" s="13" customFormat="1" ht="19.5" customHeight="1" x14ac:dyDescent="0.25">
      <c r="A864" s="11" t="s">
        <v>2133</v>
      </c>
      <c r="B864" s="11" t="s">
        <v>2133</v>
      </c>
      <c r="C864" s="12">
        <v>46036</v>
      </c>
      <c r="D864" s="12">
        <v>46036</v>
      </c>
      <c r="E864" s="11" t="s">
        <v>6</v>
      </c>
      <c r="F864" s="11" t="s">
        <v>1208</v>
      </c>
      <c r="G864" s="11" t="s">
        <v>2133</v>
      </c>
      <c r="H864" s="11"/>
      <c r="I864" s="11" t="s">
        <v>49</v>
      </c>
      <c r="J864" s="11">
        <v>423.9</v>
      </c>
      <c r="K864" s="11">
        <v>423.9</v>
      </c>
      <c r="L864" s="11"/>
      <c r="M864" s="11">
        <v>423.9</v>
      </c>
      <c r="N864" s="11" t="s">
        <v>2134</v>
      </c>
      <c r="O864" s="11" t="s">
        <v>50</v>
      </c>
    </row>
    <row r="865" spans="1:15" s="13" customFormat="1" ht="19.5" customHeight="1" x14ac:dyDescent="0.25">
      <c r="A865" s="11" t="s">
        <v>2135</v>
      </c>
      <c r="B865" s="11" t="s">
        <v>2135</v>
      </c>
      <c r="C865" s="12">
        <v>46036</v>
      </c>
      <c r="D865" s="12">
        <v>46036</v>
      </c>
      <c r="E865" s="11" t="s">
        <v>6</v>
      </c>
      <c r="F865" s="11" t="s">
        <v>2136</v>
      </c>
      <c r="G865" s="11" t="s">
        <v>2135</v>
      </c>
      <c r="H865" s="11"/>
      <c r="I865" s="11" t="s">
        <v>49</v>
      </c>
      <c r="J865" s="11">
        <v>45.9</v>
      </c>
      <c r="K865" s="11">
        <v>45.9</v>
      </c>
      <c r="L865" s="11"/>
      <c r="M865" s="11">
        <v>45.9</v>
      </c>
      <c r="N865" s="11" t="s">
        <v>2137</v>
      </c>
      <c r="O865" s="11" t="s">
        <v>50</v>
      </c>
    </row>
    <row r="866" spans="1:15" s="13" customFormat="1" ht="19.5" customHeight="1" x14ac:dyDescent="0.25">
      <c r="A866" s="11" t="s">
        <v>2138</v>
      </c>
      <c r="B866" s="11" t="s">
        <v>2138</v>
      </c>
      <c r="C866" s="12">
        <v>46036</v>
      </c>
      <c r="D866" s="12">
        <v>46036</v>
      </c>
      <c r="E866" s="11" t="s">
        <v>6</v>
      </c>
      <c r="F866" s="11" t="s">
        <v>2139</v>
      </c>
      <c r="G866" s="11" t="s">
        <v>2138</v>
      </c>
      <c r="H866" s="11"/>
      <c r="I866" s="11" t="s">
        <v>49</v>
      </c>
      <c r="J866" s="11">
        <v>12591.01</v>
      </c>
      <c r="K866" s="11">
        <v>12591.01</v>
      </c>
      <c r="L866" s="11"/>
      <c r="M866" s="11">
        <v>12591.01</v>
      </c>
      <c r="N866" s="11"/>
      <c r="O866" s="11" t="s">
        <v>50</v>
      </c>
    </row>
    <row r="867" spans="1:15" s="13" customFormat="1" ht="19.5" customHeight="1" x14ac:dyDescent="0.25">
      <c r="A867" s="11" t="s">
        <v>2140</v>
      </c>
      <c r="B867" s="11" t="s">
        <v>2140</v>
      </c>
      <c r="C867" s="12">
        <v>46036</v>
      </c>
      <c r="D867" s="12">
        <v>46036</v>
      </c>
      <c r="E867" s="11" t="s">
        <v>6</v>
      </c>
      <c r="F867" s="11" t="s">
        <v>1706</v>
      </c>
      <c r="G867" s="11" t="s">
        <v>2140</v>
      </c>
      <c r="H867" s="11"/>
      <c r="I867" s="11" t="s">
        <v>49</v>
      </c>
      <c r="J867" s="11">
        <v>128.24</v>
      </c>
      <c r="K867" s="11">
        <v>128.24</v>
      </c>
      <c r="L867" s="11"/>
      <c r="M867" s="11">
        <v>128.24</v>
      </c>
      <c r="N867" s="11" t="s">
        <v>2141</v>
      </c>
      <c r="O867" s="11" t="s">
        <v>50</v>
      </c>
    </row>
    <row r="868" spans="1:15" s="13" customFormat="1" ht="19.5" customHeight="1" x14ac:dyDescent="0.25">
      <c r="A868" s="11" t="s">
        <v>2142</v>
      </c>
      <c r="B868" s="11" t="s">
        <v>2142</v>
      </c>
      <c r="C868" s="12">
        <v>46036</v>
      </c>
      <c r="D868" s="12">
        <v>46036</v>
      </c>
      <c r="E868" s="11" t="s">
        <v>6</v>
      </c>
      <c r="F868" s="11" t="s">
        <v>2143</v>
      </c>
      <c r="G868" s="11" t="s">
        <v>2142</v>
      </c>
      <c r="H868" s="11"/>
      <c r="I868" s="11" t="s">
        <v>49</v>
      </c>
      <c r="J868" s="11">
        <v>90.86</v>
      </c>
      <c r="K868" s="11">
        <v>90.86</v>
      </c>
      <c r="L868" s="11"/>
      <c r="M868" s="11">
        <v>90.86</v>
      </c>
      <c r="N868" s="11" t="s">
        <v>2144</v>
      </c>
      <c r="O868" s="11" t="s">
        <v>50</v>
      </c>
    </row>
    <row r="869" spans="1:15" s="13" customFormat="1" ht="19.5" customHeight="1" x14ac:dyDescent="0.25">
      <c r="A869" s="11" t="s">
        <v>2145</v>
      </c>
      <c r="B869" s="11" t="s">
        <v>2145</v>
      </c>
      <c r="C869" s="12">
        <v>46035</v>
      </c>
      <c r="D869" s="12">
        <v>46035</v>
      </c>
      <c r="E869" s="11" t="s">
        <v>6</v>
      </c>
      <c r="F869" s="11" t="s">
        <v>2146</v>
      </c>
      <c r="G869" s="11" t="s">
        <v>2145</v>
      </c>
      <c r="H869" s="11"/>
      <c r="I869" s="11" t="s">
        <v>49</v>
      </c>
      <c r="J869" s="11">
        <v>66.400000000000006</v>
      </c>
      <c r="K869" s="11">
        <v>66.400000000000006</v>
      </c>
      <c r="L869" s="11"/>
      <c r="M869" s="11">
        <v>66.400000000000006</v>
      </c>
      <c r="N869" s="11"/>
      <c r="O869" s="11" t="s">
        <v>50</v>
      </c>
    </row>
    <row r="870" spans="1:15" s="13" customFormat="1" ht="19.5" customHeight="1" x14ac:dyDescent="0.25">
      <c r="A870" s="11" t="s">
        <v>2147</v>
      </c>
      <c r="B870" s="11" t="s">
        <v>2147</v>
      </c>
      <c r="C870" s="12">
        <v>46035</v>
      </c>
      <c r="D870" s="12">
        <v>46035</v>
      </c>
      <c r="E870" s="11" t="s">
        <v>6</v>
      </c>
      <c r="F870" s="11" t="s">
        <v>1221</v>
      </c>
      <c r="G870" s="11" t="s">
        <v>2147</v>
      </c>
      <c r="H870" s="11"/>
      <c r="I870" s="11" t="s">
        <v>49</v>
      </c>
      <c r="J870" s="11">
        <v>64.81</v>
      </c>
      <c r="K870" s="11">
        <v>64.81</v>
      </c>
      <c r="L870" s="11"/>
      <c r="M870" s="11">
        <v>64.81</v>
      </c>
      <c r="N870" s="11" t="s">
        <v>2148</v>
      </c>
      <c r="O870" s="11" t="s">
        <v>50</v>
      </c>
    </row>
    <row r="871" spans="1:15" s="13" customFormat="1" ht="19.5" customHeight="1" x14ac:dyDescent="0.25">
      <c r="A871" s="11" t="s">
        <v>2149</v>
      </c>
      <c r="B871" s="11" t="s">
        <v>2149</v>
      </c>
      <c r="C871" s="12">
        <v>46035</v>
      </c>
      <c r="D871" s="12">
        <v>46035</v>
      </c>
      <c r="E871" s="11" t="s">
        <v>6</v>
      </c>
      <c r="F871" s="11" t="s">
        <v>2150</v>
      </c>
      <c r="G871" s="11" t="s">
        <v>2149</v>
      </c>
      <c r="H871" s="11"/>
      <c r="I871" s="11" t="s">
        <v>49</v>
      </c>
      <c r="J871" s="11">
        <v>90.86</v>
      </c>
      <c r="K871" s="11">
        <v>90.86</v>
      </c>
      <c r="L871" s="11"/>
      <c r="M871" s="11">
        <v>90.86</v>
      </c>
      <c r="N871" s="11" t="s">
        <v>2151</v>
      </c>
      <c r="O871" s="11" t="s">
        <v>50</v>
      </c>
    </row>
    <row r="872" spans="1:15" s="13" customFormat="1" ht="19.5" customHeight="1" x14ac:dyDescent="0.25">
      <c r="A872" s="11" t="s">
        <v>2152</v>
      </c>
      <c r="B872" s="11" t="s">
        <v>2152</v>
      </c>
      <c r="C872" s="12">
        <v>46035</v>
      </c>
      <c r="D872" s="12">
        <v>46035</v>
      </c>
      <c r="E872" s="11" t="s">
        <v>6</v>
      </c>
      <c r="F872" s="11" t="s">
        <v>2153</v>
      </c>
      <c r="G872" s="11" t="s">
        <v>2152</v>
      </c>
      <c r="H872" s="11"/>
      <c r="I872" s="11" t="s">
        <v>49</v>
      </c>
      <c r="J872" s="11">
        <v>72.680000000000007</v>
      </c>
      <c r="K872" s="11">
        <v>72.680000000000007</v>
      </c>
      <c r="L872" s="11"/>
      <c r="M872" s="11">
        <v>72.680000000000007</v>
      </c>
      <c r="N872" s="11" t="s">
        <v>2154</v>
      </c>
      <c r="O872" s="11" t="s">
        <v>50</v>
      </c>
    </row>
    <row r="873" spans="1:15" s="13" customFormat="1" ht="19.5" customHeight="1" x14ac:dyDescent="0.25">
      <c r="A873" s="11" t="s">
        <v>2155</v>
      </c>
      <c r="B873" s="11" t="s">
        <v>2155</v>
      </c>
      <c r="C873" s="12">
        <v>46035</v>
      </c>
      <c r="D873" s="12">
        <v>46035</v>
      </c>
      <c r="E873" s="11" t="s">
        <v>6</v>
      </c>
      <c r="F873" s="11" t="s">
        <v>2156</v>
      </c>
      <c r="G873" s="11" t="s">
        <v>2155</v>
      </c>
      <c r="H873" s="11"/>
      <c r="I873" s="11" t="s">
        <v>49</v>
      </c>
      <c r="J873" s="11">
        <v>103.01</v>
      </c>
      <c r="K873" s="11">
        <v>103.01</v>
      </c>
      <c r="L873" s="11"/>
      <c r="M873" s="11">
        <v>103.01</v>
      </c>
      <c r="N873" s="11" t="s">
        <v>2157</v>
      </c>
      <c r="O873" s="11" t="s">
        <v>50</v>
      </c>
    </row>
    <row r="874" spans="1:15" s="13" customFormat="1" ht="19.5" customHeight="1" x14ac:dyDescent="0.25">
      <c r="A874" s="11" t="s">
        <v>2158</v>
      </c>
      <c r="B874" s="11" t="s">
        <v>2158</v>
      </c>
      <c r="C874" s="12">
        <v>46035</v>
      </c>
      <c r="D874" s="12">
        <v>46035</v>
      </c>
      <c r="E874" s="11" t="s">
        <v>6</v>
      </c>
      <c r="F874" s="11" t="s">
        <v>2159</v>
      </c>
      <c r="G874" s="11" t="s">
        <v>2158</v>
      </c>
      <c r="H874" s="11"/>
      <c r="I874" s="11" t="s">
        <v>49</v>
      </c>
      <c r="J874" s="11">
        <v>127.42</v>
      </c>
      <c r="K874" s="11">
        <v>127.42</v>
      </c>
      <c r="L874" s="11"/>
      <c r="M874" s="11">
        <v>127.42</v>
      </c>
      <c r="N874" s="11" t="s">
        <v>2160</v>
      </c>
      <c r="O874" s="11" t="s">
        <v>50</v>
      </c>
    </row>
    <row r="875" spans="1:15" s="13" customFormat="1" ht="19.5" customHeight="1" x14ac:dyDescent="0.25">
      <c r="A875" s="11" t="s">
        <v>2161</v>
      </c>
      <c r="B875" s="11" t="s">
        <v>2161</v>
      </c>
      <c r="C875" s="12">
        <v>46034</v>
      </c>
      <c r="D875" s="12">
        <v>46034</v>
      </c>
      <c r="E875" s="11" t="s">
        <v>6</v>
      </c>
      <c r="F875" s="11" t="s">
        <v>64</v>
      </c>
      <c r="G875" s="11"/>
      <c r="H875" s="11"/>
      <c r="I875" s="11" t="s">
        <v>49</v>
      </c>
      <c r="J875" s="11">
        <v>-150.44999999999999</v>
      </c>
      <c r="K875" s="11"/>
      <c r="L875" s="11">
        <v>150.44999999999999</v>
      </c>
      <c r="M875" s="11">
        <v>-150.44999999999999</v>
      </c>
      <c r="N875" s="11"/>
      <c r="O875" s="11" t="s">
        <v>50</v>
      </c>
    </row>
    <row r="876" spans="1:15" s="13" customFormat="1" ht="19.5" customHeight="1" x14ac:dyDescent="0.25">
      <c r="A876" s="11" t="s">
        <v>2162</v>
      </c>
      <c r="B876" s="11" t="s">
        <v>2162</v>
      </c>
      <c r="C876" s="12">
        <v>46034</v>
      </c>
      <c r="D876" s="12">
        <v>46034</v>
      </c>
      <c r="E876" s="11" t="s">
        <v>6</v>
      </c>
      <c r="F876" s="11" t="s">
        <v>64</v>
      </c>
      <c r="G876" s="11"/>
      <c r="H876" s="11"/>
      <c r="I876" s="11" t="s">
        <v>49</v>
      </c>
      <c r="J876" s="11">
        <v>-880.39</v>
      </c>
      <c r="K876" s="11"/>
      <c r="L876" s="11">
        <v>880.39</v>
      </c>
      <c r="M876" s="11">
        <v>-880.39</v>
      </c>
      <c r="N876" s="11"/>
      <c r="O876" s="11" t="s">
        <v>50</v>
      </c>
    </row>
    <row r="877" spans="1:15" s="13" customFormat="1" ht="19.5" customHeight="1" x14ac:dyDescent="0.25">
      <c r="A877" s="11" t="s">
        <v>2163</v>
      </c>
      <c r="B877" s="11" t="s">
        <v>2163</v>
      </c>
      <c r="C877" s="12">
        <v>46034</v>
      </c>
      <c r="D877" s="12">
        <v>46034</v>
      </c>
      <c r="E877" s="11" t="s">
        <v>6</v>
      </c>
      <c r="F877" s="11" t="s">
        <v>64</v>
      </c>
      <c r="G877" s="11"/>
      <c r="H877" s="11"/>
      <c r="I877" s="11" t="s">
        <v>49</v>
      </c>
      <c r="J877" s="11">
        <v>-623.91999999999996</v>
      </c>
      <c r="K877" s="11"/>
      <c r="L877" s="11">
        <v>623.91999999999996</v>
      </c>
      <c r="M877" s="11">
        <v>-623.91999999999996</v>
      </c>
      <c r="N877" s="11"/>
      <c r="O877" s="11" t="s">
        <v>50</v>
      </c>
    </row>
    <row r="878" spans="1:15" s="13" customFormat="1" ht="19.5" customHeight="1" x14ac:dyDescent="0.25">
      <c r="A878" s="11" t="s">
        <v>2164</v>
      </c>
      <c r="B878" s="11" t="s">
        <v>2165</v>
      </c>
      <c r="C878" s="12">
        <v>46034</v>
      </c>
      <c r="D878" s="12">
        <v>46034</v>
      </c>
      <c r="E878" s="11" t="s">
        <v>6</v>
      </c>
      <c r="F878" s="11" t="s">
        <v>2166</v>
      </c>
      <c r="G878" s="11"/>
      <c r="H878" s="11" t="s">
        <v>2167</v>
      </c>
      <c r="I878" s="11" t="s">
        <v>49</v>
      </c>
      <c r="J878" s="11">
        <v>-258.41000000000003</v>
      </c>
      <c r="K878" s="11"/>
      <c r="L878" s="11">
        <v>258.41000000000003</v>
      </c>
      <c r="M878" s="11">
        <v>-258.41000000000003</v>
      </c>
      <c r="N878" s="11"/>
      <c r="O878" s="11" t="s">
        <v>50</v>
      </c>
    </row>
    <row r="879" spans="1:15" s="13" customFormat="1" ht="19.5" customHeight="1" x14ac:dyDescent="0.25">
      <c r="A879" s="11" t="s">
        <v>2168</v>
      </c>
      <c r="B879" s="11" t="s">
        <v>2168</v>
      </c>
      <c r="C879" s="12">
        <v>46034</v>
      </c>
      <c r="D879" s="12">
        <v>46034</v>
      </c>
      <c r="E879" s="11" t="s">
        <v>6</v>
      </c>
      <c r="F879" s="11" t="s">
        <v>2169</v>
      </c>
      <c r="G879" s="11" t="s">
        <v>2168</v>
      </c>
      <c r="H879" s="11"/>
      <c r="I879" s="11" t="s">
        <v>49</v>
      </c>
      <c r="J879" s="11">
        <v>140.24</v>
      </c>
      <c r="K879" s="11">
        <v>140.24</v>
      </c>
      <c r="L879" s="11"/>
      <c r="M879" s="11">
        <v>140.24</v>
      </c>
      <c r="N879" s="11"/>
      <c r="O879" s="11" t="s">
        <v>50</v>
      </c>
    </row>
    <row r="880" spans="1:15" s="13" customFormat="1" ht="19.5" customHeight="1" x14ac:dyDescent="0.25">
      <c r="A880" s="11" t="s">
        <v>2170</v>
      </c>
      <c r="B880" s="11" t="s">
        <v>2170</v>
      </c>
      <c r="C880" s="12">
        <v>46034</v>
      </c>
      <c r="D880" s="12">
        <v>46034</v>
      </c>
      <c r="E880" s="11" t="s">
        <v>6</v>
      </c>
      <c r="F880" s="11" t="s">
        <v>2171</v>
      </c>
      <c r="G880" s="11" t="s">
        <v>2170</v>
      </c>
      <c r="H880" s="11"/>
      <c r="I880" s="11" t="s">
        <v>49</v>
      </c>
      <c r="J880" s="11">
        <v>140.24</v>
      </c>
      <c r="K880" s="11">
        <v>140.24</v>
      </c>
      <c r="L880" s="11"/>
      <c r="M880" s="11">
        <v>140.24</v>
      </c>
      <c r="N880" s="11"/>
      <c r="O880" s="11" t="s">
        <v>50</v>
      </c>
    </row>
    <row r="881" spans="1:15" s="13" customFormat="1" ht="19.5" customHeight="1" x14ac:dyDescent="0.25">
      <c r="A881" s="11" t="s">
        <v>2172</v>
      </c>
      <c r="B881" s="11" t="s">
        <v>2172</v>
      </c>
      <c r="C881" s="12">
        <v>46034</v>
      </c>
      <c r="D881" s="12">
        <v>46034</v>
      </c>
      <c r="E881" s="11" t="s">
        <v>6</v>
      </c>
      <c r="F881" s="11" t="s">
        <v>2173</v>
      </c>
      <c r="G881" s="11" t="s">
        <v>2172</v>
      </c>
      <c r="H881" s="11"/>
      <c r="I881" s="11" t="s">
        <v>49</v>
      </c>
      <c r="J881" s="11">
        <v>129.94</v>
      </c>
      <c r="K881" s="11">
        <v>129.94</v>
      </c>
      <c r="L881" s="11"/>
      <c r="M881" s="11">
        <v>129.94</v>
      </c>
      <c r="N881" s="11"/>
      <c r="O881" s="11" t="s">
        <v>50</v>
      </c>
    </row>
    <row r="882" spans="1:15" s="13" customFormat="1" ht="19.5" customHeight="1" x14ac:dyDescent="0.25">
      <c r="A882" s="11" t="s">
        <v>2174</v>
      </c>
      <c r="B882" s="11" t="s">
        <v>2174</v>
      </c>
      <c r="C882" s="12">
        <v>46034</v>
      </c>
      <c r="D882" s="12">
        <v>46034</v>
      </c>
      <c r="E882" s="11" t="s">
        <v>6</v>
      </c>
      <c r="F882" s="11" t="s">
        <v>2035</v>
      </c>
      <c r="G882" s="11" t="s">
        <v>2174</v>
      </c>
      <c r="H882" s="11"/>
      <c r="I882" s="11" t="s">
        <v>49</v>
      </c>
      <c r="J882" s="11">
        <v>74.709999999999994</v>
      </c>
      <c r="K882" s="11">
        <v>74.709999999999994</v>
      </c>
      <c r="L882" s="11"/>
      <c r="M882" s="11">
        <v>74.709999999999994</v>
      </c>
      <c r="N882" s="11" t="s">
        <v>2175</v>
      </c>
      <c r="O882" s="11" t="s">
        <v>50</v>
      </c>
    </row>
    <row r="883" spans="1:15" s="13" customFormat="1" ht="19.5" customHeight="1" x14ac:dyDescent="0.25">
      <c r="A883" s="11" t="s">
        <v>2176</v>
      </c>
      <c r="B883" s="11" t="s">
        <v>2176</v>
      </c>
      <c r="C883" s="12">
        <v>46034</v>
      </c>
      <c r="D883" s="12">
        <v>46034</v>
      </c>
      <c r="E883" s="11" t="s">
        <v>6</v>
      </c>
      <c r="F883" s="11" t="s">
        <v>2177</v>
      </c>
      <c r="G883" s="11" t="s">
        <v>2176</v>
      </c>
      <c r="H883" s="11"/>
      <c r="I883" s="11" t="s">
        <v>49</v>
      </c>
      <c r="J883" s="11">
        <v>112.5</v>
      </c>
      <c r="K883" s="11">
        <v>112.5</v>
      </c>
      <c r="L883" s="11"/>
      <c r="M883" s="11">
        <v>112.5</v>
      </c>
      <c r="N883" s="11" t="s">
        <v>2178</v>
      </c>
      <c r="O883" s="11" t="s">
        <v>50</v>
      </c>
    </row>
    <row r="884" spans="1:15" s="13" customFormat="1" ht="19.5" customHeight="1" x14ac:dyDescent="0.25">
      <c r="A884" s="11" t="s">
        <v>2179</v>
      </c>
      <c r="B884" s="11" t="s">
        <v>2179</v>
      </c>
      <c r="C884" s="12">
        <v>46031</v>
      </c>
      <c r="D884" s="12">
        <v>46031</v>
      </c>
      <c r="E884" s="11" t="s">
        <v>6</v>
      </c>
      <c r="F884" s="11" t="s">
        <v>2180</v>
      </c>
      <c r="G884" s="11" t="s">
        <v>2179</v>
      </c>
      <c r="H884" s="11"/>
      <c r="I884" s="11" t="s">
        <v>49</v>
      </c>
      <c r="J884" s="11">
        <v>190.83</v>
      </c>
      <c r="K884" s="11">
        <v>190.83</v>
      </c>
      <c r="L884" s="11"/>
      <c r="M884" s="11">
        <v>190.83</v>
      </c>
      <c r="N884" s="11" t="s">
        <v>2181</v>
      </c>
      <c r="O884" s="11" t="s">
        <v>50</v>
      </c>
    </row>
    <row r="885" spans="1:15" s="13" customFormat="1" ht="19.5" customHeight="1" x14ac:dyDescent="0.25">
      <c r="A885" s="11" t="s">
        <v>2182</v>
      </c>
      <c r="B885" s="11" t="s">
        <v>2182</v>
      </c>
      <c r="C885" s="12">
        <v>46031</v>
      </c>
      <c r="D885" s="12">
        <v>46031</v>
      </c>
      <c r="E885" s="11" t="s">
        <v>6</v>
      </c>
      <c r="F885" s="11" t="s">
        <v>2183</v>
      </c>
      <c r="G885" s="11" t="s">
        <v>2182</v>
      </c>
      <c r="H885" s="11"/>
      <c r="I885" s="11" t="s">
        <v>49</v>
      </c>
      <c r="J885" s="11">
        <v>152.47999999999999</v>
      </c>
      <c r="K885" s="11">
        <v>152.47999999999999</v>
      </c>
      <c r="L885" s="11"/>
      <c r="M885" s="11">
        <v>152.47999999999999</v>
      </c>
      <c r="N885" s="11" t="s">
        <v>2184</v>
      </c>
      <c r="O885" s="11" t="s">
        <v>50</v>
      </c>
    </row>
    <row r="886" spans="1:15" s="13" customFormat="1" ht="19.5" customHeight="1" x14ac:dyDescent="0.25">
      <c r="A886" s="11" t="s">
        <v>2185</v>
      </c>
      <c r="B886" s="11" t="s">
        <v>2185</v>
      </c>
      <c r="C886" s="12">
        <v>46031</v>
      </c>
      <c r="D886" s="12">
        <v>46031</v>
      </c>
      <c r="E886" s="11" t="s">
        <v>6</v>
      </c>
      <c r="F886" s="11" t="s">
        <v>2186</v>
      </c>
      <c r="G886" s="11" t="s">
        <v>2185</v>
      </c>
      <c r="H886" s="11"/>
      <c r="I886" s="11" t="s">
        <v>49</v>
      </c>
      <c r="J886" s="11">
        <v>118.5</v>
      </c>
      <c r="K886" s="11">
        <v>118.5</v>
      </c>
      <c r="L886" s="11"/>
      <c r="M886" s="11">
        <v>118.5</v>
      </c>
      <c r="N886" s="11" t="s">
        <v>2187</v>
      </c>
      <c r="O886" s="11" t="s">
        <v>50</v>
      </c>
    </row>
    <row r="887" spans="1:15" s="13" customFormat="1" ht="19.5" customHeight="1" x14ac:dyDescent="0.25">
      <c r="A887" s="11" t="s">
        <v>2188</v>
      </c>
      <c r="B887" s="11" t="s">
        <v>2188</v>
      </c>
      <c r="C887" s="12">
        <v>46031</v>
      </c>
      <c r="D887" s="12">
        <v>46031</v>
      </c>
      <c r="E887" s="11" t="s">
        <v>6</v>
      </c>
      <c r="F887" s="11" t="s">
        <v>2189</v>
      </c>
      <c r="G887" s="11" t="s">
        <v>2188</v>
      </c>
      <c r="H887" s="11"/>
      <c r="I887" s="11" t="s">
        <v>49</v>
      </c>
      <c r="J887" s="11">
        <v>127.42</v>
      </c>
      <c r="K887" s="11">
        <v>127.42</v>
      </c>
      <c r="L887" s="11"/>
      <c r="M887" s="11">
        <v>127.42</v>
      </c>
      <c r="N887" s="11" t="s">
        <v>2190</v>
      </c>
      <c r="O887" s="11" t="s">
        <v>50</v>
      </c>
    </row>
    <row r="888" spans="1:15" s="13" customFormat="1" ht="19.5" customHeight="1" x14ac:dyDescent="0.25">
      <c r="A888" s="11" t="s">
        <v>2191</v>
      </c>
      <c r="B888" s="11" t="s">
        <v>2191</v>
      </c>
      <c r="C888" s="12">
        <v>46030</v>
      </c>
      <c r="D888" s="12">
        <v>46030</v>
      </c>
      <c r="E888" s="11" t="s">
        <v>6</v>
      </c>
      <c r="F888" s="11" t="s">
        <v>2192</v>
      </c>
      <c r="G888" s="11" t="s">
        <v>2191</v>
      </c>
      <c r="H888" s="11"/>
      <c r="I888" s="11" t="s">
        <v>49</v>
      </c>
      <c r="J888" s="11">
        <v>83.39</v>
      </c>
      <c r="K888" s="11">
        <v>83.39</v>
      </c>
      <c r="L888" s="11"/>
      <c r="M888" s="11">
        <v>83.39</v>
      </c>
      <c r="N888" s="11" t="s">
        <v>2193</v>
      </c>
      <c r="O888" s="11" t="s">
        <v>50</v>
      </c>
    </row>
    <row r="889" spans="1:15" s="13" customFormat="1" ht="19.5" customHeight="1" x14ac:dyDescent="0.25">
      <c r="A889" s="11" t="s">
        <v>2194</v>
      </c>
      <c r="B889" s="11" t="s">
        <v>2194</v>
      </c>
      <c r="C889" s="12">
        <v>46030</v>
      </c>
      <c r="D889" s="12">
        <v>46030</v>
      </c>
      <c r="E889" s="11" t="s">
        <v>6</v>
      </c>
      <c r="F889" s="11" t="s">
        <v>2195</v>
      </c>
      <c r="G889" s="11" t="s">
        <v>2194</v>
      </c>
      <c r="H889" s="11"/>
      <c r="I889" s="11" t="s">
        <v>49</v>
      </c>
      <c r="J889" s="11">
        <v>182.79</v>
      </c>
      <c r="K889" s="11">
        <v>182.79</v>
      </c>
      <c r="L889" s="11"/>
      <c r="M889" s="11">
        <v>182.79</v>
      </c>
      <c r="N889" s="11" t="s">
        <v>2196</v>
      </c>
      <c r="O889" s="11" t="s">
        <v>50</v>
      </c>
    </row>
    <row r="890" spans="1:15" s="13" customFormat="1" ht="19.5" customHeight="1" x14ac:dyDescent="0.25">
      <c r="A890" s="11" t="s">
        <v>2197</v>
      </c>
      <c r="B890" s="11" t="s">
        <v>2197</v>
      </c>
      <c r="C890" s="12">
        <v>46030</v>
      </c>
      <c r="D890" s="12">
        <v>46030</v>
      </c>
      <c r="E890" s="11" t="s">
        <v>6</v>
      </c>
      <c r="F890" s="11" t="s">
        <v>2198</v>
      </c>
      <c r="G890" s="11" t="s">
        <v>2197</v>
      </c>
      <c r="H890" s="11"/>
      <c r="I890" s="11" t="s">
        <v>49</v>
      </c>
      <c r="J890" s="11">
        <v>95.12</v>
      </c>
      <c r="K890" s="11">
        <v>95.12</v>
      </c>
      <c r="L890" s="11"/>
      <c r="M890" s="11">
        <v>95.12</v>
      </c>
      <c r="N890" s="11" t="s">
        <v>2199</v>
      </c>
      <c r="O890" s="11" t="s">
        <v>50</v>
      </c>
    </row>
    <row r="891" spans="1:15" s="13" customFormat="1" ht="19.5" customHeight="1" x14ac:dyDescent="0.25">
      <c r="A891" s="11" t="s">
        <v>2200</v>
      </c>
      <c r="B891" s="11" t="s">
        <v>2200</v>
      </c>
      <c r="C891" s="12">
        <v>46030</v>
      </c>
      <c r="D891" s="12">
        <v>46030</v>
      </c>
      <c r="E891" s="11" t="s">
        <v>6</v>
      </c>
      <c r="F891" s="11" t="s">
        <v>2201</v>
      </c>
      <c r="G891" s="11" t="s">
        <v>2200</v>
      </c>
      <c r="H891" s="11"/>
      <c r="I891" s="11" t="s">
        <v>49</v>
      </c>
      <c r="J891" s="11">
        <v>75.5</v>
      </c>
      <c r="K891" s="11">
        <v>75.5</v>
      </c>
      <c r="L891" s="11"/>
      <c r="M891" s="11">
        <v>75.5</v>
      </c>
      <c r="N891" s="11" t="s">
        <v>2202</v>
      </c>
      <c r="O891" s="11" t="s">
        <v>50</v>
      </c>
    </row>
    <row r="892" spans="1:15" s="13" customFormat="1" ht="19.5" customHeight="1" x14ac:dyDescent="0.25">
      <c r="A892" s="11" t="s">
        <v>2203</v>
      </c>
      <c r="B892" s="11" t="s">
        <v>2203</v>
      </c>
      <c r="C892" s="12">
        <v>46029</v>
      </c>
      <c r="D892" s="12">
        <v>46029</v>
      </c>
      <c r="E892" s="11" t="s">
        <v>6</v>
      </c>
      <c r="F892" s="11" t="s">
        <v>1634</v>
      </c>
      <c r="G892" s="11" t="s">
        <v>2203</v>
      </c>
      <c r="H892" s="11"/>
      <c r="I892" s="11" t="s">
        <v>49</v>
      </c>
      <c r="J892" s="11">
        <v>44.99</v>
      </c>
      <c r="K892" s="11">
        <v>44.99</v>
      </c>
      <c r="L892" s="11"/>
      <c r="M892" s="11">
        <v>44.99</v>
      </c>
      <c r="N892" s="11" t="s">
        <v>2204</v>
      </c>
      <c r="O892" s="11" t="s">
        <v>50</v>
      </c>
    </row>
    <row r="893" spans="1:15" s="13" customFormat="1" ht="19.5" customHeight="1" x14ac:dyDescent="0.25">
      <c r="A893" s="11" t="s">
        <v>2205</v>
      </c>
      <c r="B893" s="11" t="s">
        <v>2205</v>
      </c>
      <c r="C893" s="12">
        <v>46029</v>
      </c>
      <c r="D893" s="12">
        <v>46029</v>
      </c>
      <c r="E893" s="11" t="s">
        <v>6</v>
      </c>
      <c r="F893" s="11" t="s">
        <v>2206</v>
      </c>
      <c r="G893" s="11" t="s">
        <v>2205</v>
      </c>
      <c r="H893" s="11"/>
      <c r="I893" s="11" t="s">
        <v>49</v>
      </c>
      <c r="J893" s="11">
        <v>175.53</v>
      </c>
      <c r="K893" s="11">
        <v>175.53</v>
      </c>
      <c r="L893" s="11"/>
      <c r="M893" s="11">
        <v>175.53</v>
      </c>
      <c r="N893" s="11" t="s">
        <v>2207</v>
      </c>
      <c r="O893" s="11" t="s">
        <v>50</v>
      </c>
    </row>
    <row r="894" spans="1:15" s="13" customFormat="1" ht="19.5" customHeight="1" x14ac:dyDescent="0.25">
      <c r="A894" s="11" t="s">
        <v>2208</v>
      </c>
      <c r="B894" s="11" t="s">
        <v>2208</v>
      </c>
      <c r="C894" s="12">
        <v>46029</v>
      </c>
      <c r="D894" s="12">
        <v>46029</v>
      </c>
      <c r="E894" s="11" t="s">
        <v>6</v>
      </c>
      <c r="F894" s="11" t="s">
        <v>2209</v>
      </c>
      <c r="G894" s="11" t="s">
        <v>2208</v>
      </c>
      <c r="H894" s="11"/>
      <c r="I894" s="11" t="s">
        <v>49</v>
      </c>
      <c r="J894" s="11">
        <v>211.95</v>
      </c>
      <c r="K894" s="11">
        <v>211.95</v>
      </c>
      <c r="L894" s="11"/>
      <c r="M894" s="11">
        <v>211.95</v>
      </c>
      <c r="N894" s="11" t="s">
        <v>2210</v>
      </c>
      <c r="O894" s="11" t="s">
        <v>50</v>
      </c>
    </row>
    <row r="895" spans="1:15" s="13" customFormat="1" ht="19.5" customHeight="1" x14ac:dyDescent="0.25">
      <c r="A895" s="11" t="s">
        <v>2211</v>
      </c>
      <c r="B895" s="11" t="s">
        <v>2211</v>
      </c>
      <c r="C895" s="12">
        <v>46029</v>
      </c>
      <c r="D895" s="12">
        <v>46029</v>
      </c>
      <c r="E895" s="11" t="s">
        <v>6</v>
      </c>
      <c r="F895" s="11" t="s">
        <v>2212</v>
      </c>
      <c r="G895" s="11" t="s">
        <v>2211</v>
      </c>
      <c r="H895" s="11"/>
      <c r="I895" s="11" t="s">
        <v>49</v>
      </c>
      <c r="J895" s="11">
        <v>44.99</v>
      </c>
      <c r="K895" s="11">
        <v>44.99</v>
      </c>
      <c r="L895" s="11"/>
      <c r="M895" s="11">
        <v>44.99</v>
      </c>
      <c r="N895" s="11" t="s">
        <v>2213</v>
      </c>
      <c r="O895" s="11" t="s">
        <v>50</v>
      </c>
    </row>
    <row r="896" spans="1:15" s="13" customFormat="1" ht="19.5" customHeight="1" x14ac:dyDescent="0.25">
      <c r="A896" s="11" t="s">
        <v>2214</v>
      </c>
      <c r="B896" s="11" t="s">
        <v>2214</v>
      </c>
      <c r="C896" s="12">
        <v>46029</v>
      </c>
      <c r="D896" s="12">
        <v>46029</v>
      </c>
      <c r="E896" s="11" t="s">
        <v>6</v>
      </c>
      <c r="F896" s="11" t="s">
        <v>2215</v>
      </c>
      <c r="G896" s="11" t="s">
        <v>2214</v>
      </c>
      <c r="H896" s="11"/>
      <c r="I896" s="11" t="s">
        <v>49</v>
      </c>
      <c r="J896" s="11">
        <v>75.5</v>
      </c>
      <c r="K896" s="11">
        <v>75.5</v>
      </c>
      <c r="L896" s="11"/>
      <c r="M896" s="11">
        <v>75.5</v>
      </c>
      <c r="N896" s="11" t="s">
        <v>2216</v>
      </c>
      <c r="O896" s="11" t="s">
        <v>50</v>
      </c>
    </row>
    <row r="897" spans="1:15" s="13" customFormat="1" ht="19.5" customHeight="1" x14ac:dyDescent="0.25">
      <c r="A897" s="11" t="s">
        <v>2217</v>
      </c>
      <c r="B897" s="11" t="s">
        <v>2217</v>
      </c>
      <c r="C897" s="12">
        <v>46029</v>
      </c>
      <c r="D897" s="12">
        <v>46029</v>
      </c>
      <c r="E897" s="11" t="s">
        <v>6</v>
      </c>
      <c r="F897" s="11" t="s">
        <v>2218</v>
      </c>
      <c r="G897" s="11" t="s">
        <v>2217</v>
      </c>
      <c r="H897" s="11"/>
      <c r="I897" s="11" t="s">
        <v>49</v>
      </c>
      <c r="J897" s="11">
        <v>190.23</v>
      </c>
      <c r="K897" s="11">
        <v>190.23</v>
      </c>
      <c r="L897" s="11"/>
      <c r="M897" s="11">
        <v>190.23</v>
      </c>
      <c r="N897" s="11" t="s">
        <v>2219</v>
      </c>
      <c r="O897" s="11" t="s">
        <v>50</v>
      </c>
    </row>
    <row r="898" spans="1:15" s="13" customFormat="1" ht="19.5" customHeight="1" x14ac:dyDescent="0.25">
      <c r="A898" s="11" t="s">
        <v>2220</v>
      </c>
      <c r="B898" s="11" t="s">
        <v>2220</v>
      </c>
      <c r="C898" s="12">
        <v>46029</v>
      </c>
      <c r="D898" s="12">
        <v>46029</v>
      </c>
      <c r="E898" s="11" t="s">
        <v>6</v>
      </c>
      <c r="F898" s="11" t="s">
        <v>2221</v>
      </c>
      <c r="G898" s="11" t="s">
        <v>2220</v>
      </c>
      <c r="H898" s="11"/>
      <c r="I898" s="11" t="s">
        <v>49</v>
      </c>
      <c r="J898" s="11">
        <v>137.19999999999999</v>
      </c>
      <c r="K898" s="11">
        <v>137.19999999999999</v>
      </c>
      <c r="L898" s="11"/>
      <c r="M898" s="11">
        <v>137.19999999999999</v>
      </c>
      <c r="N898" s="11" t="s">
        <v>2222</v>
      </c>
      <c r="O898" s="11" t="s">
        <v>50</v>
      </c>
    </row>
    <row r="899" spans="1:15" s="13" customFormat="1" ht="19.5" customHeight="1" x14ac:dyDescent="0.25">
      <c r="A899" s="11" t="s">
        <v>2223</v>
      </c>
      <c r="B899" s="11" t="s">
        <v>2223</v>
      </c>
      <c r="C899" s="12">
        <v>46029</v>
      </c>
      <c r="D899" s="12">
        <v>46029</v>
      </c>
      <c r="E899" s="11" t="s">
        <v>6</v>
      </c>
      <c r="F899" s="11" t="s">
        <v>2224</v>
      </c>
      <c r="G899" s="11" t="s">
        <v>2223</v>
      </c>
      <c r="H899" s="11"/>
      <c r="I899" s="11" t="s">
        <v>49</v>
      </c>
      <c r="J899" s="11">
        <v>59.4</v>
      </c>
      <c r="K899" s="11">
        <v>59.4</v>
      </c>
      <c r="L899" s="11"/>
      <c r="M899" s="11">
        <v>59.4</v>
      </c>
      <c r="N899" s="11" t="s">
        <v>2225</v>
      </c>
      <c r="O899" s="11" t="s">
        <v>50</v>
      </c>
    </row>
    <row r="900" spans="1:15" s="13" customFormat="1" ht="19.5" customHeight="1" x14ac:dyDescent="0.25">
      <c r="A900" s="11" t="s">
        <v>2226</v>
      </c>
      <c r="B900" s="11" t="s">
        <v>2226</v>
      </c>
      <c r="C900" s="12">
        <v>46029</v>
      </c>
      <c r="D900" s="12">
        <v>46029</v>
      </c>
      <c r="E900" s="11" t="s">
        <v>6</v>
      </c>
      <c r="F900" s="11" t="s">
        <v>2227</v>
      </c>
      <c r="G900" s="11" t="s">
        <v>2226</v>
      </c>
      <c r="H900" s="11"/>
      <c r="I900" s="11" t="s">
        <v>49</v>
      </c>
      <c r="J900" s="11">
        <v>118.5</v>
      </c>
      <c r="K900" s="11">
        <v>118.5</v>
      </c>
      <c r="L900" s="11"/>
      <c r="M900" s="11">
        <v>118.5</v>
      </c>
      <c r="N900" s="11" t="s">
        <v>2228</v>
      </c>
      <c r="O900" s="11" t="s">
        <v>50</v>
      </c>
    </row>
    <row r="901" spans="1:15" s="13" customFormat="1" ht="19.5" customHeight="1" x14ac:dyDescent="0.25">
      <c r="A901" s="11" t="s">
        <v>2229</v>
      </c>
      <c r="B901" s="11" t="s">
        <v>2229</v>
      </c>
      <c r="C901" s="12">
        <v>46029</v>
      </c>
      <c r="D901" s="12">
        <v>46029</v>
      </c>
      <c r="E901" s="11" t="s">
        <v>6</v>
      </c>
      <c r="F901" s="11" t="s">
        <v>2230</v>
      </c>
      <c r="G901" s="11" t="s">
        <v>2229</v>
      </c>
      <c r="H901" s="11"/>
      <c r="I901" s="11" t="s">
        <v>49</v>
      </c>
      <c r="J901" s="11">
        <v>110.71</v>
      </c>
      <c r="K901" s="11">
        <v>110.71</v>
      </c>
      <c r="L901" s="11"/>
      <c r="M901" s="11">
        <v>110.71</v>
      </c>
      <c r="N901" s="11" t="s">
        <v>2231</v>
      </c>
      <c r="O901" s="11" t="s">
        <v>50</v>
      </c>
    </row>
    <row r="902" spans="1:15" s="13" customFormat="1" ht="19.5" customHeight="1" x14ac:dyDescent="0.25">
      <c r="A902" s="11" t="s">
        <v>2232</v>
      </c>
      <c r="B902" s="11" t="s">
        <v>2232</v>
      </c>
      <c r="C902" s="12">
        <v>46029</v>
      </c>
      <c r="D902" s="12">
        <v>46029</v>
      </c>
      <c r="E902" s="11" t="s">
        <v>6</v>
      </c>
      <c r="F902" s="11" t="s">
        <v>2233</v>
      </c>
      <c r="G902" s="11" t="s">
        <v>2232</v>
      </c>
      <c r="H902" s="11"/>
      <c r="I902" s="11" t="s">
        <v>49</v>
      </c>
      <c r="J902" s="11">
        <v>431.79</v>
      </c>
      <c r="K902" s="11">
        <v>431.79</v>
      </c>
      <c r="L902" s="11"/>
      <c r="M902" s="11">
        <v>431.79</v>
      </c>
      <c r="N902" s="11"/>
      <c r="O902" s="11" t="s">
        <v>50</v>
      </c>
    </row>
    <row r="903" spans="1:15" s="13" customFormat="1" ht="19.5" customHeight="1" x14ac:dyDescent="0.25">
      <c r="A903" s="11" t="s">
        <v>2234</v>
      </c>
      <c r="B903" s="11" t="s">
        <v>2234</v>
      </c>
      <c r="C903" s="12">
        <v>46028</v>
      </c>
      <c r="D903" s="12">
        <v>46028</v>
      </c>
      <c r="E903" s="11" t="s">
        <v>6</v>
      </c>
      <c r="F903" s="11" t="s">
        <v>2235</v>
      </c>
      <c r="G903" s="11" t="s">
        <v>2234</v>
      </c>
      <c r="H903" s="11"/>
      <c r="I903" s="11" t="s">
        <v>49</v>
      </c>
      <c r="J903" s="11">
        <v>79.010000000000005</v>
      </c>
      <c r="K903" s="11">
        <v>79.010000000000005</v>
      </c>
      <c r="L903" s="11"/>
      <c r="M903" s="11">
        <v>79.010000000000005</v>
      </c>
      <c r="N903" s="11"/>
      <c r="O903" s="11" t="s">
        <v>50</v>
      </c>
    </row>
    <row r="904" spans="1:15" s="13" customFormat="1" ht="19.5" customHeight="1" x14ac:dyDescent="0.25">
      <c r="A904" s="11" t="s">
        <v>2236</v>
      </c>
      <c r="B904" s="11" t="s">
        <v>2236</v>
      </c>
      <c r="C904" s="12">
        <v>46028</v>
      </c>
      <c r="D904" s="12">
        <v>46028</v>
      </c>
      <c r="E904" s="11" t="s">
        <v>6</v>
      </c>
      <c r="F904" s="11" t="s">
        <v>2237</v>
      </c>
      <c r="G904" s="11" t="s">
        <v>2236</v>
      </c>
      <c r="H904" s="11"/>
      <c r="I904" s="11" t="s">
        <v>49</v>
      </c>
      <c r="J904" s="11">
        <v>221.43</v>
      </c>
      <c r="K904" s="11">
        <v>221.43</v>
      </c>
      <c r="L904" s="11"/>
      <c r="M904" s="11">
        <v>221.43</v>
      </c>
      <c r="N904" s="11" t="s">
        <v>2238</v>
      </c>
      <c r="O904" s="11" t="s">
        <v>50</v>
      </c>
    </row>
    <row r="905" spans="1:15" s="13" customFormat="1" ht="19.5" customHeight="1" x14ac:dyDescent="0.25">
      <c r="A905" s="11" t="s">
        <v>2239</v>
      </c>
      <c r="B905" s="11" t="s">
        <v>2239</v>
      </c>
      <c r="C905" s="12">
        <v>46028</v>
      </c>
      <c r="D905" s="12">
        <v>46028</v>
      </c>
      <c r="E905" s="11" t="s">
        <v>6</v>
      </c>
      <c r="F905" s="11" t="s">
        <v>2240</v>
      </c>
      <c r="G905" s="11" t="s">
        <v>2239</v>
      </c>
      <c r="H905" s="11"/>
      <c r="I905" s="11" t="s">
        <v>49</v>
      </c>
      <c r="J905" s="11">
        <v>204.2</v>
      </c>
      <c r="K905" s="11">
        <v>204.2</v>
      </c>
      <c r="L905" s="11"/>
      <c r="M905" s="11">
        <v>204.2</v>
      </c>
      <c r="N905" s="11" t="s">
        <v>2241</v>
      </c>
      <c r="O905" s="11" t="s">
        <v>50</v>
      </c>
    </row>
    <row r="906" spans="1:15" s="13" customFormat="1" ht="19.5" customHeight="1" x14ac:dyDescent="0.25">
      <c r="A906" s="11" t="s">
        <v>2242</v>
      </c>
      <c r="B906" s="11" t="s">
        <v>2242</v>
      </c>
      <c r="C906" s="12">
        <v>46028</v>
      </c>
      <c r="D906" s="12">
        <v>46028</v>
      </c>
      <c r="E906" s="11" t="s">
        <v>6</v>
      </c>
      <c r="F906" s="11" t="s">
        <v>2243</v>
      </c>
      <c r="G906" s="11" t="s">
        <v>2242</v>
      </c>
      <c r="H906" s="11"/>
      <c r="I906" s="11" t="s">
        <v>49</v>
      </c>
      <c r="J906" s="11">
        <v>90.86</v>
      </c>
      <c r="K906" s="11">
        <v>90.86</v>
      </c>
      <c r="L906" s="11"/>
      <c r="M906" s="11">
        <v>90.86</v>
      </c>
      <c r="N906" s="11" t="s">
        <v>2244</v>
      </c>
      <c r="O906" s="11" t="s">
        <v>50</v>
      </c>
    </row>
    <row r="907" spans="1:15" s="13" customFormat="1" ht="19.5" customHeight="1" x14ac:dyDescent="0.25">
      <c r="A907" s="11" t="s">
        <v>2245</v>
      </c>
      <c r="B907" s="11" t="s">
        <v>2245</v>
      </c>
      <c r="C907" s="12">
        <v>46028</v>
      </c>
      <c r="D907" s="12">
        <v>46028</v>
      </c>
      <c r="E907" s="11" t="s">
        <v>6</v>
      </c>
      <c r="F907" s="11" t="s">
        <v>2246</v>
      </c>
      <c r="G907" s="11" t="s">
        <v>2245</v>
      </c>
      <c r="H907" s="11"/>
      <c r="I907" s="11" t="s">
        <v>49</v>
      </c>
      <c r="J907" s="11">
        <v>39.51</v>
      </c>
      <c r="K907" s="11">
        <v>39.51</v>
      </c>
      <c r="L907" s="11"/>
      <c r="M907" s="11">
        <v>39.51</v>
      </c>
      <c r="N907" s="11"/>
      <c r="O907" s="11" t="s">
        <v>50</v>
      </c>
    </row>
    <row r="908" spans="1:15" s="13" customFormat="1" ht="19.5" customHeight="1" x14ac:dyDescent="0.25">
      <c r="A908" s="11" t="s">
        <v>2247</v>
      </c>
      <c r="B908" s="11" t="s">
        <v>2247</v>
      </c>
      <c r="C908" s="12">
        <v>46027</v>
      </c>
      <c r="D908" s="12">
        <v>46027</v>
      </c>
      <c r="E908" s="11" t="s">
        <v>6</v>
      </c>
      <c r="F908" s="11" t="s">
        <v>2248</v>
      </c>
      <c r="G908" s="11" t="s">
        <v>2247</v>
      </c>
      <c r="H908" s="11"/>
      <c r="I908" s="11" t="s">
        <v>49</v>
      </c>
      <c r="J908" s="11">
        <v>57.61</v>
      </c>
      <c r="K908" s="11">
        <v>57.61</v>
      </c>
      <c r="L908" s="11"/>
      <c r="M908" s="11">
        <v>57.61</v>
      </c>
      <c r="N908" s="11" t="s">
        <v>2249</v>
      </c>
      <c r="O908" s="11" t="s">
        <v>50</v>
      </c>
    </row>
    <row r="909" spans="1:15" s="13" customFormat="1" ht="19.5" customHeight="1" x14ac:dyDescent="0.25">
      <c r="A909" s="11" t="s">
        <v>2250</v>
      </c>
      <c r="B909" s="11" t="s">
        <v>2250</v>
      </c>
      <c r="C909" s="12">
        <v>46027</v>
      </c>
      <c r="D909" s="12">
        <v>46027</v>
      </c>
      <c r="E909" s="11" t="s">
        <v>6</v>
      </c>
      <c r="F909" s="11" t="s">
        <v>2251</v>
      </c>
      <c r="G909" s="11" t="s">
        <v>2250</v>
      </c>
      <c r="H909" s="11"/>
      <c r="I909" s="11" t="s">
        <v>49</v>
      </c>
      <c r="J909" s="11">
        <v>67.94</v>
      </c>
      <c r="K909" s="11">
        <v>67.94</v>
      </c>
      <c r="L909" s="11"/>
      <c r="M909" s="11">
        <v>67.94</v>
      </c>
      <c r="N909" s="11" t="s">
        <v>2252</v>
      </c>
      <c r="O909" s="11" t="s">
        <v>50</v>
      </c>
    </row>
    <row r="910" spans="1:15" s="13" customFormat="1" ht="19.5" customHeight="1" x14ac:dyDescent="0.25">
      <c r="A910" s="11" t="s">
        <v>2253</v>
      </c>
      <c r="B910" s="11" t="s">
        <v>2253</v>
      </c>
      <c r="C910" s="12">
        <v>46027</v>
      </c>
      <c r="D910" s="12">
        <v>46027</v>
      </c>
      <c r="E910" s="11" t="s">
        <v>6</v>
      </c>
      <c r="F910" s="11" t="s">
        <v>2254</v>
      </c>
      <c r="G910" s="11" t="s">
        <v>2253</v>
      </c>
      <c r="H910" s="11"/>
      <c r="I910" s="11" t="s">
        <v>49</v>
      </c>
      <c r="J910" s="11">
        <v>50.4</v>
      </c>
      <c r="K910" s="11">
        <v>50.4</v>
      </c>
      <c r="L910" s="11"/>
      <c r="M910" s="11">
        <v>50.4</v>
      </c>
      <c r="N910" s="11" t="s">
        <v>2255</v>
      </c>
      <c r="O910" s="11" t="s">
        <v>50</v>
      </c>
    </row>
    <row r="911" spans="1:15" s="13" customFormat="1" ht="19.5" customHeight="1" x14ac:dyDescent="0.25">
      <c r="A911" s="11" t="s">
        <v>2256</v>
      </c>
      <c r="B911" s="11" t="s">
        <v>2256</v>
      </c>
      <c r="C911" s="12">
        <v>46027</v>
      </c>
      <c r="D911" s="12">
        <v>46027</v>
      </c>
      <c r="E911" s="11" t="s">
        <v>6</v>
      </c>
      <c r="F911" s="11" t="s">
        <v>2257</v>
      </c>
      <c r="G911" s="11" t="s">
        <v>2256</v>
      </c>
      <c r="H911" s="11"/>
      <c r="I911" s="11" t="s">
        <v>49</v>
      </c>
      <c r="J911" s="11">
        <v>94.05</v>
      </c>
      <c r="K911" s="11">
        <v>94.05</v>
      </c>
      <c r="L911" s="11"/>
      <c r="M911" s="11">
        <v>94.05</v>
      </c>
      <c r="N911" s="11" t="s">
        <v>2258</v>
      </c>
      <c r="O911" s="11" t="s">
        <v>50</v>
      </c>
    </row>
    <row r="912" spans="1:15" s="13" customFormat="1" ht="19.5" customHeight="1" x14ac:dyDescent="0.25">
      <c r="A912" s="11" t="s">
        <v>2259</v>
      </c>
      <c r="B912" s="11" t="s">
        <v>2259</v>
      </c>
      <c r="C912" s="12">
        <v>46027</v>
      </c>
      <c r="D912" s="12">
        <v>46027</v>
      </c>
      <c r="E912" s="11" t="s">
        <v>6</v>
      </c>
      <c r="F912" s="11" t="s">
        <v>2260</v>
      </c>
      <c r="G912" s="11" t="s">
        <v>2259</v>
      </c>
      <c r="H912" s="11"/>
      <c r="I912" s="11" t="s">
        <v>49</v>
      </c>
      <c r="J912" s="11">
        <v>59.4</v>
      </c>
      <c r="K912" s="11">
        <v>59.4</v>
      </c>
      <c r="L912" s="11"/>
      <c r="M912" s="11">
        <v>59.4</v>
      </c>
      <c r="N912" s="11" t="s">
        <v>2261</v>
      </c>
      <c r="O912" s="11" t="s">
        <v>50</v>
      </c>
    </row>
    <row r="913" spans="1:15" s="13" customFormat="1" ht="19.5" customHeight="1" x14ac:dyDescent="0.25">
      <c r="A913" s="11" t="s">
        <v>2262</v>
      </c>
      <c r="B913" s="11" t="s">
        <v>2262</v>
      </c>
      <c r="C913" s="12">
        <v>46027</v>
      </c>
      <c r="D913" s="12">
        <v>46027</v>
      </c>
      <c r="E913" s="11" t="s">
        <v>6</v>
      </c>
      <c r="F913" s="11" t="s">
        <v>2263</v>
      </c>
      <c r="G913" s="11" t="s">
        <v>2262</v>
      </c>
      <c r="H913" s="11"/>
      <c r="I913" s="11" t="s">
        <v>49</v>
      </c>
      <c r="J913" s="11">
        <v>88.88</v>
      </c>
      <c r="K913" s="11">
        <v>88.88</v>
      </c>
      <c r="L913" s="11"/>
      <c r="M913" s="11">
        <v>88.88</v>
      </c>
      <c r="N913" s="11" t="s">
        <v>2264</v>
      </c>
      <c r="O913" s="11" t="s">
        <v>50</v>
      </c>
    </row>
    <row r="914" spans="1:15" s="13" customFormat="1" ht="19.5" customHeight="1" x14ac:dyDescent="0.25">
      <c r="A914" s="11" t="s">
        <v>2265</v>
      </c>
      <c r="B914" s="11" t="s">
        <v>2265</v>
      </c>
      <c r="C914" s="12">
        <v>46027</v>
      </c>
      <c r="D914" s="12">
        <v>46027</v>
      </c>
      <c r="E914" s="11" t="s">
        <v>6</v>
      </c>
      <c r="F914" s="11" t="s">
        <v>2266</v>
      </c>
      <c r="G914" s="11" t="s">
        <v>2265</v>
      </c>
      <c r="H914" s="11"/>
      <c r="I914" s="11" t="s">
        <v>49</v>
      </c>
      <c r="J914" s="11">
        <v>64.52</v>
      </c>
      <c r="K914" s="11">
        <v>64.52</v>
      </c>
      <c r="L914" s="11"/>
      <c r="M914" s="11">
        <v>64.52</v>
      </c>
      <c r="N914" s="11" t="s">
        <v>2267</v>
      </c>
      <c r="O914" s="11" t="s">
        <v>50</v>
      </c>
    </row>
    <row r="915" spans="1:15" s="13" customFormat="1" ht="19.5" customHeight="1" x14ac:dyDescent="0.25">
      <c r="A915" s="11" t="s">
        <v>2268</v>
      </c>
      <c r="B915" s="11" t="s">
        <v>2268</v>
      </c>
      <c r="C915" s="12">
        <v>46027</v>
      </c>
      <c r="D915" s="12">
        <v>46027</v>
      </c>
      <c r="E915" s="11" t="s">
        <v>6</v>
      </c>
      <c r="F915" s="11" t="s">
        <v>2269</v>
      </c>
      <c r="G915" s="11" t="s">
        <v>2268</v>
      </c>
      <c r="H915" s="11"/>
      <c r="I915" s="11" t="s">
        <v>49</v>
      </c>
      <c r="J915" s="11">
        <v>44.99</v>
      </c>
      <c r="K915" s="11">
        <v>44.99</v>
      </c>
      <c r="L915" s="11"/>
      <c r="M915" s="11">
        <v>44.99</v>
      </c>
      <c r="N915" s="11" t="s">
        <v>2270</v>
      </c>
      <c r="O915" s="11" t="s">
        <v>50</v>
      </c>
    </row>
    <row r="916" spans="1:15" s="13" customFormat="1" ht="19.5" customHeight="1" x14ac:dyDescent="0.25">
      <c r="A916" s="11" t="s">
        <v>2271</v>
      </c>
      <c r="B916" s="11" t="s">
        <v>2271</v>
      </c>
      <c r="C916" s="12">
        <v>46027</v>
      </c>
      <c r="D916" s="12">
        <v>46027</v>
      </c>
      <c r="E916" s="11" t="s">
        <v>6</v>
      </c>
      <c r="F916" s="11" t="s">
        <v>2272</v>
      </c>
      <c r="G916" s="11" t="s">
        <v>2271</v>
      </c>
      <c r="H916" s="11"/>
      <c r="I916" s="11" t="s">
        <v>49</v>
      </c>
      <c r="J916" s="11">
        <v>335.12</v>
      </c>
      <c r="K916" s="11">
        <v>335.12</v>
      </c>
      <c r="L916" s="11"/>
      <c r="M916" s="11">
        <v>335.12</v>
      </c>
      <c r="N916" s="11" t="s">
        <v>2273</v>
      </c>
      <c r="O916" s="11" t="s">
        <v>50</v>
      </c>
    </row>
    <row r="917" spans="1:15" s="13" customFormat="1" ht="19.5" customHeight="1" x14ac:dyDescent="0.25">
      <c r="A917" s="11" t="s">
        <v>2274</v>
      </c>
      <c r="B917" s="11" t="s">
        <v>2274</v>
      </c>
      <c r="C917" s="12">
        <v>46027</v>
      </c>
      <c r="D917" s="12">
        <v>46027</v>
      </c>
      <c r="E917" s="11" t="s">
        <v>6</v>
      </c>
      <c r="F917" s="11" t="s">
        <v>2275</v>
      </c>
      <c r="G917" s="11" t="s">
        <v>2274</v>
      </c>
      <c r="H917" s="11"/>
      <c r="I917" s="11" t="s">
        <v>49</v>
      </c>
      <c r="J917" s="11">
        <v>113.91</v>
      </c>
      <c r="K917" s="11">
        <v>113.91</v>
      </c>
      <c r="L917" s="11"/>
      <c r="M917" s="11">
        <v>113.91</v>
      </c>
      <c r="N917" s="11" t="s">
        <v>2276</v>
      </c>
      <c r="O917" s="11" t="s">
        <v>50</v>
      </c>
    </row>
    <row r="918" spans="1:15" s="13" customFormat="1" ht="19.5" customHeight="1" x14ac:dyDescent="0.25">
      <c r="A918" s="11" t="s">
        <v>2277</v>
      </c>
      <c r="B918" s="11" t="s">
        <v>2277</v>
      </c>
      <c r="C918" s="12">
        <v>46027</v>
      </c>
      <c r="D918" s="12">
        <v>46027</v>
      </c>
      <c r="E918" s="11" t="s">
        <v>6</v>
      </c>
      <c r="F918" s="11" t="s">
        <v>2278</v>
      </c>
      <c r="G918" s="11" t="s">
        <v>2277</v>
      </c>
      <c r="H918" s="11"/>
      <c r="I918" s="11" t="s">
        <v>49</v>
      </c>
      <c r="J918" s="11">
        <v>88.88</v>
      </c>
      <c r="K918" s="11">
        <v>88.88</v>
      </c>
      <c r="L918" s="11"/>
      <c r="M918" s="11">
        <v>88.88</v>
      </c>
      <c r="N918" s="11" t="s">
        <v>2279</v>
      </c>
      <c r="O918" s="11" t="s">
        <v>50</v>
      </c>
    </row>
    <row r="919" spans="1:15" s="13" customFormat="1" ht="19.5" customHeight="1" x14ac:dyDescent="0.25">
      <c r="A919" s="11" t="s">
        <v>2280</v>
      </c>
      <c r="B919" s="11" t="s">
        <v>2280</v>
      </c>
      <c r="C919" s="12">
        <v>46027</v>
      </c>
      <c r="D919" s="12">
        <v>46027</v>
      </c>
      <c r="E919" s="11" t="s">
        <v>6</v>
      </c>
      <c r="F919" s="11" t="s">
        <v>2281</v>
      </c>
      <c r="G919" s="11" t="s">
        <v>2280</v>
      </c>
      <c r="H919" s="11"/>
      <c r="I919" s="11" t="s">
        <v>49</v>
      </c>
      <c r="J919" s="11">
        <v>178.11</v>
      </c>
      <c r="K919" s="11">
        <v>178.11</v>
      </c>
      <c r="L919" s="11"/>
      <c r="M919" s="11">
        <v>178.11</v>
      </c>
      <c r="N919" s="11"/>
      <c r="O919" s="11" t="s">
        <v>50</v>
      </c>
    </row>
    <row r="920" spans="1:15" s="13" customFormat="1" ht="19.5" customHeight="1" x14ac:dyDescent="0.25">
      <c r="A920" s="11" t="s">
        <v>2282</v>
      </c>
      <c r="B920" s="11" t="s">
        <v>2282</v>
      </c>
      <c r="C920" s="12">
        <v>46027</v>
      </c>
      <c r="D920" s="12">
        <v>46027</v>
      </c>
      <c r="E920" s="11" t="s">
        <v>6</v>
      </c>
      <c r="F920" s="11" t="s">
        <v>2283</v>
      </c>
      <c r="G920" s="11" t="s">
        <v>2282</v>
      </c>
      <c r="H920" s="11"/>
      <c r="I920" s="11" t="s">
        <v>49</v>
      </c>
      <c r="J920" s="11">
        <v>182.79</v>
      </c>
      <c r="K920" s="11">
        <v>182.79</v>
      </c>
      <c r="L920" s="11"/>
      <c r="M920" s="11">
        <v>182.79</v>
      </c>
      <c r="N920" s="11" t="s">
        <v>2284</v>
      </c>
      <c r="O920" s="11" t="s">
        <v>50</v>
      </c>
    </row>
    <row r="921" spans="1:15" s="13" customFormat="1" ht="19.5" customHeight="1" x14ac:dyDescent="0.25">
      <c r="A921" s="11" t="s">
        <v>2285</v>
      </c>
      <c r="B921" s="11" t="s">
        <v>2285</v>
      </c>
      <c r="C921" s="12">
        <v>46027</v>
      </c>
      <c r="D921" s="12">
        <v>46027</v>
      </c>
      <c r="E921" s="11" t="s">
        <v>6</v>
      </c>
      <c r="F921" s="11" t="s">
        <v>2286</v>
      </c>
      <c r="G921" s="11" t="s">
        <v>2285</v>
      </c>
      <c r="H921" s="11"/>
      <c r="I921" s="11" t="s">
        <v>49</v>
      </c>
      <c r="J921" s="11">
        <v>61.21</v>
      </c>
      <c r="K921" s="11">
        <v>61.21</v>
      </c>
      <c r="L921" s="11"/>
      <c r="M921" s="11">
        <v>61.21</v>
      </c>
      <c r="N921" s="11" t="s">
        <v>2287</v>
      </c>
      <c r="O921" s="11" t="s">
        <v>50</v>
      </c>
    </row>
    <row r="922" spans="1:15" s="13" customFormat="1" ht="19.5" customHeight="1" x14ac:dyDescent="0.25">
      <c r="A922" s="11" t="s">
        <v>2288</v>
      </c>
      <c r="B922" s="11" t="s">
        <v>2288</v>
      </c>
      <c r="C922" s="12">
        <v>46027</v>
      </c>
      <c r="D922" s="12">
        <v>46027</v>
      </c>
      <c r="E922" s="11" t="s">
        <v>6</v>
      </c>
      <c r="F922" s="11" t="s">
        <v>2289</v>
      </c>
      <c r="G922" s="11" t="s">
        <v>2288</v>
      </c>
      <c r="H922" s="11"/>
      <c r="I922" s="11" t="s">
        <v>49</v>
      </c>
      <c r="J922" s="11">
        <v>55.8</v>
      </c>
      <c r="K922" s="11">
        <v>55.8</v>
      </c>
      <c r="L922" s="11"/>
      <c r="M922" s="11">
        <v>55.8</v>
      </c>
      <c r="N922" s="11" t="s">
        <v>2290</v>
      </c>
      <c r="O922" s="11" t="s">
        <v>50</v>
      </c>
    </row>
    <row r="923" spans="1:15" s="13" customFormat="1" ht="19.5" customHeight="1" x14ac:dyDescent="0.25">
      <c r="A923" s="11" t="s">
        <v>2291</v>
      </c>
      <c r="B923" s="11" t="s">
        <v>2291</v>
      </c>
      <c r="C923" s="12">
        <v>46027</v>
      </c>
      <c r="D923" s="12">
        <v>46027</v>
      </c>
      <c r="E923" s="11" t="s">
        <v>6</v>
      </c>
      <c r="F923" s="11" t="s">
        <v>2292</v>
      </c>
      <c r="G923" s="11" t="s">
        <v>2291</v>
      </c>
      <c r="H923" s="11"/>
      <c r="I923" s="11" t="s">
        <v>49</v>
      </c>
      <c r="J923" s="11">
        <v>128.24</v>
      </c>
      <c r="K923" s="11">
        <v>128.24</v>
      </c>
      <c r="L923" s="11"/>
      <c r="M923" s="11">
        <v>128.24</v>
      </c>
      <c r="N923" s="11" t="s">
        <v>2293</v>
      </c>
      <c r="O923" s="11" t="s">
        <v>50</v>
      </c>
    </row>
    <row r="924" spans="1:15" s="13" customFormat="1" ht="19.5" customHeight="1" x14ac:dyDescent="0.25">
      <c r="A924" s="11" t="s">
        <v>2294</v>
      </c>
      <c r="B924" s="11" t="s">
        <v>2294</v>
      </c>
      <c r="C924" s="12">
        <v>46027</v>
      </c>
      <c r="D924" s="12">
        <v>46027</v>
      </c>
      <c r="E924" s="11" t="s">
        <v>6</v>
      </c>
      <c r="F924" s="11" t="s">
        <v>2295</v>
      </c>
      <c r="G924" s="11" t="s">
        <v>2294</v>
      </c>
      <c r="H924" s="11"/>
      <c r="I924" s="11" t="s">
        <v>49</v>
      </c>
      <c r="J924" s="11">
        <v>233.13</v>
      </c>
      <c r="K924" s="11">
        <v>233.13</v>
      </c>
      <c r="L924" s="11"/>
      <c r="M924" s="11">
        <v>233.13</v>
      </c>
      <c r="N924" s="11" t="s">
        <v>2296</v>
      </c>
      <c r="O924" s="11" t="s">
        <v>50</v>
      </c>
    </row>
    <row r="925" spans="1:15" s="13" customFormat="1" ht="19.5" customHeight="1" x14ac:dyDescent="0.25">
      <c r="A925" s="11" t="s">
        <v>2297</v>
      </c>
      <c r="B925" s="11" t="s">
        <v>2297</v>
      </c>
      <c r="C925" s="12">
        <v>46024</v>
      </c>
      <c r="D925" s="12">
        <v>46024</v>
      </c>
      <c r="E925" s="11" t="s">
        <v>6</v>
      </c>
      <c r="F925" s="11" t="s">
        <v>2298</v>
      </c>
      <c r="G925" s="11" t="s">
        <v>2297</v>
      </c>
      <c r="H925" s="11"/>
      <c r="I925" s="11" t="s">
        <v>49</v>
      </c>
      <c r="J925" s="11">
        <v>41.31</v>
      </c>
      <c r="K925" s="11">
        <v>41.31</v>
      </c>
      <c r="L925" s="11"/>
      <c r="M925" s="11">
        <v>41.31</v>
      </c>
      <c r="N925" s="11" t="s">
        <v>2299</v>
      </c>
      <c r="O925" s="11" t="s">
        <v>50</v>
      </c>
    </row>
    <row r="926" spans="1:15" s="13" customFormat="1" ht="19.5" customHeight="1" x14ac:dyDescent="0.25">
      <c r="A926" s="11" t="s">
        <v>2300</v>
      </c>
      <c r="B926" s="11" t="s">
        <v>2300</v>
      </c>
      <c r="C926" s="12">
        <v>46024</v>
      </c>
      <c r="D926" s="12">
        <v>46024</v>
      </c>
      <c r="E926" s="11" t="s">
        <v>6</v>
      </c>
      <c r="F926" s="11" t="s">
        <v>2301</v>
      </c>
      <c r="G926" s="11" t="s">
        <v>2300</v>
      </c>
      <c r="H926" s="11"/>
      <c r="I926" s="11" t="s">
        <v>49</v>
      </c>
      <c r="J926" s="11">
        <v>127.42</v>
      </c>
      <c r="K926" s="11">
        <v>127.42</v>
      </c>
      <c r="L926" s="11"/>
      <c r="M926" s="11">
        <v>127.42</v>
      </c>
      <c r="N926" s="11" t="s">
        <v>2302</v>
      </c>
      <c r="O926" s="11" t="s">
        <v>50</v>
      </c>
    </row>
    <row r="927" spans="1:15" s="13" customFormat="1" ht="19.5" customHeight="1" x14ac:dyDescent="0.25">
      <c r="A927" s="11" t="s">
        <v>2303</v>
      </c>
      <c r="B927" s="11" t="s">
        <v>2303</v>
      </c>
      <c r="C927" s="12">
        <v>46024</v>
      </c>
      <c r="D927" s="12">
        <v>46024</v>
      </c>
      <c r="E927" s="11" t="s">
        <v>6</v>
      </c>
      <c r="F927" s="11" t="s">
        <v>2304</v>
      </c>
      <c r="G927" s="11" t="s">
        <v>2303</v>
      </c>
      <c r="H927" s="11"/>
      <c r="I927" s="11" t="s">
        <v>49</v>
      </c>
      <c r="J927" s="11">
        <v>56.63</v>
      </c>
      <c r="K927" s="11">
        <v>56.63</v>
      </c>
      <c r="L927" s="11"/>
      <c r="M927" s="11">
        <v>56.63</v>
      </c>
      <c r="N927" s="11" t="s">
        <v>2305</v>
      </c>
      <c r="O927" s="11" t="s">
        <v>50</v>
      </c>
    </row>
    <row r="928" spans="1:15" s="13" customFormat="1" ht="19.5" customHeight="1" x14ac:dyDescent="0.25">
      <c r="A928" s="11" t="s">
        <v>2306</v>
      </c>
      <c r="B928" s="11" t="s">
        <v>2306</v>
      </c>
      <c r="C928" s="12">
        <v>46024</v>
      </c>
      <c r="D928" s="12">
        <v>46024</v>
      </c>
      <c r="E928" s="11" t="s">
        <v>6</v>
      </c>
      <c r="F928" s="11" t="s">
        <v>2307</v>
      </c>
      <c r="G928" s="11" t="s">
        <v>2306</v>
      </c>
      <c r="H928" s="11"/>
      <c r="I928" s="11" t="s">
        <v>49</v>
      </c>
      <c r="J928" s="11">
        <v>61.62</v>
      </c>
      <c r="K928" s="11">
        <v>61.62</v>
      </c>
      <c r="L928" s="11"/>
      <c r="M928" s="11">
        <v>61.62</v>
      </c>
      <c r="N928" s="11" t="s">
        <v>2308</v>
      </c>
      <c r="O928" s="11" t="s">
        <v>50</v>
      </c>
    </row>
    <row r="929" spans="1:15" s="13" customFormat="1" ht="19.5" customHeight="1" x14ac:dyDescent="0.25">
      <c r="A929" s="11" t="s">
        <v>2309</v>
      </c>
      <c r="B929" s="11" t="s">
        <v>2309</v>
      </c>
      <c r="C929" s="12">
        <v>46024</v>
      </c>
      <c r="D929" s="12">
        <v>46024</v>
      </c>
      <c r="E929" s="11" t="s">
        <v>6</v>
      </c>
      <c r="F929" s="11" t="s">
        <v>2310</v>
      </c>
      <c r="G929" s="11" t="s">
        <v>2309</v>
      </c>
      <c r="H929" s="11"/>
      <c r="I929" s="11" t="s">
        <v>49</v>
      </c>
      <c r="J929" s="11">
        <v>61.21</v>
      </c>
      <c r="K929" s="11">
        <v>61.21</v>
      </c>
      <c r="L929" s="11"/>
      <c r="M929" s="11">
        <v>61.21</v>
      </c>
      <c r="N929" s="11" t="s">
        <v>2311</v>
      </c>
      <c r="O929" s="11" t="s">
        <v>50</v>
      </c>
    </row>
    <row r="930" spans="1:15" s="13" customFormat="1" ht="19.5" customHeight="1" x14ac:dyDescent="0.25">
      <c r="A930" s="11" t="s">
        <v>2312</v>
      </c>
      <c r="B930" s="11" t="s">
        <v>2312</v>
      </c>
      <c r="C930" s="12">
        <v>46024</v>
      </c>
      <c r="D930" s="12">
        <v>46024</v>
      </c>
      <c r="E930" s="11" t="s">
        <v>6</v>
      </c>
      <c r="F930" s="11" t="s">
        <v>2313</v>
      </c>
      <c r="G930" s="11" t="s">
        <v>2312</v>
      </c>
      <c r="H930" s="11"/>
      <c r="I930" s="11" t="s">
        <v>49</v>
      </c>
      <c r="J930" s="11">
        <v>113.91</v>
      </c>
      <c r="K930" s="11">
        <v>113.91</v>
      </c>
      <c r="L930" s="11"/>
      <c r="M930" s="11">
        <v>113.91</v>
      </c>
      <c r="N930" s="11" t="s">
        <v>2314</v>
      </c>
      <c r="O930" s="11" t="s">
        <v>50</v>
      </c>
    </row>
    <row r="931" spans="1:15" s="13" customFormat="1" ht="19.5" customHeight="1" x14ac:dyDescent="0.25">
      <c r="A931" s="11" t="s">
        <v>2315</v>
      </c>
      <c r="B931" s="11" t="s">
        <v>2315</v>
      </c>
      <c r="C931" s="12">
        <v>46022</v>
      </c>
      <c r="D931" s="12">
        <v>46022</v>
      </c>
      <c r="E931" s="11" t="s">
        <v>6</v>
      </c>
      <c r="F931" s="11" t="s">
        <v>2316</v>
      </c>
      <c r="G931" s="11" t="s">
        <v>2315</v>
      </c>
      <c r="H931" s="11"/>
      <c r="I931" s="11" t="s">
        <v>49</v>
      </c>
      <c r="J931" s="11">
        <v>109.8</v>
      </c>
      <c r="K931" s="11">
        <v>109.8</v>
      </c>
      <c r="L931" s="11"/>
      <c r="M931" s="11">
        <v>109.8</v>
      </c>
      <c r="N931" s="11" t="s">
        <v>2317</v>
      </c>
      <c r="O931" s="11" t="s">
        <v>50</v>
      </c>
    </row>
    <row r="932" spans="1:15" s="13" customFormat="1" ht="19.5" customHeight="1" x14ac:dyDescent="0.25">
      <c r="A932" s="11" t="s">
        <v>2318</v>
      </c>
      <c r="B932" s="11" t="s">
        <v>2318</v>
      </c>
      <c r="C932" s="12">
        <v>46021</v>
      </c>
      <c r="D932" s="12">
        <v>46021</v>
      </c>
      <c r="E932" s="11" t="s">
        <v>6</v>
      </c>
      <c r="F932" s="11" t="s">
        <v>2319</v>
      </c>
      <c r="G932" s="11" t="s">
        <v>2318</v>
      </c>
      <c r="H932" s="11"/>
      <c r="I932" s="11" t="s">
        <v>49</v>
      </c>
      <c r="J932" s="11">
        <v>89.42</v>
      </c>
      <c r="K932" s="11">
        <v>89.42</v>
      </c>
      <c r="L932" s="11"/>
      <c r="M932" s="11">
        <v>89.42</v>
      </c>
      <c r="N932" s="11" t="s">
        <v>2320</v>
      </c>
      <c r="O932" s="11" t="s">
        <v>75</v>
      </c>
    </row>
    <row r="933" spans="1:15" s="13" customFormat="1" ht="19.5" customHeight="1" x14ac:dyDescent="0.25">
      <c r="A933" s="11" t="s">
        <v>2321</v>
      </c>
      <c r="B933" s="11" t="s">
        <v>2321</v>
      </c>
      <c r="C933" s="12">
        <v>46021</v>
      </c>
      <c r="D933" s="12">
        <v>46021</v>
      </c>
      <c r="E933" s="11" t="s">
        <v>6</v>
      </c>
      <c r="F933" s="11" t="s">
        <v>2322</v>
      </c>
      <c r="G933" s="11" t="s">
        <v>2321</v>
      </c>
      <c r="H933" s="11"/>
      <c r="I933" s="11" t="s">
        <v>49</v>
      </c>
      <c r="J933" s="11">
        <v>78.38</v>
      </c>
      <c r="K933" s="11">
        <v>78.38</v>
      </c>
      <c r="L933" s="11"/>
      <c r="M933" s="11">
        <v>78.38</v>
      </c>
      <c r="N933" s="11" t="s">
        <v>2323</v>
      </c>
      <c r="O933" s="11" t="s">
        <v>75</v>
      </c>
    </row>
    <row r="934" spans="1:15" s="13" customFormat="1" ht="19.5" customHeight="1" x14ac:dyDescent="0.25">
      <c r="A934" s="11" t="s">
        <v>2324</v>
      </c>
      <c r="B934" s="11" t="s">
        <v>2324</v>
      </c>
      <c r="C934" s="12">
        <v>46021</v>
      </c>
      <c r="D934" s="12">
        <v>46021</v>
      </c>
      <c r="E934" s="11" t="s">
        <v>6</v>
      </c>
      <c r="F934" s="11" t="s">
        <v>2325</v>
      </c>
      <c r="G934" s="11" t="s">
        <v>2324</v>
      </c>
      <c r="H934" s="11"/>
      <c r="I934" s="11" t="s">
        <v>49</v>
      </c>
      <c r="J934" s="11">
        <v>77.27</v>
      </c>
      <c r="K934" s="11">
        <v>77.27</v>
      </c>
      <c r="L934" s="11"/>
      <c r="M934" s="11">
        <v>77.27</v>
      </c>
      <c r="N934" s="11" t="s">
        <v>2326</v>
      </c>
      <c r="O934" s="11" t="s">
        <v>50</v>
      </c>
    </row>
    <row r="935" spans="1:15" s="13" customFormat="1" ht="19.5" customHeight="1" x14ac:dyDescent="0.25">
      <c r="A935" s="11" t="s">
        <v>2327</v>
      </c>
      <c r="B935" s="11" t="s">
        <v>2327</v>
      </c>
      <c r="C935" s="12">
        <v>46021</v>
      </c>
      <c r="D935" s="12">
        <v>46021</v>
      </c>
      <c r="E935" s="11" t="s">
        <v>6</v>
      </c>
      <c r="F935" s="11" t="s">
        <v>2328</v>
      </c>
      <c r="G935" s="11" t="s">
        <v>2327</v>
      </c>
      <c r="H935" s="11"/>
      <c r="I935" s="11" t="s">
        <v>49</v>
      </c>
      <c r="J935" s="11">
        <v>128.24</v>
      </c>
      <c r="K935" s="11">
        <v>128.24</v>
      </c>
      <c r="L935" s="11"/>
      <c r="M935" s="11">
        <v>128.24</v>
      </c>
      <c r="N935" s="11" t="s">
        <v>2329</v>
      </c>
      <c r="O935" s="11" t="s">
        <v>50</v>
      </c>
    </row>
    <row r="936" spans="1:15" s="13" customFormat="1" ht="19.5" customHeight="1" x14ac:dyDescent="0.25">
      <c r="A936" s="11" t="s">
        <v>2330</v>
      </c>
      <c r="B936" s="11" t="s">
        <v>2330</v>
      </c>
      <c r="C936" s="12">
        <v>46021</v>
      </c>
      <c r="D936" s="12">
        <v>46021</v>
      </c>
      <c r="E936" s="11" t="s">
        <v>6</v>
      </c>
      <c r="F936" s="11" t="s">
        <v>2066</v>
      </c>
      <c r="G936" s="11" t="s">
        <v>2330</v>
      </c>
      <c r="H936" s="11"/>
      <c r="I936" s="11" t="s">
        <v>49</v>
      </c>
      <c r="J936" s="11">
        <v>121.8</v>
      </c>
      <c r="K936" s="11">
        <v>121.8</v>
      </c>
      <c r="L936" s="11"/>
      <c r="M936" s="11">
        <v>121.8</v>
      </c>
      <c r="N936" s="11" t="s">
        <v>2331</v>
      </c>
      <c r="O936" s="11" t="s">
        <v>50</v>
      </c>
    </row>
    <row r="937" spans="1:15" s="13" customFormat="1" ht="19.5" customHeight="1" x14ac:dyDescent="0.25">
      <c r="A937" s="11" t="s">
        <v>2332</v>
      </c>
      <c r="B937" s="11" t="s">
        <v>2332</v>
      </c>
      <c r="C937" s="12">
        <v>46020</v>
      </c>
      <c r="D937" s="12">
        <v>46020</v>
      </c>
      <c r="E937" s="11" t="s">
        <v>6</v>
      </c>
      <c r="F937" s="11" t="s">
        <v>2333</v>
      </c>
      <c r="G937" s="11" t="s">
        <v>2332</v>
      </c>
      <c r="H937" s="11"/>
      <c r="I937" s="11" t="s">
        <v>49</v>
      </c>
      <c r="J937" s="11">
        <v>108.81</v>
      </c>
      <c r="K937" s="11">
        <v>108.81</v>
      </c>
      <c r="L937" s="11"/>
      <c r="M937" s="11">
        <v>108.81</v>
      </c>
      <c r="N937" s="11" t="s">
        <v>2334</v>
      </c>
      <c r="O937" s="11" t="s">
        <v>50</v>
      </c>
    </row>
    <row r="938" spans="1:15" s="13" customFormat="1" ht="19.5" customHeight="1" x14ac:dyDescent="0.25">
      <c r="A938" s="11" t="s">
        <v>2335</v>
      </c>
      <c r="B938" s="11" t="s">
        <v>2335</v>
      </c>
      <c r="C938" s="12">
        <v>46020</v>
      </c>
      <c r="D938" s="12">
        <v>46020</v>
      </c>
      <c r="E938" s="11" t="s">
        <v>6</v>
      </c>
      <c r="F938" s="11" t="s">
        <v>2336</v>
      </c>
      <c r="G938" s="11" t="s">
        <v>2335</v>
      </c>
      <c r="H938" s="11"/>
      <c r="I938" s="11" t="s">
        <v>49</v>
      </c>
      <c r="J938" s="11">
        <v>196.1</v>
      </c>
      <c r="K938" s="11">
        <v>196.1</v>
      </c>
      <c r="L938" s="11"/>
      <c r="M938" s="11">
        <v>196.1</v>
      </c>
      <c r="N938" s="11" t="s">
        <v>2337</v>
      </c>
      <c r="O938" s="11" t="s">
        <v>50</v>
      </c>
    </row>
    <row r="939" spans="1:15" s="13" customFormat="1" ht="19.5" customHeight="1" x14ac:dyDescent="0.25">
      <c r="A939" s="11" t="s">
        <v>2338</v>
      </c>
      <c r="B939" s="11" t="s">
        <v>2338</v>
      </c>
      <c r="C939" s="12">
        <v>46020</v>
      </c>
      <c r="D939" s="12">
        <v>46020</v>
      </c>
      <c r="E939" s="11" t="s">
        <v>6</v>
      </c>
      <c r="F939" s="11" t="s">
        <v>2339</v>
      </c>
      <c r="G939" s="11" t="s">
        <v>2338</v>
      </c>
      <c r="H939" s="11"/>
      <c r="I939" s="11" t="s">
        <v>49</v>
      </c>
      <c r="J939" s="11">
        <v>256.5</v>
      </c>
      <c r="K939" s="11">
        <v>256.5</v>
      </c>
      <c r="L939" s="11"/>
      <c r="M939" s="11">
        <v>256.5</v>
      </c>
      <c r="N939" s="11" t="s">
        <v>2340</v>
      </c>
      <c r="O939" s="11" t="s">
        <v>50</v>
      </c>
    </row>
    <row r="940" spans="1:15" s="13" customFormat="1" ht="19.5" customHeight="1" x14ac:dyDescent="0.25">
      <c r="A940" s="11" t="s">
        <v>2341</v>
      </c>
      <c r="B940" s="11" t="s">
        <v>2341</v>
      </c>
      <c r="C940" s="12">
        <v>46020</v>
      </c>
      <c r="D940" s="12">
        <v>46020</v>
      </c>
      <c r="E940" s="11" t="s">
        <v>6</v>
      </c>
      <c r="F940" s="11" t="s">
        <v>2342</v>
      </c>
      <c r="G940" s="11" t="s">
        <v>2341</v>
      </c>
      <c r="H940" s="11"/>
      <c r="I940" s="11" t="s">
        <v>49</v>
      </c>
      <c r="J940" s="11">
        <v>99.9</v>
      </c>
      <c r="K940" s="11">
        <v>99.9</v>
      </c>
      <c r="L940" s="11"/>
      <c r="M940" s="11">
        <v>99.9</v>
      </c>
      <c r="N940" s="11" t="s">
        <v>2343</v>
      </c>
      <c r="O940" s="11" t="s">
        <v>50</v>
      </c>
    </row>
    <row r="941" spans="1:15" s="13" customFormat="1" ht="19.5" customHeight="1" x14ac:dyDescent="0.25">
      <c r="A941" s="11" t="s">
        <v>2344</v>
      </c>
      <c r="B941" s="11" t="s">
        <v>2344</v>
      </c>
      <c r="C941" s="12">
        <v>46020</v>
      </c>
      <c r="D941" s="12">
        <v>46020</v>
      </c>
      <c r="E941" s="11" t="s">
        <v>6</v>
      </c>
      <c r="F941" s="11" t="s">
        <v>2345</v>
      </c>
      <c r="G941" s="11" t="s">
        <v>2344</v>
      </c>
      <c r="H941" s="11"/>
      <c r="I941" s="11" t="s">
        <v>49</v>
      </c>
      <c r="J941" s="11">
        <v>50.4</v>
      </c>
      <c r="K941" s="11">
        <v>50.4</v>
      </c>
      <c r="L941" s="11"/>
      <c r="M941" s="11">
        <v>50.4</v>
      </c>
      <c r="N941" s="11" t="s">
        <v>2346</v>
      </c>
      <c r="O941" s="11" t="s">
        <v>50</v>
      </c>
    </row>
    <row r="942" spans="1:15" s="13" customFormat="1" ht="19.5" customHeight="1" x14ac:dyDescent="0.25">
      <c r="A942" s="11" t="s">
        <v>2347</v>
      </c>
      <c r="B942" s="11" t="s">
        <v>2347</v>
      </c>
      <c r="C942" s="12">
        <v>46020</v>
      </c>
      <c r="D942" s="12">
        <v>46020</v>
      </c>
      <c r="E942" s="11" t="s">
        <v>6</v>
      </c>
      <c r="F942" s="11" t="s">
        <v>2348</v>
      </c>
      <c r="G942" s="11" t="s">
        <v>2347</v>
      </c>
      <c r="H942" s="11"/>
      <c r="I942" s="11" t="s">
        <v>49</v>
      </c>
      <c r="J942" s="11">
        <v>113.91</v>
      </c>
      <c r="K942" s="11">
        <v>113.91</v>
      </c>
      <c r="L942" s="11"/>
      <c r="M942" s="11">
        <v>113.91</v>
      </c>
      <c r="N942" s="11" t="s">
        <v>2349</v>
      </c>
      <c r="O942" s="11" t="s">
        <v>50</v>
      </c>
    </row>
    <row r="943" spans="1:15" s="13" customFormat="1" ht="19.5" customHeight="1" x14ac:dyDescent="0.25">
      <c r="A943" s="11" t="s">
        <v>2350</v>
      </c>
      <c r="B943" s="11" t="s">
        <v>2350</v>
      </c>
      <c r="C943" s="12">
        <v>46020</v>
      </c>
      <c r="D943" s="12">
        <v>46020</v>
      </c>
      <c r="E943" s="11" t="s">
        <v>6</v>
      </c>
      <c r="F943" s="11" t="s">
        <v>2351</v>
      </c>
      <c r="G943" s="11" t="s">
        <v>2350</v>
      </c>
      <c r="H943" s="11"/>
      <c r="I943" s="11" t="s">
        <v>49</v>
      </c>
      <c r="J943" s="11">
        <v>47.25</v>
      </c>
      <c r="K943" s="11">
        <v>47.25</v>
      </c>
      <c r="L943" s="11"/>
      <c r="M943" s="11">
        <v>47.25</v>
      </c>
      <c r="N943" s="11" t="s">
        <v>2352</v>
      </c>
      <c r="O943" s="11" t="s">
        <v>50</v>
      </c>
    </row>
    <row r="944" spans="1:15" s="13" customFormat="1" ht="19.5" customHeight="1" x14ac:dyDescent="0.25">
      <c r="A944" s="11" t="s">
        <v>2353</v>
      </c>
      <c r="B944" s="11" t="s">
        <v>2353</v>
      </c>
      <c r="C944" s="12">
        <v>46020</v>
      </c>
      <c r="D944" s="12">
        <v>46020</v>
      </c>
      <c r="E944" s="11" t="s">
        <v>6</v>
      </c>
      <c r="F944" s="11" t="s">
        <v>2354</v>
      </c>
      <c r="G944" s="11" t="s">
        <v>2353</v>
      </c>
      <c r="H944" s="11"/>
      <c r="I944" s="11" t="s">
        <v>49</v>
      </c>
      <c r="J944" s="11">
        <v>90.86</v>
      </c>
      <c r="K944" s="11">
        <v>90.86</v>
      </c>
      <c r="L944" s="11"/>
      <c r="M944" s="11">
        <v>90.86</v>
      </c>
      <c r="N944" s="11" t="s">
        <v>2355</v>
      </c>
      <c r="O944" s="11" t="s">
        <v>50</v>
      </c>
    </row>
    <row r="945" spans="1:15" s="13" customFormat="1" ht="19.5" customHeight="1" x14ac:dyDescent="0.25">
      <c r="A945" s="11" t="s">
        <v>2356</v>
      </c>
      <c r="B945" s="11" t="s">
        <v>2356</v>
      </c>
      <c r="C945" s="12">
        <v>46020</v>
      </c>
      <c r="D945" s="12">
        <v>46020</v>
      </c>
      <c r="E945" s="11" t="s">
        <v>6</v>
      </c>
      <c r="F945" s="11" t="s">
        <v>2357</v>
      </c>
      <c r="G945" s="11" t="s">
        <v>2356</v>
      </c>
      <c r="H945" s="11"/>
      <c r="I945" s="11" t="s">
        <v>49</v>
      </c>
      <c r="J945" s="11">
        <v>292.5</v>
      </c>
      <c r="K945" s="11">
        <v>292.5</v>
      </c>
      <c r="L945" s="11"/>
      <c r="M945" s="11">
        <v>292.5</v>
      </c>
      <c r="N945" s="11"/>
      <c r="O945" s="11" t="s">
        <v>50</v>
      </c>
    </row>
    <row r="946" spans="1:15" s="13" customFormat="1" ht="19.5" customHeight="1" x14ac:dyDescent="0.25">
      <c r="A946" s="11" t="s">
        <v>2358</v>
      </c>
      <c r="B946" s="11" t="s">
        <v>2358</v>
      </c>
      <c r="C946" s="12">
        <v>46017</v>
      </c>
      <c r="D946" s="12">
        <v>46062</v>
      </c>
      <c r="E946" s="11" t="s">
        <v>6</v>
      </c>
      <c r="F946" s="11" t="s">
        <v>101</v>
      </c>
      <c r="G946" s="11" t="s">
        <v>2358</v>
      </c>
      <c r="H946" s="11"/>
      <c r="I946" s="11" t="s">
        <v>49</v>
      </c>
      <c r="J946" s="11">
        <v>1981.07</v>
      </c>
      <c r="K946" s="11">
        <v>1981.07</v>
      </c>
      <c r="L946" s="11"/>
      <c r="M946" s="11">
        <v>1981.07</v>
      </c>
      <c r="N946" s="11"/>
      <c r="O946" s="11" t="s">
        <v>50</v>
      </c>
    </row>
    <row r="947" spans="1:15" s="13" customFormat="1" ht="19.5" customHeight="1" x14ac:dyDescent="0.25">
      <c r="A947" s="11" t="s">
        <v>2358</v>
      </c>
      <c r="B947" s="11" t="s">
        <v>2358</v>
      </c>
      <c r="C947" s="12">
        <v>46017</v>
      </c>
      <c r="D947" s="12">
        <v>46072</v>
      </c>
      <c r="E947" s="11" t="s">
        <v>6</v>
      </c>
      <c r="F947" s="11" t="s">
        <v>101</v>
      </c>
      <c r="G947" s="11" t="s">
        <v>2358</v>
      </c>
      <c r="H947" s="11"/>
      <c r="I947" s="11" t="s">
        <v>49</v>
      </c>
      <c r="J947" s="11">
        <v>1981.07</v>
      </c>
      <c r="K947" s="11">
        <v>1981.07</v>
      </c>
      <c r="L947" s="11"/>
      <c r="M947" s="11">
        <v>1981.07</v>
      </c>
      <c r="N947" s="11"/>
      <c r="O947" s="11" t="s">
        <v>50</v>
      </c>
    </row>
    <row r="948" spans="1:15" s="13" customFormat="1" ht="19.5" customHeight="1" x14ac:dyDescent="0.25">
      <c r="A948" s="11" t="s">
        <v>2358</v>
      </c>
      <c r="B948" s="11" t="s">
        <v>2358</v>
      </c>
      <c r="C948" s="12">
        <v>46017</v>
      </c>
      <c r="D948" s="12">
        <v>46082</v>
      </c>
      <c r="E948" s="11" t="s">
        <v>6</v>
      </c>
      <c r="F948" s="11" t="s">
        <v>101</v>
      </c>
      <c r="G948" s="11" t="s">
        <v>2358</v>
      </c>
      <c r="H948" s="11"/>
      <c r="I948" s="11" t="s">
        <v>49</v>
      </c>
      <c r="J948" s="11">
        <v>1981.07</v>
      </c>
      <c r="K948" s="11">
        <v>1981.07</v>
      </c>
      <c r="L948" s="11"/>
      <c r="M948" s="11">
        <v>1981.07</v>
      </c>
      <c r="N948" s="11"/>
      <c r="O948" s="11" t="s">
        <v>50</v>
      </c>
    </row>
    <row r="949" spans="1:15" s="13" customFormat="1" ht="19.5" customHeight="1" x14ac:dyDescent="0.25">
      <c r="A949" s="11" t="s">
        <v>2358</v>
      </c>
      <c r="B949" s="11" t="s">
        <v>2358</v>
      </c>
      <c r="C949" s="12">
        <v>46017</v>
      </c>
      <c r="D949" s="12">
        <v>46092</v>
      </c>
      <c r="E949" s="11" t="s">
        <v>6</v>
      </c>
      <c r="F949" s="11" t="s">
        <v>101</v>
      </c>
      <c r="G949" s="11" t="s">
        <v>2358</v>
      </c>
      <c r="H949" s="11"/>
      <c r="I949" s="11" t="s">
        <v>49</v>
      </c>
      <c r="J949" s="11">
        <v>1981.08</v>
      </c>
      <c r="K949" s="11">
        <v>1981.08</v>
      </c>
      <c r="L949" s="11"/>
      <c r="M949" s="11">
        <v>1981.08</v>
      </c>
      <c r="N949" s="11"/>
      <c r="O949" s="11" t="s">
        <v>50</v>
      </c>
    </row>
    <row r="950" spans="1:15" s="13" customFormat="1" ht="19.5" customHeight="1" x14ac:dyDescent="0.25">
      <c r="A950" s="11" t="s">
        <v>2359</v>
      </c>
      <c r="B950" s="11" t="s">
        <v>2359</v>
      </c>
      <c r="C950" s="12">
        <v>46017</v>
      </c>
      <c r="D950" s="12">
        <v>46017</v>
      </c>
      <c r="E950" s="11" t="s">
        <v>6</v>
      </c>
      <c r="F950" s="11" t="s">
        <v>2360</v>
      </c>
      <c r="G950" s="11" t="s">
        <v>2359</v>
      </c>
      <c r="H950" s="11"/>
      <c r="I950" s="11" t="s">
        <v>49</v>
      </c>
      <c r="J950" s="11">
        <v>50.4</v>
      </c>
      <c r="K950" s="11">
        <v>50.4</v>
      </c>
      <c r="L950" s="11"/>
      <c r="M950" s="11">
        <v>50.4</v>
      </c>
      <c r="N950" s="11" t="s">
        <v>2361</v>
      </c>
      <c r="O950" s="11" t="s">
        <v>50</v>
      </c>
    </row>
    <row r="951" spans="1:15" s="13" customFormat="1" ht="19.5" customHeight="1" x14ac:dyDescent="0.25">
      <c r="A951" s="11" t="s">
        <v>2362</v>
      </c>
      <c r="B951" s="11" t="s">
        <v>2362</v>
      </c>
      <c r="C951" s="12">
        <v>46017</v>
      </c>
      <c r="D951" s="12">
        <v>46017</v>
      </c>
      <c r="E951" s="11" t="s">
        <v>6</v>
      </c>
      <c r="F951" s="11" t="s">
        <v>2363</v>
      </c>
      <c r="G951" s="11" t="s">
        <v>2362</v>
      </c>
      <c r="H951" s="11"/>
      <c r="I951" s="11" t="s">
        <v>49</v>
      </c>
      <c r="J951" s="11">
        <v>181.72</v>
      </c>
      <c r="K951" s="11">
        <v>181.72</v>
      </c>
      <c r="L951" s="11"/>
      <c r="M951" s="11">
        <v>181.72</v>
      </c>
      <c r="N951" s="11" t="s">
        <v>2364</v>
      </c>
      <c r="O951" s="11" t="s">
        <v>75</v>
      </c>
    </row>
    <row r="952" spans="1:15" s="13" customFormat="1" ht="19.5" customHeight="1" x14ac:dyDescent="0.25">
      <c r="A952" s="11" t="s">
        <v>2365</v>
      </c>
      <c r="B952" s="11" t="s">
        <v>2365</v>
      </c>
      <c r="C952" s="12">
        <v>46017</v>
      </c>
      <c r="D952" s="12">
        <v>46017</v>
      </c>
      <c r="E952" s="11" t="s">
        <v>6</v>
      </c>
      <c r="F952" s="11" t="s">
        <v>2366</v>
      </c>
      <c r="G952" s="11" t="s">
        <v>2365</v>
      </c>
      <c r="H952" s="11"/>
      <c r="I952" s="11" t="s">
        <v>49</v>
      </c>
      <c r="J952" s="11">
        <v>109.8</v>
      </c>
      <c r="K952" s="11">
        <v>109.8</v>
      </c>
      <c r="L952" s="11"/>
      <c r="M952" s="11">
        <v>109.8</v>
      </c>
      <c r="N952" s="11" t="s">
        <v>2367</v>
      </c>
      <c r="O952" s="11" t="s">
        <v>75</v>
      </c>
    </row>
    <row r="953" spans="1:15" s="13" customFormat="1" ht="19.5" customHeight="1" x14ac:dyDescent="0.25">
      <c r="A953" s="11" t="s">
        <v>2368</v>
      </c>
      <c r="B953" s="11" t="s">
        <v>2368</v>
      </c>
      <c r="C953" s="12">
        <v>46017</v>
      </c>
      <c r="D953" s="12">
        <v>46017</v>
      </c>
      <c r="E953" s="11" t="s">
        <v>6</v>
      </c>
      <c r="F953" s="11" t="s">
        <v>2369</v>
      </c>
      <c r="G953" s="11" t="s">
        <v>2368</v>
      </c>
      <c r="H953" s="11"/>
      <c r="I953" s="11" t="s">
        <v>49</v>
      </c>
      <c r="J953" s="11">
        <v>57.61</v>
      </c>
      <c r="K953" s="11">
        <v>57.61</v>
      </c>
      <c r="L953" s="11"/>
      <c r="M953" s="11">
        <v>57.61</v>
      </c>
      <c r="N953" s="11" t="s">
        <v>2370</v>
      </c>
      <c r="O953" s="11" t="s">
        <v>75</v>
      </c>
    </row>
    <row r="954" spans="1:15" s="13" customFormat="1" ht="19.5" customHeight="1" x14ac:dyDescent="0.25">
      <c r="A954" s="11" t="s">
        <v>2371</v>
      </c>
      <c r="B954" s="11" t="s">
        <v>2371</v>
      </c>
      <c r="C954" s="12">
        <v>46017</v>
      </c>
      <c r="D954" s="12">
        <v>46017</v>
      </c>
      <c r="E954" s="11" t="s">
        <v>6</v>
      </c>
      <c r="F954" s="11" t="s">
        <v>2372</v>
      </c>
      <c r="G954" s="11" t="s">
        <v>2371</v>
      </c>
      <c r="H954" s="11"/>
      <c r="I954" s="11" t="s">
        <v>49</v>
      </c>
      <c r="J954" s="11">
        <v>156.25</v>
      </c>
      <c r="K954" s="11">
        <v>156.25</v>
      </c>
      <c r="L954" s="11"/>
      <c r="M954" s="11">
        <v>156.25</v>
      </c>
      <c r="N954" s="11" t="s">
        <v>2373</v>
      </c>
      <c r="O954" s="11" t="s">
        <v>75</v>
      </c>
    </row>
    <row r="955" spans="1:15" s="13" customFormat="1" ht="19.5" customHeight="1" x14ac:dyDescent="0.25">
      <c r="A955" s="11" t="s">
        <v>2374</v>
      </c>
      <c r="B955" s="11" t="s">
        <v>2374</v>
      </c>
      <c r="C955" s="12">
        <v>46017</v>
      </c>
      <c r="D955" s="12">
        <v>46017</v>
      </c>
      <c r="E955" s="11" t="s">
        <v>6</v>
      </c>
      <c r="F955" s="11" t="s">
        <v>2375</v>
      </c>
      <c r="G955" s="11" t="s">
        <v>2374</v>
      </c>
      <c r="H955" s="11"/>
      <c r="I955" s="11" t="s">
        <v>49</v>
      </c>
      <c r="J955" s="11">
        <v>74.8</v>
      </c>
      <c r="K955" s="11">
        <v>74.8</v>
      </c>
      <c r="L955" s="11"/>
      <c r="M955" s="11">
        <v>74.8</v>
      </c>
      <c r="N955" s="11" t="s">
        <v>2376</v>
      </c>
      <c r="O955" s="11" t="s">
        <v>50</v>
      </c>
    </row>
    <row r="956" spans="1:15" s="13" customFormat="1" ht="19.5" customHeight="1" x14ac:dyDescent="0.25">
      <c r="A956" s="11" t="s">
        <v>2377</v>
      </c>
      <c r="B956" s="11" t="s">
        <v>2377</v>
      </c>
      <c r="C956" s="12">
        <v>46017</v>
      </c>
      <c r="D956" s="12">
        <v>46017</v>
      </c>
      <c r="E956" s="11" t="s">
        <v>6</v>
      </c>
      <c r="F956" s="11" t="s">
        <v>2378</v>
      </c>
      <c r="G956" s="11" t="s">
        <v>2377</v>
      </c>
      <c r="H956" s="11"/>
      <c r="I956" s="11" t="s">
        <v>49</v>
      </c>
      <c r="J956" s="11">
        <v>75.5</v>
      </c>
      <c r="K956" s="11">
        <v>75.5</v>
      </c>
      <c r="L956" s="11"/>
      <c r="M956" s="11">
        <v>75.5</v>
      </c>
      <c r="N956" s="11" t="s">
        <v>2379</v>
      </c>
      <c r="O956" s="11" t="s">
        <v>50</v>
      </c>
    </row>
    <row r="957" spans="1:15" s="13" customFormat="1" ht="19.5" customHeight="1" x14ac:dyDescent="0.25">
      <c r="A957" s="11" t="s">
        <v>2380</v>
      </c>
      <c r="B957" s="11" t="s">
        <v>2381</v>
      </c>
      <c r="C957" s="12">
        <v>46013</v>
      </c>
      <c r="D957" s="12">
        <v>46013</v>
      </c>
      <c r="E957" s="11" t="s">
        <v>6</v>
      </c>
      <c r="F957" s="11" t="s">
        <v>1395</v>
      </c>
      <c r="G957" s="11" t="s">
        <v>2382</v>
      </c>
      <c r="H957" s="11" t="s">
        <v>2383</v>
      </c>
      <c r="I957" s="11" t="s">
        <v>49</v>
      </c>
      <c r="J957" s="11">
        <v>-102.31</v>
      </c>
      <c r="K957" s="11"/>
      <c r="L957" s="11">
        <v>102.31</v>
      </c>
      <c r="M957" s="11">
        <v>-102.31</v>
      </c>
      <c r="N957" s="11"/>
      <c r="O957" s="11" t="s">
        <v>2384</v>
      </c>
    </row>
    <row r="958" spans="1:15" s="13" customFormat="1" ht="19.5" customHeight="1" x14ac:dyDescent="0.25">
      <c r="A958" s="11" t="s">
        <v>2385</v>
      </c>
      <c r="B958" s="11" t="s">
        <v>2385</v>
      </c>
      <c r="C958" s="12">
        <v>46013</v>
      </c>
      <c r="D958" s="12">
        <v>46013</v>
      </c>
      <c r="E958" s="11" t="s">
        <v>6</v>
      </c>
      <c r="F958" s="11" t="s">
        <v>64</v>
      </c>
      <c r="G958" s="11"/>
      <c r="H958" s="11"/>
      <c r="I958" s="11" t="s">
        <v>49</v>
      </c>
      <c r="J958" s="11">
        <v>-14847.23</v>
      </c>
      <c r="K958" s="11"/>
      <c r="L958" s="11">
        <v>14847.23</v>
      </c>
      <c r="M958" s="11">
        <v>-14847.23</v>
      </c>
      <c r="N958" s="11"/>
      <c r="O958" s="11" t="s">
        <v>50</v>
      </c>
    </row>
    <row r="959" spans="1:15" s="13" customFormat="1" ht="19.5" customHeight="1" x14ac:dyDescent="0.25">
      <c r="A959" s="11" t="s">
        <v>2386</v>
      </c>
      <c r="B959" s="11" t="s">
        <v>2386</v>
      </c>
      <c r="C959" s="12">
        <v>46013</v>
      </c>
      <c r="D959" s="12">
        <v>46013</v>
      </c>
      <c r="E959" s="11" t="s">
        <v>6</v>
      </c>
      <c r="F959" s="11" t="s">
        <v>2387</v>
      </c>
      <c r="G959" s="11" t="s">
        <v>2386</v>
      </c>
      <c r="H959" s="11"/>
      <c r="I959" s="11" t="s">
        <v>49</v>
      </c>
      <c r="J959" s="11">
        <v>270.89999999999998</v>
      </c>
      <c r="K959" s="11">
        <v>270.89999999999998</v>
      </c>
      <c r="L959" s="11"/>
      <c r="M959" s="11">
        <v>270.89999999999998</v>
      </c>
      <c r="N959" s="11" t="s">
        <v>2388</v>
      </c>
      <c r="O959" s="11" t="s">
        <v>50</v>
      </c>
    </row>
    <row r="960" spans="1:15" s="13" customFormat="1" ht="19.5" customHeight="1" x14ac:dyDescent="0.25">
      <c r="A960" s="11" t="s">
        <v>2389</v>
      </c>
      <c r="B960" s="11" t="s">
        <v>2389</v>
      </c>
      <c r="C960" s="12">
        <v>46013</v>
      </c>
      <c r="D960" s="12">
        <v>46013</v>
      </c>
      <c r="E960" s="11" t="s">
        <v>6</v>
      </c>
      <c r="F960" s="11" t="s">
        <v>2390</v>
      </c>
      <c r="G960" s="11" t="s">
        <v>2389</v>
      </c>
      <c r="H960" s="11"/>
      <c r="I960" s="11" t="s">
        <v>49</v>
      </c>
      <c r="J960" s="11">
        <v>258.19</v>
      </c>
      <c r="K960" s="11">
        <v>258.19</v>
      </c>
      <c r="L960" s="11"/>
      <c r="M960" s="11">
        <v>258.19</v>
      </c>
      <c r="N960" s="11"/>
      <c r="O960" s="11" t="s">
        <v>50</v>
      </c>
    </row>
    <row r="961" spans="1:15" s="13" customFormat="1" ht="19.5" customHeight="1" x14ac:dyDescent="0.25">
      <c r="A961" s="11" t="s">
        <v>2391</v>
      </c>
      <c r="B961" s="11" t="s">
        <v>2391</v>
      </c>
      <c r="C961" s="12">
        <v>46013</v>
      </c>
      <c r="D961" s="12">
        <v>46013</v>
      </c>
      <c r="E961" s="11" t="s">
        <v>6</v>
      </c>
      <c r="F961" s="11" t="s">
        <v>2392</v>
      </c>
      <c r="G961" s="11" t="s">
        <v>2391</v>
      </c>
      <c r="H961" s="11"/>
      <c r="I961" s="11" t="s">
        <v>49</v>
      </c>
      <c r="J961" s="11">
        <v>95.12</v>
      </c>
      <c r="K961" s="11">
        <v>95.12</v>
      </c>
      <c r="L961" s="11"/>
      <c r="M961" s="11">
        <v>95.12</v>
      </c>
      <c r="N961" s="11"/>
      <c r="O961" s="11" t="s">
        <v>50</v>
      </c>
    </row>
    <row r="962" spans="1:15" s="13" customFormat="1" ht="19.5" customHeight="1" x14ac:dyDescent="0.25">
      <c r="A962" s="11" t="s">
        <v>2393</v>
      </c>
      <c r="B962" s="11" t="s">
        <v>2393</v>
      </c>
      <c r="C962" s="12">
        <v>46013</v>
      </c>
      <c r="D962" s="12">
        <v>46013</v>
      </c>
      <c r="E962" s="11" t="s">
        <v>6</v>
      </c>
      <c r="F962" s="11" t="s">
        <v>2394</v>
      </c>
      <c r="G962" s="11" t="s">
        <v>2393</v>
      </c>
      <c r="H962" s="11"/>
      <c r="I962" s="11" t="s">
        <v>49</v>
      </c>
      <c r="J962" s="11">
        <v>44.63</v>
      </c>
      <c r="K962" s="11">
        <v>44.63</v>
      </c>
      <c r="L962" s="11"/>
      <c r="M962" s="11">
        <v>44.63</v>
      </c>
      <c r="N962" s="11"/>
      <c r="O962" s="11" t="s">
        <v>50</v>
      </c>
    </row>
    <row r="963" spans="1:15" s="13" customFormat="1" ht="19.5" customHeight="1" x14ac:dyDescent="0.25">
      <c r="A963" s="11" t="s">
        <v>2395</v>
      </c>
      <c r="B963" s="11" t="s">
        <v>2395</v>
      </c>
      <c r="C963" s="12">
        <v>46013</v>
      </c>
      <c r="D963" s="12">
        <v>46013</v>
      </c>
      <c r="E963" s="11" t="s">
        <v>6</v>
      </c>
      <c r="F963" s="11" t="s">
        <v>2396</v>
      </c>
      <c r="G963" s="11" t="s">
        <v>2395</v>
      </c>
      <c r="H963" s="11"/>
      <c r="I963" s="11" t="s">
        <v>49</v>
      </c>
      <c r="J963" s="11">
        <v>51.75</v>
      </c>
      <c r="K963" s="11">
        <v>51.75</v>
      </c>
      <c r="L963" s="11"/>
      <c r="M963" s="11">
        <v>51.75</v>
      </c>
      <c r="N963" s="11" t="s">
        <v>2397</v>
      </c>
      <c r="O963" s="11" t="s">
        <v>50</v>
      </c>
    </row>
    <row r="964" spans="1:15" s="13" customFormat="1" ht="19.5" customHeight="1" x14ac:dyDescent="0.25">
      <c r="A964" s="11" t="s">
        <v>2398</v>
      </c>
      <c r="B964" s="11" t="s">
        <v>2398</v>
      </c>
      <c r="C964" s="12">
        <v>46013</v>
      </c>
      <c r="D964" s="12">
        <v>46013</v>
      </c>
      <c r="E964" s="11" t="s">
        <v>6</v>
      </c>
      <c r="F964" s="11" t="s">
        <v>2399</v>
      </c>
      <c r="G964" s="11" t="s">
        <v>2398</v>
      </c>
      <c r="H964" s="11"/>
      <c r="I964" s="11" t="s">
        <v>49</v>
      </c>
      <c r="J964" s="11">
        <v>90.86</v>
      </c>
      <c r="K964" s="11">
        <v>90.86</v>
      </c>
      <c r="L964" s="11"/>
      <c r="M964" s="11">
        <v>90.86</v>
      </c>
      <c r="N964" s="11" t="s">
        <v>2400</v>
      </c>
      <c r="O964" s="11" t="s">
        <v>50</v>
      </c>
    </row>
    <row r="965" spans="1:15" s="13" customFormat="1" ht="19.5" customHeight="1" x14ac:dyDescent="0.25">
      <c r="A965" s="11" t="s">
        <v>2401</v>
      </c>
      <c r="B965" s="11" t="s">
        <v>2401</v>
      </c>
      <c r="C965" s="12">
        <v>46013</v>
      </c>
      <c r="D965" s="12">
        <v>46013</v>
      </c>
      <c r="E965" s="11" t="s">
        <v>6</v>
      </c>
      <c r="F965" s="11" t="s">
        <v>1084</v>
      </c>
      <c r="G965" s="11" t="s">
        <v>2401</v>
      </c>
      <c r="H965" s="11"/>
      <c r="I965" s="11" t="s">
        <v>49</v>
      </c>
      <c r="J965" s="11">
        <v>81.510000000000005</v>
      </c>
      <c r="K965" s="11">
        <v>81.510000000000005</v>
      </c>
      <c r="L965" s="11"/>
      <c r="M965" s="11">
        <v>81.510000000000005</v>
      </c>
      <c r="N965" s="11" t="s">
        <v>2402</v>
      </c>
      <c r="O965" s="11" t="s">
        <v>50</v>
      </c>
    </row>
    <row r="966" spans="1:15" s="13" customFormat="1" ht="19.5" customHeight="1" x14ac:dyDescent="0.25">
      <c r="A966" s="11" t="s">
        <v>2403</v>
      </c>
      <c r="B966" s="11" t="s">
        <v>2403</v>
      </c>
      <c r="C966" s="12">
        <v>46013</v>
      </c>
      <c r="D966" s="12">
        <v>46013</v>
      </c>
      <c r="E966" s="11" t="s">
        <v>6</v>
      </c>
      <c r="F966" s="11" t="s">
        <v>761</v>
      </c>
      <c r="G966" s="11" t="s">
        <v>2403</v>
      </c>
      <c r="H966" s="11"/>
      <c r="I966" s="11" t="s">
        <v>49</v>
      </c>
      <c r="J966" s="11">
        <v>61.21</v>
      </c>
      <c r="K966" s="11">
        <v>61.21</v>
      </c>
      <c r="L966" s="11"/>
      <c r="M966" s="11">
        <v>61.21</v>
      </c>
      <c r="N966" s="11" t="s">
        <v>2404</v>
      </c>
      <c r="O966" s="11" t="s">
        <v>50</v>
      </c>
    </row>
    <row r="967" spans="1:15" s="13" customFormat="1" ht="19.5" customHeight="1" x14ac:dyDescent="0.25">
      <c r="A967" s="11" t="s">
        <v>2405</v>
      </c>
      <c r="B967" s="11" t="s">
        <v>2405</v>
      </c>
      <c r="C967" s="12">
        <v>46010</v>
      </c>
      <c r="D967" s="12">
        <v>46100</v>
      </c>
      <c r="E967" s="11" t="s">
        <v>6</v>
      </c>
      <c r="F967" s="11" t="s">
        <v>2406</v>
      </c>
      <c r="G967" s="11" t="s">
        <v>2405</v>
      </c>
      <c r="H967" s="11"/>
      <c r="I967" s="11" t="s">
        <v>49</v>
      </c>
      <c r="J967" s="11">
        <v>4732.9799999999996</v>
      </c>
      <c r="K967" s="11">
        <v>4732.9799999999996</v>
      </c>
      <c r="L967" s="11"/>
      <c r="M967" s="11">
        <v>4732.9799999999996</v>
      </c>
      <c r="N967" s="11"/>
      <c r="O967" s="11" t="s">
        <v>50</v>
      </c>
    </row>
    <row r="968" spans="1:15" s="13" customFormat="1" ht="19.5" customHeight="1" x14ac:dyDescent="0.25">
      <c r="A968" s="11" t="s">
        <v>2407</v>
      </c>
      <c r="B968" s="11" t="s">
        <v>2407</v>
      </c>
      <c r="C968" s="12">
        <v>46010</v>
      </c>
      <c r="D968" s="12">
        <v>46010</v>
      </c>
      <c r="E968" s="11" t="s">
        <v>6</v>
      </c>
      <c r="F968" s="11" t="s">
        <v>2408</v>
      </c>
      <c r="G968" s="11" t="s">
        <v>2407</v>
      </c>
      <c r="H968" s="11"/>
      <c r="I968" s="11" t="s">
        <v>49</v>
      </c>
      <c r="J968" s="11">
        <v>109.8</v>
      </c>
      <c r="K968" s="11">
        <v>109.8</v>
      </c>
      <c r="L968" s="11"/>
      <c r="M968" s="11">
        <v>109.8</v>
      </c>
      <c r="N968" s="11" t="s">
        <v>2409</v>
      </c>
      <c r="O968" s="11" t="s">
        <v>50</v>
      </c>
    </row>
    <row r="969" spans="1:15" s="13" customFormat="1" ht="19.5" customHeight="1" x14ac:dyDescent="0.25">
      <c r="A969" s="11" t="s">
        <v>2410</v>
      </c>
      <c r="B969" s="11" t="s">
        <v>2410</v>
      </c>
      <c r="C969" s="12">
        <v>46010</v>
      </c>
      <c r="D969" s="12">
        <v>46010</v>
      </c>
      <c r="E969" s="11" t="s">
        <v>6</v>
      </c>
      <c r="F969" s="11" t="s">
        <v>2411</v>
      </c>
      <c r="G969" s="11" t="s">
        <v>2410</v>
      </c>
      <c r="H969" s="11"/>
      <c r="I969" s="11" t="s">
        <v>49</v>
      </c>
      <c r="J969" s="11">
        <v>66.150000000000006</v>
      </c>
      <c r="K969" s="11">
        <v>66.150000000000006</v>
      </c>
      <c r="L969" s="11"/>
      <c r="M969" s="11">
        <v>66.150000000000006</v>
      </c>
      <c r="N969" s="11" t="s">
        <v>2412</v>
      </c>
      <c r="O969" s="11" t="s">
        <v>50</v>
      </c>
    </row>
    <row r="970" spans="1:15" s="13" customFormat="1" ht="19.5" customHeight="1" x14ac:dyDescent="0.25">
      <c r="A970" s="11" t="s">
        <v>2413</v>
      </c>
      <c r="B970" s="11" t="s">
        <v>2413</v>
      </c>
      <c r="C970" s="12">
        <v>46009</v>
      </c>
      <c r="D970" s="12">
        <v>46099</v>
      </c>
      <c r="E970" s="11" t="s">
        <v>6</v>
      </c>
      <c r="F970" s="11" t="s">
        <v>2414</v>
      </c>
      <c r="G970" s="11" t="s">
        <v>2413</v>
      </c>
      <c r="H970" s="11"/>
      <c r="I970" s="11" t="s">
        <v>49</v>
      </c>
      <c r="J970" s="11">
        <v>4732.9799999999996</v>
      </c>
      <c r="K970" s="11">
        <v>4732.9799999999996</v>
      </c>
      <c r="L970" s="11"/>
      <c r="M970" s="11">
        <v>4732.9799999999996</v>
      </c>
      <c r="N970" s="11"/>
      <c r="O970" s="11" t="s">
        <v>50</v>
      </c>
    </row>
    <row r="971" spans="1:15" s="13" customFormat="1" ht="19.5" customHeight="1" x14ac:dyDescent="0.25">
      <c r="A971" s="11" t="s">
        <v>2415</v>
      </c>
      <c r="B971" s="11" t="s">
        <v>2415</v>
      </c>
      <c r="C971" s="12">
        <v>46009</v>
      </c>
      <c r="D971" s="12">
        <v>46099</v>
      </c>
      <c r="E971" s="11" t="s">
        <v>6</v>
      </c>
      <c r="F971" s="11" t="s">
        <v>2416</v>
      </c>
      <c r="G971" s="11" t="s">
        <v>2415</v>
      </c>
      <c r="H971" s="11"/>
      <c r="I971" s="11" t="s">
        <v>49</v>
      </c>
      <c r="J971" s="11">
        <v>3290.98</v>
      </c>
      <c r="K971" s="11">
        <v>3290.98</v>
      </c>
      <c r="L971" s="11"/>
      <c r="M971" s="11">
        <v>3290.98</v>
      </c>
      <c r="N971" s="11"/>
      <c r="O971" s="11" t="s">
        <v>50</v>
      </c>
    </row>
    <row r="972" spans="1:15" s="13" customFormat="1" ht="19.5" customHeight="1" x14ac:dyDescent="0.25">
      <c r="A972" s="11" t="s">
        <v>2417</v>
      </c>
      <c r="B972" s="11" t="s">
        <v>2417</v>
      </c>
      <c r="C972" s="12">
        <v>46009</v>
      </c>
      <c r="D972" s="12">
        <v>46099</v>
      </c>
      <c r="E972" s="11" t="s">
        <v>6</v>
      </c>
      <c r="F972" s="11" t="s">
        <v>2416</v>
      </c>
      <c r="G972" s="11" t="s">
        <v>2417</v>
      </c>
      <c r="H972" s="11"/>
      <c r="I972" s="11" t="s">
        <v>49</v>
      </c>
      <c r="J972" s="11">
        <v>3290.98</v>
      </c>
      <c r="K972" s="11">
        <v>3290.98</v>
      </c>
      <c r="L972" s="11"/>
      <c r="M972" s="11">
        <v>3290.98</v>
      </c>
      <c r="N972" s="11"/>
      <c r="O972" s="11" t="s">
        <v>50</v>
      </c>
    </row>
    <row r="973" spans="1:15" s="13" customFormat="1" ht="19.5" customHeight="1" x14ac:dyDescent="0.25">
      <c r="A973" s="11" t="s">
        <v>2418</v>
      </c>
      <c r="B973" s="11" t="s">
        <v>2418</v>
      </c>
      <c r="C973" s="12">
        <v>46009</v>
      </c>
      <c r="D973" s="12">
        <v>46099</v>
      </c>
      <c r="E973" s="11" t="s">
        <v>6</v>
      </c>
      <c r="F973" s="11" t="s">
        <v>2416</v>
      </c>
      <c r="G973" s="11" t="s">
        <v>2418</v>
      </c>
      <c r="H973" s="11"/>
      <c r="I973" s="11" t="s">
        <v>49</v>
      </c>
      <c r="J973" s="11">
        <v>4846.7700000000004</v>
      </c>
      <c r="K973" s="11">
        <v>4846.7700000000004</v>
      </c>
      <c r="L973" s="11"/>
      <c r="M973" s="11">
        <v>4846.7700000000004</v>
      </c>
      <c r="N973" s="11"/>
      <c r="O973" s="11" t="s">
        <v>50</v>
      </c>
    </row>
    <row r="974" spans="1:15" s="13" customFormat="1" ht="19.5" customHeight="1" x14ac:dyDescent="0.25">
      <c r="A974" s="11" t="s">
        <v>2419</v>
      </c>
      <c r="B974" s="11" t="s">
        <v>2419</v>
      </c>
      <c r="C974" s="12">
        <v>46009</v>
      </c>
      <c r="D974" s="12">
        <v>46009</v>
      </c>
      <c r="E974" s="11" t="s">
        <v>6</v>
      </c>
      <c r="F974" s="11" t="s">
        <v>2420</v>
      </c>
      <c r="G974" s="11" t="s">
        <v>2419</v>
      </c>
      <c r="H974" s="11"/>
      <c r="I974" s="11" t="s">
        <v>49</v>
      </c>
      <c r="J974" s="11">
        <v>75.5</v>
      </c>
      <c r="K974" s="11">
        <v>75.5</v>
      </c>
      <c r="L974" s="11"/>
      <c r="M974" s="11">
        <v>75.5</v>
      </c>
      <c r="N974" s="11" t="s">
        <v>2421</v>
      </c>
      <c r="O974" s="11" t="s">
        <v>50</v>
      </c>
    </row>
    <row r="975" spans="1:15" s="13" customFormat="1" ht="19.5" customHeight="1" x14ac:dyDescent="0.25">
      <c r="A975" s="11" t="s">
        <v>2422</v>
      </c>
      <c r="B975" s="11" t="s">
        <v>2422</v>
      </c>
      <c r="C975" s="12">
        <v>46009</v>
      </c>
      <c r="D975" s="12">
        <v>46009</v>
      </c>
      <c r="E975" s="11" t="s">
        <v>6</v>
      </c>
      <c r="F975" s="11" t="s">
        <v>2423</v>
      </c>
      <c r="G975" s="11" t="s">
        <v>2422</v>
      </c>
      <c r="H975" s="11"/>
      <c r="I975" s="11" t="s">
        <v>49</v>
      </c>
      <c r="J975" s="11">
        <v>132.30000000000001</v>
      </c>
      <c r="K975" s="11">
        <v>132.30000000000001</v>
      </c>
      <c r="L975" s="11"/>
      <c r="M975" s="11">
        <v>132.30000000000001</v>
      </c>
      <c r="N975" s="11" t="s">
        <v>2424</v>
      </c>
      <c r="O975" s="11" t="s">
        <v>50</v>
      </c>
    </row>
    <row r="976" spans="1:15" s="13" customFormat="1" ht="19.5" customHeight="1" x14ac:dyDescent="0.25">
      <c r="A976" s="11" t="s">
        <v>2425</v>
      </c>
      <c r="B976" s="11" t="s">
        <v>2425</v>
      </c>
      <c r="C976" s="12">
        <v>46009</v>
      </c>
      <c r="D976" s="12">
        <v>46009</v>
      </c>
      <c r="E976" s="11" t="s">
        <v>6</v>
      </c>
      <c r="F976" s="11" t="s">
        <v>295</v>
      </c>
      <c r="G976" s="11" t="s">
        <v>2425</v>
      </c>
      <c r="H976" s="11"/>
      <c r="I976" s="11" t="s">
        <v>49</v>
      </c>
      <c r="J976" s="11">
        <v>399.01</v>
      </c>
      <c r="K976" s="11">
        <v>399.01</v>
      </c>
      <c r="L976" s="11"/>
      <c r="M976" s="11">
        <v>399.01</v>
      </c>
      <c r="N976" s="11"/>
      <c r="O976" s="11" t="s">
        <v>50</v>
      </c>
    </row>
    <row r="977" spans="1:15" s="13" customFormat="1" ht="19.5" customHeight="1" x14ac:dyDescent="0.25">
      <c r="A977" s="11" t="s">
        <v>2426</v>
      </c>
      <c r="B977" s="11" t="s">
        <v>2426</v>
      </c>
      <c r="C977" s="12">
        <v>46009</v>
      </c>
      <c r="D977" s="12">
        <v>46009</v>
      </c>
      <c r="E977" s="11" t="s">
        <v>6</v>
      </c>
      <c r="F977" s="11" t="s">
        <v>295</v>
      </c>
      <c r="G977" s="11" t="s">
        <v>2426</v>
      </c>
      <c r="H977" s="11"/>
      <c r="I977" s="11" t="s">
        <v>49</v>
      </c>
      <c r="J977" s="11">
        <v>640.74</v>
      </c>
      <c r="K977" s="11">
        <v>640.74</v>
      </c>
      <c r="L977" s="11"/>
      <c r="M977" s="11">
        <v>640.74</v>
      </c>
      <c r="N977" s="11"/>
      <c r="O977" s="11" t="s">
        <v>50</v>
      </c>
    </row>
    <row r="978" spans="1:15" s="13" customFormat="1" ht="19.5" customHeight="1" x14ac:dyDescent="0.25">
      <c r="A978" s="11" t="s">
        <v>2427</v>
      </c>
      <c r="B978" s="11" t="s">
        <v>2427</v>
      </c>
      <c r="C978" s="12">
        <v>46008</v>
      </c>
      <c r="D978" s="12">
        <v>46008</v>
      </c>
      <c r="E978" s="11" t="s">
        <v>6</v>
      </c>
      <c r="F978" s="11" t="s">
        <v>2428</v>
      </c>
      <c r="G978" s="11" t="s">
        <v>2427</v>
      </c>
      <c r="H978" s="11"/>
      <c r="I978" s="11" t="s">
        <v>49</v>
      </c>
      <c r="J978" s="11">
        <v>49.3</v>
      </c>
      <c r="K978" s="11">
        <v>49.3</v>
      </c>
      <c r="L978" s="11"/>
      <c r="M978" s="11">
        <v>49.3</v>
      </c>
      <c r="N978" s="11"/>
      <c r="O978" s="11" t="s">
        <v>50</v>
      </c>
    </row>
    <row r="979" spans="1:15" s="13" customFormat="1" ht="19.5" customHeight="1" x14ac:dyDescent="0.25">
      <c r="A979" s="11" t="s">
        <v>2429</v>
      </c>
      <c r="B979" s="11" t="s">
        <v>2429</v>
      </c>
      <c r="C979" s="12">
        <v>46008</v>
      </c>
      <c r="D979" s="12">
        <v>46008</v>
      </c>
      <c r="E979" s="11" t="s">
        <v>6</v>
      </c>
      <c r="F979" s="11" t="s">
        <v>2430</v>
      </c>
      <c r="G979" s="11" t="s">
        <v>2429</v>
      </c>
      <c r="H979" s="11"/>
      <c r="I979" s="11" t="s">
        <v>49</v>
      </c>
      <c r="J979" s="11">
        <v>109.8</v>
      </c>
      <c r="K979" s="11">
        <v>109.8</v>
      </c>
      <c r="L979" s="11"/>
      <c r="M979" s="11">
        <v>109.8</v>
      </c>
      <c r="N979" s="11"/>
      <c r="O979" s="11" t="s">
        <v>50</v>
      </c>
    </row>
    <row r="980" spans="1:15" s="13" customFormat="1" ht="19.5" customHeight="1" x14ac:dyDescent="0.25">
      <c r="A980" s="11" t="s">
        <v>2431</v>
      </c>
      <c r="B980" s="11" t="s">
        <v>2431</v>
      </c>
      <c r="C980" s="12">
        <v>46008</v>
      </c>
      <c r="D980" s="12">
        <v>46008</v>
      </c>
      <c r="E980" s="11" t="s">
        <v>6</v>
      </c>
      <c r="F980" s="11" t="s">
        <v>295</v>
      </c>
      <c r="G980" s="11" t="s">
        <v>2431</v>
      </c>
      <c r="H980" s="11"/>
      <c r="I980" s="11" t="s">
        <v>49</v>
      </c>
      <c r="J980" s="11">
        <v>53.34</v>
      </c>
      <c r="K980" s="11">
        <v>53.34</v>
      </c>
      <c r="L980" s="11"/>
      <c r="M980" s="11">
        <v>53.34</v>
      </c>
      <c r="N980" s="11"/>
      <c r="O980" s="11" t="s">
        <v>50</v>
      </c>
    </row>
    <row r="981" spans="1:15" s="13" customFormat="1" ht="19.5" customHeight="1" x14ac:dyDescent="0.25">
      <c r="A981" s="11" t="s">
        <v>2432</v>
      </c>
      <c r="B981" s="11" t="s">
        <v>2432</v>
      </c>
      <c r="C981" s="12">
        <v>46007</v>
      </c>
      <c r="D981" s="12">
        <v>46007</v>
      </c>
      <c r="E981" s="11" t="s">
        <v>6</v>
      </c>
      <c r="F981" s="11" t="s">
        <v>295</v>
      </c>
      <c r="G981" s="11" t="s">
        <v>2432</v>
      </c>
      <c r="H981" s="11"/>
      <c r="I981" s="11" t="s">
        <v>49</v>
      </c>
      <c r="J981" s="11">
        <v>53.34</v>
      </c>
      <c r="K981" s="11">
        <v>53.34</v>
      </c>
      <c r="L981" s="11"/>
      <c r="M981" s="11">
        <v>53.34</v>
      </c>
      <c r="N981" s="11"/>
      <c r="O981" s="11" t="s">
        <v>50</v>
      </c>
    </row>
    <row r="982" spans="1:15" s="13" customFormat="1" ht="19.5" customHeight="1" x14ac:dyDescent="0.25">
      <c r="A982" s="11" t="s">
        <v>2433</v>
      </c>
      <c r="B982" s="11" t="s">
        <v>2433</v>
      </c>
      <c r="C982" s="12">
        <v>46006</v>
      </c>
      <c r="D982" s="12">
        <v>46006</v>
      </c>
      <c r="E982" s="11" t="s">
        <v>6</v>
      </c>
      <c r="F982" s="11" t="s">
        <v>2434</v>
      </c>
      <c r="G982" s="11" t="s">
        <v>2433</v>
      </c>
      <c r="H982" s="11"/>
      <c r="I982" s="11" t="s">
        <v>49</v>
      </c>
      <c r="J982" s="11">
        <v>233.98</v>
      </c>
      <c r="K982" s="11">
        <v>233.98</v>
      </c>
      <c r="L982" s="11"/>
      <c r="M982" s="11">
        <v>233.98</v>
      </c>
      <c r="N982" s="11"/>
      <c r="O982" s="11" t="s">
        <v>50</v>
      </c>
    </row>
    <row r="983" spans="1:15" s="13" customFormat="1" ht="19.5" customHeight="1" x14ac:dyDescent="0.25">
      <c r="A983" s="11" t="s">
        <v>2435</v>
      </c>
      <c r="B983" s="11" t="s">
        <v>2435</v>
      </c>
      <c r="C983" s="12">
        <v>46006</v>
      </c>
      <c r="D983" s="12">
        <v>46006</v>
      </c>
      <c r="E983" s="11" t="s">
        <v>6</v>
      </c>
      <c r="F983" s="11" t="s">
        <v>2436</v>
      </c>
      <c r="G983" s="11" t="s">
        <v>2435</v>
      </c>
      <c r="H983" s="11"/>
      <c r="I983" s="11" t="s">
        <v>49</v>
      </c>
      <c r="J983" s="11">
        <v>66.150000000000006</v>
      </c>
      <c r="K983" s="11">
        <v>66.150000000000006</v>
      </c>
      <c r="L983" s="11"/>
      <c r="M983" s="11">
        <v>66.150000000000006</v>
      </c>
      <c r="N983" s="11" t="s">
        <v>2437</v>
      </c>
      <c r="O983" s="11" t="s">
        <v>50</v>
      </c>
    </row>
    <row r="984" spans="1:15" s="13" customFormat="1" ht="19.5" customHeight="1" x14ac:dyDescent="0.25">
      <c r="A984" s="11" t="s">
        <v>2438</v>
      </c>
      <c r="B984" s="11" t="s">
        <v>2438</v>
      </c>
      <c r="C984" s="12">
        <v>46003</v>
      </c>
      <c r="D984" s="12">
        <v>46003</v>
      </c>
      <c r="E984" s="11" t="s">
        <v>6</v>
      </c>
      <c r="F984" s="11" t="s">
        <v>2439</v>
      </c>
      <c r="G984" s="11" t="s">
        <v>2438</v>
      </c>
      <c r="H984" s="11"/>
      <c r="I984" s="11" t="s">
        <v>49</v>
      </c>
      <c r="J984" s="11">
        <v>75.5</v>
      </c>
      <c r="K984" s="11">
        <v>75.5</v>
      </c>
      <c r="L984" s="11"/>
      <c r="M984" s="11">
        <v>75.5</v>
      </c>
      <c r="N984" s="11" t="s">
        <v>2440</v>
      </c>
      <c r="O984" s="11" t="s">
        <v>75</v>
      </c>
    </row>
    <row r="985" spans="1:15" s="13" customFormat="1" ht="19.5" customHeight="1" x14ac:dyDescent="0.25">
      <c r="A985" s="11" t="s">
        <v>2441</v>
      </c>
      <c r="B985" s="11" t="s">
        <v>2441</v>
      </c>
      <c r="C985" s="12">
        <v>46003</v>
      </c>
      <c r="D985" s="12">
        <v>46003</v>
      </c>
      <c r="E985" s="11" t="s">
        <v>6</v>
      </c>
      <c r="F985" s="11" t="s">
        <v>2442</v>
      </c>
      <c r="G985" s="11" t="s">
        <v>2441</v>
      </c>
      <c r="H985" s="11"/>
      <c r="I985" s="11" t="s">
        <v>49</v>
      </c>
      <c r="J985" s="11">
        <v>248</v>
      </c>
      <c r="K985" s="11">
        <v>248</v>
      </c>
      <c r="L985" s="11"/>
      <c r="M985" s="11">
        <v>248</v>
      </c>
      <c r="N985" s="11" t="s">
        <v>2443</v>
      </c>
      <c r="O985" s="11" t="s">
        <v>75</v>
      </c>
    </row>
    <row r="986" spans="1:15" s="13" customFormat="1" ht="19.5" customHeight="1" x14ac:dyDescent="0.25">
      <c r="A986" s="11" t="s">
        <v>2444</v>
      </c>
      <c r="B986" s="11" t="s">
        <v>2444</v>
      </c>
      <c r="C986" s="12">
        <v>46003</v>
      </c>
      <c r="D986" s="12">
        <v>46003</v>
      </c>
      <c r="E986" s="11" t="s">
        <v>6</v>
      </c>
      <c r="F986" s="11" t="s">
        <v>2445</v>
      </c>
      <c r="G986" s="11" t="s">
        <v>2444</v>
      </c>
      <c r="H986" s="11"/>
      <c r="I986" s="11" t="s">
        <v>49</v>
      </c>
      <c r="J986" s="11">
        <v>98.75</v>
      </c>
      <c r="K986" s="11">
        <v>98.75</v>
      </c>
      <c r="L986" s="11"/>
      <c r="M986" s="11">
        <v>98.75</v>
      </c>
      <c r="N986" s="11" t="s">
        <v>2446</v>
      </c>
      <c r="O986" s="11" t="s">
        <v>75</v>
      </c>
    </row>
    <row r="987" spans="1:15" s="13" customFormat="1" ht="19.5" customHeight="1" x14ac:dyDescent="0.25">
      <c r="A987" s="11" t="s">
        <v>2447</v>
      </c>
      <c r="B987" s="11" t="s">
        <v>2447</v>
      </c>
      <c r="C987" s="12">
        <v>46003</v>
      </c>
      <c r="D987" s="12">
        <v>46003</v>
      </c>
      <c r="E987" s="11" t="s">
        <v>6</v>
      </c>
      <c r="F987" s="11" t="s">
        <v>2354</v>
      </c>
      <c r="G987" s="11" t="s">
        <v>2447</v>
      </c>
      <c r="H987" s="11"/>
      <c r="I987" s="11" t="s">
        <v>49</v>
      </c>
      <c r="J987" s="11">
        <v>98.77</v>
      </c>
      <c r="K987" s="11">
        <v>98.77</v>
      </c>
      <c r="L987" s="11"/>
      <c r="M987" s="11">
        <v>98.77</v>
      </c>
      <c r="N987" s="11" t="s">
        <v>2448</v>
      </c>
      <c r="O987" s="11" t="s">
        <v>75</v>
      </c>
    </row>
    <row r="988" spans="1:15" s="13" customFormat="1" ht="19.5" customHeight="1" x14ac:dyDescent="0.25">
      <c r="A988" s="11" t="s">
        <v>2449</v>
      </c>
      <c r="B988" s="11" t="s">
        <v>2449</v>
      </c>
      <c r="C988" s="12">
        <v>46002</v>
      </c>
      <c r="D988" s="12">
        <v>46002</v>
      </c>
      <c r="E988" s="11" t="s">
        <v>6</v>
      </c>
      <c r="F988" s="11" t="s">
        <v>2450</v>
      </c>
      <c r="G988" s="11" t="s">
        <v>2449</v>
      </c>
      <c r="H988" s="11"/>
      <c r="I988" s="11" t="s">
        <v>49</v>
      </c>
      <c r="J988" s="11">
        <v>77.73</v>
      </c>
      <c r="K988" s="11">
        <v>77.73</v>
      </c>
      <c r="L988" s="11"/>
      <c r="M988" s="11">
        <v>77.73</v>
      </c>
      <c r="N988" s="11"/>
      <c r="O988" s="11" t="s">
        <v>75</v>
      </c>
    </row>
    <row r="989" spans="1:15" s="13" customFormat="1" ht="19.5" customHeight="1" x14ac:dyDescent="0.25">
      <c r="A989" s="11" t="s">
        <v>2451</v>
      </c>
      <c r="B989" s="11" t="s">
        <v>2451</v>
      </c>
      <c r="C989" s="12">
        <v>46002</v>
      </c>
      <c r="D989" s="12">
        <v>46032</v>
      </c>
      <c r="E989" s="11" t="s">
        <v>6</v>
      </c>
      <c r="F989" s="11" t="s">
        <v>2452</v>
      </c>
      <c r="G989" s="11" t="s">
        <v>2451</v>
      </c>
      <c r="H989" s="11"/>
      <c r="I989" s="11" t="s">
        <v>49</v>
      </c>
      <c r="J989" s="11">
        <v>194.7</v>
      </c>
      <c r="K989" s="11">
        <v>194.7</v>
      </c>
      <c r="L989" s="11"/>
      <c r="M989" s="11">
        <v>194.7</v>
      </c>
      <c r="N989" s="11" t="s">
        <v>2453</v>
      </c>
      <c r="O989" s="11" t="s">
        <v>50</v>
      </c>
    </row>
    <row r="990" spans="1:15" s="13" customFormat="1" ht="19.5" customHeight="1" x14ac:dyDescent="0.25">
      <c r="A990" s="11" t="s">
        <v>2454</v>
      </c>
      <c r="B990" s="11" t="s">
        <v>2454</v>
      </c>
      <c r="C990" s="12">
        <v>46002</v>
      </c>
      <c r="D990" s="12">
        <v>46002</v>
      </c>
      <c r="E990" s="11" t="s">
        <v>6</v>
      </c>
      <c r="F990" s="11" t="s">
        <v>1208</v>
      </c>
      <c r="G990" s="11" t="s">
        <v>2454</v>
      </c>
      <c r="H990" s="11"/>
      <c r="I990" s="11" t="s">
        <v>49</v>
      </c>
      <c r="J990" s="11">
        <v>211.95</v>
      </c>
      <c r="K990" s="11">
        <v>211.95</v>
      </c>
      <c r="L990" s="11"/>
      <c r="M990" s="11">
        <v>211.95</v>
      </c>
      <c r="N990" s="11" t="s">
        <v>2455</v>
      </c>
      <c r="O990" s="11" t="s">
        <v>50</v>
      </c>
    </row>
    <row r="991" spans="1:15" s="13" customFormat="1" ht="19.5" customHeight="1" x14ac:dyDescent="0.25">
      <c r="A991" s="11" t="s">
        <v>2456</v>
      </c>
      <c r="B991" s="11" t="s">
        <v>2456</v>
      </c>
      <c r="C991" s="12">
        <v>46001</v>
      </c>
      <c r="D991" s="12">
        <v>46001</v>
      </c>
      <c r="E991" s="11" t="s">
        <v>6</v>
      </c>
      <c r="F991" s="11" t="s">
        <v>2457</v>
      </c>
      <c r="G991" s="11" t="s">
        <v>2456</v>
      </c>
      <c r="H991" s="11"/>
      <c r="I991" s="11" t="s">
        <v>49</v>
      </c>
      <c r="J991" s="11">
        <v>118.7</v>
      </c>
      <c r="K991" s="11">
        <v>118.7</v>
      </c>
      <c r="L991" s="11"/>
      <c r="M991" s="11">
        <v>118.7</v>
      </c>
      <c r="N991" s="11"/>
      <c r="O991" s="11" t="s">
        <v>50</v>
      </c>
    </row>
    <row r="992" spans="1:15" s="13" customFormat="1" ht="19.5" customHeight="1" x14ac:dyDescent="0.25">
      <c r="A992" s="11" t="s">
        <v>2458</v>
      </c>
      <c r="B992" s="11" t="s">
        <v>2458</v>
      </c>
      <c r="C992" s="12">
        <v>46001</v>
      </c>
      <c r="D992" s="12">
        <v>46001</v>
      </c>
      <c r="E992" s="11" t="s">
        <v>6</v>
      </c>
      <c r="F992" s="11" t="s">
        <v>2459</v>
      </c>
      <c r="G992" s="11" t="s">
        <v>2458</v>
      </c>
      <c r="H992" s="11"/>
      <c r="I992" s="11" t="s">
        <v>49</v>
      </c>
      <c r="J992" s="11">
        <v>44.01</v>
      </c>
      <c r="K992" s="11">
        <v>44.01</v>
      </c>
      <c r="L992" s="11"/>
      <c r="M992" s="11">
        <v>44.01</v>
      </c>
      <c r="N992" s="11" t="s">
        <v>2460</v>
      </c>
      <c r="O992" s="11" t="s">
        <v>50</v>
      </c>
    </row>
    <row r="993" spans="1:15" s="13" customFormat="1" ht="19.5" customHeight="1" x14ac:dyDescent="0.25">
      <c r="A993" s="11" t="s">
        <v>2461</v>
      </c>
      <c r="B993" s="11" t="s">
        <v>2461</v>
      </c>
      <c r="C993" s="12">
        <v>46001</v>
      </c>
      <c r="D993" s="12">
        <v>46001</v>
      </c>
      <c r="E993" s="11" t="s">
        <v>6</v>
      </c>
      <c r="F993" s="11" t="s">
        <v>2462</v>
      </c>
      <c r="G993" s="11" t="s">
        <v>2461</v>
      </c>
      <c r="H993" s="11"/>
      <c r="I993" s="11" t="s">
        <v>49</v>
      </c>
      <c r="J993" s="11">
        <v>72.680000000000007</v>
      </c>
      <c r="K993" s="11">
        <v>72.680000000000007</v>
      </c>
      <c r="L993" s="11"/>
      <c r="M993" s="11">
        <v>72.680000000000007</v>
      </c>
      <c r="N993" s="11" t="s">
        <v>2463</v>
      </c>
      <c r="O993" s="11" t="s">
        <v>50</v>
      </c>
    </row>
    <row r="994" spans="1:15" s="13" customFormat="1" ht="19.5" customHeight="1" x14ac:dyDescent="0.25">
      <c r="A994" s="11" t="s">
        <v>2464</v>
      </c>
      <c r="B994" s="11" t="s">
        <v>2464</v>
      </c>
      <c r="C994" s="12">
        <v>46001</v>
      </c>
      <c r="D994" s="12">
        <v>46001</v>
      </c>
      <c r="E994" s="11" t="s">
        <v>6</v>
      </c>
      <c r="F994" s="11" t="s">
        <v>2465</v>
      </c>
      <c r="G994" s="11" t="s">
        <v>2464</v>
      </c>
      <c r="H994" s="11"/>
      <c r="I994" s="11" t="s">
        <v>49</v>
      </c>
      <c r="J994" s="11">
        <v>163.46</v>
      </c>
      <c r="K994" s="11">
        <v>163.46</v>
      </c>
      <c r="L994" s="11"/>
      <c r="M994" s="11">
        <v>163.46</v>
      </c>
      <c r="N994" s="11"/>
      <c r="O994" s="11" t="s">
        <v>50</v>
      </c>
    </row>
    <row r="995" spans="1:15" s="13" customFormat="1" ht="19.5" customHeight="1" x14ac:dyDescent="0.25">
      <c r="A995" s="11" t="s">
        <v>2466</v>
      </c>
      <c r="B995" s="11" t="s">
        <v>2466</v>
      </c>
      <c r="C995" s="12">
        <v>46001</v>
      </c>
      <c r="D995" s="12">
        <v>46001</v>
      </c>
      <c r="E995" s="11" t="s">
        <v>6</v>
      </c>
      <c r="F995" s="11" t="s">
        <v>2467</v>
      </c>
      <c r="G995" s="11" t="s">
        <v>2466</v>
      </c>
      <c r="H995" s="11"/>
      <c r="I995" s="11" t="s">
        <v>49</v>
      </c>
      <c r="J995" s="11">
        <v>54.4</v>
      </c>
      <c r="K995" s="11">
        <v>54.4</v>
      </c>
      <c r="L995" s="11"/>
      <c r="M995" s="11">
        <v>54.4</v>
      </c>
      <c r="N995" s="11" t="s">
        <v>2468</v>
      </c>
      <c r="O995" s="11" t="s">
        <v>50</v>
      </c>
    </row>
    <row r="996" spans="1:15" s="13" customFormat="1" ht="19.5" customHeight="1" x14ac:dyDescent="0.25">
      <c r="A996" s="11" t="s">
        <v>2469</v>
      </c>
      <c r="B996" s="11" t="s">
        <v>2469</v>
      </c>
      <c r="C996" s="12">
        <v>46001</v>
      </c>
      <c r="D996" s="12">
        <v>46001</v>
      </c>
      <c r="E996" s="11" t="s">
        <v>6</v>
      </c>
      <c r="F996" s="11" t="s">
        <v>1214</v>
      </c>
      <c r="G996" s="11" t="s">
        <v>2469</v>
      </c>
      <c r="H996" s="11"/>
      <c r="I996" s="11" t="s">
        <v>49</v>
      </c>
      <c r="J996" s="11">
        <v>55.35</v>
      </c>
      <c r="K996" s="11">
        <v>55.35</v>
      </c>
      <c r="L996" s="11"/>
      <c r="M996" s="11">
        <v>55.35</v>
      </c>
      <c r="N996" s="11" t="s">
        <v>2470</v>
      </c>
      <c r="O996" s="11" t="s">
        <v>50</v>
      </c>
    </row>
    <row r="997" spans="1:15" s="13" customFormat="1" ht="19.5" customHeight="1" x14ac:dyDescent="0.25">
      <c r="A997" s="11" t="s">
        <v>2471</v>
      </c>
      <c r="B997" s="11" t="s">
        <v>2471</v>
      </c>
      <c r="C997" s="12">
        <v>46001</v>
      </c>
      <c r="D997" s="12">
        <v>46001</v>
      </c>
      <c r="E997" s="11" t="s">
        <v>6</v>
      </c>
      <c r="F997" s="11" t="s">
        <v>2472</v>
      </c>
      <c r="G997" s="11" t="s">
        <v>2471</v>
      </c>
      <c r="H997" s="11"/>
      <c r="I997" s="11" t="s">
        <v>49</v>
      </c>
      <c r="J997" s="11">
        <v>75.5</v>
      </c>
      <c r="K997" s="11">
        <v>75.5</v>
      </c>
      <c r="L997" s="11"/>
      <c r="M997" s="11">
        <v>75.5</v>
      </c>
      <c r="N997" s="11" t="s">
        <v>2473</v>
      </c>
      <c r="O997" s="11" t="s">
        <v>50</v>
      </c>
    </row>
    <row r="998" spans="1:15" s="13" customFormat="1" ht="19.5" customHeight="1" x14ac:dyDescent="0.25">
      <c r="A998" s="11" t="s">
        <v>2474</v>
      </c>
      <c r="B998" s="11" t="s">
        <v>2474</v>
      </c>
      <c r="C998" s="12">
        <v>46001</v>
      </c>
      <c r="D998" s="12">
        <v>46001</v>
      </c>
      <c r="E998" s="11" t="s">
        <v>6</v>
      </c>
      <c r="F998" s="11" t="s">
        <v>2475</v>
      </c>
      <c r="G998" s="11" t="s">
        <v>2474</v>
      </c>
      <c r="H998" s="11"/>
      <c r="I998" s="11" t="s">
        <v>49</v>
      </c>
      <c r="J998" s="11">
        <v>75.5</v>
      </c>
      <c r="K998" s="11">
        <v>75.5</v>
      </c>
      <c r="L998" s="11"/>
      <c r="M998" s="11">
        <v>75.5</v>
      </c>
      <c r="N998" s="11" t="s">
        <v>2476</v>
      </c>
      <c r="O998" s="11" t="s">
        <v>50</v>
      </c>
    </row>
    <row r="999" spans="1:15" s="13" customFormat="1" ht="19.5" customHeight="1" x14ac:dyDescent="0.25">
      <c r="A999" s="11" t="s">
        <v>2477</v>
      </c>
      <c r="B999" s="11" t="s">
        <v>2477</v>
      </c>
      <c r="C999" s="12">
        <v>46001</v>
      </c>
      <c r="D999" s="12">
        <v>46001</v>
      </c>
      <c r="E999" s="11" t="s">
        <v>6</v>
      </c>
      <c r="F999" s="11" t="s">
        <v>2478</v>
      </c>
      <c r="G999" s="11" t="s">
        <v>2477</v>
      </c>
      <c r="H999" s="11"/>
      <c r="I999" s="11" t="s">
        <v>49</v>
      </c>
      <c r="J999" s="11">
        <v>128.24</v>
      </c>
      <c r="K999" s="11">
        <v>128.24</v>
      </c>
      <c r="L999" s="11"/>
      <c r="M999" s="11">
        <v>128.24</v>
      </c>
      <c r="N999" s="11" t="s">
        <v>2479</v>
      </c>
      <c r="O999" s="11" t="s">
        <v>50</v>
      </c>
    </row>
    <row r="1000" spans="1:15" s="13" customFormat="1" ht="19.5" customHeight="1" x14ac:dyDescent="0.25">
      <c r="A1000" s="11" t="s">
        <v>2480</v>
      </c>
      <c r="B1000" s="11" t="s">
        <v>2480</v>
      </c>
      <c r="C1000" s="12">
        <v>46001</v>
      </c>
      <c r="D1000" s="12">
        <v>46001</v>
      </c>
      <c r="E1000" s="11" t="s">
        <v>6</v>
      </c>
      <c r="F1000" s="11" t="s">
        <v>2481</v>
      </c>
      <c r="G1000" s="11" t="s">
        <v>2480</v>
      </c>
      <c r="H1000" s="11"/>
      <c r="I1000" s="11" t="s">
        <v>49</v>
      </c>
      <c r="J1000" s="11">
        <v>44.01</v>
      </c>
      <c r="K1000" s="11">
        <v>44.01</v>
      </c>
      <c r="L1000" s="11"/>
      <c r="M1000" s="11">
        <v>44.01</v>
      </c>
      <c r="N1000" s="11" t="s">
        <v>2482</v>
      </c>
      <c r="O1000" s="11" t="s">
        <v>50</v>
      </c>
    </row>
    <row r="1001" spans="1:15" s="13" customFormat="1" ht="19.5" customHeight="1" x14ac:dyDescent="0.25">
      <c r="A1001" s="11" t="s">
        <v>2483</v>
      </c>
      <c r="B1001" s="11" t="s">
        <v>2483</v>
      </c>
      <c r="C1001" s="12">
        <v>45996</v>
      </c>
      <c r="D1001" s="12">
        <v>45996</v>
      </c>
      <c r="E1001" s="11" t="s">
        <v>6</v>
      </c>
      <c r="F1001" s="11" t="s">
        <v>2484</v>
      </c>
      <c r="G1001" s="11" t="s">
        <v>2483</v>
      </c>
      <c r="H1001" s="11"/>
      <c r="I1001" s="11" t="s">
        <v>49</v>
      </c>
      <c r="J1001" s="11">
        <v>135.31</v>
      </c>
      <c r="K1001" s="11">
        <v>135.31</v>
      </c>
      <c r="L1001" s="11"/>
      <c r="M1001" s="11">
        <v>135.31</v>
      </c>
      <c r="N1001" s="11" t="s">
        <v>2485</v>
      </c>
      <c r="O1001" s="11" t="s">
        <v>50</v>
      </c>
    </row>
    <row r="1002" spans="1:15" s="13" customFormat="1" ht="19.5" customHeight="1" x14ac:dyDescent="0.25">
      <c r="A1002" s="11" t="s">
        <v>2486</v>
      </c>
      <c r="B1002" s="11" t="s">
        <v>2486</v>
      </c>
      <c r="C1002" s="12">
        <v>45996</v>
      </c>
      <c r="D1002" s="12">
        <v>45996</v>
      </c>
      <c r="E1002" s="11" t="s">
        <v>6</v>
      </c>
      <c r="F1002" s="11" t="s">
        <v>2487</v>
      </c>
      <c r="G1002" s="11" t="s">
        <v>2486</v>
      </c>
      <c r="H1002" s="11"/>
      <c r="I1002" s="11" t="s">
        <v>49</v>
      </c>
      <c r="J1002" s="11">
        <v>72.680000000000007</v>
      </c>
      <c r="K1002" s="11">
        <v>72.680000000000007</v>
      </c>
      <c r="L1002" s="11"/>
      <c r="M1002" s="11">
        <v>72.680000000000007</v>
      </c>
      <c r="N1002" s="11"/>
      <c r="O1002" s="11" t="s">
        <v>50</v>
      </c>
    </row>
    <row r="1003" spans="1:15" s="13" customFormat="1" ht="19.5" customHeight="1" x14ac:dyDescent="0.25">
      <c r="A1003" s="11" t="s">
        <v>2488</v>
      </c>
      <c r="B1003" s="11" t="s">
        <v>2488</v>
      </c>
      <c r="C1003" s="12">
        <v>45995</v>
      </c>
      <c r="D1003" s="12">
        <v>45995</v>
      </c>
      <c r="E1003" s="11" t="s">
        <v>6</v>
      </c>
      <c r="F1003" s="11" t="s">
        <v>2489</v>
      </c>
      <c r="G1003" s="11" t="s">
        <v>2488</v>
      </c>
      <c r="H1003" s="11"/>
      <c r="I1003" s="11" t="s">
        <v>49</v>
      </c>
      <c r="J1003" s="11">
        <v>115</v>
      </c>
      <c r="K1003" s="11">
        <v>115</v>
      </c>
      <c r="L1003" s="11"/>
      <c r="M1003" s="11">
        <v>115</v>
      </c>
      <c r="N1003" s="11"/>
      <c r="O1003" s="11" t="s">
        <v>50</v>
      </c>
    </row>
    <row r="1004" spans="1:15" s="13" customFormat="1" ht="19.5" customHeight="1" x14ac:dyDescent="0.25">
      <c r="A1004" s="11" t="s">
        <v>2490</v>
      </c>
      <c r="B1004" s="11" t="s">
        <v>2490</v>
      </c>
      <c r="C1004" s="12">
        <v>45995</v>
      </c>
      <c r="D1004" s="12">
        <v>45995</v>
      </c>
      <c r="E1004" s="11" t="s">
        <v>6</v>
      </c>
      <c r="F1004" s="11" t="s">
        <v>2491</v>
      </c>
      <c r="G1004" s="11" t="s">
        <v>2490</v>
      </c>
      <c r="H1004" s="11"/>
      <c r="I1004" s="11" t="s">
        <v>49</v>
      </c>
      <c r="J1004" s="11">
        <v>181.72</v>
      </c>
      <c r="K1004" s="11">
        <v>181.72</v>
      </c>
      <c r="L1004" s="11"/>
      <c r="M1004" s="11">
        <v>181.72</v>
      </c>
      <c r="N1004" s="11" t="s">
        <v>2492</v>
      </c>
      <c r="O1004" s="11" t="s">
        <v>50</v>
      </c>
    </row>
    <row r="1005" spans="1:15" s="13" customFormat="1" ht="19.5" customHeight="1" x14ac:dyDescent="0.25">
      <c r="A1005" s="11" t="s">
        <v>2493</v>
      </c>
      <c r="B1005" s="11" t="s">
        <v>2493</v>
      </c>
      <c r="C1005" s="12">
        <v>45995</v>
      </c>
      <c r="D1005" s="12">
        <v>45995</v>
      </c>
      <c r="E1005" s="11" t="s">
        <v>6</v>
      </c>
      <c r="F1005" s="11" t="s">
        <v>2494</v>
      </c>
      <c r="G1005" s="11" t="s">
        <v>2493</v>
      </c>
      <c r="H1005" s="11"/>
      <c r="I1005" s="11" t="s">
        <v>49</v>
      </c>
      <c r="J1005" s="11">
        <v>113.91</v>
      </c>
      <c r="K1005" s="11">
        <v>113.91</v>
      </c>
      <c r="L1005" s="11"/>
      <c r="M1005" s="11">
        <v>113.91</v>
      </c>
      <c r="N1005" s="11" t="s">
        <v>2495</v>
      </c>
      <c r="O1005" s="11" t="s">
        <v>50</v>
      </c>
    </row>
    <row r="1006" spans="1:15" s="13" customFormat="1" ht="19.5" customHeight="1" x14ac:dyDescent="0.25">
      <c r="A1006" s="11" t="s">
        <v>2496</v>
      </c>
      <c r="B1006" s="11" t="s">
        <v>2496</v>
      </c>
      <c r="C1006" s="12">
        <v>45995</v>
      </c>
      <c r="D1006" s="12">
        <v>45995</v>
      </c>
      <c r="E1006" s="11" t="s">
        <v>6</v>
      </c>
      <c r="F1006" s="11" t="s">
        <v>2497</v>
      </c>
      <c r="G1006" s="11" t="s">
        <v>2496</v>
      </c>
      <c r="H1006" s="11"/>
      <c r="I1006" s="11" t="s">
        <v>49</v>
      </c>
      <c r="J1006" s="11">
        <v>74.8</v>
      </c>
      <c r="K1006" s="11">
        <v>74.8</v>
      </c>
      <c r="L1006" s="11"/>
      <c r="M1006" s="11">
        <v>74.8</v>
      </c>
      <c r="N1006" s="11" t="s">
        <v>2498</v>
      </c>
      <c r="O1006" s="11" t="s">
        <v>50</v>
      </c>
    </row>
    <row r="1007" spans="1:15" s="13" customFormat="1" ht="19.5" customHeight="1" x14ac:dyDescent="0.25">
      <c r="A1007" s="11" t="s">
        <v>2499</v>
      </c>
      <c r="B1007" s="11" t="s">
        <v>2499</v>
      </c>
      <c r="C1007" s="12">
        <v>45995</v>
      </c>
      <c r="D1007" s="12">
        <v>45995</v>
      </c>
      <c r="E1007" s="11" t="s">
        <v>6</v>
      </c>
      <c r="F1007" s="11" t="s">
        <v>2500</v>
      </c>
      <c r="G1007" s="11" t="s">
        <v>2499</v>
      </c>
      <c r="H1007" s="11"/>
      <c r="I1007" s="11" t="s">
        <v>49</v>
      </c>
      <c r="J1007" s="11">
        <v>57.5</v>
      </c>
      <c r="K1007" s="11">
        <v>57.5</v>
      </c>
      <c r="L1007" s="11"/>
      <c r="M1007" s="11">
        <v>57.5</v>
      </c>
      <c r="N1007" s="11" t="s">
        <v>2501</v>
      </c>
      <c r="O1007" s="11" t="s">
        <v>50</v>
      </c>
    </row>
    <row r="1008" spans="1:15" s="13" customFormat="1" ht="19.5" customHeight="1" x14ac:dyDescent="0.25">
      <c r="A1008" s="11" t="s">
        <v>2502</v>
      </c>
      <c r="B1008" s="11" t="s">
        <v>2502</v>
      </c>
      <c r="C1008" s="12">
        <v>45994</v>
      </c>
      <c r="D1008" s="12">
        <v>45994</v>
      </c>
      <c r="E1008" s="11" t="s">
        <v>6</v>
      </c>
      <c r="F1008" s="11" t="s">
        <v>2503</v>
      </c>
      <c r="G1008" s="11" t="s">
        <v>2502</v>
      </c>
      <c r="H1008" s="11"/>
      <c r="I1008" s="11" t="s">
        <v>49</v>
      </c>
      <c r="J1008" s="11">
        <v>149.9</v>
      </c>
      <c r="K1008" s="11">
        <v>149.9</v>
      </c>
      <c r="L1008" s="11"/>
      <c r="M1008" s="11">
        <v>149.9</v>
      </c>
      <c r="N1008" s="11" t="s">
        <v>2504</v>
      </c>
      <c r="O1008" s="11" t="s">
        <v>75</v>
      </c>
    </row>
    <row r="1009" spans="1:15" s="13" customFormat="1" ht="19.5" customHeight="1" x14ac:dyDescent="0.25">
      <c r="A1009" s="11" t="s">
        <v>2505</v>
      </c>
      <c r="B1009" s="11" t="s">
        <v>2505</v>
      </c>
      <c r="C1009" s="12">
        <v>45994</v>
      </c>
      <c r="D1009" s="12">
        <v>45994</v>
      </c>
      <c r="E1009" s="11" t="s">
        <v>6</v>
      </c>
      <c r="F1009" s="11" t="s">
        <v>2506</v>
      </c>
      <c r="G1009" s="11" t="s">
        <v>2505</v>
      </c>
      <c r="H1009" s="11"/>
      <c r="I1009" s="11" t="s">
        <v>49</v>
      </c>
      <c r="J1009" s="11">
        <v>83.39</v>
      </c>
      <c r="K1009" s="11">
        <v>83.39</v>
      </c>
      <c r="L1009" s="11"/>
      <c r="M1009" s="11">
        <v>83.39</v>
      </c>
      <c r="N1009" s="11" t="s">
        <v>2507</v>
      </c>
      <c r="O1009" s="11" t="s">
        <v>75</v>
      </c>
    </row>
    <row r="1010" spans="1:15" s="13" customFormat="1" ht="19.5" customHeight="1" x14ac:dyDescent="0.25">
      <c r="A1010" s="11" t="s">
        <v>2508</v>
      </c>
      <c r="B1010" s="11" t="s">
        <v>2508</v>
      </c>
      <c r="C1010" s="12">
        <v>45993</v>
      </c>
      <c r="D1010" s="12">
        <v>45993</v>
      </c>
      <c r="E1010" s="11" t="s">
        <v>6</v>
      </c>
      <c r="F1010" s="11" t="s">
        <v>2509</v>
      </c>
      <c r="G1010" s="11" t="s">
        <v>2508</v>
      </c>
      <c r="H1010" s="11"/>
      <c r="I1010" s="11" t="s">
        <v>49</v>
      </c>
      <c r="J1010" s="11">
        <v>138.9</v>
      </c>
      <c r="K1010" s="11">
        <v>138.9</v>
      </c>
      <c r="L1010" s="11"/>
      <c r="M1010" s="11">
        <v>138.9</v>
      </c>
      <c r="N1010" s="11" t="s">
        <v>2510</v>
      </c>
      <c r="O1010" s="11" t="s">
        <v>50</v>
      </c>
    </row>
    <row r="1011" spans="1:15" s="13" customFormat="1" ht="19.5" customHeight="1" x14ac:dyDescent="0.25">
      <c r="A1011" s="11" t="s">
        <v>2511</v>
      </c>
      <c r="B1011" s="11" t="s">
        <v>2511</v>
      </c>
      <c r="C1011" s="12">
        <v>45993</v>
      </c>
      <c r="D1011" s="12">
        <v>45993</v>
      </c>
      <c r="E1011" s="11" t="s">
        <v>6</v>
      </c>
      <c r="F1011" s="11" t="s">
        <v>2512</v>
      </c>
      <c r="G1011" s="11" t="s">
        <v>2511</v>
      </c>
      <c r="H1011" s="11"/>
      <c r="I1011" s="11" t="s">
        <v>49</v>
      </c>
      <c r="J1011" s="11">
        <v>45.01</v>
      </c>
      <c r="K1011" s="11">
        <v>45.01</v>
      </c>
      <c r="L1011" s="11"/>
      <c r="M1011" s="11">
        <v>45.01</v>
      </c>
      <c r="N1011" s="11" t="s">
        <v>2513</v>
      </c>
      <c r="O1011" s="11" t="s">
        <v>50</v>
      </c>
    </row>
    <row r="1012" spans="1:15" s="13" customFormat="1" ht="19.5" customHeight="1" x14ac:dyDescent="0.25">
      <c r="A1012" s="11" t="s">
        <v>2514</v>
      </c>
      <c r="B1012" s="11" t="s">
        <v>2514</v>
      </c>
      <c r="C1012" s="12">
        <v>45993</v>
      </c>
      <c r="D1012" s="12">
        <v>45993</v>
      </c>
      <c r="E1012" s="11" t="s">
        <v>6</v>
      </c>
      <c r="F1012" s="11" t="s">
        <v>2515</v>
      </c>
      <c r="G1012" s="11" t="s">
        <v>2514</v>
      </c>
      <c r="H1012" s="11"/>
      <c r="I1012" s="11" t="s">
        <v>49</v>
      </c>
      <c r="J1012" s="11">
        <v>95.4</v>
      </c>
      <c r="K1012" s="11">
        <v>95.4</v>
      </c>
      <c r="L1012" s="11"/>
      <c r="M1012" s="11">
        <v>95.4</v>
      </c>
      <c r="N1012" s="11" t="s">
        <v>2516</v>
      </c>
      <c r="O1012" s="11" t="s">
        <v>50</v>
      </c>
    </row>
    <row r="1013" spans="1:15" s="13" customFormat="1" ht="19.5" customHeight="1" x14ac:dyDescent="0.25">
      <c r="A1013" s="11" t="s">
        <v>2517</v>
      </c>
      <c r="B1013" s="11" t="s">
        <v>2517</v>
      </c>
      <c r="C1013" s="12">
        <v>45989</v>
      </c>
      <c r="D1013" s="12">
        <v>45989</v>
      </c>
      <c r="E1013" s="11" t="s">
        <v>6</v>
      </c>
      <c r="F1013" s="11" t="s">
        <v>2518</v>
      </c>
      <c r="G1013" s="11" t="s">
        <v>2517</v>
      </c>
      <c r="H1013" s="11"/>
      <c r="I1013" s="11" t="s">
        <v>49</v>
      </c>
      <c r="J1013" s="11">
        <v>57.5</v>
      </c>
      <c r="K1013" s="11">
        <v>57.5</v>
      </c>
      <c r="L1013" s="11"/>
      <c r="M1013" s="11">
        <v>57.5</v>
      </c>
      <c r="N1013" s="11"/>
      <c r="O1013" s="11" t="s">
        <v>50</v>
      </c>
    </row>
    <row r="1014" spans="1:15" s="13" customFormat="1" ht="19.5" customHeight="1" x14ac:dyDescent="0.25">
      <c r="A1014" s="11" t="s">
        <v>2519</v>
      </c>
      <c r="B1014" s="11" t="s">
        <v>2519</v>
      </c>
      <c r="C1014" s="12">
        <v>45989</v>
      </c>
      <c r="D1014" s="12">
        <v>45989</v>
      </c>
      <c r="E1014" s="11" t="s">
        <v>6</v>
      </c>
      <c r="F1014" s="11" t="s">
        <v>2520</v>
      </c>
      <c r="G1014" s="11" t="s">
        <v>2519</v>
      </c>
      <c r="H1014" s="11"/>
      <c r="I1014" s="11" t="s">
        <v>49</v>
      </c>
      <c r="J1014" s="11">
        <v>271.8</v>
      </c>
      <c r="K1014" s="11">
        <v>271.8</v>
      </c>
      <c r="L1014" s="11"/>
      <c r="M1014" s="11">
        <v>271.8</v>
      </c>
      <c r="N1014" s="11"/>
      <c r="O1014" s="11" t="s">
        <v>50</v>
      </c>
    </row>
    <row r="1015" spans="1:15" s="13" customFormat="1" ht="19.5" customHeight="1" x14ac:dyDescent="0.25">
      <c r="A1015" s="11" t="s">
        <v>2521</v>
      </c>
      <c r="B1015" s="11" t="s">
        <v>2521</v>
      </c>
      <c r="C1015" s="12">
        <v>45988</v>
      </c>
      <c r="D1015" s="12">
        <v>45988</v>
      </c>
      <c r="E1015" s="11" t="s">
        <v>6</v>
      </c>
      <c r="F1015" s="11" t="s">
        <v>2522</v>
      </c>
      <c r="G1015" s="11" t="s">
        <v>2521</v>
      </c>
      <c r="H1015" s="11"/>
      <c r="I1015" s="11" t="s">
        <v>49</v>
      </c>
      <c r="J1015" s="11">
        <v>48.6</v>
      </c>
      <c r="K1015" s="11">
        <v>48.6</v>
      </c>
      <c r="L1015" s="11"/>
      <c r="M1015" s="11">
        <v>48.6</v>
      </c>
      <c r="N1015" s="11" t="s">
        <v>2523</v>
      </c>
      <c r="O1015" s="11" t="s">
        <v>50</v>
      </c>
    </row>
    <row r="1016" spans="1:15" s="13" customFormat="1" ht="19.5" customHeight="1" x14ac:dyDescent="0.25">
      <c r="A1016" s="11" t="s">
        <v>2524</v>
      </c>
      <c r="B1016" s="11" t="s">
        <v>2524</v>
      </c>
      <c r="C1016" s="12">
        <v>45986</v>
      </c>
      <c r="D1016" s="12">
        <v>45986</v>
      </c>
      <c r="E1016" s="11" t="s">
        <v>6</v>
      </c>
      <c r="F1016" s="11" t="s">
        <v>2525</v>
      </c>
      <c r="G1016" s="11"/>
      <c r="H1016" s="11"/>
      <c r="I1016" s="11" t="s">
        <v>49</v>
      </c>
      <c r="J1016" s="11">
        <v>-5345.19</v>
      </c>
      <c r="K1016" s="11"/>
      <c r="L1016" s="11">
        <v>5345.19</v>
      </c>
      <c r="M1016" s="11">
        <v>-5345.19</v>
      </c>
      <c r="N1016" s="11"/>
      <c r="O1016" s="11" t="s">
        <v>50</v>
      </c>
    </row>
    <row r="1017" spans="1:15" s="13" customFormat="1" ht="19.5" customHeight="1" x14ac:dyDescent="0.25">
      <c r="A1017" s="11" t="s">
        <v>2526</v>
      </c>
      <c r="B1017" s="11" t="s">
        <v>2526</v>
      </c>
      <c r="C1017" s="12">
        <v>45986</v>
      </c>
      <c r="D1017" s="12">
        <v>45986</v>
      </c>
      <c r="E1017" s="11" t="s">
        <v>6</v>
      </c>
      <c r="F1017" s="11" t="s">
        <v>2527</v>
      </c>
      <c r="G1017" s="11" t="s">
        <v>2526</v>
      </c>
      <c r="H1017" s="11"/>
      <c r="I1017" s="11" t="s">
        <v>49</v>
      </c>
      <c r="J1017" s="11">
        <v>72.5</v>
      </c>
      <c r="K1017" s="11">
        <v>72.5</v>
      </c>
      <c r="L1017" s="11"/>
      <c r="M1017" s="11">
        <v>72.5</v>
      </c>
      <c r="N1017" s="11"/>
      <c r="O1017" s="11" t="s">
        <v>50</v>
      </c>
    </row>
    <row r="1018" spans="1:15" s="13" customFormat="1" ht="19.5" customHeight="1" x14ac:dyDescent="0.25">
      <c r="A1018" s="11" t="s">
        <v>2528</v>
      </c>
      <c r="B1018" s="11" t="s">
        <v>2528</v>
      </c>
      <c r="C1018" s="12">
        <v>46091</v>
      </c>
      <c r="D1018" s="12">
        <v>46136</v>
      </c>
      <c r="E1018" s="11" t="s">
        <v>6</v>
      </c>
      <c r="F1018" s="11" t="s">
        <v>64</v>
      </c>
      <c r="G1018" s="11" t="s">
        <v>2528</v>
      </c>
      <c r="H1018" s="11"/>
      <c r="I1018" s="11" t="s">
        <v>49</v>
      </c>
      <c r="J1018" s="11">
        <v>9560.4</v>
      </c>
      <c r="K1018" s="11">
        <v>9560.4</v>
      </c>
      <c r="L1018" s="11"/>
      <c r="M1018" s="14">
        <v>9560.4</v>
      </c>
      <c r="N1018" s="11" t="s">
        <v>2529</v>
      </c>
      <c r="O1018" s="11" t="s">
        <v>50</v>
      </c>
    </row>
    <row r="1019" spans="1:15" s="13" customFormat="1" ht="19.5" customHeight="1" x14ac:dyDescent="0.25">
      <c r="A1019" s="11" t="s">
        <v>2528</v>
      </c>
      <c r="B1019" s="11" t="s">
        <v>2528</v>
      </c>
      <c r="C1019" s="12">
        <v>46091</v>
      </c>
      <c r="D1019" s="12">
        <v>46145</v>
      </c>
      <c r="E1019" s="11" t="s">
        <v>6</v>
      </c>
      <c r="F1019" s="11" t="s">
        <v>64</v>
      </c>
      <c r="G1019" s="11" t="s">
        <v>2528</v>
      </c>
      <c r="H1019" s="11"/>
      <c r="I1019" s="11" t="s">
        <v>49</v>
      </c>
      <c r="J1019" s="11">
        <v>9543.2199999999993</v>
      </c>
      <c r="K1019" s="11">
        <v>9543.2199999999993</v>
      </c>
      <c r="L1019" s="11"/>
      <c r="M1019" s="14">
        <v>9543.2199999999993</v>
      </c>
      <c r="N1019" s="11" t="s">
        <v>2529</v>
      </c>
      <c r="O1019" s="11" t="s">
        <v>50</v>
      </c>
    </row>
    <row r="1020" spans="1:15" s="13" customFormat="1" ht="19.5" customHeight="1" x14ac:dyDescent="0.25">
      <c r="A1020" s="11" t="s">
        <v>2528</v>
      </c>
      <c r="B1020" s="11" t="s">
        <v>2528</v>
      </c>
      <c r="C1020" s="12">
        <v>46091</v>
      </c>
      <c r="D1020" s="12">
        <v>46154</v>
      </c>
      <c r="E1020" s="11" t="s">
        <v>6</v>
      </c>
      <c r="F1020" s="11" t="s">
        <v>64</v>
      </c>
      <c r="G1020" s="11" t="s">
        <v>2528</v>
      </c>
      <c r="H1020" s="11"/>
      <c r="I1020" s="11" t="s">
        <v>49</v>
      </c>
      <c r="J1020" s="11">
        <v>9543.2199999999993</v>
      </c>
      <c r="K1020" s="11">
        <v>9543.2199999999993</v>
      </c>
      <c r="L1020" s="11"/>
      <c r="M1020" s="14">
        <v>9543.2199999999993</v>
      </c>
      <c r="N1020" s="11" t="s">
        <v>2529</v>
      </c>
      <c r="O1020" s="11" t="s">
        <v>50</v>
      </c>
    </row>
    <row r="1021" spans="1:15" s="13" customFormat="1" ht="19.5" customHeight="1" x14ac:dyDescent="0.25">
      <c r="A1021" s="11" t="s">
        <v>2528</v>
      </c>
      <c r="B1021" s="11" t="s">
        <v>2528</v>
      </c>
      <c r="C1021" s="12">
        <v>46091</v>
      </c>
      <c r="D1021" s="12">
        <v>46163</v>
      </c>
      <c r="E1021" s="11" t="s">
        <v>6</v>
      </c>
      <c r="F1021" s="11" t="s">
        <v>64</v>
      </c>
      <c r="G1021" s="11" t="s">
        <v>2528</v>
      </c>
      <c r="H1021" s="11"/>
      <c r="I1021" s="11" t="s">
        <v>49</v>
      </c>
      <c r="J1021" s="11">
        <v>9543.2199999999993</v>
      </c>
      <c r="K1021" s="11">
        <v>9543.2199999999993</v>
      </c>
      <c r="L1021" s="11"/>
      <c r="M1021" s="14">
        <v>9543.2199999999993</v>
      </c>
      <c r="N1021" s="11" t="s">
        <v>2529</v>
      </c>
      <c r="O1021" s="11" t="s">
        <v>50</v>
      </c>
    </row>
    <row r="1022" spans="1:15" s="13" customFormat="1" ht="19.5" customHeight="1" x14ac:dyDescent="0.25">
      <c r="A1022" s="11" t="s">
        <v>2528</v>
      </c>
      <c r="B1022" s="11" t="s">
        <v>2528</v>
      </c>
      <c r="C1022" s="12">
        <v>46091</v>
      </c>
      <c r="D1022" s="12">
        <v>46172</v>
      </c>
      <c r="E1022" s="11" t="s">
        <v>6</v>
      </c>
      <c r="F1022" s="11" t="s">
        <v>64</v>
      </c>
      <c r="G1022" s="11" t="s">
        <v>2528</v>
      </c>
      <c r="H1022" s="11"/>
      <c r="I1022" s="11" t="s">
        <v>49</v>
      </c>
      <c r="J1022" s="11">
        <v>9543.2199999999993</v>
      </c>
      <c r="K1022" s="11">
        <v>9543.2199999999993</v>
      </c>
      <c r="L1022" s="11"/>
      <c r="M1022" s="14">
        <v>9543.2199999999993</v>
      </c>
      <c r="N1022" s="11" t="s">
        <v>2529</v>
      </c>
      <c r="O1022" s="11" t="s">
        <v>50</v>
      </c>
    </row>
    <row r="1023" spans="1:15" s="13" customFormat="1" ht="19.5" customHeight="1" x14ac:dyDescent="0.25">
      <c r="A1023" s="11" t="s">
        <v>2528</v>
      </c>
      <c r="B1023" s="11" t="s">
        <v>2528</v>
      </c>
      <c r="C1023" s="12">
        <v>46091</v>
      </c>
      <c r="D1023" s="12">
        <v>46181</v>
      </c>
      <c r="E1023" s="11" t="s">
        <v>6</v>
      </c>
      <c r="F1023" s="11" t="s">
        <v>64</v>
      </c>
      <c r="G1023" s="11" t="s">
        <v>2528</v>
      </c>
      <c r="H1023" s="11"/>
      <c r="I1023" s="11" t="s">
        <v>49</v>
      </c>
      <c r="J1023" s="11">
        <v>9514.6200000000008</v>
      </c>
      <c r="K1023" s="11">
        <v>9514.6200000000008</v>
      </c>
      <c r="L1023" s="11"/>
      <c r="M1023" s="14">
        <v>9514.6200000000008</v>
      </c>
      <c r="N1023" s="11" t="s">
        <v>2529</v>
      </c>
      <c r="O1023" s="11" t="s">
        <v>50</v>
      </c>
    </row>
    <row r="1024" spans="1:15" s="13" customFormat="1" ht="19.5" customHeight="1" x14ac:dyDescent="0.25">
      <c r="A1024" s="11" t="s">
        <v>2530</v>
      </c>
      <c r="B1024" s="11" t="s">
        <v>2530</v>
      </c>
      <c r="C1024" s="12">
        <v>46100</v>
      </c>
      <c r="D1024" s="12">
        <v>46145</v>
      </c>
      <c r="E1024" s="11" t="s">
        <v>6</v>
      </c>
      <c r="F1024" s="11" t="s">
        <v>64</v>
      </c>
      <c r="G1024" s="11" t="s">
        <v>2530</v>
      </c>
      <c r="H1024" s="11"/>
      <c r="I1024" s="11" t="s">
        <v>49</v>
      </c>
      <c r="J1024" s="11">
        <v>5354.69</v>
      </c>
      <c r="K1024" s="11">
        <v>5354.69</v>
      </c>
      <c r="L1024" s="11"/>
      <c r="M1024" s="14">
        <v>5354.69</v>
      </c>
      <c r="N1024" s="11" t="s">
        <v>2531</v>
      </c>
      <c r="O1024" s="11" t="s">
        <v>50</v>
      </c>
    </row>
    <row r="1025" spans="1:15" s="13" customFormat="1" ht="19.5" customHeight="1" x14ac:dyDescent="0.25">
      <c r="A1025" s="11" t="s">
        <v>2530</v>
      </c>
      <c r="B1025" s="11" t="s">
        <v>2530</v>
      </c>
      <c r="C1025" s="12">
        <v>46100</v>
      </c>
      <c r="D1025" s="12">
        <v>46152</v>
      </c>
      <c r="E1025" s="11" t="s">
        <v>6</v>
      </c>
      <c r="F1025" s="11" t="s">
        <v>64</v>
      </c>
      <c r="G1025" s="11" t="s">
        <v>2530</v>
      </c>
      <c r="H1025" s="11"/>
      <c r="I1025" s="11" t="s">
        <v>49</v>
      </c>
      <c r="J1025" s="11">
        <v>5354.69</v>
      </c>
      <c r="K1025" s="11">
        <v>5354.69</v>
      </c>
      <c r="L1025" s="11"/>
      <c r="M1025" s="14">
        <v>5354.69</v>
      </c>
      <c r="N1025" s="11" t="s">
        <v>2531</v>
      </c>
      <c r="O1025" s="11" t="s">
        <v>50</v>
      </c>
    </row>
    <row r="1026" spans="1:15" s="13" customFormat="1" ht="19.5" customHeight="1" x14ac:dyDescent="0.25">
      <c r="A1026" s="11" t="s">
        <v>2530</v>
      </c>
      <c r="B1026" s="11" t="s">
        <v>2530</v>
      </c>
      <c r="C1026" s="12">
        <v>46100</v>
      </c>
      <c r="D1026" s="12">
        <v>46159</v>
      </c>
      <c r="E1026" s="11" t="s">
        <v>6</v>
      </c>
      <c r="F1026" s="11" t="s">
        <v>64</v>
      </c>
      <c r="G1026" s="11" t="s">
        <v>2530</v>
      </c>
      <c r="H1026" s="11"/>
      <c r="I1026" s="11" t="s">
        <v>49</v>
      </c>
      <c r="J1026" s="11">
        <v>5354.69</v>
      </c>
      <c r="K1026" s="11">
        <v>5354.69</v>
      </c>
      <c r="L1026" s="11"/>
      <c r="M1026" s="14">
        <v>5354.69</v>
      </c>
      <c r="N1026" s="11" t="s">
        <v>2531</v>
      </c>
      <c r="O1026" s="11" t="s">
        <v>50</v>
      </c>
    </row>
    <row r="1027" spans="1:15" s="13" customFormat="1" ht="19.5" customHeight="1" x14ac:dyDescent="0.25">
      <c r="A1027" s="11" t="s">
        <v>2530</v>
      </c>
      <c r="B1027" s="11" t="s">
        <v>2530</v>
      </c>
      <c r="C1027" s="12">
        <v>46100</v>
      </c>
      <c r="D1027" s="12">
        <v>46166</v>
      </c>
      <c r="E1027" s="11" t="s">
        <v>6</v>
      </c>
      <c r="F1027" s="11" t="s">
        <v>64</v>
      </c>
      <c r="G1027" s="11" t="s">
        <v>2530</v>
      </c>
      <c r="H1027" s="11"/>
      <c r="I1027" s="11" t="s">
        <v>49</v>
      </c>
      <c r="J1027" s="11">
        <v>5354.69</v>
      </c>
      <c r="K1027" s="11">
        <v>5354.69</v>
      </c>
      <c r="L1027" s="11"/>
      <c r="M1027" s="14">
        <v>5354.69</v>
      </c>
      <c r="N1027" s="11" t="s">
        <v>2531</v>
      </c>
      <c r="O1027" s="11" t="s">
        <v>50</v>
      </c>
    </row>
    <row r="1028" spans="1:15" s="13" customFormat="1" ht="19.5" customHeight="1" x14ac:dyDescent="0.25">
      <c r="A1028" s="11" t="s">
        <v>2530</v>
      </c>
      <c r="B1028" s="11" t="s">
        <v>2530</v>
      </c>
      <c r="C1028" s="12">
        <v>46100</v>
      </c>
      <c r="D1028" s="12">
        <v>46173</v>
      </c>
      <c r="E1028" s="11" t="s">
        <v>6</v>
      </c>
      <c r="F1028" s="11" t="s">
        <v>64</v>
      </c>
      <c r="G1028" s="11" t="s">
        <v>2530</v>
      </c>
      <c r="H1028" s="11"/>
      <c r="I1028" s="11" t="s">
        <v>49</v>
      </c>
      <c r="J1028" s="11">
        <v>5354.69</v>
      </c>
      <c r="K1028" s="11">
        <v>5354.69</v>
      </c>
      <c r="L1028" s="11"/>
      <c r="M1028" s="14">
        <v>5354.69</v>
      </c>
      <c r="N1028" s="11" t="s">
        <v>2531</v>
      </c>
      <c r="O1028" s="11" t="s">
        <v>50</v>
      </c>
    </row>
    <row r="1029" spans="1:15" s="13" customFormat="1" ht="19.5" customHeight="1" x14ac:dyDescent="0.25">
      <c r="A1029" s="11" t="s">
        <v>2530</v>
      </c>
      <c r="B1029" s="11" t="s">
        <v>2530</v>
      </c>
      <c r="C1029" s="12">
        <v>46100</v>
      </c>
      <c r="D1029" s="12">
        <v>46180</v>
      </c>
      <c r="E1029" s="11" t="s">
        <v>6</v>
      </c>
      <c r="F1029" s="11" t="s">
        <v>64</v>
      </c>
      <c r="G1029" s="11" t="s">
        <v>2530</v>
      </c>
      <c r="H1029" s="11"/>
      <c r="I1029" s="11" t="s">
        <v>49</v>
      </c>
      <c r="J1029" s="11">
        <v>5354.69</v>
      </c>
      <c r="K1029" s="11">
        <v>5354.69</v>
      </c>
      <c r="L1029" s="11"/>
      <c r="M1029" s="14">
        <v>5354.69</v>
      </c>
      <c r="N1029" s="11" t="s">
        <v>2531</v>
      </c>
      <c r="O1029" s="11" t="s">
        <v>50</v>
      </c>
    </row>
    <row r="1030" spans="1:15" s="13" customFormat="1" ht="19.5" customHeight="1" x14ac:dyDescent="0.25">
      <c r="A1030" s="11" t="s">
        <v>2530</v>
      </c>
      <c r="B1030" s="11" t="s">
        <v>2530</v>
      </c>
      <c r="C1030" s="12">
        <v>46100</v>
      </c>
      <c r="D1030" s="12">
        <v>46190</v>
      </c>
      <c r="E1030" s="11" t="s">
        <v>6</v>
      </c>
      <c r="F1030" s="11" t="s">
        <v>64</v>
      </c>
      <c r="G1030" s="11" t="s">
        <v>2530</v>
      </c>
      <c r="H1030" s="11"/>
      <c r="I1030" s="11" t="s">
        <v>49</v>
      </c>
      <c r="J1030" s="11">
        <v>5369.7</v>
      </c>
      <c r="K1030" s="11">
        <v>5369.7</v>
      </c>
      <c r="L1030" s="11"/>
      <c r="M1030" s="14">
        <v>5369.7</v>
      </c>
      <c r="N1030" s="11" t="s">
        <v>2531</v>
      </c>
      <c r="O1030" s="11" t="s">
        <v>50</v>
      </c>
    </row>
    <row r="1031" spans="1:15" s="13" customFormat="1" ht="19.5" customHeight="1" x14ac:dyDescent="0.25">
      <c r="A1031" s="11" t="s">
        <v>2532</v>
      </c>
      <c r="B1031" s="11" t="s">
        <v>2532</v>
      </c>
      <c r="C1031" s="12">
        <v>46088</v>
      </c>
      <c r="D1031" s="12">
        <v>46133</v>
      </c>
      <c r="E1031" s="11" t="s">
        <v>6</v>
      </c>
      <c r="F1031" s="11" t="s">
        <v>1920</v>
      </c>
      <c r="G1031" s="11" t="s">
        <v>2532</v>
      </c>
      <c r="H1031" s="11"/>
      <c r="I1031" s="11" t="s">
        <v>49</v>
      </c>
      <c r="J1031" s="11">
        <v>2105.9299999999998</v>
      </c>
      <c r="K1031" s="11">
        <v>2105.9299999999998</v>
      </c>
      <c r="L1031" s="11"/>
      <c r="M1031" s="14">
        <v>2105.9299999999998</v>
      </c>
      <c r="N1031" s="11" t="s">
        <v>2533</v>
      </c>
      <c r="O1031" s="11" t="s">
        <v>50</v>
      </c>
    </row>
    <row r="1032" spans="1:15" s="13" customFormat="1" ht="19.5" customHeight="1" x14ac:dyDescent="0.25">
      <c r="A1032" s="11" t="s">
        <v>2532</v>
      </c>
      <c r="B1032" s="11" t="s">
        <v>2532</v>
      </c>
      <c r="C1032" s="12">
        <v>46088</v>
      </c>
      <c r="D1032" s="12">
        <v>46143</v>
      </c>
      <c r="E1032" s="11" t="s">
        <v>6</v>
      </c>
      <c r="F1032" s="11" t="s">
        <v>1920</v>
      </c>
      <c r="G1032" s="11" t="s">
        <v>2532</v>
      </c>
      <c r="H1032" s="11"/>
      <c r="I1032" s="11" t="s">
        <v>49</v>
      </c>
      <c r="J1032" s="11">
        <v>2105.9299999999998</v>
      </c>
      <c r="K1032" s="11">
        <v>2105.9299999999998</v>
      </c>
      <c r="L1032" s="11"/>
      <c r="M1032" s="14">
        <v>2105.9299999999998</v>
      </c>
      <c r="N1032" s="11" t="s">
        <v>2533</v>
      </c>
      <c r="O1032" s="11" t="s">
        <v>50</v>
      </c>
    </row>
    <row r="1033" spans="1:15" s="13" customFormat="1" ht="19.5" customHeight="1" x14ac:dyDescent="0.25">
      <c r="A1033" s="11" t="s">
        <v>2532</v>
      </c>
      <c r="B1033" s="11" t="s">
        <v>2532</v>
      </c>
      <c r="C1033" s="12">
        <v>46088</v>
      </c>
      <c r="D1033" s="12">
        <v>46153</v>
      </c>
      <c r="E1033" s="11" t="s">
        <v>6</v>
      </c>
      <c r="F1033" s="11" t="s">
        <v>1920</v>
      </c>
      <c r="G1033" s="11" t="s">
        <v>2532</v>
      </c>
      <c r="H1033" s="11"/>
      <c r="I1033" s="11" t="s">
        <v>49</v>
      </c>
      <c r="J1033" s="11">
        <v>2105.9299999999998</v>
      </c>
      <c r="K1033" s="11">
        <v>2105.9299999999998</v>
      </c>
      <c r="L1033" s="11"/>
      <c r="M1033" s="14">
        <v>2105.9299999999998</v>
      </c>
      <c r="N1033" s="11" t="s">
        <v>2533</v>
      </c>
      <c r="O1033" s="11" t="s">
        <v>50</v>
      </c>
    </row>
    <row r="1034" spans="1:15" s="13" customFormat="1" ht="19.5" customHeight="1" x14ac:dyDescent="0.25">
      <c r="A1034" s="11" t="s">
        <v>2532</v>
      </c>
      <c r="B1034" s="11" t="s">
        <v>2532</v>
      </c>
      <c r="C1034" s="12">
        <v>46088</v>
      </c>
      <c r="D1034" s="12">
        <v>46163</v>
      </c>
      <c r="E1034" s="11" t="s">
        <v>6</v>
      </c>
      <c r="F1034" s="11" t="s">
        <v>1920</v>
      </c>
      <c r="G1034" s="11" t="s">
        <v>2532</v>
      </c>
      <c r="H1034" s="11"/>
      <c r="I1034" s="11" t="s">
        <v>49</v>
      </c>
      <c r="J1034" s="11">
        <v>2105.91</v>
      </c>
      <c r="K1034" s="11">
        <v>2105.91</v>
      </c>
      <c r="L1034" s="11"/>
      <c r="M1034" s="14">
        <v>2105.91</v>
      </c>
      <c r="N1034" s="11" t="s">
        <v>2533</v>
      </c>
      <c r="O1034" s="11" t="s">
        <v>50</v>
      </c>
    </row>
    <row r="1035" spans="1:15" s="13" customFormat="1" ht="19.5" customHeight="1" x14ac:dyDescent="0.25">
      <c r="A1035" s="11" t="s">
        <v>2534</v>
      </c>
      <c r="B1035" s="11" t="s">
        <v>2534</v>
      </c>
      <c r="C1035" s="12">
        <v>46100</v>
      </c>
      <c r="D1035" s="12">
        <v>46145</v>
      </c>
      <c r="E1035" s="11" t="s">
        <v>6</v>
      </c>
      <c r="F1035" s="11" t="s">
        <v>1920</v>
      </c>
      <c r="G1035" s="11" t="s">
        <v>2534</v>
      </c>
      <c r="H1035" s="11"/>
      <c r="I1035" s="11" t="s">
        <v>49</v>
      </c>
      <c r="J1035" s="11">
        <v>9167.81</v>
      </c>
      <c r="K1035" s="11">
        <v>9167.81</v>
      </c>
      <c r="L1035" s="11"/>
      <c r="M1035" s="14">
        <v>9167.81</v>
      </c>
      <c r="N1035" s="11" t="s">
        <v>2535</v>
      </c>
      <c r="O1035" s="11" t="s">
        <v>50</v>
      </c>
    </row>
    <row r="1036" spans="1:15" s="13" customFormat="1" ht="19.5" customHeight="1" x14ac:dyDescent="0.25">
      <c r="A1036" s="11" t="s">
        <v>2534</v>
      </c>
      <c r="B1036" s="11" t="s">
        <v>2534</v>
      </c>
      <c r="C1036" s="12">
        <v>46100</v>
      </c>
      <c r="D1036" s="12">
        <v>46152</v>
      </c>
      <c r="E1036" s="11" t="s">
        <v>6</v>
      </c>
      <c r="F1036" s="11" t="s">
        <v>1920</v>
      </c>
      <c r="G1036" s="11" t="s">
        <v>2534</v>
      </c>
      <c r="H1036" s="11"/>
      <c r="I1036" s="11" t="s">
        <v>49</v>
      </c>
      <c r="J1036" s="11">
        <v>9167.81</v>
      </c>
      <c r="K1036" s="11">
        <v>9167.81</v>
      </c>
      <c r="L1036" s="11"/>
      <c r="M1036" s="14">
        <v>9167.81</v>
      </c>
      <c r="N1036" s="11" t="s">
        <v>2535</v>
      </c>
      <c r="O1036" s="11" t="s">
        <v>50</v>
      </c>
    </row>
    <row r="1037" spans="1:15" s="13" customFormat="1" ht="19.5" customHeight="1" x14ac:dyDescent="0.25">
      <c r="A1037" s="11" t="s">
        <v>2534</v>
      </c>
      <c r="B1037" s="11" t="s">
        <v>2534</v>
      </c>
      <c r="C1037" s="12">
        <v>46100</v>
      </c>
      <c r="D1037" s="12">
        <v>46159</v>
      </c>
      <c r="E1037" s="11" t="s">
        <v>6</v>
      </c>
      <c r="F1037" s="11" t="s">
        <v>1920</v>
      </c>
      <c r="G1037" s="11" t="s">
        <v>2534</v>
      </c>
      <c r="H1037" s="11"/>
      <c r="I1037" s="11" t="s">
        <v>49</v>
      </c>
      <c r="J1037" s="11">
        <v>9167.81</v>
      </c>
      <c r="K1037" s="11">
        <v>9167.81</v>
      </c>
      <c r="L1037" s="11"/>
      <c r="M1037" s="14">
        <v>9167.81</v>
      </c>
      <c r="N1037" s="11" t="s">
        <v>2535</v>
      </c>
      <c r="O1037" s="11" t="s">
        <v>50</v>
      </c>
    </row>
    <row r="1038" spans="1:15" s="13" customFormat="1" ht="19.5" customHeight="1" x14ac:dyDescent="0.25">
      <c r="A1038" s="11" t="s">
        <v>2534</v>
      </c>
      <c r="B1038" s="11" t="s">
        <v>2534</v>
      </c>
      <c r="C1038" s="12">
        <v>46100</v>
      </c>
      <c r="D1038" s="12">
        <v>46166</v>
      </c>
      <c r="E1038" s="11" t="s">
        <v>6</v>
      </c>
      <c r="F1038" s="11" t="s">
        <v>1920</v>
      </c>
      <c r="G1038" s="11" t="s">
        <v>2534</v>
      </c>
      <c r="H1038" s="11"/>
      <c r="I1038" s="11" t="s">
        <v>49</v>
      </c>
      <c r="J1038" s="11">
        <v>9167.81</v>
      </c>
      <c r="K1038" s="11">
        <v>9167.81</v>
      </c>
      <c r="L1038" s="11"/>
      <c r="M1038" s="14">
        <v>9167.81</v>
      </c>
      <c r="N1038" s="11" t="s">
        <v>2535</v>
      </c>
      <c r="O1038" s="11" t="s">
        <v>50</v>
      </c>
    </row>
    <row r="1039" spans="1:15" s="13" customFormat="1" ht="19.5" customHeight="1" x14ac:dyDescent="0.25">
      <c r="A1039" s="11" t="s">
        <v>2534</v>
      </c>
      <c r="B1039" s="11" t="s">
        <v>2534</v>
      </c>
      <c r="C1039" s="12">
        <v>46100</v>
      </c>
      <c r="D1039" s="12">
        <v>46173</v>
      </c>
      <c r="E1039" s="11" t="s">
        <v>6</v>
      </c>
      <c r="F1039" s="11" t="s">
        <v>1920</v>
      </c>
      <c r="G1039" s="11" t="s">
        <v>2534</v>
      </c>
      <c r="H1039" s="11"/>
      <c r="I1039" s="11" t="s">
        <v>49</v>
      </c>
      <c r="J1039" s="11">
        <v>9167.81</v>
      </c>
      <c r="K1039" s="11">
        <v>9167.81</v>
      </c>
      <c r="L1039" s="11"/>
      <c r="M1039" s="14">
        <v>9167.81</v>
      </c>
      <c r="N1039" s="11" t="s">
        <v>2535</v>
      </c>
      <c r="O1039" s="11" t="s">
        <v>50</v>
      </c>
    </row>
    <row r="1040" spans="1:15" s="13" customFormat="1" ht="19.5" customHeight="1" x14ac:dyDescent="0.25">
      <c r="A1040" s="11" t="s">
        <v>2534</v>
      </c>
      <c r="B1040" s="11" t="s">
        <v>2534</v>
      </c>
      <c r="C1040" s="12">
        <v>46100</v>
      </c>
      <c r="D1040" s="12">
        <v>46180</v>
      </c>
      <c r="E1040" s="11" t="s">
        <v>6</v>
      </c>
      <c r="F1040" s="11" t="s">
        <v>1920</v>
      </c>
      <c r="G1040" s="11" t="s">
        <v>2534</v>
      </c>
      <c r="H1040" s="11"/>
      <c r="I1040" s="11" t="s">
        <v>49</v>
      </c>
      <c r="J1040" s="11">
        <v>9167.81</v>
      </c>
      <c r="K1040" s="11">
        <v>9167.81</v>
      </c>
      <c r="L1040" s="11"/>
      <c r="M1040" s="14">
        <v>9167.81</v>
      </c>
      <c r="N1040" s="11" t="s">
        <v>2535</v>
      </c>
      <c r="O1040" s="11" t="s">
        <v>50</v>
      </c>
    </row>
    <row r="1041" spans="1:15" s="13" customFormat="1" ht="19.5" customHeight="1" x14ac:dyDescent="0.25">
      <c r="A1041" s="11" t="s">
        <v>2534</v>
      </c>
      <c r="B1041" s="11" t="s">
        <v>2534</v>
      </c>
      <c r="C1041" s="12">
        <v>46100</v>
      </c>
      <c r="D1041" s="12">
        <v>46190</v>
      </c>
      <c r="E1041" s="11" t="s">
        <v>6</v>
      </c>
      <c r="F1041" s="11" t="s">
        <v>1920</v>
      </c>
      <c r="G1041" s="11" t="s">
        <v>2534</v>
      </c>
      <c r="H1041" s="11"/>
      <c r="I1041" s="11" t="s">
        <v>49</v>
      </c>
      <c r="J1041" s="11">
        <v>9193.52</v>
      </c>
      <c r="K1041" s="11">
        <v>9193.52</v>
      </c>
      <c r="L1041" s="11"/>
      <c r="M1041" s="14">
        <v>9193.52</v>
      </c>
      <c r="N1041" s="11" t="s">
        <v>2535</v>
      </c>
      <c r="O1041" s="11" t="s">
        <v>50</v>
      </c>
    </row>
    <row r="1042" spans="1:15" s="13" customFormat="1" ht="19.5" customHeight="1" x14ac:dyDescent="0.25">
      <c r="A1042" s="11" t="s">
        <v>2536</v>
      </c>
      <c r="B1042" s="11" t="s">
        <v>2536</v>
      </c>
      <c r="C1042" s="12">
        <v>46107</v>
      </c>
      <c r="D1042" s="12">
        <v>46152</v>
      </c>
      <c r="E1042" s="11" t="s">
        <v>6</v>
      </c>
      <c r="F1042" s="11" t="s">
        <v>1920</v>
      </c>
      <c r="G1042" s="11" t="s">
        <v>2536</v>
      </c>
      <c r="H1042" s="11"/>
      <c r="I1042" s="11" t="s">
        <v>49</v>
      </c>
      <c r="J1042" s="11">
        <v>2520.23</v>
      </c>
      <c r="K1042" s="11">
        <v>2520.23</v>
      </c>
      <c r="L1042" s="11"/>
      <c r="M1042" s="14">
        <v>2520.23</v>
      </c>
      <c r="N1042" s="11" t="s">
        <v>2537</v>
      </c>
      <c r="O1042" s="11" t="s">
        <v>50</v>
      </c>
    </row>
    <row r="1043" spans="1:15" s="13" customFormat="1" ht="19.5" customHeight="1" x14ac:dyDescent="0.25">
      <c r="A1043" s="11" t="s">
        <v>2536</v>
      </c>
      <c r="B1043" s="11" t="s">
        <v>2536</v>
      </c>
      <c r="C1043" s="12">
        <v>46107</v>
      </c>
      <c r="D1043" s="12">
        <v>46159</v>
      </c>
      <c r="E1043" s="11" t="s">
        <v>6</v>
      </c>
      <c r="F1043" s="11" t="s">
        <v>1920</v>
      </c>
      <c r="G1043" s="11" t="s">
        <v>2536</v>
      </c>
      <c r="H1043" s="11"/>
      <c r="I1043" s="11" t="s">
        <v>49</v>
      </c>
      <c r="J1043" s="11">
        <v>2520.23</v>
      </c>
      <c r="K1043" s="11">
        <v>2520.23</v>
      </c>
      <c r="L1043" s="11"/>
      <c r="M1043" s="14">
        <v>2520.23</v>
      </c>
      <c r="N1043" s="11" t="s">
        <v>2537</v>
      </c>
      <c r="O1043" s="11" t="s">
        <v>50</v>
      </c>
    </row>
    <row r="1044" spans="1:15" s="13" customFormat="1" ht="19.5" customHeight="1" x14ac:dyDescent="0.25">
      <c r="A1044" s="11" t="s">
        <v>2536</v>
      </c>
      <c r="B1044" s="11" t="s">
        <v>2536</v>
      </c>
      <c r="C1044" s="12">
        <v>46107</v>
      </c>
      <c r="D1044" s="12">
        <v>46166</v>
      </c>
      <c r="E1044" s="11" t="s">
        <v>6</v>
      </c>
      <c r="F1044" s="11" t="s">
        <v>1920</v>
      </c>
      <c r="G1044" s="11" t="s">
        <v>2536</v>
      </c>
      <c r="H1044" s="11"/>
      <c r="I1044" s="11" t="s">
        <v>49</v>
      </c>
      <c r="J1044" s="11">
        <v>2520.23</v>
      </c>
      <c r="K1044" s="11">
        <v>2520.23</v>
      </c>
      <c r="L1044" s="11"/>
      <c r="M1044" s="14">
        <v>2520.23</v>
      </c>
      <c r="N1044" s="11" t="s">
        <v>2537</v>
      </c>
      <c r="O1044" s="11" t="s">
        <v>50</v>
      </c>
    </row>
    <row r="1045" spans="1:15" s="13" customFormat="1" ht="19.5" customHeight="1" x14ac:dyDescent="0.25">
      <c r="A1045" s="11" t="s">
        <v>2536</v>
      </c>
      <c r="B1045" s="11" t="s">
        <v>2536</v>
      </c>
      <c r="C1045" s="12">
        <v>46107</v>
      </c>
      <c r="D1045" s="12">
        <v>46173</v>
      </c>
      <c r="E1045" s="11" t="s">
        <v>6</v>
      </c>
      <c r="F1045" s="11" t="s">
        <v>1920</v>
      </c>
      <c r="G1045" s="11" t="s">
        <v>2536</v>
      </c>
      <c r="H1045" s="11"/>
      <c r="I1045" s="11" t="s">
        <v>49</v>
      </c>
      <c r="J1045" s="11">
        <v>2520.23</v>
      </c>
      <c r="K1045" s="11">
        <v>2520.23</v>
      </c>
      <c r="L1045" s="11"/>
      <c r="M1045" s="14">
        <v>2520.23</v>
      </c>
      <c r="N1045" s="11" t="s">
        <v>2537</v>
      </c>
      <c r="O1045" s="11" t="s">
        <v>50</v>
      </c>
    </row>
    <row r="1046" spans="1:15" s="13" customFormat="1" ht="19.5" customHeight="1" x14ac:dyDescent="0.25">
      <c r="A1046" s="11" t="s">
        <v>2536</v>
      </c>
      <c r="B1046" s="11" t="s">
        <v>2536</v>
      </c>
      <c r="C1046" s="12">
        <v>46107</v>
      </c>
      <c r="D1046" s="12">
        <v>46180</v>
      </c>
      <c r="E1046" s="11" t="s">
        <v>6</v>
      </c>
      <c r="F1046" s="11" t="s">
        <v>1920</v>
      </c>
      <c r="G1046" s="11" t="s">
        <v>2536</v>
      </c>
      <c r="H1046" s="11"/>
      <c r="I1046" s="11" t="s">
        <v>49</v>
      </c>
      <c r="J1046" s="11">
        <v>2520.23</v>
      </c>
      <c r="K1046" s="11">
        <v>2520.23</v>
      </c>
      <c r="L1046" s="11"/>
      <c r="M1046" s="14">
        <v>2520.23</v>
      </c>
      <c r="N1046" s="11" t="s">
        <v>2537</v>
      </c>
      <c r="O1046" s="11" t="s">
        <v>50</v>
      </c>
    </row>
    <row r="1047" spans="1:15" s="13" customFormat="1" ht="19.5" customHeight="1" x14ac:dyDescent="0.25">
      <c r="A1047" s="11" t="s">
        <v>2536</v>
      </c>
      <c r="B1047" s="11" t="s">
        <v>2536</v>
      </c>
      <c r="C1047" s="12">
        <v>46107</v>
      </c>
      <c r="D1047" s="12">
        <v>46197</v>
      </c>
      <c r="E1047" s="11" t="s">
        <v>6</v>
      </c>
      <c r="F1047" s="11" t="s">
        <v>1920</v>
      </c>
      <c r="G1047" s="11" t="s">
        <v>2536</v>
      </c>
      <c r="H1047" s="11"/>
      <c r="I1047" s="11" t="s">
        <v>49</v>
      </c>
      <c r="J1047" s="11">
        <v>2526.2600000000002</v>
      </c>
      <c r="K1047" s="11">
        <v>2526.2600000000002</v>
      </c>
      <c r="L1047" s="11"/>
      <c r="M1047" s="14">
        <v>2526.2600000000002</v>
      </c>
      <c r="N1047" s="11" t="s">
        <v>2537</v>
      </c>
      <c r="O1047" s="11" t="s">
        <v>50</v>
      </c>
    </row>
    <row r="1048" spans="1:15" s="13" customFormat="1" ht="19.5" customHeight="1" x14ac:dyDescent="0.25">
      <c r="A1048" s="11" t="s">
        <v>2538</v>
      </c>
      <c r="B1048" s="11" t="s">
        <v>2538</v>
      </c>
      <c r="C1048" s="12">
        <v>46106</v>
      </c>
      <c r="D1048" s="12">
        <v>46151</v>
      </c>
      <c r="E1048" s="11" t="s">
        <v>6</v>
      </c>
      <c r="F1048" s="11" t="s">
        <v>1920</v>
      </c>
      <c r="G1048" s="11" t="s">
        <v>2538</v>
      </c>
      <c r="H1048" s="11"/>
      <c r="I1048" s="11" t="s">
        <v>49</v>
      </c>
      <c r="J1048" s="11">
        <v>15873.4</v>
      </c>
      <c r="K1048" s="11">
        <v>15873.4</v>
      </c>
      <c r="L1048" s="11"/>
      <c r="M1048" s="14">
        <v>15873.4</v>
      </c>
      <c r="N1048" s="11" t="s">
        <v>2539</v>
      </c>
      <c r="O1048" s="11" t="s">
        <v>50</v>
      </c>
    </row>
    <row r="1049" spans="1:15" s="13" customFormat="1" ht="19.5" customHeight="1" x14ac:dyDescent="0.25">
      <c r="A1049" s="11" t="s">
        <v>2538</v>
      </c>
      <c r="B1049" s="11" t="s">
        <v>2538</v>
      </c>
      <c r="C1049" s="12">
        <v>46106</v>
      </c>
      <c r="D1049" s="12">
        <v>46162</v>
      </c>
      <c r="E1049" s="11" t="s">
        <v>6</v>
      </c>
      <c r="F1049" s="11" t="s">
        <v>1920</v>
      </c>
      <c r="G1049" s="11" t="s">
        <v>2538</v>
      </c>
      <c r="H1049" s="11"/>
      <c r="I1049" s="11" t="s">
        <v>49</v>
      </c>
      <c r="J1049" s="11">
        <v>15873.4</v>
      </c>
      <c r="K1049" s="11">
        <v>15873.4</v>
      </c>
      <c r="L1049" s="11"/>
      <c r="M1049" s="14">
        <v>15873.4</v>
      </c>
      <c r="N1049" s="11" t="s">
        <v>2539</v>
      </c>
      <c r="O1049" s="11" t="s">
        <v>50</v>
      </c>
    </row>
    <row r="1050" spans="1:15" s="13" customFormat="1" ht="19.5" customHeight="1" x14ac:dyDescent="0.25">
      <c r="A1050" s="11" t="s">
        <v>2538</v>
      </c>
      <c r="B1050" s="11" t="s">
        <v>2538</v>
      </c>
      <c r="C1050" s="12">
        <v>46106</v>
      </c>
      <c r="D1050" s="12">
        <v>46173</v>
      </c>
      <c r="E1050" s="11" t="s">
        <v>6</v>
      </c>
      <c r="F1050" s="11" t="s">
        <v>1920</v>
      </c>
      <c r="G1050" s="11" t="s">
        <v>2538</v>
      </c>
      <c r="H1050" s="11"/>
      <c r="I1050" s="11" t="s">
        <v>49</v>
      </c>
      <c r="J1050" s="11">
        <v>15873.4</v>
      </c>
      <c r="K1050" s="11">
        <v>15873.4</v>
      </c>
      <c r="L1050" s="11"/>
      <c r="M1050" s="14">
        <v>15873.4</v>
      </c>
      <c r="N1050" s="11" t="s">
        <v>2539</v>
      </c>
      <c r="O1050" s="11" t="s">
        <v>50</v>
      </c>
    </row>
    <row r="1051" spans="1:15" s="13" customFormat="1" ht="19.5" customHeight="1" x14ac:dyDescent="0.25">
      <c r="A1051" s="11" t="s">
        <v>2538</v>
      </c>
      <c r="B1051" s="11" t="s">
        <v>2538</v>
      </c>
      <c r="C1051" s="12">
        <v>46106</v>
      </c>
      <c r="D1051" s="12">
        <v>46184</v>
      </c>
      <c r="E1051" s="11" t="s">
        <v>6</v>
      </c>
      <c r="F1051" s="11" t="s">
        <v>1920</v>
      </c>
      <c r="G1051" s="11" t="s">
        <v>2538</v>
      </c>
      <c r="H1051" s="11"/>
      <c r="I1051" s="11" t="s">
        <v>49</v>
      </c>
      <c r="J1051" s="11">
        <v>15873.4</v>
      </c>
      <c r="K1051" s="11">
        <v>15873.4</v>
      </c>
      <c r="L1051" s="11"/>
      <c r="M1051" s="14">
        <v>15873.4</v>
      </c>
      <c r="N1051" s="11" t="s">
        <v>2539</v>
      </c>
      <c r="O1051" s="11" t="s">
        <v>50</v>
      </c>
    </row>
    <row r="1052" spans="1:15" s="13" customFormat="1" ht="19.5" customHeight="1" x14ac:dyDescent="0.25">
      <c r="A1052" s="11" t="s">
        <v>2538</v>
      </c>
      <c r="B1052" s="11" t="s">
        <v>2538</v>
      </c>
      <c r="C1052" s="12">
        <v>46106</v>
      </c>
      <c r="D1052" s="12">
        <v>46195</v>
      </c>
      <c r="E1052" s="11" t="s">
        <v>6</v>
      </c>
      <c r="F1052" s="11" t="s">
        <v>1920</v>
      </c>
      <c r="G1052" s="11" t="s">
        <v>2538</v>
      </c>
      <c r="H1052" s="11"/>
      <c r="I1052" s="11" t="s">
        <v>49</v>
      </c>
      <c r="J1052" s="11">
        <v>15873.4</v>
      </c>
      <c r="K1052" s="11">
        <v>15873.4</v>
      </c>
      <c r="L1052" s="11"/>
      <c r="M1052" s="14">
        <v>15873.4</v>
      </c>
      <c r="N1052" s="11" t="s">
        <v>2539</v>
      </c>
      <c r="O1052" s="11" t="s">
        <v>50</v>
      </c>
    </row>
    <row r="1053" spans="1:15" s="13" customFormat="1" ht="19.5" customHeight="1" x14ac:dyDescent="0.25">
      <c r="A1053" s="11" t="s">
        <v>2538</v>
      </c>
      <c r="B1053" s="11" t="s">
        <v>2538</v>
      </c>
      <c r="C1053" s="12">
        <v>46106</v>
      </c>
      <c r="D1053" s="12">
        <v>46206</v>
      </c>
      <c r="E1053" s="11" t="s">
        <v>6</v>
      </c>
      <c r="F1053" s="11" t="s">
        <v>1920</v>
      </c>
      <c r="G1053" s="11" t="s">
        <v>2538</v>
      </c>
      <c r="H1053" s="11"/>
      <c r="I1053" s="11" t="s">
        <v>49</v>
      </c>
      <c r="J1053" s="11">
        <v>15873.4</v>
      </c>
      <c r="K1053" s="11">
        <v>15873.4</v>
      </c>
      <c r="L1053" s="11"/>
      <c r="M1053" s="14">
        <v>15873.4</v>
      </c>
      <c r="N1053" s="11" t="s">
        <v>2539</v>
      </c>
      <c r="O1053" s="11" t="s">
        <v>50</v>
      </c>
    </row>
    <row r="1054" spans="1:15" s="13" customFormat="1" ht="19.5" customHeight="1" x14ac:dyDescent="0.25">
      <c r="A1054" s="11" t="s">
        <v>2538</v>
      </c>
      <c r="B1054" s="11" t="s">
        <v>2538</v>
      </c>
      <c r="C1054" s="12">
        <v>46106</v>
      </c>
      <c r="D1054" s="12">
        <v>46217</v>
      </c>
      <c r="E1054" s="11" t="s">
        <v>6</v>
      </c>
      <c r="F1054" s="11" t="s">
        <v>1920</v>
      </c>
      <c r="G1054" s="11" t="s">
        <v>2538</v>
      </c>
      <c r="H1054" s="11"/>
      <c r="I1054" s="11" t="s">
        <v>49</v>
      </c>
      <c r="J1054" s="11">
        <v>15873.4</v>
      </c>
      <c r="K1054" s="11">
        <v>15873.4</v>
      </c>
      <c r="L1054" s="11"/>
      <c r="M1054" s="14">
        <v>15873.4</v>
      </c>
      <c r="N1054" s="11" t="s">
        <v>2539</v>
      </c>
      <c r="O1054" s="11" t="s">
        <v>50</v>
      </c>
    </row>
    <row r="1055" spans="1:15" s="13" customFormat="1" ht="19.5" customHeight="1" x14ac:dyDescent="0.25">
      <c r="A1055" s="11" t="s">
        <v>2538</v>
      </c>
      <c r="B1055" s="11" t="s">
        <v>2538</v>
      </c>
      <c r="C1055" s="12">
        <v>46106</v>
      </c>
      <c r="D1055" s="12">
        <v>46228</v>
      </c>
      <c r="E1055" s="11" t="s">
        <v>6</v>
      </c>
      <c r="F1055" s="11" t="s">
        <v>1920</v>
      </c>
      <c r="G1055" s="11" t="s">
        <v>2538</v>
      </c>
      <c r="H1055" s="11"/>
      <c r="I1055" s="11" t="s">
        <v>49</v>
      </c>
      <c r="J1055" s="11">
        <v>15873.37</v>
      </c>
      <c r="K1055" s="11">
        <v>15873.37</v>
      </c>
      <c r="L1055" s="11"/>
      <c r="M1055" s="14">
        <v>15873.37</v>
      </c>
      <c r="N1055" s="11" t="s">
        <v>2539</v>
      </c>
      <c r="O1055" s="11" t="s">
        <v>50</v>
      </c>
    </row>
    <row r="1056" spans="1:15" s="13" customFormat="1" ht="19.5" customHeight="1" x14ac:dyDescent="0.25">
      <c r="A1056" s="11" t="s">
        <v>2540</v>
      </c>
      <c r="B1056" s="11" t="s">
        <v>2540</v>
      </c>
      <c r="C1056" s="12">
        <v>46107</v>
      </c>
      <c r="D1056" s="12">
        <v>46107</v>
      </c>
      <c r="E1056" s="11" t="s">
        <v>6</v>
      </c>
      <c r="F1056" s="11" t="s">
        <v>2541</v>
      </c>
      <c r="G1056" s="11" t="s">
        <v>2540</v>
      </c>
      <c r="H1056" s="11"/>
      <c r="I1056" s="11" t="s">
        <v>49</v>
      </c>
      <c r="J1056" s="11">
        <v>39.51</v>
      </c>
      <c r="K1056" s="11">
        <v>39.51</v>
      </c>
      <c r="L1056" s="11"/>
      <c r="M1056" s="14">
        <v>39.51</v>
      </c>
      <c r="N1056" s="11" t="s">
        <v>2542</v>
      </c>
      <c r="O1056" s="11" t="s">
        <v>50</v>
      </c>
    </row>
    <row r="1057" spans="1:15" s="13" customFormat="1" ht="19.5" customHeight="1" x14ac:dyDescent="0.25">
      <c r="A1057" s="11" t="s">
        <v>2543</v>
      </c>
      <c r="B1057" s="11" t="s">
        <v>2543</v>
      </c>
      <c r="C1057" s="12">
        <v>46106</v>
      </c>
      <c r="D1057" s="11"/>
      <c r="E1057" s="11" t="s">
        <v>6</v>
      </c>
      <c r="F1057" s="11" t="s">
        <v>2541</v>
      </c>
      <c r="G1057" s="11" t="s">
        <v>2540</v>
      </c>
      <c r="H1057" s="11"/>
      <c r="I1057" s="11" t="s">
        <v>49</v>
      </c>
      <c r="J1057" s="11">
        <v>-39.51</v>
      </c>
      <c r="K1057" s="11"/>
      <c r="L1057" s="11">
        <v>39.51</v>
      </c>
      <c r="M1057" s="14">
        <v>-39.51</v>
      </c>
      <c r="N1057" s="11" t="s">
        <v>2542</v>
      </c>
      <c r="O1057" s="11" t="s">
        <v>234</v>
      </c>
    </row>
    <row r="1058" spans="1:15" s="13" customFormat="1" ht="19.5" customHeight="1" x14ac:dyDescent="0.25">
      <c r="A1058" s="11" t="s">
        <v>2544</v>
      </c>
      <c r="B1058" s="11" t="s">
        <v>2544</v>
      </c>
      <c r="C1058" s="12">
        <v>46107</v>
      </c>
      <c r="D1058" s="12">
        <v>46107</v>
      </c>
      <c r="E1058" s="11" t="s">
        <v>6</v>
      </c>
      <c r="F1058" s="11" t="s">
        <v>2545</v>
      </c>
      <c r="G1058" s="11" t="s">
        <v>2544</v>
      </c>
      <c r="H1058" s="11"/>
      <c r="I1058" s="11" t="s">
        <v>49</v>
      </c>
      <c r="J1058" s="11">
        <v>170.28</v>
      </c>
      <c r="K1058" s="11">
        <v>170.28</v>
      </c>
      <c r="L1058" s="11"/>
      <c r="M1058" s="14">
        <v>170.28</v>
      </c>
      <c r="N1058" s="11" t="s">
        <v>2546</v>
      </c>
      <c r="O1058" s="11" t="s">
        <v>50</v>
      </c>
    </row>
    <row r="1059" spans="1:15" s="13" customFormat="1" ht="19.5" customHeight="1" x14ac:dyDescent="0.25">
      <c r="A1059" s="11" t="s">
        <v>2547</v>
      </c>
      <c r="B1059" s="11" t="s">
        <v>2547</v>
      </c>
      <c r="C1059" s="12">
        <v>46106</v>
      </c>
      <c r="D1059" s="11"/>
      <c r="E1059" s="11" t="s">
        <v>6</v>
      </c>
      <c r="F1059" s="11" t="s">
        <v>2545</v>
      </c>
      <c r="G1059" s="11" t="s">
        <v>2544</v>
      </c>
      <c r="H1059" s="11"/>
      <c r="I1059" s="11" t="s">
        <v>49</v>
      </c>
      <c r="J1059" s="11">
        <v>-170.28</v>
      </c>
      <c r="K1059" s="11"/>
      <c r="L1059" s="11">
        <v>170.28</v>
      </c>
      <c r="M1059" s="14">
        <v>-170.28</v>
      </c>
      <c r="N1059" s="11" t="s">
        <v>2546</v>
      </c>
      <c r="O1059" s="11" t="s">
        <v>234</v>
      </c>
    </row>
    <row r="1060" spans="1:15" s="13" customFormat="1" ht="19.5" customHeight="1" x14ac:dyDescent="0.25">
      <c r="A1060" s="11" t="s">
        <v>2548</v>
      </c>
      <c r="B1060" s="11" t="s">
        <v>2548</v>
      </c>
      <c r="C1060" s="12">
        <v>46098</v>
      </c>
      <c r="D1060" s="12">
        <v>46098</v>
      </c>
      <c r="E1060" s="11" t="s">
        <v>6</v>
      </c>
      <c r="F1060" s="11" t="s">
        <v>2549</v>
      </c>
      <c r="G1060" s="11" t="s">
        <v>2548</v>
      </c>
      <c r="H1060" s="11"/>
      <c r="I1060" s="11" t="s">
        <v>49</v>
      </c>
      <c r="J1060" s="11">
        <v>126.81</v>
      </c>
      <c r="K1060" s="11">
        <v>126.81</v>
      </c>
      <c r="L1060" s="11"/>
      <c r="M1060" s="14">
        <v>126.81</v>
      </c>
      <c r="N1060" s="11" t="s">
        <v>2550</v>
      </c>
      <c r="O1060" s="11" t="s">
        <v>50</v>
      </c>
    </row>
    <row r="1061" spans="1:15" s="13" customFormat="1" ht="19.5" customHeight="1" x14ac:dyDescent="0.25">
      <c r="A1061" s="11" t="s">
        <v>2551</v>
      </c>
      <c r="B1061" s="11" t="s">
        <v>2551</v>
      </c>
      <c r="C1061" s="12">
        <v>46097</v>
      </c>
      <c r="D1061" s="11"/>
      <c r="E1061" s="11" t="s">
        <v>6</v>
      </c>
      <c r="F1061" s="11" t="s">
        <v>2549</v>
      </c>
      <c r="G1061" s="11" t="s">
        <v>2548</v>
      </c>
      <c r="H1061" s="11"/>
      <c r="I1061" s="11" t="s">
        <v>49</v>
      </c>
      <c r="J1061" s="11">
        <v>-126.81</v>
      </c>
      <c r="K1061" s="11"/>
      <c r="L1061" s="11">
        <v>126.81</v>
      </c>
      <c r="M1061" s="14">
        <v>-126.81</v>
      </c>
      <c r="N1061" s="11" t="s">
        <v>2550</v>
      </c>
      <c r="O1061" s="11" t="s">
        <v>234</v>
      </c>
    </row>
    <row r="1062" spans="1:15" s="13" customFormat="1" ht="19.5" customHeight="1" x14ac:dyDescent="0.25">
      <c r="A1062" s="11" t="s">
        <v>2552</v>
      </c>
      <c r="B1062" s="11" t="s">
        <v>2552</v>
      </c>
      <c r="C1062" s="12">
        <v>46099</v>
      </c>
      <c r="D1062" s="12">
        <v>46099</v>
      </c>
      <c r="E1062" s="11" t="s">
        <v>6</v>
      </c>
      <c r="F1062" s="11" t="s">
        <v>2553</v>
      </c>
      <c r="G1062" s="11" t="s">
        <v>2552</v>
      </c>
      <c r="H1062" s="11"/>
      <c r="I1062" s="11" t="s">
        <v>49</v>
      </c>
      <c r="J1062" s="11">
        <v>123</v>
      </c>
      <c r="K1062" s="11">
        <v>123</v>
      </c>
      <c r="L1062" s="11"/>
      <c r="M1062" s="14">
        <v>123</v>
      </c>
      <c r="N1062" s="11" t="s">
        <v>2554</v>
      </c>
      <c r="O1062" s="11" t="s">
        <v>50</v>
      </c>
    </row>
    <row r="1063" spans="1:15" s="13" customFormat="1" ht="19.5" customHeight="1" x14ac:dyDescent="0.25">
      <c r="A1063" s="11" t="s">
        <v>2555</v>
      </c>
      <c r="B1063" s="11" t="s">
        <v>2555</v>
      </c>
      <c r="C1063" s="12">
        <v>46098</v>
      </c>
      <c r="D1063" s="11"/>
      <c r="E1063" s="11" t="s">
        <v>6</v>
      </c>
      <c r="F1063" s="11" t="s">
        <v>2553</v>
      </c>
      <c r="G1063" s="11" t="s">
        <v>2552</v>
      </c>
      <c r="H1063" s="11"/>
      <c r="I1063" s="11" t="s">
        <v>49</v>
      </c>
      <c r="J1063" s="11">
        <v>-123</v>
      </c>
      <c r="K1063" s="11"/>
      <c r="L1063" s="11">
        <v>123</v>
      </c>
      <c r="M1063" s="14">
        <v>-123</v>
      </c>
      <c r="N1063" s="11" t="s">
        <v>2554</v>
      </c>
      <c r="O1063" s="11" t="s">
        <v>234</v>
      </c>
    </row>
    <row r="1064" spans="1:15" s="13" customFormat="1" ht="19.5" customHeight="1" x14ac:dyDescent="0.25">
      <c r="A1064" s="11" t="s">
        <v>2556</v>
      </c>
      <c r="B1064" s="11" t="s">
        <v>2556</v>
      </c>
      <c r="C1064" s="12">
        <v>46104</v>
      </c>
      <c r="D1064" s="12">
        <v>46104</v>
      </c>
      <c r="E1064" s="11" t="s">
        <v>6</v>
      </c>
      <c r="F1064" s="11" t="s">
        <v>401</v>
      </c>
      <c r="G1064" s="11"/>
      <c r="H1064" s="11"/>
      <c r="I1064" s="11" t="s">
        <v>49</v>
      </c>
      <c r="J1064" s="11">
        <v>-5016.25</v>
      </c>
      <c r="K1064" s="11"/>
      <c r="L1064" s="11">
        <v>5016.25</v>
      </c>
      <c r="M1064" s="14">
        <v>-5016.25</v>
      </c>
      <c r="N1064" s="11" t="s">
        <v>2557</v>
      </c>
      <c r="O1064" s="11" t="s">
        <v>50</v>
      </c>
    </row>
    <row r="1065" spans="1:15" s="13" customFormat="1" ht="19.5" customHeight="1" x14ac:dyDescent="0.25">
      <c r="A1065" s="11" t="s">
        <v>2558</v>
      </c>
      <c r="B1065" s="11" t="s">
        <v>2558</v>
      </c>
      <c r="C1065" s="12">
        <v>46104</v>
      </c>
      <c r="D1065" s="12">
        <v>46104</v>
      </c>
      <c r="E1065" s="11" t="s">
        <v>6</v>
      </c>
      <c r="F1065" s="11" t="s">
        <v>401</v>
      </c>
      <c r="G1065" s="11" t="s">
        <v>2558</v>
      </c>
      <c r="H1065" s="11"/>
      <c r="I1065" s="11" t="s">
        <v>49</v>
      </c>
      <c r="J1065" s="11">
        <v>5016.25</v>
      </c>
      <c r="K1065" s="11">
        <v>5016.25</v>
      </c>
      <c r="L1065" s="11"/>
      <c r="M1065" s="14">
        <v>5016.25</v>
      </c>
      <c r="N1065" s="11" t="s">
        <v>2557</v>
      </c>
      <c r="O1065" s="11" t="s">
        <v>50</v>
      </c>
    </row>
    <row r="1066" spans="1:15" s="13" customFormat="1" ht="19.5" customHeight="1" x14ac:dyDescent="0.25">
      <c r="A1066" s="11" t="s">
        <v>2559</v>
      </c>
      <c r="B1066" s="11" t="s">
        <v>2559</v>
      </c>
      <c r="C1066" s="12">
        <v>46104</v>
      </c>
      <c r="D1066" s="12">
        <v>46104</v>
      </c>
      <c r="E1066" s="11" t="s">
        <v>6</v>
      </c>
      <c r="F1066" s="11" t="s">
        <v>2560</v>
      </c>
      <c r="G1066" s="11" t="s">
        <v>2559</v>
      </c>
      <c r="H1066" s="11"/>
      <c r="I1066" s="11" t="s">
        <v>49</v>
      </c>
      <c r="J1066" s="11">
        <v>493.2</v>
      </c>
      <c r="K1066" s="11">
        <v>493.2</v>
      </c>
      <c r="L1066" s="11"/>
      <c r="M1066" s="14">
        <v>493.2</v>
      </c>
      <c r="N1066" s="11" t="s">
        <v>2561</v>
      </c>
      <c r="O1066" s="11" t="s">
        <v>50</v>
      </c>
    </row>
    <row r="1067" spans="1:15" s="13" customFormat="1" ht="19.5" customHeight="1" x14ac:dyDescent="0.25">
      <c r="A1067" s="11" t="s">
        <v>2562</v>
      </c>
      <c r="B1067" s="11" t="s">
        <v>2562</v>
      </c>
      <c r="C1067" s="12">
        <v>46103</v>
      </c>
      <c r="D1067" s="11"/>
      <c r="E1067" s="11" t="s">
        <v>6</v>
      </c>
      <c r="F1067" s="11" t="s">
        <v>2560</v>
      </c>
      <c r="G1067" s="11" t="s">
        <v>2559</v>
      </c>
      <c r="H1067" s="11"/>
      <c r="I1067" s="11" t="s">
        <v>49</v>
      </c>
      <c r="J1067" s="11">
        <v>-493.2</v>
      </c>
      <c r="K1067" s="11"/>
      <c r="L1067" s="11">
        <v>493.2</v>
      </c>
      <c r="M1067" s="14">
        <v>-493.2</v>
      </c>
      <c r="N1067" s="11" t="s">
        <v>2561</v>
      </c>
      <c r="O1067" s="11" t="s">
        <v>234</v>
      </c>
    </row>
    <row r="1068" spans="1:15" s="13" customFormat="1" ht="19.5" customHeight="1" x14ac:dyDescent="0.25">
      <c r="A1068" s="11" t="s">
        <v>2563</v>
      </c>
      <c r="B1068" s="11" t="s">
        <v>2563</v>
      </c>
      <c r="C1068" s="12">
        <v>46105</v>
      </c>
      <c r="D1068" s="11"/>
      <c r="E1068" s="11" t="s">
        <v>6</v>
      </c>
      <c r="F1068" s="11" t="s">
        <v>2564</v>
      </c>
      <c r="G1068" s="11" t="s">
        <v>2565</v>
      </c>
      <c r="H1068" s="11"/>
      <c r="I1068" s="11" t="s">
        <v>49</v>
      </c>
      <c r="J1068" s="11">
        <v>-146.25</v>
      </c>
      <c r="K1068" s="11"/>
      <c r="L1068" s="11">
        <v>146.25</v>
      </c>
      <c r="M1068" s="14">
        <v>-146.25</v>
      </c>
      <c r="N1068" s="11" t="s">
        <v>2566</v>
      </c>
      <c r="O1068" s="11" t="s">
        <v>234</v>
      </c>
    </row>
    <row r="1069" spans="1:15" s="13" customFormat="1" ht="19.5" customHeight="1" x14ac:dyDescent="0.25">
      <c r="A1069" s="11" t="s">
        <v>2565</v>
      </c>
      <c r="B1069" s="11" t="s">
        <v>2565</v>
      </c>
      <c r="C1069" s="12">
        <v>46105</v>
      </c>
      <c r="D1069" s="12">
        <v>46105</v>
      </c>
      <c r="E1069" s="11" t="s">
        <v>6</v>
      </c>
      <c r="F1069" s="11" t="s">
        <v>2564</v>
      </c>
      <c r="G1069" s="11" t="s">
        <v>2565</v>
      </c>
      <c r="H1069" s="11"/>
      <c r="I1069" s="11" t="s">
        <v>49</v>
      </c>
      <c r="J1069" s="11">
        <v>146.25</v>
      </c>
      <c r="K1069" s="11">
        <v>146.25</v>
      </c>
      <c r="L1069" s="11"/>
      <c r="M1069" s="14">
        <v>146.25</v>
      </c>
      <c r="N1069" s="11" t="s">
        <v>2566</v>
      </c>
      <c r="O1069" s="11" t="s">
        <v>50</v>
      </c>
    </row>
    <row r="1070" spans="1:15" s="13" customFormat="1" ht="19.5" customHeight="1" x14ac:dyDescent="0.25">
      <c r="A1070" s="11" t="s">
        <v>2567</v>
      </c>
      <c r="B1070" s="11" t="s">
        <v>2567</v>
      </c>
      <c r="C1070" s="12">
        <v>46105</v>
      </c>
      <c r="D1070" s="11"/>
      <c r="E1070" s="11" t="s">
        <v>6</v>
      </c>
      <c r="F1070" s="11" t="s">
        <v>2568</v>
      </c>
      <c r="G1070" s="11" t="s">
        <v>2569</v>
      </c>
      <c r="H1070" s="11"/>
      <c r="I1070" s="11" t="s">
        <v>49</v>
      </c>
      <c r="J1070" s="11">
        <v>-123</v>
      </c>
      <c r="K1070" s="11"/>
      <c r="L1070" s="11">
        <v>123</v>
      </c>
      <c r="M1070" s="14">
        <v>-123</v>
      </c>
      <c r="N1070" s="11" t="s">
        <v>2570</v>
      </c>
      <c r="O1070" s="11" t="s">
        <v>234</v>
      </c>
    </row>
    <row r="1071" spans="1:15" s="13" customFormat="1" ht="19.5" customHeight="1" x14ac:dyDescent="0.25">
      <c r="A1071" s="11" t="s">
        <v>2569</v>
      </c>
      <c r="B1071" s="11" t="s">
        <v>2569</v>
      </c>
      <c r="C1071" s="12">
        <v>46105</v>
      </c>
      <c r="D1071" s="12">
        <v>46105</v>
      </c>
      <c r="E1071" s="11" t="s">
        <v>6</v>
      </c>
      <c r="F1071" s="11" t="s">
        <v>2568</v>
      </c>
      <c r="G1071" s="11" t="s">
        <v>2569</v>
      </c>
      <c r="H1071" s="11"/>
      <c r="I1071" s="11" t="s">
        <v>49</v>
      </c>
      <c r="J1071" s="11">
        <v>123</v>
      </c>
      <c r="K1071" s="11">
        <v>123</v>
      </c>
      <c r="L1071" s="11"/>
      <c r="M1071" s="14">
        <v>123</v>
      </c>
      <c r="N1071" s="11" t="s">
        <v>2570</v>
      </c>
      <c r="O1071" s="11" t="s">
        <v>50</v>
      </c>
    </row>
    <row r="1072" spans="1:15" s="13" customFormat="1" ht="19.5" customHeight="1" x14ac:dyDescent="0.25">
      <c r="A1072" s="11" t="s">
        <v>2571</v>
      </c>
      <c r="B1072" s="11" t="s">
        <v>2571</v>
      </c>
      <c r="C1072" s="12">
        <v>46105</v>
      </c>
      <c r="D1072" s="11"/>
      <c r="E1072" s="11" t="s">
        <v>6</v>
      </c>
      <c r="F1072" s="11" t="s">
        <v>2568</v>
      </c>
      <c r="G1072" s="11" t="s">
        <v>2572</v>
      </c>
      <c r="H1072" s="11"/>
      <c r="I1072" s="11" t="s">
        <v>49</v>
      </c>
      <c r="J1072" s="11">
        <v>-114</v>
      </c>
      <c r="K1072" s="11"/>
      <c r="L1072" s="11">
        <v>114</v>
      </c>
      <c r="M1072" s="14">
        <v>-114</v>
      </c>
      <c r="N1072" s="11" t="s">
        <v>2573</v>
      </c>
      <c r="O1072" s="11" t="s">
        <v>234</v>
      </c>
    </row>
    <row r="1073" spans="1:15" s="13" customFormat="1" ht="19.5" customHeight="1" x14ac:dyDescent="0.25">
      <c r="A1073" s="11" t="s">
        <v>2572</v>
      </c>
      <c r="B1073" s="11" t="s">
        <v>2572</v>
      </c>
      <c r="C1073" s="12">
        <v>46105</v>
      </c>
      <c r="D1073" s="12">
        <v>46105</v>
      </c>
      <c r="E1073" s="11" t="s">
        <v>6</v>
      </c>
      <c r="F1073" s="11" t="s">
        <v>2568</v>
      </c>
      <c r="G1073" s="11" t="s">
        <v>2572</v>
      </c>
      <c r="H1073" s="11"/>
      <c r="I1073" s="11" t="s">
        <v>49</v>
      </c>
      <c r="J1073" s="11">
        <v>114</v>
      </c>
      <c r="K1073" s="11">
        <v>114</v>
      </c>
      <c r="L1073" s="11"/>
      <c r="M1073" s="14">
        <v>114</v>
      </c>
      <c r="N1073" s="11" t="s">
        <v>2573</v>
      </c>
      <c r="O1073" s="11" t="s">
        <v>50</v>
      </c>
    </row>
    <row r="1074" spans="1:15" s="13" customFormat="1" ht="19.5" customHeight="1" x14ac:dyDescent="0.25">
      <c r="A1074" s="11" t="s">
        <v>2574</v>
      </c>
      <c r="B1074" s="11" t="s">
        <v>2574</v>
      </c>
      <c r="C1074" s="12">
        <v>46106</v>
      </c>
      <c r="D1074" s="12">
        <v>46106</v>
      </c>
      <c r="E1074" s="11" t="s">
        <v>6</v>
      </c>
      <c r="F1074" s="11" t="s">
        <v>2575</v>
      </c>
      <c r="G1074" s="11" t="s">
        <v>2574</v>
      </c>
      <c r="H1074" s="11"/>
      <c r="I1074" s="11" t="s">
        <v>49</v>
      </c>
      <c r="J1074" s="11">
        <v>4488.09</v>
      </c>
      <c r="K1074" s="11">
        <v>4488.09</v>
      </c>
      <c r="L1074" s="11"/>
      <c r="M1074" s="14">
        <v>4488.09</v>
      </c>
      <c r="N1074" s="11" t="s">
        <v>2576</v>
      </c>
      <c r="O1074" s="11" t="s">
        <v>50</v>
      </c>
    </row>
    <row r="1075" spans="1:15" s="13" customFormat="1" ht="19.5" customHeight="1" x14ac:dyDescent="0.25">
      <c r="A1075" s="11" t="s">
        <v>2577</v>
      </c>
      <c r="B1075" s="11" t="s">
        <v>2577</v>
      </c>
      <c r="C1075" s="12">
        <v>46106</v>
      </c>
      <c r="D1075" s="11"/>
      <c r="E1075" s="11" t="s">
        <v>6</v>
      </c>
      <c r="F1075" s="11" t="s">
        <v>2575</v>
      </c>
      <c r="G1075" s="11" t="s">
        <v>2574</v>
      </c>
      <c r="H1075" s="11"/>
      <c r="I1075" s="11" t="s">
        <v>49</v>
      </c>
      <c r="J1075" s="11">
        <v>-4488.09</v>
      </c>
      <c r="K1075" s="11"/>
      <c r="L1075" s="11">
        <v>4488.09</v>
      </c>
      <c r="M1075" s="14">
        <v>-4488.09</v>
      </c>
      <c r="N1075" s="11" t="s">
        <v>2576</v>
      </c>
      <c r="O1075" s="11" t="s">
        <v>234</v>
      </c>
    </row>
    <row r="1076" spans="1:15" s="13" customFormat="1" ht="19.5" customHeight="1" x14ac:dyDescent="0.25">
      <c r="A1076" s="11" t="s">
        <v>2578</v>
      </c>
      <c r="B1076" s="11" t="s">
        <v>2578</v>
      </c>
      <c r="C1076" s="12">
        <v>46106</v>
      </c>
      <c r="D1076" s="11"/>
      <c r="E1076" s="11" t="s">
        <v>6</v>
      </c>
      <c r="F1076" s="11" t="s">
        <v>2579</v>
      </c>
      <c r="G1076" s="11" t="s">
        <v>2580</v>
      </c>
      <c r="H1076" s="11"/>
      <c r="I1076" s="11" t="s">
        <v>49</v>
      </c>
      <c r="J1076" s="11">
        <v>-226.01</v>
      </c>
      <c r="K1076" s="11"/>
      <c r="L1076" s="11">
        <v>226.01</v>
      </c>
      <c r="M1076" s="14">
        <v>-226.01</v>
      </c>
      <c r="N1076" s="11" t="s">
        <v>2581</v>
      </c>
      <c r="O1076" s="11" t="s">
        <v>234</v>
      </c>
    </row>
    <row r="1077" spans="1:15" s="13" customFormat="1" ht="19.5" customHeight="1" x14ac:dyDescent="0.25">
      <c r="A1077" s="11" t="s">
        <v>2580</v>
      </c>
      <c r="B1077" s="11" t="s">
        <v>2580</v>
      </c>
      <c r="C1077" s="12">
        <v>46106</v>
      </c>
      <c r="D1077" s="12">
        <v>46106</v>
      </c>
      <c r="E1077" s="11" t="s">
        <v>6</v>
      </c>
      <c r="F1077" s="11" t="s">
        <v>2579</v>
      </c>
      <c r="G1077" s="11" t="s">
        <v>2580</v>
      </c>
      <c r="H1077" s="11"/>
      <c r="I1077" s="11" t="s">
        <v>49</v>
      </c>
      <c r="J1077" s="11">
        <v>226.01</v>
      </c>
      <c r="K1077" s="11">
        <v>226.01</v>
      </c>
      <c r="L1077" s="11"/>
      <c r="M1077" s="14">
        <v>226.01</v>
      </c>
      <c r="N1077" s="11" t="s">
        <v>2581</v>
      </c>
      <c r="O1077" s="11" t="s">
        <v>50</v>
      </c>
    </row>
    <row r="1078" spans="1:15" s="13" customFormat="1" ht="19.5" customHeight="1" x14ac:dyDescent="0.25">
      <c r="A1078" s="11" t="s">
        <v>2582</v>
      </c>
      <c r="B1078" s="11" t="s">
        <v>2582</v>
      </c>
      <c r="C1078" s="12">
        <v>46107</v>
      </c>
      <c r="D1078" s="12">
        <v>46107</v>
      </c>
      <c r="E1078" s="11" t="s">
        <v>6</v>
      </c>
      <c r="F1078" s="11" t="s">
        <v>2583</v>
      </c>
      <c r="G1078" s="11" t="s">
        <v>2582</v>
      </c>
      <c r="H1078" s="11"/>
      <c r="I1078" s="11" t="s">
        <v>49</v>
      </c>
      <c r="J1078" s="11">
        <v>138.25</v>
      </c>
      <c r="K1078" s="11">
        <v>138.25</v>
      </c>
      <c r="L1078" s="11"/>
      <c r="M1078" s="14">
        <v>138.25</v>
      </c>
      <c r="N1078" s="11" t="s">
        <v>2584</v>
      </c>
      <c r="O1078" s="11" t="s">
        <v>50</v>
      </c>
    </row>
    <row r="1079" spans="1:15" s="13" customFormat="1" ht="19.5" customHeight="1" x14ac:dyDescent="0.25">
      <c r="A1079" s="11" t="s">
        <v>2585</v>
      </c>
      <c r="B1079" s="11" t="s">
        <v>2585</v>
      </c>
      <c r="C1079" s="12">
        <v>46106</v>
      </c>
      <c r="D1079" s="11"/>
      <c r="E1079" s="11" t="s">
        <v>6</v>
      </c>
      <c r="F1079" s="11" t="s">
        <v>2583</v>
      </c>
      <c r="G1079" s="11" t="s">
        <v>2582</v>
      </c>
      <c r="H1079" s="11"/>
      <c r="I1079" s="11" t="s">
        <v>49</v>
      </c>
      <c r="J1079" s="11">
        <v>-138.25</v>
      </c>
      <c r="K1079" s="11"/>
      <c r="L1079" s="11">
        <v>138.25</v>
      </c>
      <c r="M1079" s="14">
        <v>-138.25</v>
      </c>
      <c r="N1079" s="11" t="s">
        <v>2584</v>
      </c>
      <c r="O1079" s="11" t="s">
        <v>234</v>
      </c>
    </row>
    <row r="1080" spans="1:15" s="13" customFormat="1" ht="19.5" customHeight="1" x14ac:dyDescent="0.25">
      <c r="A1080" s="11" t="s">
        <v>2586</v>
      </c>
      <c r="B1080" s="11" t="s">
        <v>2586</v>
      </c>
      <c r="C1080" s="12">
        <v>46106</v>
      </c>
      <c r="D1080" s="11"/>
      <c r="E1080" s="11" t="s">
        <v>6</v>
      </c>
      <c r="F1080" s="11" t="s">
        <v>2587</v>
      </c>
      <c r="G1080" s="11" t="s">
        <v>2588</v>
      </c>
      <c r="H1080" s="11"/>
      <c r="I1080" s="11" t="s">
        <v>49</v>
      </c>
      <c r="J1080" s="11">
        <v>-108.01</v>
      </c>
      <c r="K1080" s="11"/>
      <c r="L1080" s="11">
        <v>108.01</v>
      </c>
      <c r="M1080" s="14">
        <v>-108.01</v>
      </c>
      <c r="N1080" s="11" t="s">
        <v>2589</v>
      </c>
      <c r="O1080" s="11" t="s">
        <v>234</v>
      </c>
    </row>
    <row r="1081" spans="1:15" s="13" customFormat="1" ht="19.5" customHeight="1" x14ac:dyDescent="0.25">
      <c r="A1081" s="11" t="s">
        <v>2588</v>
      </c>
      <c r="B1081" s="11" t="s">
        <v>2588</v>
      </c>
      <c r="C1081" s="12">
        <v>46106</v>
      </c>
      <c r="D1081" s="12">
        <v>46106</v>
      </c>
      <c r="E1081" s="11" t="s">
        <v>6</v>
      </c>
      <c r="F1081" s="11" t="s">
        <v>2587</v>
      </c>
      <c r="G1081" s="11" t="s">
        <v>2588</v>
      </c>
      <c r="H1081" s="11"/>
      <c r="I1081" s="11" t="s">
        <v>49</v>
      </c>
      <c r="J1081" s="11">
        <v>108.01</v>
      </c>
      <c r="K1081" s="11">
        <v>108.01</v>
      </c>
      <c r="L1081" s="11"/>
      <c r="M1081" s="14">
        <v>108.01</v>
      </c>
      <c r="N1081" s="11" t="s">
        <v>2589</v>
      </c>
      <c r="O1081" s="11" t="s">
        <v>50</v>
      </c>
    </row>
    <row r="1082" spans="1:15" s="13" customFormat="1" ht="19.5" customHeight="1" x14ac:dyDescent="0.25">
      <c r="A1082" s="11" t="s">
        <v>2590</v>
      </c>
      <c r="B1082" s="11" t="s">
        <v>2590</v>
      </c>
      <c r="C1082" s="12">
        <v>46106</v>
      </c>
      <c r="D1082" s="11"/>
      <c r="E1082" s="11" t="s">
        <v>6</v>
      </c>
      <c r="F1082" s="11" t="s">
        <v>2591</v>
      </c>
      <c r="G1082" s="11" t="s">
        <v>2592</v>
      </c>
      <c r="H1082" s="11"/>
      <c r="I1082" s="11" t="s">
        <v>49</v>
      </c>
      <c r="J1082" s="11">
        <v>-101.79</v>
      </c>
      <c r="K1082" s="11"/>
      <c r="L1082" s="11">
        <v>101.79</v>
      </c>
      <c r="M1082" s="14">
        <v>-101.79</v>
      </c>
      <c r="N1082" s="11" t="s">
        <v>2593</v>
      </c>
      <c r="O1082" s="11" t="s">
        <v>234</v>
      </c>
    </row>
    <row r="1083" spans="1:15" s="13" customFormat="1" ht="19.5" customHeight="1" x14ac:dyDescent="0.25">
      <c r="A1083" s="11" t="s">
        <v>2592</v>
      </c>
      <c r="B1083" s="11" t="s">
        <v>2592</v>
      </c>
      <c r="C1083" s="12">
        <v>46106</v>
      </c>
      <c r="D1083" s="12">
        <v>46106</v>
      </c>
      <c r="E1083" s="11" t="s">
        <v>6</v>
      </c>
      <c r="F1083" s="11" t="s">
        <v>2591</v>
      </c>
      <c r="G1083" s="11" t="s">
        <v>2592</v>
      </c>
      <c r="H1083" s="11"/>
      <c r="I1083" s="11" t="s">
        <v>49</v>
      </c>
      <c r="J1083" s="11">
        <v>101.79</v>
      </c>
      <c r="K1083" s="11">
        <v>101.79</v>
      </c>
      <c r="L1083" s="11"/>
      <c r="M1083" s="14">
        <v>101.79</v>
      </c>
      <c r="N1083" s="11" t="s">
        <v>2593</v>
      </c>
      <c r="O1083" s="11" t="s">
        <v>50</v>
      </c>
    </row>
    <row r="1084" spans="1:15" s="13" customFormat="1" ht="19.5" customHeight="1" x14ac:dyDescent="0.25">
      <c r="A1084" s="11" t="s">
        <v>2594</v>
      </c>
      <c r="B1084" s="11" t="s">
        <v>2594</v>
      </c>
      <c r="C1084" s="12">
        <v>46107</v>
      </c>
      <c r="D1084" s="11"/>
      <c r="E1084" s="11" t="s">
        <v>6</v>
      </c>
      <c r="F1084" s="11" t="s">
        <v>2595</v>
      </c>
      <c r="G1084" s="11" t="s">
        <v>2596</v>
      </c>
      <c r="H1084" s="11"/>
      <c r="I1084" s="11" t="s">
        <v>49</v>
      </c>
      <c r="J1084" s="11">
        <v>-11373.34</v>
      </c>
      <c r="K1084" s="11"/>
      <c r="L1084" s="11">
        <v>11373.34</v>
      </c>
      <c r="M1084" s="14">
        <v>-11373.34</v>
      </c>
      <c r="N1084" s="11" t="s">
        <v>2597</v>
      </c>
      <c r="O1084" s="11" t="s">
        <v>234</v>
      </c>
    </row>
    <row r="1085" spans="1:15" s="13" customFormat="1" ht="19.5" customHeight="1" x14ac:dyDescent="0.25">
      <c r="A1085" s="11" t="s">
        <v>2598</v>
      </c>
      <c r="B1085" s="11" t="s">
        <v>2598</v>
      </c>
      <c r="C1085" s="12">
        <v>46080</v>
      </c>
      <c r="D1085" s="11"/>
      <c r="E1085" s="11" t="s">
        <v>6</v>
      </c>
      <c r="F1085" s="11" t="s">
        <v>2595</v>
      </c>
      <c r="G1085" s="11" t="s">
        <v>2596</v>
      </c>
      <c r="H1085" s="11"/>
      <c r="I1085" s="11" t="s">
        <v>49</v>
      </c>
      <c r="J1085" s="11">
        <v>-1820</v>
      </c>
      <c r="K1085" s="11"/>
      <c r="L1085" s="11">
        <v>1820</v>
      </c>
      <c r="M1085" s="14">
        <v>-1820</v>
      </c>
      <c r="N1085" s="11" t="s">
        <v>2597</v>
      </c>
      <c r="O1085" s="11" t="s">
        <v>234</v>
      </c>
    </row>
    <row r="1086" spans="1:15" s="13" customFormat="1" ht="19.5" customHeight="1" x14ac:dyDescent="0.25">
      <c r="A1086" s="11" t="s">
        <v>2596</v>
      </c>
      <c r="B1086" s="11" t="s">
        <v>2596</v>
      </c>
      <c r="C1086" s="12">
        <v>46066</v>
      </c>
      <c r="D1086" s="12">
        <v>46096</v>
      </c>
      <c r="E1086" s="11" t="s">
        <v>6</v>
      </c>
      <c r="F1086" s="11" t="s">
        <v>2595</v>
      </c>
      <c r="G1086" s="11" t="s">
        <v>2596</v>
      </c>
      <c r="H1086" s="11"/>
      <c r="I1086" s="11" t="s">
        <v>49</v>
      </c>
      <c r="J1086" s="11">
        <v>13193.34</v>
      </c>
      <c r="K1086" s="11">
        <v>13193.34</v>
      </c>
      <c r="L1086" s="11"/>
      <c r="M1086" s="14">
        <v>13193.34</v>
      </c>
      <c r="N1086" s="11" t="s">
        <v>2597</v>
      </c>
      <c r="O1086" s="11" t="s">
        <v>75</v>
      </c>
    </row>
    <row r="1087" spans="1:15" s="13" customFormat="1" ht="19.5" customHeight="1" x14ac:dyDescent="0.25">
      <c r="A1087" s="11" t="s">
        <v>2599</v>
      </c>
      <c r="B1087" s="11" t="s">
        <v>2599</v>
      </c>
      <c r="C1087" s="12">
        <v>46111</v>
      </c>
      <c r="D1087" s="12">
        <v>46111</v>
      </c>
      <c r="E1087" s="11" t="s">
        <v>6</v>
      </c>
      <c r="F1087" s="11" t="s">
        <v>2600</v>
      </c>
      <c r="G1087" s="11" t="s">
        <v>2599</v>
      </c>
      <c r="H1087" s="11"/>
      <c r="I1087" s="11" t="s">
        <v>49</v>
      </c>
      <c r="J1087" s="11">
        <v>1247.33</v>
      </c>
      <c r="K1087" s="11">
        <v>1247.33</v>
      </c>
      <c r="L1087" s="11"/>
      <c r="M1087" s="14">
        <v>1247.33</v>
      </c>
      <c r="N1087" s="11" t="s">
        <v>2601</v>
      </c>
      <c r="O1087" s="11" t="s">
        <v>50</v>
      </c>
    </row>
    <row r="1088" spans="1:15" s="13" customFormat="1" ht="19.5" customHeight="1" x14ac:dyDescent="0.25">
      <c r="A1088" s="11" t="s">
        <v>2602</v>
      </c>
      <c r="B1088" s="11" t="s">
        <v>2602</v>
      </c>
      <c r="C1088" s="12">
        <v>46107</v>
      </c>
      <c r="D1088" s="11"/>
      <c r="E1088" s="11" t="s">
        <v>6</v>
      </c>
      <c r="F1088" s="11" t="s">
        <v>2600</v>
      </c>
      <c r="G1088" s="11" t="s">
        <v>2599</v>
      </c>
      <c r="H1088" s="11"/>
      <c r="I1088" s="11" t="s">
        <v>49</v>
      </c>
      <c r="J1088" s="11">
        <v>-1247.33</v>
      </c>
      <c r="K1088" s="11"/>
      <c r="L1088" s="11">
        <v>1247.33</v>
      </c>
      <c r="M1088" s="14">
        <v>-1247.33</v>
      </c>
      <c r="N1088" s="11" t="s">
        <v>2601</v>
      </c>
      <c r="O1088" s="11" t="s">
        <v>234</v>
      </c>
    </row>
    <row r="1089" spans="1:15" s="13" customFormat="1" ht="19.5" customHeight="1" x14ac:dyDescent="0.25">
      <c r="A1089" s="11" t="s">
        <v>2603</v>
      </c>
      <c r="B1089" s="11" t="s">
        <v>2603</v>
      </c>
      <c r="C1089" s="12">
        <v>46107</v>
      </c>
      <c r="D1089" s="12">
        <v>46107</v>
      </c>
      <c r="E1089" s="11" t="s">
        <v>6</v>
      </c>
      <c r="F1089" s="11" t="s">
        <v>2604</v>
      </c>
      <c r="G1089" s="11" t="s">
        <v>2603</v>
      </c>
      <c r="H1089" s="11"/>
      <c r="I1089" s="11" t="s">
        <v>49</v>
      </c>
      <c r="J1089" s="11">
        <v>658.79</v>
      </c>
      <c r="K1089" s="11">
        <v>658.79</v>
      </c>
      <c r="L1089" s="11"/>
      <c r="M1089" s="14">
        <v>658.79</v>
      </c>
      <c r="N1089" s="11" t="s">
        <v>2605</v>
      </c>
      <c r="O1089" s="11" t="s">
        <v>50</v>
      </c>
    </row>
    <row r="1090" spans="1:15" s="13" customFormat="1" ht="19.5" customHeight="1" x14ac:dyDescent="0.25">
      <c r="A1090" s="11" t="s">
        <v>2606</v>
      </c>
      <c r="B1090" s="11" t="s">
        <v>2606</v>
      </c>
      <c r="C1090" s="12">
        <v>46107</v>
      </c>
      <c r="D1090" s="11"/>
      <c r="E1090" s="11" t="s">
        <v>6</v>
      </c>
      <c r="F1090" s="11" t="s">
        <v>2604</v>
      </c>
      <c r="G1090" s="11" t="s">
        <v>2603</v>
      </c>
      <c r="H1090" s="11"/>
      <c r="I1090" s="11" t="s">
        <v>49</v>
      </c>
      <c r="J1090" s="11">
        <v>-658.79</v>
      </c>
      <c r="K1090" s="11"/>
      <c r="L1090" s="11">
        <v>658.79</v>
      </c>
      <c r="M1090" s="14">
        <v>-658.79</v>
      </c>
      <c r="N1090" s="11" t="s">
        <v>2605</v>
      </c>
      <c r="O1090" s="11" t="s">
        <v>234</v>
      </c>
    </row>
    <row r="1091" spans="1:15" s="13" customFormat="1" ht="19.5" customHeight="1" x14ac:dyDescent="0.25">
      <c r="A1091" s="11" t="s">
        <v>2607</v>
      </c>
      <c r="B1091" s="11" t="s">
        <v>2607</v>
      </c>
      <c r="C1091" s="12">
        <v>46107</v>
      </c>
      <c r="D1091" s="11"/>
      <c r="E1091" s="11" t="s">
        <v>6</v>
      </c>
      <c r="F1091" s="11" t="s">
        <v>2608</v>
      </c>
      <c r="G1091" s="11" t="s">
        <v>2609</v>
      </c>
      <c r="H1091" s="11"/>
      <c r="I1091" s="11" t="s">
        <v>49</v>
      </c>
      <c r="J1091" s="11">
        <v>-307</v>
      </c>
      <c r="K1091" s="11"/>
      <c r="L1091" s="11">
        <v>307</v>
      </c>
      <c r="M1091" s="14">
        <v>-307</v>
      </c>
      <c r="N1091" s="11" t="s">
        <v>2610</v>
      </c>
      <c r="O1091" s="11" t="s">
        <v>234</v>
      </c>
    </row>
    <row r="1092" spans="1:15" s="13" customFormat="1" ht="19.5" customHeight="1" x14ac:dyDescent="0.25">
      <c r="A1092" s="11" t="s">
        <v>2609</v>
      </c>
      <c r="B1092" s="11" t="s">
        <v>2609</v>
      </c>
      <c r="C1092" s="12">
        <v>46107</v>
      </c>
      <c r="D1092" s="12">
        <v>46107</v>
      </c>
      <c r="E1092" s="11" t="s">
        <v>6</v>
      </c>
      <c r="F1092" s="11" t="s">
        <v>2608</v>
      </c>
      <c r="G1092" s="11" t="s">
        <v>2609</v>
      </c>
      <c r="H1092" s="11"/>
      <c r="I1092" s="11" t="s">
        <v>49</v>
      </c>
      <c r="J1092" s="11">
        <v>307</v>
      </c>
      <c r="K1092" s="11">
        <v>307</v>
      </c>
      <c r="L1092" s="11"/>
      <c r="M1092" s="14">
        <v>307</v>
      </c>
      <c r="N1092" s="11" t="s">
        <v>2610</v>
      </c>
      <c r="O1092" s="11" t="s">
        <v>50</v>
      </c>
    </row>
    <row r="1093" spans="1:15" s="13" customFormat="1" ht="19.5" customHeight="1" x14ac:dyDescent="0.25">
      <c r="A1093" s="11" t="s">
        <v>2611</v>
      </c>
      <c r="B1093" s="11" t="s">
        <v>2611</v>
      </c>
      <c r="C1093" s="12">
        <v>46107</v>
      </c>
      <c r="D1093" s="11"/>
      <c r="E1093" s="11" t="s">
        <v>6</v>
      </c>
      <c r="F1093" s="11" t="s">
        <v>2612</v>
      </c>
      <c r="G1093" s="11" t="s">
        <v>2613</v>
      </c>
      <c r="H1093" s="11"/>
      <c r="I1093" s="11" t="s">
        <v>49</v>
      </c>
      <c r="J1093" s="11">
        <v>-208.81</v>
      </c>
      <c r="K1093" s="11"/>
      <c r="L1093" s="11">
        <v>208.81</v>
      </c>
      <c r="M1093" s="14">
        <v>-208.81</v>
      </c>
      <c r="N1093" s="11" t="s">
        <v>2614</v>
      </c>
      <c r="O1093" s="11" t="s">
        <v>234</v>
      </c>
    </row>
    <row r="1094" spans="1:15" s="13" customFormat="1" ht="19.5" customHeight="1" x14ac:dyDescent="0.25">
      <c r="A1094" s="11" t="s">
        <v>2613</v>
      </c>
      <c r="B1094" s="11" t="s">
        <v>2613</v>
      </c>
      <c r="C1094" s="12">
        <v>46107</v>
      </c>
      <c r="D1094" s="12">
        <v>46107</v>
      </c>
      <c r="E1094" s="11" t="s">
        <v>6</v>
      </c>
      <c r="F1094" s="11" t="s">
        <v>2612</v>
      </c>
      <c r="G1094" s="11" t="s">
        <v>2613</v>
      </c>
      <c r="H1094" s="11"/>
      <c r="I1094" s="11" t="s">
        <v>49</v>
      </c>
      <c r="J1094" s="11">
        <v>208.81</v>
      </c>
      <c r="K1094" s="11">
        <v>208.81</v>
      </c>
      <c r="L1094" s="11"/>
      <c r="M1094" s="14">
        <v>208.81</v>
      </c>
      <c r="N1094" s="11" t="s">
        <v>2614</v>
      </c>
      <c r="O1094" s="11" t="s">
        <v>50</v>
      </c>
    </row>
    <row r="1095" spans="1:15" s="13" customFormat="1" ht="19.5" customHeight="1" x14ac:dyDescent="0.25">
      <c r="A1095" s="11" t="s">
        <v>2615</v>
      </c>
      <c r="B1095" s="11" t="s">
        <v>2615</v>
      </c>
      <c r="C1095" s="12">
        <v>46108</v>
      </c>
      <c r="D1095" s="12">
        <v>46108</v>
      </c>
      <c r="E1095" s="11" t="s">
        <v>6</v>
      </c>
      <c r="F1095" s="11" t="s">
        <v>2616</v>
      </c>
      <c r="G1095" s="11" t="s">
        <v>2615</v>
      </c>
      <c r="H1095" s="11"/>
      <c r="I1095" s="11" t="s">
        <v>49</v>
      </c>
      <c r="J1095" s="11">
        <v>87.75</v>
      </c>
      <c r="K1095" s="11">
        <v>87.75</v>
      </c>
      <c r="L1095" s="11"/>
      <c r="M1095" s="14">
        <v>87.75</v>
      </c>
      <c r="N1095" s="11" t="s">
        <v>2617</v>
      </c>
      <c r="O1095" s="11" t="s">
        <v>50</v>
      </c>
    </row>
    <row r="1096" spans="1:15" s="13" customFormat="1" ht="19.5" customHeight="1" x14ac:dyDescent="0.25">
      <c r="A1096" s="11" t="s">
        <v>2618</v>
      </c>
      <c r="B1096" s="11" t="s">
        <v>2618</v>
      </c>
      <c r="C1096" s="12">
        <v>46107</v>
      </c>
      <c r="D1096" s="11"/>
      <c r="E1096" s="11" t="s">
        <v>6</v>
      </c>
      <c r="F1096" s="11" t="s">
        <v>2616</v>
      </c>
      <c r="G1096" s="11" t="s">
        <v>2615</v>
      </c>
      <c r="H1096" s="11"/>
      <c r="I1096" s="11" t="s">
        <v>49</v>
      </c>
      <c r="J1096" s="11">
        <v>-87.75</v>
      </c>
      <c r="K1096" s="11"/>
      <c r="L1096" s="11">
        <v>87.75</v>
      </c>
      <c r="M1096" s="14">
        <v>-87.75</v>
      </c>
      <c r="N1096" s="11" t="s">
        <v>2617</v>
      </c>
      <c r="O1096" s="11" t="s">
        <v>234</v>
      </c>
    </row>
    <row r="1097" spans="1:15" s="13" customFormat="1" ht="19.5" customHeight="1" x14ac:dyDescent="0.25">
      <c r="A1097" s="11" t="s">
        <v>2619</v>
      </c>
      <c r="B1097" s="11" t="s">
        <v>2619</v>
      </c>
      <c r="C1097" s="12">
        <v>46108</v>
      </c>
      <c r="D1097" s="12">
        <v>46108</v>
      </c>
      <c r="E1097" s="11" t="s">
        <v>6</v>
      </c>
      <c r="F1097" s="11" t="s">
        <v>2620</v>
      </c>
      <c r="G1097" s="11" t="s">
        <v>2619</v>
      </c>
      <c r="H1097" s="11"/>
      <c r="I1097" s="11" t="s">
        <v>49</v>
      </c>
      <c r="J1097" s="11">
        <v>938.83</v>
      </c>
      <c r="K1097" s="11">
        <v>938.83</v>
      </c>
      <c r="L1097" s="11"/>
      <c r="M1097" s="14">
        <v>938.83</v>
      </c>
      <c r="N1097" s="11" t="s">
        <v>2621</v>
      </c>
      <c r="O1097" s="11" t="s">
        <v>50</v>
      </c>
    </row>
    <row r="1098" spans="1:15" s="13" customFormat="1" ht="19.5" customHeight="1" x14ac:dyDescent="0.25">
      <c r="A1098" s="11" t="s">
        <v>2622</v>
      </c>
      <c r="B1098" s="11" t="s">
        <v>2622</v>
      </c>
      <c r="C1098" s="12">
        <v>46108</v>
      </c>
      <c r="D1098" s="11"/>
      <c r="E1098" s="11" t="s">
        <v>6</v>
      </c>
      <c r="F1098" s="11" t="s">
        <v>2620</v>
      </c>
      <c r="G1098" s="11" t="s">
        <v>2619</v>
      </c>
      <c r="H1098" s="11"/>
      <c r="I1098" s="11" t="s">
        <v>49</v>
      </c>
      <c r="J1098" s="11">
        <v>-938.83</v>
      </c>
      <c r="K1098" s="11"/>
      <c r="L1098" s="11">
        <v>938.83</v>
      </c>
      <c r="M1098" s="14">
        <v>-938.83</v>
      </c>
      <c r="N1098" s="11" t="s">
        <v>2621</v>
      </c>
      <c r="O1098" s="11" t="s">
        <v>234</v>
      </c>
    </row>
    <row r="1099" spans="1:15" s="13" customFormat="1" ht="19.5" customHeight="1" x14ac:dyDescent="0.25">
      <c r="A1099" s="11" t="s">
        <v>2623</v>
      </c>
      <c r="B1099" s="11" t="s">
        <v>2623</v>
      </c>
      <c r="C1099" s="12">
        <v>46112</v>
      </c>
      <c r="D1099" s="11"/>
      <c r="E1099" s="11" t="s">
        <v>6</v>
      </c>
      <c r="F1099" s="11" t="s">
        <v>602</v>
      </c>
      <c r="G1099" s="11" t="s">
        <v>2624</v>
      </c>
      <c r="H1099" s="11"/>
      <c r="I1099" s="11" t="s">
        <v>49</v>
      </c>
      <c r="J1099" s="11">
        <v>-1587.69</v>
      </c>
      <c r="K1099" s="11"/>
      <c r="L1099" s="11">
        <v>1587.69</v>
      </c>
      <c r="M1099" s="14">
        <v>-1587.69</v>
      </c>
      <c r="N1099" s="11" t="s">
        <v>2625</v>
      </c>
      <c r="O1099" s="11" t="s">
        <v>2000</v>
      </c>
    </row>
    <row r="1100" spans="1:15" s="13" customFormat="1" ht="19.5" customHeight="1" x14ac:dyDescent="0.25">
      <c r="A1100" s="11" t="s">
        <v>2624</v>
      </c>
      <c r="B1100" s="11" t="s">
        <v>2624</v>
      </c>
      <c r="C1100" s="12">
        <v>46078</v>
      </c>
      <c r="D1100" s="12">
        <v>46108</v>
      </c>
      <c r="E1100" s="11" t="s">
        <v>6</v>
      </c>
      <c r="F1100" s="11" t="s">
        <v>602</v>
      </c>
      <c r="G1100" s="11" t="s">
        <v>2624</v>
      </c>
      <c r="H1100" s="11"/>
      <c r="I1100" s="11" t="s">
        <v>49</v>
      </c>
      <c r="J1100" s="11">
        <v>1587.69</v>
      </c>
      <c r="K1100" s="11">
        <v>1587.69</v>
      </c>
      <c r="L1100" s="11"/>
      <c r="M1100" s="14">
        <v>1587.69</v>
      </c>
      <c r="N1100" s="11" t="s">
        <v>2625</v>
      </c>
      <c r="O1100" s="11" t="s">
        <v>50</v>
      </c>
    </row>
    <row r="1101" spans="1:15" s="13" customFormat="1" ht="19.5" customHeight="1" x14ac:dyDescent="0.25">
      <c r="A1101" s="11" t="s">
        <v>2626</v>
      </c>
      <c r="B1101" s="11" t="s">
        <v>2626</v>
      </c>
      <c r="C1101" s="12">
        <v>46111</v>
      </c>
      <c r="D1101" s="12">
        <v>46111</v>
      </c>
      <c r="E1101" s="11" t="s">
        <v>6</v>
      </c>
      <c r="F1101" s="11" t="s">
        <v>2627</v>
      </c>
      <c r="G1101" s="11" t="s">
        <v>2626</v>
      </c>
      <c r="H1101" s="11"/>
      <c r="I1101" s="11" t="s">
        <v>49</v>
      </c>
      <c r="J1101" s="11">
        <v>689.5</v>
      </c>
      <c r="K1101" s="11">
        <v>689.5</v>
      </c>
      <c r="L1101" s="11"/>
      <c r="M1101" s="14">
        <v>689.5</v>
      </c>
      <c r="N1101" s="11" t="s">
        <v>2628</v>
      </c>
      <c r="O1101" s="11" t="s">
        <v>50</v>
      </c>
    </row>
    <row r="1102" spans="1:15" s="13" customFormat="1" ht="19.5" customHeight="1" x14ac:dyDescent="0.25">
      <c r="A1102" s="11" t="s">
        <v>2629</v>
      </c>
      <c r="B1102" s="11" t="s">
        <v>2629</v>
      </c>
      <c r="C1102" s="12">
        <v>46108</v>
      </c>
      <c r="D1102" s="11"/>
      <c r="E1102" s="11" t="s">
        <v>6</v>
      </c>
      <c r="F1102" s="11" t="s">
        <v>2627</v>
      </c>
      <c r="G1102" s="11" t="s">
        <v>2626</v>
      </c>
      <c r="H1102" s="11"/>
      <c r="I1102" s="11" t="s">
        <v>49</v>
      </c>
      <c r="J1102" s="11">
        <v>-689.5</v>
      </c>
      <c r="K1102" s="11"/>
      <c r="L1102" s="11">
        <v>689.5</v>
      </c>
      <c r="M1102" s="14">
        <v>-689.5</v>
      </c>
      <c r="N1102" s="11" t="s">
        <v>2628</v>
      </c>
      <c r="O1102" s="11" t="s">
        <v>234</v>
      </c>
    </row>
    <row r="1103" spans="1:15" s="13" customFormat="1" ht="19.5" customHeight="1" x14ac:dyDescent="0.25">
      <c r="A1103" s="11" t="s">
        <v>2630</v>
      </c>
      <c r="B1103" s="11" t="s">
        <v>2630</v>
      </c>
      <c r="C1103" s="12">
        <v>46111</v>
      </c>
      <c r="D1103" s="12">
        <v>46111</v>
      </c>
      <c r="E1103" s="11" t="s">
        <v>6</v>
      </c>
      <c r="F1103" s="11" t="s">
        <v>2631</v>
      </c>
      <c r="G1103" s="11" t="s">
        <v>2630</v>
      </c>
      <c r="H1103" s="11"/>
      <c r="I1103" s="11" t="s">
        <v>49</v>
      </c>
      <c r="J1103" s="11">
        <v>338</v>
      </c>
      <c r="K1103" s="11">
        <v>338</v>
      </c>
      <c r="L1103" s="11"/>
      <c r="M1103" s="14">
        <v>338</v>
      </c>
      <c r="N1103" s="11" t="s">
        <v>2632</v>
      </c>
      <c r="O1103" s="11" t="s">
        <v>50</v>
      </c>
    </row>
    <row r="1104" spans="1:15" s="13" customFormat="1" ht="19.5" customHeight="1" x14ac:dyDescent="0.25">
      <c r="A1104" s="11" t="s">
        <v>2633</v>
      </c>
      <c r="B1104" s="11" t="s">
        <v>2633</v>
      </c>
      <c r="C1104" s="12">
        <v>46108</v>
      </c>
      <c r="D1104" s="11"/>
      <c r="E1104" s="11" t="s">
        <v>6</v>
      </c>
      <c r="F1104" s="11" t="s">
        <v>2631</v>
      </c>
      <c r="G1104" s="11" t="s">
        <v>2630</v>
      </c>
      <c r="H1104" s="11"/>
      <c r="I1104" s="11" t="s">
        <v>49</v>
      </c>
      <c r="J1104" s="11">
        <v>-338</v>
      </c>
      <c r="K1104" s="11"/>
      <c r="L1104" s="11">
        <v>338</v>
      </c>
      <c r="M1104" s="14">
        <v>-338</v>
      </c>
      <c r="N1104" s="11" t="s">
        <v>2632</v>
      </c>
      <c r="O1104" s="11" t="s">
        <v>234</v>
      </c>
    </row>
    <row r="1105" spans="1:15" s="13" customFormat="1" ht="19.5" customHeight="1" x14ac:dyDescent="0.25">
      <c r="A1105" s="11" t="s">
        <v>2634</v>
      </c>
      <c r="B1105" s="11" t="s">
        <v>2634</v>
      </c>
      <c r="C1105" s="12">
        <v>46111</v>
      </c>
      <c r="D1105" s="11"/>
      <c r="E1105" s="11" t="s">
        <v>6</v>
      </c>
      <c r="F1105" s="11" t="s">
        <v>555</v>
      </c>
      <c r="G1105" s="11" t="s">
        <v>2635</v>
      </c>
      <c r="H1105" s="11"/>
      <c r="I1105" s="11" t="s">
        <v>49</v>
      </c>
      <c r="J1105" s="11">
        <v>-6303.82</v>
      </c>
      <c r="K1105" s="11"/>
      <c r="L1105" s="11">
        <v>6303.82</v>
      </c>
      <c r="M1105" s="14">
        <v>-6303.82</v>
      </c>
      <c r="N1105" s="11" t="s">
        <v>2636</v>
      </c>
      <c r="O1105" s="11" t="s">
        <v>234</v>
      </c>
    </row>
    <row r="1106" spans="1:15" s="13" customFormat="1" ht="19.5" customHeight="1" x14ac:dyDescent="0.25">
      <c r="A1106" s="11" t="s">
        <v>2635</v>
      </c>
      <c r="B1106" s="11" t="s">
        <v>2635</v>
      </c>
      <c r="C1106" s="12">
        <v>46034</v>
      </c>
      <c r="D1106" s="12">
        <v>46094</v>
      </c>
      <c r="E1106" s="11" t="s">
        <v>6</v>
      </c>
      <c r="F1106" s="11" t="s">
        <v>555</v>
      </c>
      <c r="G1106" s="11" t="s">
        <v>2635</v>
      </c>
      <c r="H1106" s="11"/>
      <c r="I1106" s="11" t="s">
        <v>49</v>
      </c>
      <c r="J1106" s="11">
        <v>6303.82</v>
      </c>
      <c r="K1106" s="11">
        <v>6303.82</v>
      </c>
      <c r="L1106" s="11"/>
      <c r="M1106" s="14">
        <v>6303.82</v>
      </c>
      <c r="N1106" s="11" t="s">
        <v>2636</v>
      </c>
      <c r="O1106" s="11" t="s">
        <v>50</v>
      </c>
    </row>
    <row r="1107" spans="1:15" s="13" customFormat="1" ht="19.5" customHeight="1" x14ac:dyDescent="0.25">
      <c r="A1107" s="11" t="s">
        <v>2637</v>
      </c>
      <c r="B1107" s="11" t="s">
        <v>2637</v>
      </c>
      <c r="C1107" s="12">
        <v>46112</v>
      </c>
      <c r="D1107" s="12">
        <v>46112</v>
      </c>
      <c r="E1107" s="11" t="s">
        <v>6</v>
      </c>
      <c r="F1107" s="11" t="s">
        <v>2638</v>
      </c>
      <c r="G1107" s="11" t="s">
        <v>2637</v>
      </c>
      <c r="H1107" s="11"/>
      <c r="I1107" s="11" t="s">
        <v>49</v>
      </c>
      <c r="J1107" s="11">
        <v>2539.6</v>
      </c>
      <c r="K1107" s="11">
        <v>2539.6</v>
      </c>
      <c r="L1107" s="11"/>
      <c r="M1107" s="14">
        <v>2539.6</v>
      </c>
      <c r="N1107" s="11" t="s">
        <v>2639</v>
      </c>
      <c r="O1107" s="11" t="s">
        <v>50</v>
      </c>
    </row>
    <row r="1108" spans="1:15" s="13" customFormat="1" ht="19.5" customHeight="1" x14ac:dyDescent="0.25">
      <c r="A1108" s="11" t="s">
        <v>2640</v>
      </c>
      <c r="B1108" s="11" t="s">
        <v>2640</v>
      </c>
      <c r="C1108" s="12">
        <v>46111</v>
      </c>
      <c r="D1108" s="11"/>
      <c r="E1108" s="11" t="s">
        <v>6</v>
      </c>
      <c r="F1108" s="11" t="s">
        <v>2638</v>
      </c>
      <c r="G1108" s="11" t="s">
        <v>2637</v>
      </c>
      <c r="H1108" s="11"/>
      <c r="I1108" s="11" t="s">
        <v>49</v>
      </c>
      <c r="J1108" s="11">
        <v>-2539.6</v>
      </c>
      <c r="K1108" s="11"/>
      <c r="L1108" s="11">
        <v>2539.6</v>
      </c>
      <c r="M1108" s="14">
        <v>-2539.6</v>
      </c>
      <c r="N1108" s="11" t="s">
        <v>2639</v>
      </c>
      <c r="O1108" s="11" t="s">
        <v>234</v>
      </c>
    </row>
    <row r="1109" spans="1:15" s="13" customFormat="1" ht="19.5" customHeight="1" x14ac:dyDescent="0.25">
      <c r="A1109" s="11" t="s">
        <v>2641</v>
      </c>
      <c r="B1109" s="11" t="s">
        <v>2641</v>
      </c>
      <c r="C1109" s="12">
        <v>46111</v>
      </c>
      <c r="D1109" s="11"/>
      <c r="E1109" s="11" t="s">
        <v>6</v>
      </c>
      <c r="F1109" s="11" t="s">
        <v>224</v>
      </c>
      <c r="G1109" s="11" t="s">
        <v>2642</v>
      </c>
      <c r="H1109" s="11"/>
      <c r="I1109" s="11" t="s">
        <v>49</v>
      </c>
      <c r="J1109" s="11">
        <v>-1921.04</v>
      </c>
      <c r="K1109" s="11"/>
      <c r="L1109" s="11">
        <v>1921.04</v>
      </c>
      <c r="M1109" s="14">
        <v>-1921.04</v>
      </c>
      <c r="N1109" s="11" t="s">
        <v>2643</v>
      </c>
      <c r="O1109" s="11" t="s">
        <v>234</v>
      </c>
    </row>
    <row r="1110" spans="1:15" s="13" customFormat="1" ht="19.5" customHeight="1" x14ac:dyDescent="0.25">
      <c r="A1110" s="11" t="s">
        <v>2642</v>
      </c>
      <c r="B1110" s="11" t="s">
        <v>2642</v>
      </c>
      <c r="C1110" s="12">
        <v>46105</v>
      </c>
      <c r="D1110" s="12">
        <v>46135</v>
      </c>
      <c r="E1110" s="11" t="s">
        <v>6</v>
      </c>
      <c r="F1110" s="11" t="s">
        <v>224</v>
      </c>
      <c r="G1110" s="11" t="s">
        <v>2642</v>
      </c>
      <c r="H1110" s="11"/>
      <c r="I1110" s="11" t="s">
        <v>49</v>
      </c>
      <c r="J1110" s="11">
        <v>1921.04</v>
      </c>
      <c r="K1110" s="11">
        <v>1921.04</v>
      </c>
      <c r="L1110" s="11"/>
      <c r="M1110" s="14">
        <v>1921.04</v>
      </c>
      <c r="N1110" s="11" t="s">
        <v>2643</v>
      </c>
      <c r="O1110" s="11" t="s">
        <v>50</v>
      </c>
    </row>
    <row r="1111" spans="1:15" s="13" customFormat="1" ht="19.5" customHeight="1" x14ac:dyDescent="0.25">
      <c r="A1111" s="11" t="s">
        <v>2644</v>
      </c>
      <c r="B1111" s="11" t="s">
        <v>2644</v>
      </c>
      <c r="C1111" s="12">
        <v>46111</v>
      </c>
      <c r="D1111" s="11"/>
      <c r="E1111" s="11" t="s">
        <v>6</v>
      </c>
      <c r="F1111" s="11" t="s">
        <v>2645</v>
      </c>
      <c r="G1111" s="11" t="s">
        <v>2646</v>
      </c>
      <c r="H1111" s="11"/>
      <c r="I1111" s="11" t="s">
        <v>49</v>
      </c>
      <c r="J1111" s="11">
        <v>-369.05</v>
      </c>
      <c r="K1111" s="11"/>
      <c r="L1111" s="11">
        <v>369.05</v>
      </c>
      <c r="M1111" s="14">
        <v>-369.05</v>
      </c>
      <c r="N1111" s="11" t="s">
        <v>2647</v>
      </c>
      <c r="O1111" s="11" t="s">
        <v>234</v>
      </c>
    </row>
    <row r="1112" spans="1:15" s="13" customFormat="1" ht="19.5" customHeight="1" x14ac:dyDescent="0.25">
      <c r="A1112" s="11" t="s">
        <v>2646</v>
      </c>
      <c r="B1112" s="11" t="s">
        <v>2646</v>
      </c>
      <c r="C1112" s="12">
        <v>46111</v>
      </c>
      <c r="D1112" s="12">
        <v>46111</v>
      </c>
      <c r="E1112" s="11" t="s">
        <v>6</v>
      </c>
      <c r="F1112" s="11" t="s">
        <v>2645</v>
      </c>
      <c r="G1112" s="11" t="s">
        <v>2646</v>
      </c>
      <c r="H1112" s="11"/>
      <c r="I1112" s="11" t="s">
        <v>49</v>
      </c>
      <c r="J1112" s="11">
        <v>369.05</v>
      </c>
      <c r="K1112" s="11">
        <v>369.05</v>
      </c>
      <c r="L1112" s="11"/>
      <c r="M1112" s="14">
        <v>369.05</v>
      </c>
      <c r="N1112" s="11" t="s">
        <v>2647</v>
      </c>
      <c r="O1112" s="11" t="s">
        <v>50</v>
      </c>
    </row>
    <row r="1113" spans="1:15" s="13" customFormat="1" ht="19.5" customHeight="1" x14ac:dyDescent="0.25">
      <c r="A1113" s="11" t="s">
        <v>2648</v>
      </c>
      <c r="B1113" s="11" t="s">
        <v>2648</v>
      </c>
      <c r="C1113" s="12">
        <v>46111</v>
      </c>
      <c r="D1113" s="11"/>
      <c r="E1113" s="11" t="s">
        <v>6</v>
      </c>
      <c r="F1113" s="11" t="s">
        <v>2649</v>
      </c>
      <c r="G1113" s="11" t="s">
        <v>2650</v>
      </c>
      <c r="H1113" s="11"/>
      <c r="I1113" s="11" t="s">
        <v>49</v>
      </c>
      <c r="J1113" s="11">
        <v>-67.599999999999994</v>
      </c>
      <c r="K1113" s="11"/>
      <c r="L1113" s="11">
        <v>67.599999999999994</v>
      </c>
      <c r="M1113" s="14">
        <v>-67.599999999999994</v>
      </c>
      <c r="N1113" s="11" t="s">
        <v>2651</v>
      </c>
      <c r="O1113" s="11" t="s">
        <v>234</v>
      </c>
    </row>
    <row r="1114" spans="1:15" s="13" customFormat="1" ht="19.5" customHeight="1" x14ac:dyDescent="0.25">
      <c r="A1114" s="11" t="s">
        <v>2650</v>
      </c>
      <c r="B1114" s="11" t="s">
        <v>2650</v>
      </c>
      <c r="C1114" s="12">
        <v>46111</v>
      </c>
      <c r="D1114" s="12">
        <v>46111</v>
      </c>
      <c r="E1114" s="11" t="s">
        <v>6</v>
      </c>
      <c r="F1114" s="11" t="s">
        <v>2649</v>
      </c>
      <c r="G1114" s="11" t="s">
        <v>2650</v>
      </c>
      <c r="H1114" s="11"/>
      <c r="I1114" s="11" t="s">
        <v>49</v>
      </c>
      <c r="J1114" s="11">
        <v>67.599999999999994</v>
      </c>
      <c r="K1114" s="11">
        <v>67.599999999999994</v>
      </c>
      <c r="L1114" s="11"/>
      <c r="M1114" s="14">
        <v>67.599999999999994</v>
      </c>
      <c r="N1114" s="11" t="s">
        <v>2651</v>
      </c>
      <c r="O1114" s="11" t="s">
        <v>50</v>
      </c>
    </row>
    <row r="1115" spans="1:15" s="13" customFormat="1" ht="19.5" customHeight="1" x14ac:dyDescent="0.25">
      <c r="A1115" s="11" t="s">
        <v>2652</v>
      </c>
      <c r="B1115" s="11" t="s">
        <v>2652</v>
      </c>
      <c r="C1115" s="12">
        <v>46111</v>
      </c>
      <c r="D1115" s="12">
        <v>46111</v>
      </c>
      <c r="E1115" s="11" t="s">
        <v>6</v>
      </c>
      <c r="F1115" s="11" t="s">
        <v>2653</v>
      </c>
      <c r="G1115" s="11" t="s">
        <v>2652</v>
      </c>
      <c r="H1115" s="11"/>
      <c r="I1115" s="11" t="s">
        <v>49</v>
      </c>
      <c r="J1115" s="11">
        <v>55</v>
      </c>
      <c r="K1115" s="11">
        <v>55</v>
      </c>
      <c r="L1115" s="11"/>
      <c r="M1115" s="14">
        <v>55</v>
      </c>
      <c r="N1115" s="11" t="s">
        <v>2654</v>
      </c>
      <c r="O1115" s="11" t="s">
        <v>50</v>
      </c>
    </row>
    <row r="1116" spans="1:15" s="13" customFormat="1" ht="19.5" customHeight="1" x14ac:dyDescent="0.25">
      <c r="A1116" s="11" t="s">
        <v>2655</v>
      </c>
      <c r="B1116" s="11" t="s">
        <v>2655</v>
      </c>
      <c r="C1116" s="12">
        <v>46111</v>
      </c>
      <c r="D1116" s="11"/>
      <c r="E1116" s="11" t="s">
        <v>6</v>
      </c>
      <c r="F1116" s="11" t="s">
        <v>2653</v>
      </c>
      <c r="G1116" s="11" t="s">
        <v>2652</v>
      </c>
      <c r="H1116" s="11"/>
      <c r="I1116" s="11" t="s">
        <v>49</v>
      </c>
      <c r="J1116" s="11">
        <v>-55</v>
      </c>
      <c r="K1116" s="11"/>
      <c r="L1116" s="11">
        <v>55</v>
      </c>
      <c r="M1116" s="14">
        <v>-55</v>
      </c>
      <c r="N1116" s="11" t="s">
        <v>2654</v>
      </c>
      <c r="O1116" s="11" t="s">
        <v>234</v>
      </c>
    </row>
    <row r="1117" spans="1:15" s="13" customFormat="1" ht="19.5" customHeight="1" x14ac:dyDescent="0.25">
      <c r="A1117" s="11" t="s">
        <v>2656</v>
      </c>
      <c r="B1117" s="11" t="s">
        <v>2656</v>
      </c>
      <c r="C1117" s="12">
        <v>46112</v>
      </c>
      <c r="D1117" s="11"/>
      <c r="E1117" s="11" t="s">
        <v>6</v>
      </c>
      <c r="F1117" s="11" t="s">
        <v>2657</v>
      </c>
      <c r="G1117" s="11" t="s">
        <v>2658</v>
      </c>
      <c r="H1117" s="11"/>
      <c r="I1117" s="11" t="s">
        <v>49</v>
      </c>
      <c r="J1117" s="11">
        <v>-208</v>
      </c>
      <c r="K1117" s="11"/>
      <c r="L1117" s="11">
        <v>208</v>
      </c>
      <c r="M1117" s="14">
        <v>-208</v>
      </c>
      <c r="N1117" s="11" t="s">
        <v>2659</v>
      </c>
      <c r="O1117" s="11" t="s">
        <v>234</v>
      </c>
    </row>
    <row r="1118" spans="1:15" s="13" customFormat="1" ht="19.5" customHeight="1" x14ac:dyDescent="0.25">
      <c r="A1118" s="11" t="s">
        <v>2658</v>
      </c>
      <c r="B1118" s="11" t="s">
        <v>2658</v>
      </c>
      <c r="C1118" s="12">
        <v>46112</v>
      </c>
      <c r="D1118" s="12">
        <v>46112</v>
      </c>
      <c r="E1118" s="11" t="s">
        <v>6</v>
      </c>
      <c r="F1118" s="11" t="s">
        <v>2657</v>
      </c>
      <c r="G1118" s="11" t="s">
        <v>2658</v>
      </c>
      <c r="H1118" s="11"/>
      <c r="I1118" s="11" t="s">
        <v>49</v>
      </c>
      <c r="J1118" s="11">
        <v>208</v>
      </c>
      <c r="K1118" s="11">
        <v>208</v>
      </c>
      <c r="L1118" s="11"/>
      <c r="M1118" s="14">
        <v>208</v>
      </c>
      <c r="N1118" s="11" t="s">
        <v>2659</v>
      </c>
      <c r="O1118" s="11" t="s">
        <v>50</v>
      </c>
    </row>
    <row r="1119" spans="1:15" s="13" customFormat="1" ht="19.5" customHeight="1" x14ac:dyDescent="0.25">
      <c r="A1119" s="11" t="s">
        <v>2660</v>
      </c>
      <c r="B1119" s="11" t="s">
        <v>2660</v>
      </c>
      <c r="C1119" s="12">
        <v>46112</v>
      </c>
      <c r="D1119" s="11"/>
      <c r="E1119" s="11" t="s">
        <v>6</v>
      </c>
      <c r="F1119" s="11" t="s">
        <v>2661</v>
      </c>
      <c r="G1119" s="11" t="s">
        <v>2662</v>
      </c>
      <c r="H1119" s="11"/>
      <c r="I1119" s="11" t="s">
        <v>49</v>
      </c>
      <c r="J1119" s="11">
        <v>-85.5</v>
      </c>
      <c r="K1119" s="11"/>
      <c r="L1119" s="11">
        <v>85.5</v>
      </c>
      <c r="M1119" s="14">
        <v>-85.5</v>
      </c>
      <c r="N1119" s="11" t="s">
        <v>2663</v>
      </c>
      <c r="O1119" s="11" t="s">
        <v>234</v>
      </c>
    </row>
    <row r="1120" spans="1:15" s="13" customFormat="1" ht="19.5" customHeight="1" x14ac:dyDescent="0.25">
      <c r="A1120" s="11" t="s">
        <v>2662</v>
      </c>
      <c r="B1120" s="11" t="s">
        <v>2662</v>
      </c>
      <c r="C1120" s="12">
        <v>46112</v>
      </c>
      <c r="D1120" s="12">
        <v>46112</v>
      </c>
      <c r="E1120" s="11" t="s">
        <v>6</v>
      </c>
      <c r="F1120" s="11" t="s">
        <v>2661</v>
      </c>
      <c r="G1120" s="11" t="s">
        <v>2662</v>
      </c>
      <c r="H1120" s="11"/>
      <c r="I1120" s="11" t="s">
        <v>49</v>
      </c>
      <c r="J1120" s="11">
        <v>85.5</v>
      </c>
      <c r="K1120" s="11">
        <v>85.5</v>
      </c>
      <c r="L1120" s="11"/>
      <c r="M1120" s="14">
        <v>85.5</v>
      </c>
      <c r="N1120" s="11" t="s">
        <v>2663</v>
      </c>
      <c r="O1120" s="11" t="s">
        <v>50</v>
      </c>
    </row>
    <row r="1121" spans="1:15" s="13" customFormat="1" ht="19.5" customHeight="1" x14ac:dyDescent="0.25">
      <c r="A1121" s="11" t="s">
        <v>2664</v>
      </c>
      <c r="B1121" s="11" t="s">
        <v>2664</v>
      </c>
      <c r="C1121" s="12">
        <v>46112</v>
      </c>
      <c r="D1121" s="11"/>
      <c r="E1121" s="11" t="s">
        <v>6</v>
      </c>
      <c r="F1121" s="11" t="s">
        <v>2665</v>
      </c>
      <c r="G1121" s="11" t="s">
        <v>2666</v>
      </c>
      <c r="H1121" s="11"/>
      <c r="I1121" s="11" t="s">
        <v>49</v>
      </c>
      <c r="J1121" s="11">
        <v>-72.19</v>
      </c>
      <c r="K1121" s="11"/>
      <c r="L1121" s="11">
        <v>72.19</v>
      </c>
      <c r="M1121" s="14">
        <v>-72.19</v>
      </c>
      <c r="N1121" s="11" t="s">
        <v>2667</v>
      </c>
      <c r="O1121" s="11" t="s">
        <v>234</v>
      </c>
    </row>
    <row r="1122" spans="1:15" s="13" customFormat="1" ht="19.5" customHeight="1" x14ac:dyDescent="0.25">
      <c r="A1122" s="11" t="s">
        <v>2666</v>
      </c>
      <c r="B1122" s="11" t="s">
        <v>2666</v>
      </c>
      <c r="C1122" s="12">
        <v>46112</v>
      </c>
      <c r="D1122" s="12">
        <v>46112</v>
      </c>
      <c r="E1122" s="11" t="s">
        <v>6</v>
      </c>
      <c r="F1122" s="11" t="s">
        <v>2665</v>
      </c>
      <c r="G1122" s="11" t="s">
        <v>2666</v>
      </c>
      <c r="H1122" s="11"/>
      <c r="I1122" s="11" t="s">
        <v>49</v>
      </c>
      <c r="J1122" s="11">
        <v>72.19</v>
      </c>
      <c r="K1122" s="11">
        <v>72.19</v>
      </c>
      <c r="L1122" s="11"/>
      <c r="M1122" s="14">
        <v>72.19</v>
      </c>
      <c r="N1122" s="11" t="s">
        <v>2667</v>
      </c>
      <c r="O1122" s="11" t="s">
        <v>50</v>
      </c>
    </row>
    <row r="1123" spans="1:15" s="13" customFormat="1" ht="19.5" customHeight="1" x14ac:dyDescent="0.25">
      <c r="A1123" s="11" t="s">
        <v>2668</v>
      </c>
      <c r="B1123" s="11" t="s">
        <v>2668</v>
      </c>
      <c r="C1123" s="12">
        <v>46106</v>
      </c>
      <c r="D1123" s="12">
        <v>46106</v>
      </c>
      <c r="E1123" s="11" t="s">
        <v>6</v>
      </c>
      <c r="F1123" s="11" t="s">
        <v>2669</v>
      </c>
      <c r="G1123" s="11" t="s">
        <v>2668</v>
      </c>
      <c r="H1123" s="11"/>
      <c r="I1123" s="11" t="s">
        <v>49</v>
      </c>
      <c r="J1123" s="11">
        <v>18499.09</v>
      </c>
      <c r="K1123" s="11">
        <v>18499.09</v>
      </c>
      <c r="L1123" s="11"/>
      <c r="M1123" s="14">
        <v>18499.09</v>
      </c>
      <c r="N1123" s="11" t="s">
        <v>2670</v>
      </c>
      <c r="O1123" s="11" t="s">
        <v>50</v>
      </c>
    </row>
    <row r="1124" spans="1:15" s="13" customFormat="1" ht="19.5" customHeight="1" x14ac:dyDescent="0.25">
      <c r="A1124" s="11" t="s">
        <v>2671</v>
      </c>
      <c r="B1124" s="11" t="s">
        <v>2671</v>
      </c>
      <c r="C1124" s="12">
        <v>46106</v>
      </c>
      <c r="D1124" s="11"/>
      <c r="E1124" s="11" t="s">
        <v>6</v>
      </c>
      <c r="F1124" s="11" t="s">
        <v>2669</v>
      </c>
      <c r="G1124" s="11" t="s">
        <v>2668</v>
      </c>
      <c r="H1124" s="11"/>
      <c r="I1124" s="11" t="s">
        <v>49</v>
      </c>
      <c r="J1124" s="11">
        <v>-4499.09</v>
      </c>
      <c r="K1124" s="11"/>
      <c r="L1124" s="11">
        <v>4499.09</v>
      </c>
      <c r="M1124" s="14">
        <v>-4499.09</v>
      </c>
      <c r="N1124" s="11" t="s">
        <v>2670</v>
      </c>
      <c r="O1124" s="11" t="s">
        <v>234</v>
      </c>
    </row>
    <row r="1125" spans="1:15" s="13" customFormat="1" ht="19.5" customHeight="1" x14ac:dyDescent="0.25">
      <c r="A1125" s="11" t="s">
        <v>2672</v>
      </c>
      <c r="B1125" s="11" t="s">
        <v>2672</v>
      </c>
      <c r="C1125" s="12">
        <v>46106</v>
      </c>
      <c r="D1125" s="11"/>
      <c r="E1125" s="11" t="s">
        <v>6</v>
      </c>
      <c r="F1125" s="11" t="s">
        <v>2669</v>
      </c>
      <c r="G1125" s="11" t="s">
        <v>2668</v>
      </c>
      <c r="H1125" s="11"/>
      <c r="I1125" s="11" t="s">
        <v>49</v>
      </c>
      <c r="J1125" s="11">
        <v>-14000</v>
      </c>
      <c r="K1125" s="11"/>
      <c r="L1125" s="11">
        <v>14000</v>
      </c>
      <c r="M1125" s="14">
        <v>-14000</v>
      </c>
      <c r="N1125" s="11" t="s">
        <v>2670</v>
      </c>
      <c r="O1125" s="11" t="s">
        <v>234</v>
      </c>
    </row>
    <row r="1126" spans="1:15" s="13" customFormat="1" ht="19.5" customHeight="1" x14ac:dyDescent="0.25">
      <c r="A1126" s="11" t="s">
        <v>2673</v>
      </c>
      <c r="B1126" s="11" t="s">
        <v>2673</v>
      </c>
      <c r="C1126" s="12">
        <v>46112</v>
      </c>
      <c r="D1126" s="11"/>
      <c r="E1126" s="11" t="s">
        <v>6</v>
      </c>
      <c r="F1126" s="11" t="s">
        <v>2674</v>
      </c>
      <c r="G1126" s="11" t="s">
        <v>2675</v>
      </c>
      <c r="H1126" s="11"/>
      <c r="I1126" s="11" t="s">
        <v>49</v>
      </c>
      <c r="J1126" s="11">
        <v>-64.8</v>
      </c>
      <c r="K1126" s="11"/>
      <c r="L1126" s="11">
        <v>64.8</v>
      </c>
      <c r="M1126" s="14">
        <v>-64.8</v>
      </c>
      <c r="N1126" s="11" t="s">
        <v>2676</v>
      </c>
      <c r="O1126" s="11" t="s">
        <v>234</v>
      </c>
    </row>
    <row r="1127" spans="1:15" s="13" customFormat="1" ht="19.5" customHeight="1" x14ac:dyDescent="0.25">
      <c r="A1127" s="11" t="s">
        <v>2677</v>
      </c>
      <c r="B1127" s="11" t="s">
        <v>2677</v>
      </c>
      <c r="C1127" s="12">
        <v>46112</v>
      </c>
      <c r="D1127" s="11"/>
      <c r="E1127" s="11" t="s">
        <v>6</v>
      </c>
      <c r="F1127" s="11" t="s">
        <v>2674</v>
      </c>
      <c r="G1127" s="11" t="s">
        <v>2675</v>
      </c>
      <c r="H1127" s="11"/>
      <c r="I1127" s="11" t="s">
        <v>49</v>
      </c>
      <c r="J1127" s="11">
        <v>-114.99</v>
      </c>
      <c r="K1127" s="11"/>
      <c r="L1127" s="11">
        <v>114.99</v>
      </c>
      <c r="M1127" s="14">
        <v>-114.99</v>
      </c>
      <c r="N1127" s="11" t="s">
        <v>2676</v>
      </c>
      <c r="O1127" s="11" t="s">
        <v>234</v>
      </c>
    </row>
    <row r="1128" spans="1:15" s="13" customFormat="1" ht="19.5" customHeight="1" x14ac:dyDescent="0.25">
      <c r="A1128" s="11" t="s">
        <v>2675</v>
      </c>
      <c r="B1128" s="11" t="s">
        <v>2675</v>
      </c>
      <c r="C1128" s="12">
        <v>46112</v>
      </c>
      <c r="D1128" s="12">
        <v>46112</v>
      </c>
      <c r="E1128" s="11" t="s">
        <v>6</v>
      </c>
      <c r="F1128" s="11" t="s">
        <v>2674</v>
      </c>
      <c r="G1128" s="11" t="s">
        <v>2675</v>
      </c>
      <c r="H1128" s="11"/>
      <c r="I1128" s="11" t="s">
        <v>49</v>
      </c>
      <c r="J1128" s="11">
        <v>179.79</v>
      </c>
      <c r="K1128" s="11">
        <v>179.79</v>
      </c>
      <c r="L1128" s="11"/>
      <c r="M1128" s="14">
        <v>179.79</v>
      </c>
      <c r="N1128" s="11" t="s">
        <v>2676</v>
      </c>
      <c r="O1128" s="11" t="s">
        <v>50</v>
      </c>
    </row>
    <row r="1129" spans="1:15" s="13" customFormat="1" ht="19.5" customHeight="1" x14ac:dyDescent="0.25">
      <c r="A1129" s="11" t="s">
        <v>2678</v>
      </c>
      <c r="B1129" s="11" t="s">
        <v>2678</v>
      </c>
      <c r="C1129" s="12">
        <v>46104</v>
      </c>
      <c r="D1129" s="12">
        <v>46149</v>
      </c>
      <c r="E1129" s="11" t="s">
        <v>6</v>
      </c>
      <c r="F1129" s="11" t="s">
        <v>1521</v>
      </c>
      <c r="G1129" s="11" t="s">
        <v>2678</v>
      </c>
      <c r="H1129" s="11"/>
      <c r="I1129" s="11" t="s">
        <v>49</v>
      </c>
      <c r="J1129" s="11">
        <v>5532.76</v>
      </c>
      <c r="K1129" s="11">
        <v>5532.76</v>
      </c>
      <c r="L1129" s="11"/>
      <c r="M1129" s="14">
        <v>5532.76</v>
      </c>
      <c r="N1129" s="11" t="s">
        <v>2679</v>
      </c>
      <c r="O1129" s="11" t="s">
        <v>50</v>
      </c>
    </row>
    <row r="1130" spans="1:15" s="13" customFormat="1" ht="19.5" customHeight="1" x14ac:dyDescent="0.25">
      <c r="A1130" s="11" t="s">
        <v>2678</v>
      </c>
      <c r="B1130" s="11" t="s">
        <v>2678</v>
      </c>
      <c r="C1130" s="12">
        <v>46104</v>
      </c>
      <c r="D1130" s="12">
        <v>46156</v>
      </c>
      <c r="E1130" s="11" t="s">
        <v>6</v>
      </c>
      <c r="F1130" s="11" t="s">
        <v>1521</v>
      </c>
      <c r="G1130" s="11" t="s">
        <v>2678</v>
      </c>
      <c r="H1130" s="11"/>
      <c r="I1130" s="11" t="s">
        <v>49</v>
      </c>
      <c r="J1130" s="11">
        <v>5532.76</v>
      </c>
      <c r="K1130" s="11">
        <v>5532.76</v>
      </c>
      <c r="L1130" s="11"/>
      <c r="M1130" s="14">
        <v>5532.76</v>
      </c>
      <c r="N1130" s="11" t="s">
        <v>2679</v>
      </c>
      <c r="O1130" s="11" t="s">
        <v>50</v>
      </c>
    </row>
    <row r="1131" spans="1:15" s="13" customFormat="1" ht="19.5" customHeight="1" x14ac:dyDescent="0.25">
      <c r="A1131" s="11" t="s">
        <v>2678</v>
      </c>
      <c r="B1131" s="11" t="s">
        <v>2678</v>
      </c>
      <c r="C1131" s="12">
        <v>46104</v>
      </c>
      <c r="D1131" s="12">
        <v>46163</v>
      </c>
      <c r="E1131" s="11" t="s">
        <v>6</v>
      </c>
      <c r="F1131" s="11" t="s">
        <v>1521</v>
      </c>
      <c r="G1131" s="11" t="s">
        <v>2678</v>
      </c>
      <c r="H1131" s="11"/>
      <c r="I1131" s="11" t="s">
        <v>49</v>
      </c>
      <c r="J1131" s="11">
        <v>5532.76</v>
      </c>
      <c r="K1131" s="11">
        <v>5532.76</v>
      </c>
      <c r="L1131" s="11"/>
      <c r="M1131" s="14">
        <v>5532.76</v>
      </c>
      <c r="N1131" s="11" t="s">
        <v>2679</v>
      </c>
      <c r="O1131" s="11" t="s">
        <v>50</v>
      </c>
    </row>
    <row r="1132" spans="1:15" s="13" customFormat="1" ht="19.5" customHeight="1" x14ac:dyDescent="0.25">
      <c r="A1132" s="11" t="s">
        <v>2678</v>
      </c>
      <c r="B1132" s="11" t="s">
        <v>2678</v>
      </c>
      <c r="C1132" s="12">
        <v>46104</v>
      </c>
      <c r="D1132" s="12">
        <v>46170</v>
      </c>
      <c r="E1132" s="11" t="s">
        <v>6</v>
      </c>
      <c r="F1132" s="11" t="s">
        <v>1521</v>
      </c>
      <c r="G1132" s="11" t="s">
        <v>2678</v>
      </c>
      <c r="H1132" s="11"/>
      <c r="I1132" s="11" t="s">
        <v>49</v>
      </c>
      <c r="J1132" s="11">
        <v>5532.76</v>
      </c>
      <c r="K1132" s="11">
        <v>5532.76</v>
      </c>
      <c r="L1132" s="11"/>
      <c r="M1132" s="14">
        <v>5532.76</v>
      </c>
      <c r="N1132" s="11" t="s">
        <v>2679</v>
      </c>
      <c r="O1132" s="11" t="s">
        <v>50</v>
      </c>
    </row>
    <row r="1133" spans="1:15" s="13" customFormat="1" ht="19.5" customHeight="1" x14ac:dyDescent="0.25">
      <c r="A1133" s="11" t="s">
        <v>2678</v>
      </c>
      <c r="B1133" s="11" t="s">
        <v>2678</v>
      </c>
      <c r="C1133" s="12">
        <v>46104</v>
      </c>
      <c r="D1133" s="12">
        <v>46177</v>
      </c>
      <c r="E1133" s="11" t="s">
        <v>6</v>
      </c>
      <c r="F1133" s="11" t="s">
        <v>1521</v>
      </c>
      <c r="G1133" s="11" t="s">
        <v>2678</v>
      </c>
      <c r="H1133" s="11"/>
      <c r="I1133" s="11" t="s">
        <v>49</v>
      </c>
      <c r="J1133" s="11">
        <v>5532.76</v>
      </c>
      <c r="K1133" s="11">
        <v>5532.76</v>
      </c>
      <c r="L1133" s="11"/>
      <c r="M1133" s="14">
        <v>5532.76</v>
      </c>
      <c r="N1133" s="11" t="s">
        <v>2679</v>
      </c>
      <c r="O1133" s="11" t="s">
        <v>50</v>
      </c>
    </row>
    <row r="1134" spans="1:15" s="13" customFormat="1" ht="19.5" customHeight="1" x14ac:dyDescent="0.25">
      <c r="A1134" s="11" t="s">
        <v>2678</v>
      </c>
      <c r="B1134" s="11" t="s">
        <v>2678</v>
      </c>
      <c r="C1134" s="12">
        <v>46104</v>
      </c>
      <c r="D1134" s="12">
        <v>46184</v>
      </c>
      <c r="E1134" s="11" t="s">
        <v>6</v>
      </c>
      <c r="F1134" s="11" t="s">
        <v>1521</v>
      </c>
      <c r="G1134" s="11" t="s">
        <v>2678</v>
      </c>
      <c r="H1134" s="11"/>
      <c r="I1134" s="11" t="s">
        <v>49</v>
      </c>
      <c r="J1134" s="11">
        <v>5532.76</v>
      </c>
      <c r="K1134" s="11">
        <v>5532.76</v>
      </c>
      <c r="L1134" s="11"/>
      <c r="M1134" s="14">
        <v>5532.76</v>
      </c>
      <c r="N1134" s="11" t="s">
        <v>2679</v>
      </c>
      <c r="O1134" s="11" t="s">
        <v>50</v>
      </c>
    </row>
    <row r="1135" spans="1:15" s="13" customFormat="1" ht="19.5" customHeight="1" x14ac:dyDescent="0.25">
      <c r="A1135" s="11" t="s">
        <v>2678</v>
      </c>
      <c r="B1135" s="11" t="s">
        <v>2678</v>
      </c>
      <c r="C1135" s="12">
        <v>46104</v>
      </c>
      <c r="D1135" s="12">
        <v>46194</v>
      </c>
      <c r="E1135" s="11" t="s">
        <v>6</v>
      </c>
      <c r="F1135" s="11" t="s">
        <v>1521</v>
      </c>
      <c r="G1135" s="11" t="s">
        <v>2678</v>
      </c>
      <c r="H1135" s="11"/>
      <c r="I1135" s="11" t="s">
        <v>49</v>
      </c>
      <c r="J1135" s="11">
        <v>5548.26</v>
      </c>
      <c r="K1135" s="11">
        <v>5548.26</v>
      </c>
      <c r="L1135" s="11"/>
      <c r="M1135" s="14">
        <v>5548.26</v>
      </c>
      <c r="N1135" s="11" t="s">
        <v>2679</v>
      </c>
      <c r="O1135" s="11" t="s">
        <v>50</v>
      </c>
    </row>
    <row r="1136" spans="1:15" s="13" customFormat="1" ht="19.5" customHeight="1" x14ac:dyDescent="0.25">
      <c r="A1136" s="11" t="s">
        <v>2680</v>
      </c>
      <c r="B1136" s="11" t="s">
        <v>2680</v>
      </c>
      <c r="C1136" s="12">
        <v>46106</v>
      </c>
      <c r="D1136" s="12">
        <v>46151</v>
      </c>
      <c r="E1136" s="11" t="s">
        <v>6</v>
      </c>
      <c r="F1136" s="11" t="s">
        <v>2681</v>
      </c>
      <c r="G1136" s="11" t="s">
        <v>2680</v>
      </c>
      <c r="H1136" s="11"/>
      <c r="I1136" s="11" t="s">
        <v>49</v>
      </c>
      <c r="J1136" s="11">
        <v>5712.73</v>
      </c>
      <c r="K1136" s="11">
        <v>5712.73</v>
      </c>
      <c r="L1136" s="11"/>
      <c r="M1136" s="14">
        <v>5712.73</v>
      </c>
      <c r="N1136" s="11" t="s">
        <v>2682</v>
      </c>
      <c r="O1136" s="11" t="s">
        <v>50</v>
      </c>
    </row>
    <row r="1137" spans="1:15" s="13" customFormat="1" ht="19.5" customHeight="1" x14ac:dyDescent="0.25">
      <c r="A1137" s="11" t="s">
        <v>2680</v>
      </c>
      <c r="B1137" s="11" t="s">
        <v>2680</v>
      </c>
      <c r="C1137" s="12">
        <v>46106</v>
      </c>
      <c r="D1137" s="12">
        <v>46158</v>
      </c>
      <c r="E1137" s="11" t="s">
        <v>6</v>
      </c>
      <c r="F1137" s="11" t="s">
        <v>2681</v>
      </c>
      <c r="G1137" s="11" t="s">
        <v>2680</v>
      </c>
      <c r="H1137" s="11"/>
      <c r="I1137" s="11" t="s">
        <v>49</v>
      </c>
      <c r="J1137" s="11">
        <v>5712.73</v>
      </c>
      <c r="K1137" s="11">
        <v>5712.73</v>
      </c>
      <c r="L1137" s="11"/>
      <c r="M1137" s="14">
        <v>5712.73</v>
      </c>
      <c r="N1137" s="11" t="s">
        <v>2682</v>
      </c>
      <c r="O1137" s="11" t="s">
        <v>50</v>
      </c>
    </row>
    <row r="1138" spans="1:15" s="13" customFormat="1" ht="19.5" customHeight="1" x14ac:dyDescent="0.25">
      <c r="A1138" s="11" t="s">
        <v>2680</v>
      </c>
      <c r="B1138" s="11" t="s">
        <v>2680</v>
      </c>
      <c r="C1138" s="12">
        <v>46106</v>
      </c>
      <c r="D1138" s="12">
        <v>46165</v>
      </c>
      <c r="E1138" s="11" t="s">
        <v>6</v>
      </c>
      <c r="F1138" s="11" t="s">
        <v>2681</v>
      </c>
      <c r="G1138" s="11" t="s">
        <v>2680</v>
      </c>
      <c r="H1138" s="11"/>
      <c r="I1138" s="11" t="s">
        <v>49</v>
      </c>
      <c r="J1138" s="11">
        <v>5712.73</v>
      </c>
      <c r="K1138" s="11">
        <v>5712.73</v>
      </c>
      <c r="L1138" s="11"/>
      <c r="M1138" s="14">
        <v>5712.73</v>
      </c>
      <c r="N1138" s="11" t="s">
        <v>2682</v>
      </c>
      <c r="O1138" s="11" t="s">
        <v>50</v>
      </c>
    </row>
    <row r="1139" spans="1:15" s="13" customFormat="1" ht="19.5" customHeight="1" x14ac:dyDescent="0.25">
      <c r="A1139" s="11" t="s">
        <v>2680</v>
      </c>
      <c r="B1139" s="11" t="s">
        <v>2680</v>
      </c>
      <c r="C1139" s="12">
        <v>46106</v>
      </c>
      <c r="D1139" s="12">
        <v>46172</v>
      </c>
      <c r="E1139" s="11" t="s">
        <v>6</v>
      </c>
      <c r="F1139" s="11" t="s">
        <v>2681</v>
      </c>
      <c r="G1139" s="11" t="s">
        <v>2680</v>
      </c>
      <c r="H1139" s="11"/>
      <c r="I1139" s="11" t="s">
        <v>49</v>
      </c>
      <c r="J1139" s="11">
        <v>5712.73</v>
      </c>
      <c r="K1139" s="11">
        <v>5712.73</v>
      </c>
      <c r="L1139" s="11"/>
      <c r="M1139" s="14">
        <v>5712.73</v>
      </c>
      <c r="N1139" s="11" t="s">
        <v>2682</v>
      </c>
      <c r="O1139" s="11" t="s">
        <v>50</v>
      </c>
    </row>
    <row r="1140" spans="1:15" s="13" customFormat="1" ht="19.5" customHeight="1" x14ac:dyDescent="0.25">
      <c r="A1140" s="11" t="s">
        <v>2680</v>
      </c>
      <c r="B1140" s="11" t="s">
        <v>2680</v>
      </c>
      <c r="C1140" s="12">
        <v>46106</v>
      </c>
      <c r="D1140" s="12">
        <v>46179</v>
      </c>
      <c r="E1140" s="11" t="s">
        <v>6</v>
      </c>
      <c r="F1140" s="11" t="s">
        <v>2681</v>
      </c>
      <c r="G1140" s="11" t="s">
        <v>2680</v>
      </c>
      <c r="H1140" s="11"/>
      <c r="I1140" s="11" t="s">
        <v>49</v>
      </c>
      <c r="J1140" s="11">
        <v>5712.73</v>
      </c>
      <c r="K1140" s="11">
        <v>5712.73</v>
      </c>
      <c r="L1140" s="11"/>
      <c r="M1140" s="14">
        <v>5712.73</v>
      </c>
      <c r="N1140" s="11" t="s">
        <v>2682</v>
      </c>
      <c r="O1140" s="11" t="s">
        <v>50</v>
      </c>
    </row>
    <row r="1141" spans="1:15" s="13" customFormat="1" ht="19.5" customHeight="1" x14ac:dyDescent="0.25">
      <c r="A1141" s="11" t="s">
        <v>2680</v>
      </c>
      <c r="B1141" s="11" t="s">
        <v>2680</v>
      </c>
      <c r="C1141" s="12">
        <v>46106</v>
      </c>
      <c r="D1141" s="12">
        <v>46196</v>
      </c>
      <c r="E1141" s="11" t="s">
        <v>6</v>
      </c>
      <c r="F1141" s="11" t="s">
        <v>2681</v>
      </c>
      <c r="G1141" s="11" t="s">
        <v>2680</v>
      </c>
      <c r="H1141" s="11"/>
      <c r="I1141" s="11" t="s">
        <v>49</v>
      </c>
      <c r="J1141" s="11">
        <v>5726.43</v>
      </c>
      <c r="K1141" s="11">
        <v>5726.43</v>
      </c>
      <c r="L1141" s="11"/>
      <c r="M1141" s="14">
        <v>5726.43</v>
      </c>
      <c r="N1141" s="11" t="s">
        <v>2682</v>
      </c>
      <c r="O1141" s="11" t="s">
        <v>50</v>
      </c>
    </row>
    <row r="1142" spans="1:15" s="13" customFormat="1" ht="19.5" customHeight="1" x14ac:dyDescent="0.25">
      <c r="A1142" s="11" t="s">
        <v>2683</v>
      </c>
      <c r="B1142" s="11" t="s">
        <v>2683</v>
      </c>
      <c r="C1142" s="12">
        <v>46105</v>
      </c>
      <c r="D1142" s="12">
        <v>46150</v>
      </c>
      <c r="E1142" s="11" t="s">
        <v>6</v>
      </c>
      <c r="F1142" s="11" t="s">
        <v>2684</v>
      </c>
      <c r="G1142" s="11" t="s">
        <v>2683</v>
      </c>
      <c r="H1142" s="11"/>
      <c r="I1142" s="11" t="s">
        <v>49</v>
      </c>
      <c r="J1142" s="11">
        <v>2513.13</v>
      </c>
      <c r="K1142" s="11">
        <v>2513.13</v>
      </c>
      <c r="L1142" s="11"/>
      <c r="M1142" s="14">
        <v>2513.13</v>
      </c>
      <c r="N1142" s="11" t="s">
        <v>2685</v>
      </c>
      <c r="O1142" s="11" t="s">
        <v>50</v>
      </c>
    </row>
    <row r="1143" spans="1:15" s="13" customFormat="1" ht="19.5" customHeight="1" x14ac:dyDescent="0.25">
      <c r="A1143" s="11" t="s">
        <v>2683</v>
      </c>
      <c r="B1143" s="11" t="s">
        <v>2683</v>
      </c>
      <c r="C1143" s="12">
        <v>46105</v>
      </c>
      <c r="D1143" s="12">
        <v>46157</v>
      </c>
      <c r="E1143" s="11" t="s">
        <v>6</v>
      </c>
      <c r="F1143" s="11" t="s">
        <v>2684</v>
      </c>
      <c r="G1143" s="11" t="s">
        <v>2683</v>
      </c>
      <c r="H1143" s="11"/>
      <c r="I1143" s="11" t="s">
        <v>49</v>
      </c>
      <c r="J1143" s="11">
        <v>2513.13</v>
      </c>
      <c r="K1143" s="11">
        <v>2513.13</v>
      </c>
      <c r="L1143" s="11"/>
      <c r="M1143" s="14">
        <v>2513.13</v>
      </c>
      <c r="N1143" s="11" t="s">
        <v>2685</v>
      </c>
      <c r="O1143" s="11" t="s">
        <v>50</v>
      </c>
    </row>
    <row r="1144" spans="1:15" s="13" customFormat="1" ht="19.5" customHeight="1" x14ac:dyDescent="0.25">
      <c r="A1144" s="11" t="s">
        <v>2683</v>
      </c>
      <c r="B1144" s="11" t="s">
        <v>2683</v>
      </c>
      <c r="C1144" s="12">
        <v>46105</v>
      </c>
      <c r="D1144" s="12">
        <v>46164</v>
      </c>
      <c r="E1144" s="11" t="s">
        <v>6</v>
      </c>
      <c r="F1144" s="11" t="s">
        <v>2684</v>
      </c>
      <c r="G1144" s="11" t="s">
        <v>2683</v>
      </c>
      <c r="H1144" s="11"/>
      <c r="I1144" s="11" t="s">
        <v>49</v>
      </c>
      <c r="J1144" s="11">
        <v>2513.13</v>
      </c>
      <c r="K1144" s="11">
        <v>2513.13</v>
      </c>
      <c r="L1144" s="11"/>
      <c r="M1144" s="14">
        <v>2513.13</v>
      </c>
      <c r="N1144" s="11" t="s">
        <v>2685</v>
      </c>
      <c r="O1144" s="11" t="s">
        <v>50</v>
      </c>
    </row>
    <row r="1145" spans="1:15" s="13" customFormat="1" ht="19.5" customHeight="1" x14ac:dyDescent="0.25">
      <c r="A1145" s="11" t="s">
        <v>2683</v>
      </c>
      <c r="B1145" s="11" t="s">
        <v>2683</v>
      </c>
      <c r="C1145" s="12">
        <v>46105</v>
      </c>
      <c r="D1145" s="12">
        <v>46171</v>
      </c>
      <c r="E1145" s="11" t="s">
        <v>6</v>
      </c>
      <c r="F1145" s="11" t="s">
        <v>2684</v>
      </c>
      <c r="G1145" s="11" t="s">
        <v>2683</v>
      </c>
      <c r="H1145" s="11"/>
      <c r="I1145" s="11" t="s">
        <v>49</v>
      </c>
      <c r="J1145" s="11">
        <v>2513.13</v>
      </c>
      <c r="K1145" s="11">
        <v>2513.13</v>
      </c>
      <c r="L1145" s="11"/>
      <c r="M1145" s="14">
        <v>2513.13</v>
      </c>
      <c r="N1145" s="11" t="s">
        <v>2685</v>
      </c>
      <c r="O1145" s="11" t="s">
        <v>50</v>
      </c>
    </row>
    <row r="1146" spans="1:15" s="13" customFormat="1" ht="19.5" customHeight="1" x14ac:dyDescent="0.25">
      <c r="A1146" s="11" t="s">
        <v>2683</v>
      </c>
      <c r="B1146" s="11" t="s">
        <v>2683</v>
      </c>
      <c r="C1146" s="12">
        <v>46105</v>
      </c>
      <c r="D1146" s="12">
        <v>46178</v>
      </c>
      <c r="E1146" s="11" t="s">
        <v>6</v>
      </c>
      <c r="F1146" s="11" t="s">
        <v>2684</v>
      </c>
      <c r="G1146" s="11" t="s">
        <v>2683</v>
      </c>
      <c r="H1146" s="11"/>
      <c r="I1146" s="11" t="s">
        <v>49</v>
      </c>
      <c r="J1146" s="11">
        <v>2513.13</v>
      </c>
      <c r="K1146" s="11">
        <v>2513.13</v>
      </c>
      <c r="L1146" s="11"/>
      <c r="M1146" s="14">
        <v>2513.13</v>
      </c>
      <c r="N1146" s="11" t="s">
        <v>2685</v>
      </c>
      <c r="O1146" s="11" t="s">
        <v>50</v>
      </c>
    </row>
    <row r="1147" spans="1:15" s="13" customFormat="1" ht="19.5" customHeight="1" x14ac:dyDescent="0.25">
      <c r="A1147" s="11" t="s">
        <v>2683</v>
      </c>
      <c r="B1147" s="11" t="s">
        <v>2683</v>
      </c>
      <c r="C1147" s="12">
        <v>46105</v>
      </c>
      <c r="D1147" s="12">
        <v>46195</v>
      </c>
      <c r="E1147" s="11" t="s">
        <v>6</v>
      </c>
      <c r="F1147" s="11" t="s">
        <v>2684</v>
      </c>
      <c r="G1147" s="11" t="s">
        <v>2683</v>
      </c>
      <c r="H1147" s="11"/>
      <c r="I1147" s="11" t="s">
        <v>49</v>
      </c>
      <c r="J1147" s="11">
        <v>2519.15</v>
      </c>
      <c r="K1147" s="11">
        <v>2519.15</v>
      </c>
      <c r="L1147" s="11"/>
      <c r="M1147" s="14">
        <v>2519.15</v>
      </c>
      <c r="N1147" s="11" t="s">
        <v>2685</v>
      </c>
      <c r="O1147" s="11" t="s">
        <v>50</v>
      </c>
    </row>
    <row r="1148" spans="1:15" s="13" customFormat="1" ht="19.5" customHeight="1" x14ac:dyDescent="0.25">
      <c r="A1148" s="11" t="s">
        <v>2686</v>
      </c>
      <c r="B1148" s="11" t="s">
        <v>2686</v>
      </c>
      <c r="C1148" s="12">
        <v>45709</v>
      </c>
      <c r="D1148" s="12">
        <v>45709</v>
      </c>
      <c r="E1148" s="11" t="s">
        <v>6</v>
      </c>
      <c r="F1148" s="11" t="s">
        <v>2684</v>
      </c>
      <c r="G1148" s="11"/>
      <c r="H1148" s="11"/>
      <c r="I1148" s="11" t="s">
        <v>49</v>
      </c>
      <c r="J1148" s="11">
        <v>-119.94</v>
      </c>
      <c r="K1148" s="11"/>
      <c r="L1148" s="11">
        <v>119.94</v>
      </c>
      <c r="M1148" s="14">
        <v>-119.94</v>
      </c>
      <c r="N1148" s="11" t="s">
        <v>2685</v>
      </c>
      <c r="O1148" s="11" t="s">
        <v>75</v>
      </c>
    </row>
    <row r="1149" spans="1:15" s="13" customFormat="1" ht="19.5" customHeight="1" x14ac:dyDescent="0.25">
      <c r="A1149" s="11" t="s">
        <v>2687</v>
      </c>
      <c r="B1149" s="11" t="s">
        <v>2687</v>
      </c>
      <c r="C1149" s="12">
        <v>46105</v>
      </c>
      <c r="D1149" s="12">
        <v>46150</v>
      </c>
      <c r="E1149" s="11" t="s">
        <v>6</v>
      </c>
      <c r="F1149" s="11" t="s">
        <v>64</v>
      </c>
      <c r="G1149" s="11" t="s">
        <v>2687</v>
      </c>
      <c r="H1149" s="11"/>
      <c r="I1149" s="11" t="s">
        <v>49</v>
      </c>
      <c r="J1149" s="11">
        <v>4925.95</v>
      </c>
      <c r="K1149" s="11">
        <v>4925.95</v>
      </c>
      <c r="L1149" s="11"/>
      <c r="M1149" s="14">
        <v>4925.95</v>
      </c>
      <c r="N1149" s="11" t="s">
        <v>2688</v>
      </c>
      <c r="O1149" s="11" t="s">
        <v>50</v>
      </c>
    </row>
    <row r="1150" spans="1:15" s="13" customFormat="1" ht="19.5" customHeight="1" x14ac:dyDescent="0.25">
      <c r="A1150" s="11" t="s">
        <v>2687</v>
      </c>
      <c r="B1150" s="11" t="s">
        <v>2687</v>
      </c>
      <c r="C1150" s="12">
        <v>46105</v>
      </c>
      <c r="D1150" s="12">
        <v>46157</v>
      </c>
      <c r="E1150" s="11" t="s">
        <v>6</v>
      </c>
      <c r="F1150" s="11" t="s">
        <v>64</v>
      </c>
      <c r="G1150" s="11" t="s">
        <v>2687</v>
      </c>
      <c r="H1150" s="11"/>
      <c r="I1150" s="11" t="s">
        <v>49</v>
      </c>
      <c r="J1150" s="11">
        <v>4925.95</v>
      </c>
      <c r="K1150" s="11">
        <v>4925.95</v>
      </c>
      <c r="L1150" s="11"/>
      <c r="M1150" s="14">
        <v>4925.95</v>
      </c>
      <c r="N1150" s="11" t="s">
        <v>2688</v>
      </c>
      <c r="O1150" s="11" t="s">
        <v>50</v>
      </c>
    </row>
    <row r="1151" spans="1:15" s="13" customFormat="1" ht="19.5" customHeight="1" x14ac:dyDescent="0.25">
      <c r="A1151" s="11" t="s">
        <v>2687</v>
      </c>
      <c r="B1151" s="11" t="s">
        <v>2687</v>
      </c>
      <c r="C1151" s="12">
        <v>46105</v>
      </c>
      <c r="D1151" s="12">
        <v>46164</v>
      </c>
      <c r="E1151" s="11" t="s">
        <v>6</v>
      </c>
      <c r="F1151" s="11" t="s">
        <v>64</v>
      </c>
      <c r="G1151" s="11" t="s">
        <v>2687</v>
      </c>
      <c r="H1151" s="11"/>
      <c r="I1151" s="11" t="s">
        <v>49</v>
      </c>
      <c r="J1151" s="11">
        <v>4925.95</v>
      </c>
      <c r="K1151" s="11">
        <v>4925.95</v>
      </c>
      <c r="L1151" s="11"/>
      <c r="M1151" s="14">
        <v>4925.95</v>
      </c>
      <c r="N1151" s="11" t="s">
        <v>2688</v>
      </c>
      <c r="O1151" s="11" t="s">
        <v>50</v>
      </c>
    </row>
    <row r="1152" spans="1:15" s="13" customFormat="1" ht="19.5" customHeight="1" x14ac:dyDescent="0.25">
      <c r="A1152" s="11" t="s">
        <v>2687</v>
      </c>
      <c r="B1152" s="11" t="s">
        <v>2687</v>
      </c>
      <c r="C1152" s="12">
        <v>46105</v>
      </c>
      <c r="D1152" s="12">
        <v>46171</v>
      </c>
      <c r="E1152" s="11" t="s">
        <v>6</v>
      </c>
      <c r="F1152" s="11" t="s">
        <v>64</v>
      </c>
      <c r="G1152" s="11" t="s">
        <v>2687</v>
      </c>
      <c r="H1152" s="11"/>
      <c r="I1152" s="11" t="s">
        <v>49</v>
      </c>
      <c r="J1152" s="11">
        <v>4925.95</v>
      </c>
      <c r="K1152" s="11">
        <v>4925.95</v>
      </c>
      <c r="L1152" s="11"/>
      <c r="M1152" s="14">
        <v>4925.95</v>
      </c>
      <c r="N1152" s="11" t="s">
        <v>2688</v>
      </c>
      <c r="O1152" s="11" t="s">
        <v>50</v>
      </c>
    </row>
    <row r="1153" spans="1:15" s="13" customFormat="1" ht="19.5" customHeight="1" x14ac:dyDescent="0.25">
      <c r="A1153" s="11" t="s">
        <v>2687</v>
      </c>
      <c r="B1153" s="11" t="s">
        <v>2687</v>
      </c>
      <c r="C1153" s="12">
        <v>46105</v>
      </c>
      <c r="D1153" s="12">
        <v>46178</v>
      </c>
      <c r="E1153" s="11" t="s">
        <v>6</v>
      </c>
      <c r="F1153" s="11" t="s">
        <v>64</v>
      </c>
      <c r="G1153" s="11" t="s">
        <v>2687</v>
      </c>
      <c r="H1153" s="11"/>
      <c r="I1153" s="11" t="s">
        <v>49</v>
      </c>
      <c r="J1153" s="11">
        <v>4925.95</v>
      </c>
      <c r="K1153" s="11">
        <v>4925.95</v>
      </c>
      <c r="L1153" s="11"/>
      <c r="M1153" s="14">
        <v>4925.95</v>
      </c>
      <c r="N1153" s="11" t="s">
        <v>2688</v>
      </c>
      <c r="O1153" s="11" t="s">
        <v>50</v>
      </c>
    </row>
    <row r="1154" spans="1:15" s="13" customFormat="1" ht="19.5" customHeight="1" x14ac:dyDescent="0.25">
      <c r="A1154" s="11" t="s">
        <v>2687</v>
      </c>
      <c r="B1154" s="11" t="s">
        <v>2687</v>
      </c>
      <c r="C1154" s="12">
        <v>46105</v>
      </c>
      <c r="D1154" s="12">
        <v>46185</v>
      </c>
      <c r="E1154" s="11" t="s">
        <v>6</v>
      </c>
      <c r="F1154" s="11" t="s">
        <v>64</v>
      </c>
      <c r="G1154" s="11" t="s">
        <v>2687</v>
      </c>
      <c r="H1154" s="11"/>
      <c r="I1154" s="11" t="s">
        <v>49</v>
      </c>
      <c r="J1154" s="11">
        <v>4925.95</v>
      </c>
      <c r="K1154" s="11">
        <v>4925.95</v>
      </c>
      <c r="L1154" s="11"/>
      <c r="M1154" s="14">
        <v>4925.95</v>
      </c>
      <c r="N1154" s="11" t="s">
        <v>2688</v>
      </c>
      <c r="O1154" s="11" t="s">
        <v>50</v>
      </c>
    </row>
    <row r="1155" spans="1:15" s="13" customFormat="1" ht="19.5" customHeight="1" x14ac:dyDescent="0.25">
      <c r="A1155" s="11" t="s">
        <v>2687</v>
      </c>
      <c r="B1155" s="11" t="s">
        <v>2687</v>
      </c>
      <c r="C1155" s="12">
        <v>46105</v>
      </c>
      <c r="D1155" s="12">
        <v>46195</v>
      </c>
      <c r="E1155" s="11" t="s">
        <v>6</v>
      </c>
      <c r="F1155" s="11" t="s">
        <v>64</v>
      </c>
      <c r="G1155" s="11" t="s">
        <v>2687</v>
      </c>
      <c r="H1155" s="11"/>
      <c r="I1155" s="11" t="s">
        <v>49</v>
      </c>
      <c r="J1155" s="11">
        <v>4939.78</v>
      </c>
      <c r="K1155" s="11">
        <v>4939.78</v>
      </c>
      <c r="L1155" s="11"/>
      <c r="M1155" s="14">
        <v>4939.78</v>
      </c>
      <c r="N1155" s="11" t="s">
        <v>2688</v>
      </c>
      <c r="O1155" s="11" t="s">
        <v>50</v>
      </c>
    </row>
    <row r="1156" spans="1:15" s="13" customFormat="1" ht="19.5" customHeight="1" x14ac:dyDescent="0.25">
      <c r="A1156" s="11" t="s">
        <v>2689</v>
      </c>
      <c r="B1156" s="11" t="s">
        <v>2689</v>
      </c>
      <c r="C1156" s="12">
        <v>46105</v>
      </c>
      <c r="D1156" s="12">
        <v>46150</v>
      </c>
      <c r="E1156" s="11" t="s">
        <v>6</v>
      </c>
      <c r="F1156" s="11" t="s">
        <v>64</v>
      </c>
      <c r="G1156" s="11" t="s">
        <v>2689</v>
      </c>
      <c r="H1156" s="11"/>
      <c r="I1156" s="11" t="s">
        <v>49</v>
      </c>
      <c r="J1156" s="11">
        <v>1950.78</v>
      </c>
      <c r="K1156" s="11">
        <v>1950.78</v>
      </c>
      <c r="L1156" s="11"/>
      <c r="M1156" s="14">
        <v>1950.78</v>
      </c>
      <c r="N1156" s="11" t="s">
        <v>2690</v>
      </c>
      <c r="O1156" s="11" t="s">
        <v>50</v>
      </c>
    </row>
    <row r="1157" spans="1:15" s="13" customFormat="1" ht="19.5" customHeight="1" x14ac:dyDescent="0.25">
      <c r="A1157" s="11" t="s">
        <v>2689</v>
      </c>
      <c r="B1157" s="11" t="s">
        <v>2689</v>
      </c>
      <c r="C1157" s="12">
        <v>46105</v>
      </c>
      <c r="D1157" s="12">
        <v>46157</v>
      </c>
      <c r="E1157" s="11" t="s">
        <v>6</v>
      </c>
      <c r="F1157" s="11" t="s">
        <v>64</v>
      </c>
      <c r="G1157" s="11" t="s">
        <v>2689</v>
      </c>
      <c r="H1157" s="11"/>
      <c r="I1157" s="11" t="s">
        <v>49</v>
      </c>
      <c r="J1157" s="11">
        <v>1950.78</v>
      </c>
      <c r="K1157" s="11">
        <v>1950.78</v>
      </c>
      <c r="L1157" s="11"/>
      <c r="M1157" s="14">
        <v>1950.78</v>
      </c>
      <c r="N1157" s="11" t="s">
        <v>2690</v>
      </c>
      <c r="O1157" s="11" t="s">
        <v>50</v>
      </c>
    </row>
    <row r="1158" spans="1:15" s="13" customFormat="1" ht="19.5" customHeight="1" x14ac:dyDescent="0.25">
      <c r="A1158" s="11" t="s">
        <v>2689</v>
      </c>
      <c r="B1158" s="11" t="s">
        <v>2689</v>
      </c>
      <c r="C1158" s="12">
        <v>46105</v>
      </c>
      <c r="D1158" s="12">
        <v>46164</v>
      </c>
      <c r="E1158" s="11" t="s">
        <v>6</v>
      </c>
      <c r="F1158" s="11" t="s">
        <v>64</v>
      </c>
      <c r="G1158" s="11" t="s">
        <v>2689</v>
      </c>
      <c r="H1158" s="11"/>
      <c r="I1158" s="11" t="s">
        <v>49</v>
      </c>
      <c r="J1158" s="11">
        <v>1950.78</v>
      </c>
      <c r="K1158" s="11">
        <v>1950.78</v>
      </c>
      <c r="L1158" s="11"/>
      <c r="M1158" s="14">
        <v>1950.78</v>
      </c>
      <c r="N1158" s="11" t="s">
        <v>2690</v>
      </c>
      <c r="O1158" s="11" t="s">
        <v>50</v>
      </c>
    </row>
    <row r="1159" spans="1:15" s="13" customFormat="1" ht="19.5" customHeight="1" x14ac:dyDescent="0.25">
      <c r="A1159" s="11" t="s">
        <v>2689</v>
      </c>
      <c r="B1159" s="11" t="s">
        <v>2689</v>
      </c>
      <c r="C1159" s="12">
        <v>46105</v>
      </c>
      <c r="D1159" s="12">
        <v>46171</v>
      </c>
      <c r="E1159" s="11" t="s">
        <v>6</v>
      </c>
      <c r="F1159" s="11" t="s">
        <v>64</v>
      </c>
      <c r="G1159" s="11" t="s">
        <v>2689</v>
      </c>
      <c r="H1159" s="11"/>
      <c r="I1159" s="11" t="s">
        <v>49</v>
      </c>
      <c r="J1159" s="11">
        <v>1950.78</v>
      </c>
      <c r="K1159" s="11">
        <v>1950.78</v>
      </c>
      <c r="L1159" s="11"/>
      <c r="M1159" s="14">
        <v>1950.78</v>
      </c>
      <c r="N1159" s="11" t="s">
        <v>2690</v>
      </c>
      <c r="O1159" s="11" t="s">
        <v>50</v>
      </c>
    </row>
    <row r="1160" spans="1:15" s="13" customFormat="1" ht="19.5" customHeight="1" x14ac:dyDescent="0.25">
      <c r="A1160" s="11" t="s">
        <v>2689</v>
      </c>
      <c r="B1160" s="11" t="s">
        <v>2689</v>
      </c>
      <c r="C1160" s="12">
        <v>46105</v>
      </c>
      <c r="D1160" s="12">
        <v>46178</v>
      </c>
      <c r="E1160" s="11" t="s">
        <v>6</v>
      </c>
      <c r="F1160" s="11" t="s">
        <v>64</v>
      </c>
      <c r="G1160" s="11" t="s">
        <v>2689</v>
      </c>
      <c r="H1160" s="11"/>
      <c r="I1160" s="11" t="s">
        <v>49</v>
      </c>
      <c r="J1160" s="11">
        <v>1950.78</v>
      </c>
      <c r="K1160" s="11">
        <v>1950.78</v>
      </c>
      <c r="L1160" s="11"/>
      <c r="M1160" s="14">
        <v>1950.78</v>
      </c>
      <c r="N1160" s="11" t="s">
        <v>2690</v>
      </c>
      <c r="O1160" s="11" t="s">
        <v>50</v>
      </c>
    </row>
    <row r="1161" spans="1:15" s="13" customFormat="1" ht="19.5" customHeight="1" x14ac:dyDescent="0.25">
      <c r="A1161" s="11" t="s">
        <v>2689</v>
      </c>
      <c r="B1161" s="11" t="s">
        <v>2689</v>
      </c>
      <c r="C1161" s="12">
        <v>46105</v>
      </c>
      <c r="D1161" s="12">
        <v>46195</v>
      </c>
      <c r="E1161" s="11" t="s">
        <v>6</v>
      </c>
      <c r="F1161" s="11" t="s">
        <v>64</v>
      </c>
      <c r="G1161" s="11" t="s">
        <v>2689</v>
      </c>
      <c r="H1161" s="11"/>
      <c r="I1161" s="11" t="s">
        <v>49</v>
      </c>
      <c r="J1161" s="11">
        <v>1955.48</v>
      </c>
      <c r="K1161" s="11">
        <v>1955.48</v>
      </c>
      <c r="L1161" s="11"/>
      <c r="M1161" s="14">
        <v>1955.48</v>
      </c>
      <c r="N1161" s="11" t="s">
        <v>2690</v>
      </c>
      <c r="O1161" s="11" t="s">
        <v>50</v>
      </c>
    </row>
    <row r="1162" spans="1:15" s="13" customFormat="1" ht="19.5" customHeight="1" x14ac:dyDescent="0.25">
      <c r="A1162" s="11" t="s">
        <v>2691</v>
      </c>
      <c r="B1162" s="11" t="s">
        <v>2691</v>
      </c>
      <c r="C1162" s="12">
        <v>46104</v>
      </c>
      <c r="D1162" s="12">
        <v>46149</v>
      </c>
      <c r="E1162" s="11" t="s">
        <v>6</v>
      </c>
      <c r="F1162" s="11" t="s">
        <v>64</v>
      </c>
      <c r="G1162" s="11" t="s">
        <v>2691</v>
      </c>
      <c r="H1162" s="11"/>
      <c r="I1162" s="11" t="s">
        <v>49</v>
      </c>
      <c r="J1162" s="11">
        <v>3005.46</v>
      </c>
      <c r="K1162" s="11">
        <v>3005.46</v>
      </c>
      <c r="L1162" s="11"/>
      <c r="M1162" s="14">
        <v>3005.46</v>
      </c>
      <c r="N1162" s="11" t="s">
        <v>2692</v>
      </c>
      <c r="O1162" s="11" t="s">
        <v>50</v>
      </c>
    </row>
    <row r="1163" spans="1:15" s="13" customFormat="1" ht="19.5" customHeight="1" x14ac:dyDescent="0.25">
      <c r="A1163" s="11" t="s">
        <v>2691</v>
      </c>
      <c r="B1163" s="11" t="s">
        <v>2691</v>
      </c>
      <c r="C1163" s="12">
        <v>46104</v>
      </c>
      <c r="D1163" s="12">
        <v>46159</v>
      </c>
      <c r="E1163" s="11" t="s">
        <v>6</v>
      </c>
      <c r="F1163" s="11" t="s">
        <v>64</v>
      </c>
      <c r="G1163" s="11" t="s">
        <v>2691</v>
      </c>
      <c r="H1163" s="11"/>
      <c r="I1163" s="11" t="s">
        <v>49</v>
      </c>
      <c r="J1163" s="11">
        <v>3005.46</v>
      </c>
      <c r="K1163" s="11">
        <v>3005.46</v>
      </c>
      <c r="L1163" s="11"/>
      <c r="M1163" s="14">
        <v>3005.46</v>
      </c>
      <c r="N1163" s="11" t="s">
        <v>2692</v>
      </c>
      <c r="O1163" s="11" t="s">
        <v>50</v>
      </c>
    </row>
    <row r="1164" spans="1:15" s="13" customFormat="1" ht="19.5" customHeight="1" x14ac:dyDescent="0.25">
      <c r="A1164" s="11" t="s">
        <v>2691</v>
      </c>
      <c r="B1164" s="11" t="s">
        <v>2691</v>
      </c>
      <c r="C1164" s="12">
        <v>46104</v>
      </c>
      <c r="D1164" s="12">
        <v>46169</v>
      </c>
      <c r="E1164" s="11" t="s">
        <v>6</v>
      </c>
      <c r="F1164" s="11" t="s">
        <v>64</v>
      </c>
      <c r="G1164" s="11" t="s">
        <v>2691</v>
      </c>
      <c r="H1164" s="11"/>
      <c r="I1164" s="11" t="s">
        <v>49</v>
      </c>
      <c r="J1164" s="11">
        <v>3005.46</v>
      </c>
      <c r="K1164" s="11">
        <v>3005.46</v>
      </c>
      <c r="L1164" s="11"/>
      <c r="M1164" s="14">
        <v>3005.46</v>
      </c>
      <c r="N1164" s="11" t="s">
        <v>2692</v>
      </c>
      <c r="O1164" s="11" t="s">
        <v>50</v>
      </c>
    </row>
    <row r="1165" spans="1:15" s="13" customFormat="1" ht="19.5" customHeight="1" x14ac:dyDescent="0.25">
      <c r="A1165" s="11" t="s">
        <v>2691</v>
      </c>
      <c r="B1165" s="11" t="s">
        <v>2691</v>
      </c>
      <c r="C1165" s="12">
        <v>46104</v>
      </c>
      <c r="D1165" s="12">
        <v>46179</v>
      </c>
      <c r="E1165" s="11" t="s">
        <v>6</v>
      </c>
      <c r="F1165" s="11" t="s">
        <v>64</v>
      </c>
      <c r="G1165" s="11" t="s">
        <v>2691</v>
      </c>
      <c r="H1165" s="11"/>
      <c r="I1165" s="11" t="s">
        <v>49</v>
      </c>
      <c r="J1165" s="11">
        <v>3005.46</v>
      </c>
      <c r="K1165" s="11">
        <v>3005.46</v>
      </c>
      <c r="L1165" s="11"/>
      <c r="M1165" s="14">
        <v>3005.46</v>
      </c>
      <c r="N1165" s="11" t="s">
        <v>2692</v>
      </c>
      <c r="O1165" s="11" t="s">
        <v>50</v>
      </c>
    </row>
    <row r="1166" spans="1:15" s="13" customFormat="1" ht="19.5" customHeight="1" x14ac:dyDescent="0.25">
      <c r="A1166" s="11" t="s">
        <v>2693</v>
      </c>
      <c r="B1166" s="11" t="s">
        <v>2693</v>
      </c>
      <c r="C1166" s="12">
        <v>46105</v>
      </c>
      <c r="D1166" s="12">
        <v>46150</v>
      </c>
      <c r="E1166" s="11" t="s">
        <v>6</v>
      </c>
      <c r="F1166" s="11" t="s">
        <v>275</v>
      </c>
      <c r="G1166" s="11" t="s">
        <v>2693</v>
      </c>
      <c r="H1166" s="11"/>
      <c r="I1166" s="11" t="s">
        <v>49</v>
      </c>
      <c r="J1166" s="11">
        <v>2214.86</v>
      </c>
      <c r="K1166" s="11">
        <v>2214.86</v>
      </c>
      <c r="L1166" s="11"/>
      <c r="M1166" s="14">
        <v>2214.86</v>
      </c>
      <c r="N1166" s="11" t="s">
        <v>2694</v>
      </c>
      <c r="O1166" s="11" t="s">
        <v>50</v>
      </c>
    </row>
    <row r="1167" spans="1:15" s="13" customFormat="1" ht="19.5" customHeight="1" x14ac:dyDescent="0.25">
      <c r="A1167" s="11" t="s">
        <v>2693</v>
      </c>
      <c r="B1167" s="11" t="s">
        <v>2693</v>
      </c>
      <c r="C1167" s="12">
        <v>46105</v>
      </c>
      <c r="D1167" s="12">
        <v>46160</v>
      </c>
      <c r="E1167" s="11" t="s">
        <v>6</v>
      </c>
      <c r="F1167" s="11" t="s">
        <v>275</v>
      </c>
      <c r="G1167" s="11" t="s">
        <v>2693</v>
      </c>
      <c r="H1167" s="11"/>
      <c r="I1167" s="11" t="s">
        <v>49</v>
      </c>
      <c r="J1167" s="11">
        <v>2214.86</v>
      </c>
      <c r="K1167" s="11">
        <v>2214.86</v>
      </c>
      <c r="L1167" s="11"/>
      <c r="M1167" s="14">
        <v>2214.86</v>
      </c>
      <c r="N1167" s="11" t="s">
        <v>2694</v>
      </c>
      <c r="O1167" s="11" t="s">
        <v>50</v>
      </c>
    </row>
    <row r="1168" spans="1:15" s="13" customFormat="1" ht="19.5" customHeight="1" x14ac:dyDescent="0.25">
      <c r="A1168" s="11" t="s">
        <v>2693</v>
      </c>
      <c r="B1168" s="11" t="s">
        <v>2693</v>
      </c>
      <c r="C1168" s="12">
        <v>46105</v>
      </c>
      <c r="D1168" s="12">
        <v>46170</v>
      </c>
      <c r="E1168" s="11" t="s">
        <v>6</v>
      </c>
      <c r="F1168" s="11" t="s">
        <v>275</v>
      </c>
      <c r="G1168" s="11" t="s">
        <v>2693</v>
      </c>
      <c r="H1168" s="11"/>
      <c r="I1168" s="11" t="s">
        <v>49</v>
      </c>
      <c r="J1168" s="11">
        <v>2214.86</v>
      </c>
      <c r="K1168" s="11">
        <v>2214.86</v>
      </c>
      <c r="L1168" s="11"/>
      <c r="M1168" s="14">
        <v>2214.86</v>
      </c>
      <c r="N1168" s="11" t="s">
        <v>2694</v>
      </c>
      <c r="O1168" s="11" t="s">
        <v>50</v>
      </c>
    </row>
    <row r="1169" spans="1:15" s="13" customFormat="1" ht="19.5" customHeight="1" x14ac:dyDescent="0.25">
      <c r="A1169" s="11" t="s">
        <v>2693</v>
      </c>
      <c r="B1169" s="11" t="s">
        <v>2693</v>
      </c>
      <c r="C1169" s="12">
        <v>46105</v>
      </c>
      <c r="D1169" s="12">
        <v>46180</v>
      </c>
      <c r="E1169" s="11" t="s">
        <v>6</v>
      </c>
      <c r="F1169" s="11" t="s">
        <v>275</v>
      </c>
      <c r="G1169" s="11" t="s">
        <v>2693</v>
      </c>
      <c r="H1169" s="11"/>
      <c r="I1169" s="11" t="s">
        <v>49</v>
      </c>
      <c r="J1169" s="11">
        <v>2214.86</v>
      </c>
      <c r="K1169" s="11">
        <v>2214.86</v>
      </c>
      <c r="L1169" s="11"/>
      <c r="M1169" s="14">
        <v>2214.86</v>
      </c>
      <c r="N1169" s="11" t="s">
        <v>2694</v>
      </c>
      <c r="O1169" s="11" t="s">
        <v>50</v>
      </c>
    </row>
    <row r="1170" spans="1:15" s="13" customFormat="1" ht="19.5" customHeight="1" x14ac:dyDescent="0.25">
      <c r="A1170" s="11" t="s">
        <v>2695</v>
      </c>
      <c r="B1170" s="11" t="s">
        <v>2695</v>
      </c>
      <c r="C1170" s="12">
        <v>46097</v>
      </c>
      <c r="D1170" s="12">
        <v>46142</v>
      </c>
      <c r="E1170" s="11" t="s">
        <v>6</v>
      </c>
      <c r="F1170" s="11" t="s">
        <v>275</v>
      </c>
      <c r="G1170" s="11" t="s">
        <v>2695</v>
      </c>
      <c r="H1170" s="11"/>
      <c r="I1170" s="11" t="s">
        <v>49</v>
      </c>
      <c r="J1170" s="11">
        <v>1638.21</v>
      </c>
      <c r="K1170" s="11">
        <v>1638.21</v>
      </c>
      <c r="L1170" s="11"/>
      <c r="M1170" s="14">
        <v>1638.21</v>
      </c>
      <c r="N1170" s="11" t="s">
        <v>2696</v>
      </c>
      <c r="O1170" s="11" t="s">
        <v>50</v>
      </c>
    </row>
    <row r="1171" spans="1:15" s="13" customFormat="1" ht="19.5" customHeight="1" x14ac:dyDescent="0.25">
      <c r="A1171" s="11" t="s">
        <v>2695</v>
      </c>
      <c r="B1171" s="11" t="s">
        <v>2695</v>
      </c>
      <c r="C1171" s="12">
        <v>46097</v>
      </c>
      <c r="D1171" s="12">
        <v>46152</v>
      </c>
      <c r="E1171" s="11" t="s">
        <v>6</v>
      </c>
      <c r="F1171" s="11" t="s">
        <v>275</v>
      </c>
      <c r="G1171" s="11" t="s">
        <v>2695</v>
      </c>
      <c r="H1171" s="11"/>
      <c r="I1171" s="11" t="s">
        <v>49</v>
      </c>
      <c r="J1171" s="11">
        <v>1638.21</v>
      </c>
      <c r="K1171" s="11">
        <v>1638.21</v>
      </c>
      <c r="L1171" s="11"/>
      <c r="M1171" s="14">
        <v>1638.21</v>
      </c>
      <c r="N1171" s="11" t="s">
        <v>2696</v>
      </c>
      <c r="O1171" s="11" t="s">
        <v>50</v>
      </c>
    </row>
    <row r="1172" spans="1:15" s="13" customFormat="1" ht="19.5" customHeight="1" x14ac:dyDescent="0.25">
      <c r="A1172" s="11" t="s">
        <v>2695</v>
      </c>
      <c r="B1172" s="11" t="s">
        <v>2695</v>
      </c>
      <c r="C1172" s="12">
        <v>46097</v>
      </c>
      <c r="D1172" s="12">
        <v>46162</v>
      </c>
      <c r="E1172" s="11" t="s">
        <v>6</v>
      </c>
      <c r="F1172" s="11" t="s">
        <v>275</v>
      </c>
      <c r="G1172" s="11" t="s">
        <v>2695</v>
      </c>
      <c r="H1172" s="11"/>
      <c r="I1172" s="11" t="s">
        <v>49</v>
      </c>
      <c r="J1172" s="11">
        <v>1638.21</v>
      </c>
      <c r="K1172" s="11">
        <v>1638.21</v>
      </c>
      <c r="L1172" s="11"/>
      <c r="M1172" s="14">
        <v>1638.21</v>
      </c>
      <c r="N1172" s="11" t="s">
        <v>2696</v>
      </c>
      <c r="O1172" s="11" t="s">
        <v>50</v>
      </c>
    </row>
    <row r="1173" spans="1:15" s="13" customFormat="1" ht="19.5" customHeight="1" x14ac:dyDescent="0.25">
      <c r="A1173" s="11" t="s">
        <v>2695</v>
      </c>
      <c r="B1173" s="11" t="s">
        <v>2695</v>
      </c>
      <c r="C1173" s="12">
        <v>46097</v>
      </c>
      <c r="D1173" s="12">
        <v>46172</v>
      </c>
      <c r="E1173" s="11" t="s">
        <v>6</v>
      </c>
      <c r="F1173" s="11" t="s">
        <v>275</v>
      </c>
      <c r="G1173" s="11" t="s">
        <v>2695</v>
      </c>
      <c r="H1173" s="11"/>
      <c r="I1173" s="11" t="s">
        <v>49</v>
      </c>
      <c r="J1173" s="11">
        <v>1638.19</v>
      </c>
      <c r="K1173" s="11">
        <v>1638.19</v>
      </c>
      <c r="L1173" s="11"/>
      <c r="M1173" s="14">
        <v>1638.19</v>
      </c>
      <c r="N1173" s="11" t="s">
        <v>2696</v>
      </c>
      <c r="O1173" s="11" t="s">
        <v>50</v>
      </c>
    </row>
    <row r="1174" spans="1:15" s="13" customFormat="1" ht="19.5" customHeight="1" x14ac:dyDescent="0.25">
      <c r="A1174" s="11" t="s">
        <v>2697</v>
      </c>
      <c r="B1174" s="11" t="s">
        <v>2697</v>
      </c>
      <c r="C1174" s="12">
        <v>46093</v>
      </c>
      <c r="D1174" s="12">
        <v>46138</v>
      </c>
      <c r="E1174" s="11" t="s">
        <v>6</v>
      </c>
      <c r="F1174" s="11" t="s">
        <v>275</v>
      </c>
      <c r="G1174" s="11" t="s">
        <v>2697</v>
      </c>
      <c r="H1174" s="11"/>
      <c r="I1174" s="11" t="s">
        <v>49</v>
      </c>
      <c r="J1174" s="11">
        <v>2926.53</v>
      </c>
      <c r="K1174" s="11">
        <v>2926.53</v>
      </c>
      <c r="L1174" s="11"/>
      <c r="M1174" s="14">
        <v>2926.53</v>
      </c>
      <c r="N1174" s="11" t="s">
        <v>2698</v>
      </c>
      <c r="O1174" s="11" t="s">
        <v>50</v>
      </c>
    </row>
    <row r="1175" spans="1:15" s="13" customFormat="1" ht="19.5" customHeight="1" x14ac:dyDescent="0.25">
      <c r="A1175" s="11" t="s">
        <v>2697</v>
      </c>
      <c r="B1175" s="11" t="s">
        <v>2697</v>
      </c>
      <c r="C1175" s="12">
        <v>46093</v>
      </c>
      <c r="D1175" s="12">
        <v>46148</v>
      </c>
      <c r="E1175" s="11" t="s">
        <v>6</v>
      </c>
      <c r="F1175" s="11" t="s">
        <v>275</v>
      </c>
      <c r="G1175" s="11" t="s">
        <v>2697</v>
      </c>
      <c r="H1175" s="11"/>
      <c r="I1175" s="11" t="s">
        <v>49</v>
      </c>
      <c r="J1175" s="11">
        <v>2926.53</v>
      </c>
      <c r="K1175" s="11">
        <v>2926.53</v>
      </c>
      <c r="L1175" s="11"/>
      <c r="M1175" s="14">
        <v>2926.53</v>
      </c>
      <c r="N1175" s="11" t="s">
        <v>2698</v>
      </c>
      <c r="O1175" s="11" t="s">
        <v>50</v>
      </c>
    </row>
    <row r="1176" spans="1:15" s="13" customFormat="1" ht="19.5" customHeight="1" x14ac:dyDescent="0.25">
      <c r="A1176" s="11" t="s">
        <v>2697</v>
      </c>
      <c r="B1176" s="11" t="s">
        <v>2697</v>
      </c>
      <c r="C1176" s="12">
        <v>46093</v>
      </c>
      <c r="D1176" s="12">
        <v>46158</v>
      </c>
      <c r="E1176" s="11" t="s">
        <v>6</v>
      </c>
      <c r="F1176" s="11" t="s">
        <v>275</v>
      </c>
      <c r="G1176" s="11" t="s">
        <v>2697</v>
      </c>
      <c r="H1176" s="11"/>
      <c r="I1176" s="11" t="s">
        <v>49</v>
      </c>
      <c r="J1176" s="11">
        <v>2926.53</v>
      </c>
      <c r="K1176" s="11">
        <v>2926.53</v>
      </c>
      <c r="L1176" s="11"/>
      <c r="M1176" s="14">
        <v>2926.53</v>
      </c>
      <c r="N1176" s="11" t="s">
        <v>2698</v>
      </c>
      <c r="O1176" s="11" t="s">
        <v>50</v>
      </c>
    </row>
    <row r="1177" spans="1:15" s="13" customFormat="1" ht="19.5" customHeight="1" x14ac:dyDescent="0.25">
      <c r="A1177" s="11" t="s">
        <v>2697</v>
      </c>
      <c r="B1177" s="11" t="s">
        <v>2697</v>
      </c>
      <c r="C1177" s="12">
        <v>46093</v>
      </c>
      <c r="D1177" s="12">
        <v>46168</v>
      </c>
      <c r="E1177" s="11" t="s">
        <v>6</v>
      </c>
      <c r="F1177" s="11" t="s">
        <v>275</v>
      </c>
      <c r="G1177" s="11" t="s">
        <v>2697</v>
      </c>
      <c r="H1177" s="11"/>
      <c r="I1177" s="11" t="s">
        <v>49</v>
      </c>
      <c r="J1177" s="11">
        <v>2926.54</v>
      </c>
      <c r="K1177" s="11">
        <v>2926.54</v>
      </c>
      <c r="L1177" s="11"/>
      <c r="M1177" s="14">
        <v>2926.54</v>
      </c>
      <c r="N1177" s="11" t="s">
        <v>2698</v>
      </c>
      <c r="O1177" s="11" t="s">
        <v>50</v>
      </c>
    </row>
    <row r="1178" spans="1:15" s="13" customFormat="1" ht="19.5" customHeight="1" x14ac:dyDescent="0.25">
      <c r="A1178" s="11" t="s">
        <v>2699</v>
      </c>
      <c r="B1178" s="11" t="s">
        <v>2699</v>
      </c>
      <c r="C1178" s="12">
        <v>46086</v>
      </c>
      <c r="D1178" s="12">
        <v>46131</v>
      </c>
      <c r="E1178" s="11" t="s">
        <v>6</v>
      </c>
      <c r="F1178" s="11" t="s">
        <v>275</v>
      </c>
      <c r="G1178" s="11" t="s">
        <v>2699</v>
      </c>
      <c r="H1178" s="11"/>
      <c r="I1178" s="11" t="s">
        <v>49</v>
      </c>
      <c r="J1178" s="11">
        <v>2081.29</v>
      </c>
      <c r="K1178" s="11">
        <v>2081.29</v>
      </c>
      <c r="L1178" s="11"/>
      <c r="M1178" s="14">
        <v>2081.29</v>
      </c>
      <c r="N1178" s="11" t="s">
        <v>2700</v>
      </c>
      <c r="O1178" s="11" t="s">
        <v>50</v>
      </c>
    </row>
    <row r="1179" spans="1:15" s="13" customFormat="1" ht="19.5" customHeight="1" x14ac:dyDescent="0.25">
      <c r="A1179" s="11" t="s">
        <v>2699</v>
      </c>
      <c r="B1179" s="11" t="s">
        <v>2699</v>
      </c>
      <c r="C1179" s="12">
        <v>46086</v>
      </c>
      <c r="D1179" s="12">
        <v>46141</v>
      </c>
      <c r="E1179" s="11" t="s">
        <v>6</v>
      </c>
      <c r="F1179" s="11" t="s">
        <v>275</v>
      </c>
      <c r="G1179" s="11" t="s">
        <v>2699</v>
      </c>
      <c r="H1179" s="11"/>
      <c r="I1179" s="11" t="s">
        <v>49</v>
      </c>
      <c r="J1179" s="11">
        <v>2081.29</v>
      </c>
      <c r="K1179" s="11">
        <v>2081.29</v>
      </c>
      <c r="L1179" s="11"/>
      <c r="M1179" s="14">
        <v>2081.29</v>
      </c>
      <c r="N1179" s="11" t="s">
        <v>2700</v>
      </c>
      <c r="O1179" s="11" t="s">
        <v>50</v>
      </c>
    </row>
    <row r="1180" spans="1:15" s="13" customFormat="1" ht="19.5" customHeight="1" x14ac:dyDescent="0.25">
      <c r="A1180" s="11" t="s">
        <v>2699</v>
      </c>
      <c r="B1180" s="11" t="s">
        <v>2699</v>
      </c>
      <c r="C1180" s="12">
        <v>46086</v>
      </c>
      <c r="D1180" s="12">
        <v>46151</v>
      </c>
      <c r="E1180" s="11" t="s">
        <v>6</v>
      </c>
      <c r="F1180" s="11" t="s">
        <v>275</v>
      </c>
      <c r="G1180" s="11" t="s">
        <v>2699</v>
      </c>
      <c r="H1180" s="11"/>
      <c r="I1180" s="11" t="s">
        <v>49</v>
      </c>
      <c r="J1180" s="11">
        <v>2081.29</v>
      </c>
      <c r="K1180" s="11">
        <v>2081.29</v>
      </c>
      <c r="L1180" s="11"/>
      <c r="M1180" s="14">
        <v>2081.29</v>
      </c>
      <c r="N1180" s="11" t="s">
        <v>2700</v>
      </c>
      <c r="O1180" s="11" t="s">
        <v>50</v>
      </c>
    </row>
    <row r="1181" spans="1:15" s="13" customFormat="1" ht="19.5" customHeight="1" x14ac:dyDescent="0.25">
      <c r="A1181" s="11" t="s">
        <v>2699</v>
      </c>
      <c r="B1181" s="11" t="s">
        <v>2699</v>
      </c>
      <c r="C1181" s="12">
        <v>46086</v>
      </c>
      <c r="D1181" s="12">
        <v>46161</v>
      </c>
      <c r="E1181" s="11" t="s">
        <v>6</v>
      </c>
      <c r="F1181" s="11" t="s">
        <v>275</v>
      </c>
      <c r="G1181" s="11" t="s">
        <v>2699</v>
      </c>
      <c r="H1181" s="11"/>
      <c r="I1181" s="11" t="s">
        <v>49</v>
      </c>
      <c r="J1181" s="11">
        <v>2081.29</v>
      </c>
      <c r="K1181" s="11">
        <v>2081.29</v>
      </c>
      <c r="L1181" s="11"/>
      <c r="M1181" s="14">
        <v>2081.29</v>
      </c>
      <c r="N1181" s="11" t="s">
        <v>2700</v>
      </c>
      <c r="O1181" s="11" t="s">
        <v>50</v>
      </c>
    </row>
    <row r="1182" spans="1:15" s="13" customFormat="1" ht="19.5" customHeight="1" x14ac:dyDescent="0.25">
      <c r="A1182" s="11" t="s">
        <v>2701</v>
      </c>
      <c r="B1182" s="11" t="s">
        <v>2702</v>
      </c>
      <c r="C1182" s="12">
        <v>45747</v>
      </c>
      <c r="D1182" s="12">
        <v>45747</v>
      </c>
      <c r="E1182" s="11" t="s">
        <v>6</v>
      </c>
      <c r="F1182" s="11" t="s">
        <v>64</v>
      </c>
      <c r="G1182" s="11" t="s">
        <v>2703</v>
      </c>
      <c r="H1182" s="11" t="s">
        <v>2704</v>
      </c>
      <c r="I1182" s="11" t="s">
        <v>49</v>
      </c>
      <c r="J1182" s="11">
        <v>-160545.37</v>
      </c>
      <c r="K1182" s="11"/>
      <c r="L1182" s="11">
        <v>160545.37</v>
      </c>
      <c r="M1182" s="14">
        <v>-160545.37</v>
      </c>
      <c r="N1182" s="11" t="s">
        <v>2705</v>
      </c>
      <c r="O1182" s="11" t="s">
        <v>2706</v>
      </c>
    </row>
    <row r="1183" spans="1:15" s="13" customFormat="1" ht="19.5" customHeight="1" x14ac:dyDescent="0.25">
      <c r="A1183" s="11" t="s">
        <v>2707</v>
      </c>
      <c r="B1183" s="11" t="s">
        <v>2707</v>
      </c>
      <c r="C1183" s="12">
        <v>45727</v>
      </c>
      <c r="D1183" s="12">
        <v>45772</v>
      </c>
      <c r="E1183" s="11" t="s">
        <v>6</v>
      </c>
      <c r="F1183" s="11" t="s">
        <v>64</v>
      </c>
      <c r="G1183" s="11" t="s">
        <v>2707</v>
      </c>
      <c r="H1183" s="11"/>
      <c r="I1183" s="11" t="s">
        <v>49</v>
      </c>
      <c r="J1183" s="11">
        <v>17836.59</v>
      </c>
      <c r="K1183" s="11">
        <v>17836.59</v>
      </c>
      <c r="L1183" s="11"/>
      <c r="M1183" s="14">
        <v>17836.59</v>
      </c>
      <c r="N1183" s="11" t="s">
        <v>2705</v>
      </c>
      <c r="O1183" s="11" t="s">
        <v>50</v>
      </c>
    </row>
    <row r="1184" spans="1:15" s="13" customFormat="1" ht="19.5" customHeight="1" x14ac:dyDescent="0.25">
      <c r="A1184" s="11" t="s">
        <v>2707</v>
      </c>
      <c r="B1184" s="11" t="s">
        <v>2707</v>
      </c>
      <c r="C1184" s="12">
        <v>45727</v>
      </c>
      <c r="D1184" s="12">
        <v>45782</v>
      </c>
      <c r="E1184" s="11" t="s">
        <v>6</v>
      </c>
      <c r="F1184" s="11" t="s">
        <v>64</v>
      </c>
      <c r="G1184" s="11" t="s">
        <v>2707</v>
      </c>
      <c r="H1184" s="11"/>
      <c r="I1184" s="11" t="s">
        <v>49</v>
      </c>
      <c r="J1184" s="11">
        <v>17836.59</v>
      </c>
      <c r="K1184" s="11">
        <v>17836.59</v>
      </c>
      <c r="L1184" s="11"/>
      <c r="M1184" s="14">
        <v>17836.59</v>
      </c>
      <c r="N1184" s="11" t="s">
        <v>2705</v>
      </c>
      <c r="O1184" s="11" t="s">
        <v>50</v>
      </c>
    </row>
    <row r="1185" spans="1:15" s="13" customFormat="1" ht="19.5" customHeight="1" x14ac:dyDescent="0.25">
      <c r="A1185" s="11" t="s">
        <v>2707</v>
      </c>
      <c r="B1185" s="11" t="s">
        <v>2707</v>
      </c>
      <c r="C1185" s="12">
        <v>45727</v>
      </c>
      <c r="D1185" s="12">
        <v>45792</v>
      </c>
      <c r="E1185" s="11" t="s">
        <v>6</v>
      </c>
      <c r="F1185" s="11" t="s">
        <v>64</v>
      </c>
      <c r="G1185" s="11" t="s">
        <v>2707</v>
      </c>
      <c r="H1185" s="11"/>
      <c r="I1185" s="11" t="s">
        <v>49</v>
      </c>
      <c r="J1185" s="11">
        <v>17836.59</v>
      </c>
      <c r="K1185" s="11">
        <v>17836.59</v>
      </c>
      <c r="L1185" s="11"/>
      <c r="M1185" s="14">
        <v>17836.59</v>
      </c>
      <c r="N1185" s="11" t="s">
        <v>2705</v>
      </c>
      <c r="O1185" s="11" t="s">
        <v>50</v>
      </c>
    </row>
    <row r="1186" spans="1:15" s="13" customFormat="1" ht="19.5" customHeight="1" x14ac:dyDescent="0.25">
      <c r="A1186" s="11" t="s">
        <v>2707</v>
      </c>
      <c r="B1186" s="11" t="s">
        <v>2707</v>
      </c>
      <c r="C1186" s="12">
        <v>45727</v>
      </c>
      <c r="D1186" s="12">
        <v>45802</v>
      </c>
      <c r="E1186" s="11" t="s">
        <v>6</v>
      </c>
      <c r="F1186" s="11" t="s">
        <v>64</v>
      </c>
      <c r="G1186" s="11" t="s">
        <v>2707</v>
      </c>
      <c r="H1186" s="11"/>
      <c r="I1186" s="11" t="s">
        <v>49</v>
      </c>
      <c r="J1186" s="11">
        <v>17836.59</v>
      </c>
      <c r="K1186" s="11">
        <v>17836.59</v>
      </c>
      <c r="L1186" s="11"/>
      <c r="M1186" s="14">
        <v>17836.59</v>
      </c>
      <c r="N1186" s="11" t="s">
        <v>2705</v>
      </c>
      <c r="O1186" s="11" t="s">
        <v>50</v>
      </c>
    </row>
    <row r="1187" spans="1:15" s="13" customFormat="1" ht="19.5" customHeight="1" x14ac:dyDescent="0.25">
      <c r="A1187" s="11" t="s">
        <v>2707</v>
      </c>
      <c r="B1187" s="11" t="s">
        <v>2707</v>
      </c>
      <c r="C1187" s="12">
        <v>45727</v>
      </c>
      <c r="D1187" s="12">
        <v>45812</v>
      </c>
      <c r="E1187" s="11" t="s">
        <v>6</v>
      </c>
      <c r="F1187" s="11" t="s">
        <v>64</v>
      </c>
      <c r="G1187" s="11" t="s">
        <v>2707</v>
      </c>
      <c r="H1187" s="11"/>
      <c r="I1187" s="11" t="s">
        <v>49</v>
      </c>
      <c r="J1187" s="11">
        <v>17836.59</v>
      </c>
      <c r="K1187" s="11">
        <v>17836.59</v>
      </c>
      <c r="L1187" s="11"/>
      <c r="M1187" s="14">
        <v>17836.59</v>
      </c>
      <c r="N1187" s="11" t="s">
        <v>2705</v>
      </c>
      <c r="O1187" s="11" t="s">
        <v>50</v>
      </c>
    </row>
    <row r="1188" spans="1:15" s="13" customFormat="1" ht="19.5" customHeight="1" x14ac:dyDescent="0.25">
      <c r="A1188" s="11" t="s">
        <v>2707</v>
      </c>
      <c r="B1188" s="11" t="s">
        <v>2707</v>
      </c>
      <c r="C1188" s="12">
        <v>45727</v>
      </c>
      <c r="D1188" s="12">
        <v>45822</v>
      </c>
      <c r="E1188" s="11" t="s">
        <v>6</v>
      </c>
      <c r="F1188" s="11" t="s">
        <v>64</v>
      </c>
      <c r="G1188" s="11" t="s">
        <v>2707</v>
      </c>
      <c r="H1188" s="11"/>
      <c r="I1188" s="11" t="s">
        <v>49</v>
      </c>
      <c r="J1188" s="11">
        <v>17836.59</v>
      </c>
      <c r="K1188" s="11">
        <v>17836.59</v>
      </c>
      <c r="L1188" s="11"/>
      <c r="M1188" s="14">
        <v>17836.59</v>
      </c>
      <c r="N1188" s="11" t="s">
        <v>2705</v>
      </c>
      <c r="O1188" s="11" t="s">
        <v>50</v>
      </c>
    </row>
    <row r="1189" spans="1:15" s="13" customFormat="1" ht="19.5" customHeight="1" x14ac:dyDescent="0.25">
      <c r="A1189" s="11" t="s">
        <v>2707</v>
      </c>
      <c r="B1189" s="11" t="s">
        <v>2707</v>
      </c>
      <c r="C1189" s="12">
        <v>45727</v>
      </c>
      <c r="D1189" s="12">
        <v>45832</v>
      </c>
      <c r="E1189" s="11" t="s">
        <v>6</v>
      </c>
      <c r="F1189" s="11" t="s">
        <v>64</v>
      </c>
      <c r="G1189" s="11" t="s">
        <v>2707</v>
      </c>
      <c r="H1189" s="11"/>
      <c r="I1189" s="11" t="s">
        <v>49</v>
      </c>
      <c r="J1189" s="11">
        <v>17836.59</v>
      </c>
      <c r="K1189" s="11">
        <v>17836.59</v>
      </c>
      <c r="L1189" s="11"/>
      <c r="M1189" s="14">
        <v>17836.59</v>
      </c>
      <c r="N1189" s="11" t="s">
        <v>2705</v>
      </c>
      <c r="O1189" s="11" t="s">
        <v>50</v>
      </c>
    </row>
    <row r="1190" spans="1:15" s="13" customFormat="1" ht="19.5" customHeight="1" x14ac:dyDescent="0.25">
      <c r="A1190" s="11" t="s">
        <v>2707</v>
      </c>
      <c r="B1190" s="11" t="s">
        <v>2707</v>
      </c>
      <c r="C1190" s="12">
        <v>45727</v>
      </c>
      <c r="D1190" s="12">
        <v>45842</v>
      </c>
      <c r="E1190" s="11" t="s">
        <v>6</v>
      </c>
      <c r="F1190" s="11" t="s">
        <v>64</v>
      </c>
      <c r="G1190" s="11" t="s">
        <v>2707</v>
      </c>
      <c r="H1190" s="11"/>
      <c r="I1190" s="11" t="s">
        <v>49</v>
      </c>
      <c r="J1190" s="11">
        <v>17836.59</v>
      </c>
      <c r="K1190" s="11">
        <v>17836.59</v>
      </c>
      <c r="L1190" s="11"/>
      <c r="M1190" s="14">
        <v>17836.59</v>
      </c>
      <c r="N1190" s="11" t="s">
        <v>2705</v>
      </c>
      <c r="O1190" s="11" t="s">
        <v>50</v>
      </c>
    </row>
    <row r="1191" spans="1:15" s="13" customFormat="1" ht="19.5" customHeight="1" x14ac:dyDescent="0.25">
      <c r="A1191" s="11" t="s">
        <v>2707</v>
      </c>
      <c r="B1191" s="11" t="s">
        <v>2707</v>
      </c>
      <c r="C1191" s="12">
        <v>45727</v>
      </c>
      <c r="D1191" s="12">
        <v>45852</v>
      </c>
      <c r="E1191" s="11" t="s">
        <v>6</v>
      </c>
      <c r="F1191" s="11" t="s">
        <v>64</v>
      </c>
      <c r="G1191" s="11" t="s">
        <v>2707</v>
      </c>
      <c r="H1191" s="11"/>
      <c r="I1191" s="11" t="s">
        <v>49</v>
      </c>
      <c r="J1191" s="11">
        <v>17852.650000000001</v>
      </c>
      <c r="K1191" s="11">
        <v>17852.650000000001</v>
      </c>
      <c r="L1191" s="11"/>
      <c r="M1191" s="14">
        <v>17852.650000000001</v>
      </c>
      <c r="N1191" s="11" t="s">
        <v>2705</v>
      </c>
      <c r="O1191" s="11" t="s">
        <v>50</v>
      </c>
    </row>
    <row r="1192" spans="1:15" s="13" customFormat="1" ht="19.5" customHeight="1" x14ac:dyDescent="0.25">
      <c r="A1192" s="11" t="s">
        <v>2708</v>
      </c>
      <c r="B1192" s="11" t="s">
        <v>2709</v>
      </c>
      <c r="C1192" s="12">
        <v>45747</v>
      </c>
      <c r="D1192" s="12">
        <v>45747</v>
      </c>
      <c r="E1192" s="11" t="s">
        <v>6</v>
      </c>
      <c r="F1192" s="11" t="s">
        <v>64</v>
      </c>
      <c r="G1192" s="11" t="s">
        <v>2710</v>
      </c>
      <c r="H1192" s="11" t="s">
        <v>2711</v>
      </c>
      <c r="I1192" s="11" t="s">
        <v>49</v>
      </c>
      <c r="J1192" s="11">
        <v>-18961.189999999999</v>
      </c>
      <c r="K1192" s="11"/>
      <c r="L1192" s="11">
        <v>18961.189999999999</v>
      </c>
      <c r="M1192" s="14">
        <v>-18961.189999999999</v>
      </c>
      <c r="N1192" s="11" t="s">
        <v>2712</v>
      </c>
      <c r="O1192" s="11" t="s">
        <v>2706</v>
      </c>
    </row>
    <row r="1193" spans="1:15" s="13" customFormat="1" ht="19.5" customHeight="1" x14ac:dyDescent="0.25">
      <c r="A1193" s="11" t="s">
        <v>2713</v>
      </c>
      <c r="B1193" s="11" t="s">
        <v>2713</v>
      </c>
      <c r="C1193" s="12">
        <v>45728</v>
      </c>
      <c r="D1193" s="12">
        <v>45773</v>
      </c>
      <c r="E1193" s="11" t="s">
        <v>6</v>
      </c>
      <c r="F1193" s="11" t="s">
        <v>64</v>
      </c>
      <c r="G1193" s="11" t="s">
        <v>2713</v>
      </c>
      <c r="H1193" s="11"/>
      <c r="I1193" s="11" t="s">
        <v>49</v>
      </c>
      <c r="J1193" s="11">
        <v>3158.93</v>
      </c>
      <c r="K1193" s="11">
        <v>3158.93</v>
      </c>
      <c r="L1193" s="11"/>
      <c r="M1193" s="14">
        <v>3158.93</v>
      </c>
      <c r="N1193" s="11" t="s">
        <v>2712</v>
      </c>
      <c r="O1193" s="11" t="s">
        <v>50</v>
      </c>
    </row>
    <row r="1194" spans="1:15" s="13" customFormat="1" ht="19.5" customHeight="1" x14ac:dyDescent="0.25">
      <c r="A1194" s="11" t="s">
        <v>2713</v>
      </c>
      <c r="B1194" s="11" t="s">
        <v>2713</v>
      </c>
      <c r="C1194" s="12">
        <v>45728</v>
      </c>
      <c r="D1194" s="12">
        <v>45780</v>
      </c>
      <c r="E1194" s="11" t="s">
        <v>6</v>
      </c>
      <c r="F1194" s="11" t="s">
        <v>64</v>
      </c>
      <c r="G1194" s="11" t="s">
        <v>2713</v>
      </c>
      <c r="H1194" s="11"/>
      <c r="I1194" s="11" t="s">
        <v>49</v>
      </c>
      <c r="J1194" s="11">
        <v>3158.93</v>
      </c>
      <c r="K1194" s="11">
        <v>3158.93</v>
      </c>
      <c r="L1194" s="11"/>
      <c r="M1194" s="14">
        <v>3158.93</v>
      </c>
      <c r="N1194" s="11" t="s">
        <v>2712</v>
      </c>
      <c r="O1194" s="11" t="s">
        <v>50</v>
      </c>
    </row>
    <row r="1195" spans="1:15" s="13" customFormat="1" ht="19.5" customHeight="1" x14ac:dyDescent="0.25">
      <c r="A1195" s="11" t="s">
        <v>2713</v>
      </c>
      <c r="B1195" s="11" t="s">
        <v>2713</v>
      </c>
      <c r="C1195" s="12">
        <v>45728</v>
      </c>
      <c r="D1195" s="12">
        <v>45787</v>
      </c>
      <c r="E1195" s="11" t="s">
        <v>6</v>
      </c>
      <c r="F1195" s="11" t="s">
        <v>64</v>
      </c>
      <c r="G1195" s="11" t="s">
        <v>2713</v>
      </c>
      <c r="H1195" s="11"/>
      <c r="I1195" s="11" t="s">
        <v>49</v>
      </c>
      <c r="J1195" s="11">
        <v>3158.93</v>
      </c>
      <c r="K1195" s="11">
        <v>3158.93</v>
      </c>
      <c r="L1195" s="11"/>
      <c r="M1195" s="14">
        <v>3158.93</v>
      </c>
      <c r="N1195" s="11" t="s">
        <v>2712</v>
      </c>
      <c r="O1195" s="11" t="s">
        <v>50</v>
      </c>
    </row>
    <row r="1196" spans="1:15" s="13" customFormat="1" ht="19.5" customHeight="1" x14ac:dyDescent="0.25">
      <c r="A1196" s="11" t="s">
        <v>2713</v>
      </c>
      <c r="B1196" s="11" t="s">
        <v>2713</v>
      </c>
      <c r="C1196" s="12">
        <v>45728</v>
      </c>
      <c r="D1196" s="12">
        <v>45794</v>
      </c>
      <c r="E1196" s="11" t="s">
        <v>6</v>
      </c>
      <c r="F1196" s="11" t="s">
        <v>64</v>
      </c>
      <c r="G1196" s="11" t="s">
        <v>2713</v>
      </c>
      <c r="H1196" s="11"/>
      <c r="I1196" s="11" t="s">
        <v>49</v>
      </c>
      <c r="J1196" s="11">
        <v>3158.93</v>
      </c>
      <c r="K1196" s="11">
        <v>3158.93</v>
      </c>
      <c r="L1196" s="11"/>
      <c r="M1196" s="14">
        <v>3158.93</v>
      </c>
      <c r="N1196" s="11" t="s">
        <v>2712</v>
      </c>
      <c r="O1196" s="11" t="s">
        <v>50</v>
      </c>
    </row>
    <row r="1197" spans="1:15" s="13" customFormat="1" ht="19.5" customHeight="1" x14ac:dyDescent="0.25">
      <c r="A1197" s="11" t="s">
        <v>2713</v>
      </c>
      <c r="B1197" s="11" t="s">
        <v>2713</v>
      </c>
      <c r="C1197" s="12">
        <v>45728</v>
      </c>
      <c r="D1197" s="12">
        <v>45801</v>
      </c>
      <c r="E1197" s="11" t="s">
        <v>6</v>
      </c>
      <c r="F1197" s="11" t="s">
        <v>64</v>
      </c>
      <c r="G1197" s="11" t="s">
        <v>2713</v>
      </c>
      <c r="H1197" s="11"/>
      <c r="I1197" s="11" t="s">
        <v>49</v>
      </c>
      <c r="J1197" s="11">
        <v>3158.93</v>
      </c>
      <c r="K1197" s="11">
        <v>3158.93</v>
      </c>
      <c r="L1197" s="11"/>
      <c r="M1197" s="14">
        <v>3158.93</v>
      </c>
      <c r="N1197" s="11" t="s">
        <v>2712</v>
      </c>
      <c r="O1197" s="11" t="s">
        <v>50</v>
      </c>
    </row>
    <row r="1198" spans="1:15" s="13" customFormat="1" ht="19.5" customHeight="1" x14ac:dyDescent="0.25">
      <c r="A1198" s="11" t="s">
        <v>2713</v>
      </c>
      <c r="B1198" s="11" t="s">
        <v>2713</v>
      </c>
      <c r="C1198" s="12">
        <v>45728</v>
      </c>
      <c r="D1198" s="12">
        <v>45818</v>
      </c>
      <c r="E1198" s="11" t="s">
        <v>6</v>
      </c>
      <c r="F1198" s="11" t="s">
        <v>64</v>
      </c>
      <c r="G1198" s="11" t="s">
        <v>2713</v>
      </c>
      <c r="H1198" s="11"/>
      <c r="I1198" s="11" t="s">
        <v>49</v>
      </c>
      <c r="J1198" s="11">
        <v>3166.54</v>
      </c>
      <c r="K1198" s="11">
        <v>3166.54</v>
      </c>
      <c r="L1198" s="11"/>
      <c r="M1198" s="14">
        <v>3166.54</v>
      </c>
      <c r="N1198" s="11" t="s">
        <v>2712</v>
      </c>
      <c r="O1198" s="11" t="s">
        <v>50</v>
      </c>
    </row>
    <row r="1199" spans="1:15" s="13" customFormat="1" ht="19.5" customHeight="1" x14ac:dyDescent="0.25">
      <c r="A1199" s="11" t="s">
        <v>2714</v>
      </c>
      <c r="B1199" s="11" t="s">
        <v>2715</v>
      </c>
      <c r="C1199" s="12">
        <v>45747</v>
      </c>
      <c r="D1199" s="12">
        <v>45747</v>
      </c>
      <c r="E1199" s="11" t="s">
        <v>6</v>
      </c>
      <c r="F1199" s="11" t="s">
        <v>64</v>
      </c>
      <c r="G1199" s="11" t="s">
        <v>2716</v>
      </c>
      <c r="H1199" s="11" t="s">
        <v>2717</v>
      </c>
      <c r="I1199" s="11" t="s">
        <v>49</v>
      </c>
      <c r="J1199" s="11">
        <v>-96363.53</v>
      </c>
      <c r="K1199" s="11"/>
      <c r="L1199" s="11">
        <v>96363.53</v>
      </c>
      <c r="M1199" s="14">
        <v>-96363.53</v>
      </c>
      <c r="N1199" s="11" t="s">
        <v>2718</v>
      </c>
      <c r="O1199" s="11" t="s">
        <v>2706</v>
      </c>
    </row>
    <row r="1200" spans="1:15" s="13" customFormat="1" ht="19.5" customHeight="1" x14ac:dyDescent="0.25">
      <c r="A1200" s="11" t="s">
        <v>2719</v>
      </c>
      <c r="B1200" s="11" t="s">
        <v>2719</v>
      </c>
      <c r="C1200" s="12">
        <v>45728</v>
      </c>
      <c r="D1200" s="12">
        <v>45773</v>
      </c>
      <c r="E1200" s="11" t="s">
        <v>6</v>
      </c>
      <c r="F1200" s="11" t="s">
        <v>64</v>
      </c>
      <c r="G1200" s="11" t="s">
        <v>2719</v>
      </c>
      <c r="H1200" s="11"/>
      <c r="I1200" s="11" t="s">
        <v>49</v>
      </c>
      <c r="J1200" s="11">
        <v>10705.99</v>
      </c>
      <c r="K1200" s="11">
        <v>10705.99</v>
      </c>
      <c r="L1200" s="11"/>
      <c r="M1200" s="14">
        <v>10705.99</v>
      </c>
      <c r="N1200" s="11" t="s">
        <v>2718</v>
      </c>
      <c r="O1200" s="11" t="s">
        <v>50</v>
      </c>
    </row>
    <row r="1201" spans="1:15" s="13" customFormat="1" ht="19.5" customHeight="1" x14ac:dyDescent="0.25">
      <c r="A1201" s="11" t="s">
        <v>2719</v>
      </c>
      <c r="B1201" s="11" t="s">
        <v>2719</v>
      </c>
      <c r="C1201" s="12">
        <v>45728</v>
      </c>
      <c r="D1201" s="12">
        <v>45780</v>
      </c>
      <c r="E1201" s="11" t="s">
        <v>6</v>
      </c>
      <c r="F1201" s="11" t="s">
        <v>64</v>
      </c>
      <c r="G1201" s="11" t="s">
        <v>2719</v>
      </c>
      <c r="H1201" s="11"/>
      <c r="I1201" s="11" t="s">
        <v>49</v>
      </c>
      <c r="J1201" s="11">
        <v>10705.99</v>
      </c>
      <c r="K1201" s="11">
        <v>10705.99</v>
      </c>
      <c r="L1201" s="11"/>
      <c r="M1201" s="14">
        <v>10705.99</v>
      </c>
      <c r="N1201" s="11" t="s">
        <v>2718</v>
      </c>
      <c r="O1201" s="11" t="s">
        <v>50</v>
      </c>
    </row>
    <row r="1202" spans="1:15" s="13" customFormat="1" ht="19.5" customHeight="1" x14ac:dyDescent="0.25">
      <c r="A1202" s="11" t="s">
        <v>2719</v>
      </c>
      <c r="B1202" s="11" t="s">
        <v>2719</v>
      </c>
      <c r="C1202" s="12">
        <v>45728</v>
      </c>
      <c r="D1202" s="12">
        <v>45787</v>
      </c>
      <c r="E1202" s="11" t="s">
        <v>6</v>
      </c>
      <c r="F1202" s="11" t="s">
        <v>64</v>
      </c>
      <c r="G1202" s="11" t="s">
        <v>2719</v>
      </c>
      <c r="H1202" s="11"/>
      <c r="I1202" s="11" t="s">
        <v>49</v>
      </c>
      <c r="J1202" s="11">
        <v>10705.99</v>
      </c>
      <c r="K1202" s="11">
        <v>10705.99</v>
      </c>
      <c r="L1202" s="11"/>
      <c r="M1202" s="14">
        <v>10705.99</v>
      </c>
      <c r="N1202" s="11" t="s">
        <v>2718</v>
      </c>
      <c r="O1202" s="11" t="s">
        <v>50</v>
      </c>
    </row>
    <row r="1203" spans="1:15" s="13" customFormat="1" ht="19.5" customHeight="1" x14ac:dyDescent="0.25">
      <c r="A1203" s="11" t="s">
        <v>2719</v>
      </c>
      <c r="B1203" s="11" t="s">
        <v>2719</v>
      </c>
      <c r="C1203" s="12">
        <v>45728</v>
      </c>
      <c r="D1203" s="12">
        <v>45794</v>
      </c>
      <c r="E1203" s="11" t="s">
        <v>6</v>
      </c>
      <c r="F1203" s="11" t="s">
        <v>64</v>
      </c>
      <c r="G1203" s="11" t="s">
        <v>2719</v>
      </c>
      <c r="H1203" s="11"/>
      <c r="I1203" s="11" t="s">
        <v>49</v>
      </c>
      <c r="J1203" s="11">
        <v>10705.99</v>
      </c>
      <c r="K1203" s="11">
        <v>10705.99</v>
      </c>
      <c r="L1203" s="11"/>
      <c r="M1203" s="14">
        <v>10705.99</v>
      </c>
      <c r="N1203" s="11" t="s">
        <v>2718</v>
      </c>
      <c r="O1203" s="11" t="s">
        <v>50</v>
      </c>
    </row>
    <row r="1204" spans="1:15" s="13" customFormat="1" ht="19.5" customHeight="1" x14ac:dyDescent="0.25">
      <c r="A1204" s="11" t="s">
        <v>2719</v>
      </c>
      <c r="B1204" s="11" t="s">
        <v>2719</v>
      </c>
      <c r="C1204" s="12">
        <v>45728</v>
      </c>
      <c r="D1204" s="12">
        <v>45801</v>
      </c>
      <c r="E1204" s="11" t="s">
        <v>6</v>
      </c>
      <c r="F1204" s="11" t="s">
        <v>64</v>
      </c>
      <c r="G1204" s="11" t="s">
        <v>2719</v>
      </c>
      <c r="H1204" s="11"/>
      <c r="I1204" s="11" t="s">
        <v>49</v>
      </c>
      <c r="J1204" s="11">
        <v>10705.99</v>
      </c>
      <c r="K1204" s="11">
        <v>10705.99</v>
      </c>
      <c r="L1204" s="11"/>
      <c r="M1204" s="14">
        <v>10705.99</v>
      </c>
      <c r="N1204" s="11" t="s">
        <v>2718</v>
      </c>
      <c r="O1204" s="11" t="s">
        <v>50</v>
      </c>
    </row>
    <row r="1205" spans="1:15" s="13" customFormat="1" ht="19.5" customHeight="1" x14ac:dyDescent="0.25">
      <c r="A1205" s="11" t="s">
        <v>2719</v>
      </c>
      <c r="B1205" s="11" t="s">
        <v>2719</v>
      </c>
      <c r="C1205" s="12">
        <v>45728</v>
      </c>
      <c r="D1205" s="12">
        <v>45808</v>
      </c>
      <c r="E1205" s="11" t="s">
        <v>6</v>
      </c>
      <c r="F1205" s="11" t="s">
        <v>64</v>
      </c>
      <c r="G1205" s="11" t="s">
        <v>2719</v>
      </c>
      <c r="H1205" s="11"/>
      <c r="I1205" s="11" t="s">
        <v>49</v>
      </c>
      <c r="J1205" s="11">
        <v>10705.99</v>
      </c>
      <c r="K1205" s="11">
        <v>10705.99</v>
      </c>
      <c r="L1205" s="11"/>
      <c r="M1205" s="14">
        <v>10705.99</v>
      </c>
      <c r="N1205" s="11" t="s">
        <v>2718</v>
      </c>
      <c r="O1205" s="11" t="s">
        <v>50</v>
      </c>
    </row>
    <row r="1206" spans="1:15" s="13" customFormat="1" ht="19.5" customHeight="1" x14ac:dyDescent="0.25">
      <c r="A1206" s="11" t="s">
        <v>2719</v>
      </c>
      <c r="B1206" s="11" t="s">
        <v>2719</v>
      </c>
      <c r="C1206" s="12">
        <v>45728</v>
      </c>
      <c r="D1206" s="12">
        <v>45818</v>
      </c>
      <c r="E1206" s="11" t="s">
        <v>6</v>
      </c>
      <c r="F1206" s="11" t="s">
        <v>64</v>
      </c>
      <c r="G1206" s="11" t="s">
        <v>2719</v>
      </c>
      <c r="H1206" s="11"/>
      <c r="I1206" s="11" t="s">
        <v>49</v>
      </c>
      <c r="J1206" s="11">
        <v>10705.99</v>
      </c>
      <c r="K1206" s="11">
        <v>10705.99</v>
      </c>
      <c r="L1206" s="11"/>
      <c r="M1206" s="14">
        <v>10705.99</v>
      </c>
      <c r="N1206" s="11" t="s">
        <v>2718</v>
      </c>
      <c r="O1206" s="11" t="s">
        <v>50</v>
      </c>
    </row>
    <row r="1207" spans="1:15" s="13" customFormat="1" ht="19.5" customHeight="1" x14ac:dyDescent="0.25">
      <c r="A1207" s="11" t="s">
        <v>2719</v>
      </c>
      <c r="B1207" s="11" t="s">
        <v>2719</v>
      </c>
      <c r="C1207" s="12">
        <v>45728</v>
      </c>
      <c r="D1207" s="12">
        <v>45833</v>
      </c>
      <c r="E1207" s="11" t="s">
        <v>6</v>
      </c>
      <c r="F1207" s="11" t="s">
        <v>64</v>
      </c>
      <c r="G1207" s="11" t="s">
        <v>2719</v>
      </c>
      <c r="H1207" s="11"/>
      <c r="I1207" s="11" t="s">
        <v>49</v>
      </c>
      <c r="J1207" s="11">
        <v>10705.99</v>
      </c>
      <c r="K1207" s="11">
        <v>10705.99</v>
      </c>
      <c r="L1207" s="11"/>
      <c r="M1207" s="14">
        <v>10705.99</v>
      </c>
      <c r="N1207" s="11" t="s">
        <v>2718</v>
      </c>
      <c r="O1207" s="11" t="s">
        <v>50</v>
      </c>
    </row>
    <row r="1208" spans="1:15" s="13" customFormat="1" ht="19.5" customHeight="1" x14ac:dyDescent="0.25">
      <c r="A1208" s="11" t="s">
        <v>2719</v>
      </c>
      <c r="B1208" s="11" t="s">
        <v>2719</v>
      </c>
      <c r="C1208" s="12">
        <v>45728</v>
      </c>
      <c r="D1208" s="12">
        <v>45848</v>
      </c>
      <c r="E1208" s="11" t="s">
        <v>6</v>
      </c>
      <c r="F1208" s="11" t="s">
        <v>64</v>
      </c>
      <c r="G1208" s="11" t="s">
        <v>2719</v>
      </c>
      <c r="H1208" s="11"/>
      <c r="I1208" s="11" t="s">
        <v>49</v>
      </c>
      <c r="J1208" s="11">
        <v>10715.61</v>
      </c>
      <c r="K1208" s="11">
        <v>10715.61</v>
      </c>
      <c r="L1208" s="11"/>
      <c r="M1208" s="14">
        <v>10715.61</v>
      </c>
      <c r="N1208" s="11" t="s">
        <v>2718</v>
      </c>
      <c r="O1208" s="11" t="s">
        <v>50</v>
      </c>
    </row>
    <row r="1209" spans="1:15" s="13" customFormat="1" ht="19.5" customHeight="1" x14ac:dyDescent="0.25">
      <c r="A1209" s="11" t="s">
        <v>2720</v>
      </c>
      <c r="B1209" s="11" t="s">
        <v>2721</v>
      </c>
      <c r="C1209" s="12">
        <v>45747</v>
      </c>
      <c r="D1209" s="12">
        <v>45747</v>
      </c>
      <c r="E1209" s="11" t="s">
        <v>6</v>
      </c>
      <c r="F1209" s="11" t="s">
        <v>64</v>
      </c>
      <c r="G1209" s="11" t="s">
        <v>2722</v>
      </c>
      <c r="H1209" s="11" t="s">
        <v>2723</v>
      </c>
      <c r="I1209" s="11" t="s">
        <v>49</v>
      </c>
      <c r="J1209" s="11">
        <v>-33648.660000000003</v>
      </c>
      <c r="K1209" s="11"/>
      <c r="L1209" s="11">
        <v>33648.660000000003</v>
      </c>
      <c r="M1209" s="14">
        <v>-33648.660000000003</v>
      </c>
      <c r="N1209" s="11" t="s">
        <v>2724</v>
      </c>
      <c r="O1209" s="11" t="s">
        <v>2706</v>
      </c>
    </row>
    <row r="1210" spans="1:15" s="13" customFormat="1" ht="19.5" customHeight="1" x14ac:dyDescent="0.25">
      <c r="A1210" s="11" t="s">
        <v>2725</v>
      </c>
      <c r="B1210" s="11" t="s">
        <v>2725</v>
      </c>
      <c r="C1210" s="12">
        <v>45728</v>
      </c>
      <c r="D1210" s="12">
        <v>45773</v>
      </c>
      <c r="E1210" s="11" t="s">
        <v>6</v>
      </c>
      <c r="F1210" s="11" t="s">
        <v>64</v>
      </c>
      <c r="G1210" s="11" t="s">
        <v>2725</v>
      </c>
      <c r="H1210" s="11"/>
      <c r="I1210" s="11" t="s">
        <v>49</v>
      </c>
      <c r="J1210" s="11">
        <v>5605.87</v>
      </c>
      <c r="K1210" s="11">
        <v>5605.87</v>
      </c>
      <c r="L1210" s="11"/>
      <c r="M1210" s="14">
        <v>5605.87</v>
      </c>
      <c r="N1210" s="11" t="s">
        <v>2724</v>
      </c>
      <c r="O1210" s="11" t="s">
        <v>50</v>
      </c>
    </row>
    <row r="1211" spans="1:15" s="13" customFormat="1" ht="19.5" customHeight="1" x14ac:dyDescent="0.25">
      <c r="A1211" s="11" t="s">
        <v>2725</v>
      </c>
      <c r="B1211" s="11" t="s">
        <v>2725</v>
      </c>
      <c r="C1211" s="12">
        <v>45728</v>
      </c>
      <c r="D1211" s="12">
        <v>45778</v>
      </c>
      <c r="E1211" s="11" t="s">
        <v>6</v>
      </c>
      <c r="F1211" s="11" t="s">
        <v>64</v>
      </c>
      <c r="G1211" s="11" t="s">
        <v>2725</v>
      </c>
      <c r="H1211" s="11"/>
      <c r="I1211" s="11" t="s">
        <v>49</v>
      </c>
      <c r="J1211" s="11">
        <v>5605.87</v>
      </c>
      <c r="K1211" s="11">
        <v>5605.87</v>
      </c>
      <c r="L1211" s="11"/>
      <c r="M1211" s="14">
        <v>5605.87</v>
      </c>
      <c r="N1211" s="11" t="s">
        <v>2724</v>
      </c>
      <c r="O1211" s="11" t="s">
        <v>50</v>
      </c>
    </row>
    <row r="1212" spans="1:15" s="13" customFormat="1" ht="19.5" customHeight="1" x14ac:dyDescent="0.25">
      <c r="A1212" s="11" t="s">
        <v>2725</v>
      </c>
      <c r="B1212" s="11" t="s">
        <v>2725</v>
      </c>
      <c r="C1212" s="12">
        <v>45728</v>
      </c>
      <c r="D1212" s="12">
        <v>45788</v>
      </c>
      <c r="E1212" s="11" t="s">
        <v>6</v>
      </c>
      <c r="F1212" s="11" t="s">
        <v>64</v>
      </c>
      <c r="G1212" s="11" t="s">
        <v>2725</v>
      </c>
      <c r="H1212" s="11"/>
      <c r="I1212" s="11" t="s">
        <v>49</v>
      </c>
      <c r="J1212" s="11">
        <v>5605.87</v>
      </c>
      <c r="K1212" s="11">
        <v>5605.87</v>
      </c>
      <c r="L1212" s="11"/>
      <c r="M1212" s="14">
        <v>5605.87</v>
      </c>
      <c r="N1212" s="11" t="s">
        <v>2724</v>
      </c>
      <c r="O1212" s="11" t="s">
        <v>50</v>
      </c>
    </row>
    <row r="1213" spans="1:15" s="13" customFormat="1" ht="19.5" customHeight="1" x14ac:dyDescent="0.25">
      <c r="A1213" s="11" t="s">
        <v>2725</v>
      </c>
      <c r="B1213" s="11" t="s">
        <v>2725</v>
      </c>
      <c r="C1213" s="12">
        <v>45728</v>
      </c>
      <c r="D1213" s="12">
        <v>45793</v>
      </c>
      <c r="E1213" s="11" t="s">
        <v>6</v>
      </c>
      <c r="F1213" s="11" t="s">
        <v>64</v>
      </c>
      <c r="G1213" s="11" t="s">
        <v>2725</v>
      </c>
      <c r="H1213" s="11"/>
      <c r="I1213" s="11" t="s">
        <v>49</v>
      </c>
      <c r="J1213" s="11">
        <v>5605.87</v>
      </c>
      <c r="K1213" s="11">
        <v>5605.87</v>
      </c>
      <c r="L1213" s="11"/>
      <c r="M1213" s="14">
        <v>5605.87</v>
      </c>
      <c r="N1213" s="11" t="s">
        <v>2724</v>
      </c>
      <c r="O1213" s="11" t="s">
        <v>50</v>
      </c>
    </row>
    <row r="1214" spans="1:15" s="13" customFormat="1" ht="19.5" customHeight="1" x14ac:dyDescent="0.25">
      <c r="A1214" s="11" t="s">
        <v>2725</v>
      </c>
      <c r="B1214" s="11" t="s">
        <v>2725</v>
      </c>
      <c r="C1214" s="12">
        <v>45728</v>
      </c>
      <c r="D1214" s="12">
        <v>45798</v>
      </c>
      <c r="E1214" s="11" t="s">
        <v>6</v>
      </c>
      <c r="F1214" s="11" t="s">
        <v>64</v>
      </c>
      <c r="G1214" s="11" t="s">
        <v>2725</v>
      </c>
      <c r="H1214" s="11"/>
      <c r="I1214" s="11" t="s">
        <v>49</v>
      </c>
      <c r="J1214" s="11">
        <v>5605.87</v>
      </c>
      <c r="K1214" s="11">
        <v>5605.87</v>
      </c>
      <c r="L1214" s="11"/>
      <c r="M1214" s="14">
        <v>5605.87</v>
      </c>
      <c r="N1214" s="11" t="s">
        <v>2724</v>
      </c>
      <c r="O1214" s="11" t="s">
        <v>50</v>
      </c>
    </row>
    <row r="1215" spans="1:15" s="13" customFormat="1" ht="19.5" customHeight="1" x14ac:dyDescent="0.25">
      <c r="A1215" s="11" t="s">
        <v>2725</v>
      </c>
      <c r="B1215" s="11" t="s">
        <v>2725</v>
      </c>
      <c r="C1215" s="12">
        <v>45728</v>
      </c>
      <c r="D1215" s="12">
        <v>45803</v>
      </c>
      <c r="E1215" s="11" t="s">
        <v>6</v>
      </c>
      <c r="F1215" s="11" t="s">
        <v>64</v>
      </c>
      <c r="G1215" s="11" t="s">
        <v>2725</v>
      </c>
      <c r="H1215" s="11"/>
      <c r="I1215" s="11" t="s">
        <v>49</v>
      </c>
      <c r="J1215" s="11">
        <v>5619.31</v>
      </c>
      <c r="K1215" s="11">
        <v>5619.31</v>
      </c>
      <c r="L1215" s="11"/>
      <c r="M1215" s="14">
        <v>5619.31</v>
      </c>
      <c r="N1215" s="11" t="s">
        <v>2724</v>
      </c>
      <c r="O1215" s="11" t="s">
        <v>50</v>
      </c>
    </row>
    <row r="1216" spans="1:15" s="13" customFormat="1" ht="19.5" customHeight="1" x14ac:dyDescent="0.25">
      <c r="A1216" s="11" t="s">
        <v>2726</v>
      </c>
      <c r="B1216" s="11" t="s">
        <v>2727</v>
      </c>
      <c r="C1216" s="12">
        <v>45747</v>
      </c>
      <c r="D1216" s="12">
        <v>45747</v>
      </c>
      <c r="E1216" s="11" t="s">
        <v>6</v>
      </c>
      <c r="F1216" s="11" t="s">
        <v>64</v>
      </c>
      <c r="G1216" s="11" t="s">
        <v>2728</v>
      </c>
      <c r="H1216" s="11" t="s">
        <v>2729</v>
      </c>
      <c r="I1216" s="11" t="s">
        <v>49</v>
      </c>
      <c r="J1216" s="11">
        <v>-3598.45</v>
      </c>
      <c r="K1216" s="11"/>
      <c r="L1216" s="11">
        <v>3598.45</v>
      </c>
      <c r="M1216" s="14">
        <v>-3598.45</v>
      </c>
      <c r="N1216" s="11" t="s">
        <v>2730</v>
      </c>
      <c r="O1216" s="11" t="s">
        <v>2706</v>
      </c>
    </row>
    <row r="1217" spans="1:15" s="13" customFormat="1" ht="19.5" customHeight="1" x14ac:dyDescent="0.25">
      <c r="A1217" s="11" t="s">
        <v>2731</v>
      </c>
      <c r="B1217" s="11" t="s">
        <v>2731</v>
      </c>
      <c r="C1217" s="12">
        <v>45734</v>
      </c>
      <c r="D1217" s="12">
        <v>45779</v>
      </c>
      <c r="E1217" s="11" t="s">
        <v>6</v>
      </c>
      <c r="F1217" s="11" t="s">
        <v>64</v>
      </c>
      <c r="G1217" s="11" t="s">
        <v>2731</v>
      </c>
      <c r="H1217" s="11"/>
      <c r="I1217" s="11" t="s">
        <v>49</v>
      </c>
      <c r="J1217" s="11">
        <v>1799.23</v>
      </c>
      <c r="K1217" s="11">
        <v>1799.23</v>
      </c>
      <c r="L1217" s="11"/>
      <c r="M1217" s="14">
        <v>1799.23</v>
      </c>
      <c r="N1217" s="11" t="s">
        <v>2730</v>
      </c>
      <c r="O1217" s="11" t="s">
        <v>50</v>
      </c>
    </row>
    <row r="1218" spans="1:15" s="13" customFormat="1" ht="19.5" customHeight="1" x14ac:dyDescent="0.25">
      <c r="A1218" s="11" t="s">
        <v>2731</v>
      </c>
      <c r="B1218" s="11" t="s">
        <v>2731</v>
      </c>
      <c r="C1218" s="12">
        <v>45734</v>
      </c>
      <c r="D1218" s="12">
        <v>45794</v>
      </c>
      <c r="E1218" s="11" t="s">
        <v>6</v>
      </c>
      <c r="F1218" s="11" t="s">
        <v>64</v>
      </c>
      <c r="G1218" s="11" t="s">
        <v>2731</v>
      </c>
      <c r="H1218" s="11"/>
      <c r="I1218" s="11" t="s">
        <v>49</v>
      </c>
      <c r="J1218" s="11">
        <v>1799.22</v>
      </c>
      <c r="K1218" s="11">
        <v>1799.22</v>
      </c>
      <c r="L1218" s="11"/>
      <c r="M1218" s="14">
        <v>1799.22</v>
      </c>
      <c r="N1218" s="11" t="s">
        <v>2730</v>
      </c>
      <c r="O1218" s="11" t="s">
        <v>50</v>
      </c>
    </row>
    <row r="1219" spans="1:15" s="13" customFormat="1" ht="19.5" customHeight="1" x14ac:dyDescent="0.25">
      <c r="A1219" s="11" t="s">
        <v>2732</v>
      </c>
      <c r="B1219" s="11" t="s">
        <v>2733</v>
      </c>
      <c r="C1219" s="12">
        <v>45747</v>
      </c>
      <c r="D1219" s="12">
        <v>45747</v>
      </c>
      <c r="E1219" s="11" t="s">
        <v>6</v>
      </c>
      <c r="F1219" s="11" t="s">
        <v>834</v>
      </c>
      <c r="G1219" s="11" t="s">
        <v>2734</v>
      </c>
      <c r="H1219" s="11" t="s">
        <v>2735</v>
      </c>
      <c r="I1219" s="11" t="s">
        <v>49</v>
      </c>
      <c r="J1219" s="11">
        <v>-5875.41</v>
      </c>
      <c r="K1219" s="11"/>
      <c r="L1219" s="11">
        <v>5875.41</v>
      </c>
      <c r="M1219" s="14">
        <v>-5875.41</v>
      </c>
      <c r="N1219" s="11" t="s">
        <v>2736</v>
      </c>
      <c r="O1219" s="11" t="s">
        <v>2706</v>
      </c>
    </row>
    <row r="1220" spans="1:15" s="13" customFormat="1" ht="19.5" customHeight="1" x14ac:dyDescent="0.25">
      <c r="A1220" s="11" t="s">
        <v>2737</v>
      </c>
      <c r="B1220" s="11" t="s">
        <v>2737</v>
      </c>
      <c r="C1220" s="12">
        <v>45730</v>
      </c>
      <c r="D1220" s="12">
        <v>45775</v>
      </c>
      <c r="E1220" s="11" t="s">
        <v>6</v>
      </c>
      <c r="F1220" s="11" t="s">
        <v>834</v>
      </c>
      <c r="G1220" s="11" t="s">
        <v>2737</v>
      </c>
      <c r="H1220" s="11"/>
      <c r="I1220" s="11" t="s">
        <v>49</v>
      </c>
      <c r="J1220" s="11">
        <v>2937.71</v>
      </c>
      <c r="K1220" s="11">
        <v>2937.71</v>
      </c>
      <c r="L1220" s="11"/>
      <c r="M1220" s="14">
        <v>2937.71</v>
      </c>
      <c r="N1220" s="11" t="s">
        <v>2736</v>
      </c>
      <c r="O1220" s="11" t="s">
        <v>50</v>
      </c>
    </row>
    <row r="1221" spans="1:15" s="13" customFormat="1" ht="19.5" customHeight="1" x14ac:dyDescent="0.25">
      <c r="A1221" s="11" t="s">
        <v>2737</v>
      </c>
      <c r="B1221" s="11" t="s">
        <v>2737</v>
      </c>
      <c r="C1221" s="12">
        <v>45730</v>
      </c>
      <c r="D1221" s="12">
        <v>45790</v>
      </c>
      <c r="E1221" s="11" t="s">
        <v>6</v>
      </c>
      <c r="F1221" s="11" t="s">
        <v>834</v>
      </c>
      <c r="G1221" s="11" t="s">
        <v>2737</v>
      </c>
      <c r="H1221" s="11"/>
      <c r="I1221" s="11" t="s">
        <v>49</v>
      </c>
      <c r="J1221" s="11">
        <v>2937.7</v>
      </c>
      <c r="K1221" s="11">
        <v>2937.7</v>
      </c>
      <c r="L1221" s="11"/>
      <c r="M1221" s="14">
        <v>2937.7</v>
      </c>
      <c r="N1221" s="11" t="s">
        <v>2736</v>
      </c>
      <c r="O1221" s="11" t="s">
        <v>50</v>
      </c>
    </row>
    <row r="1222" spans="1:15" s="13" customFormat="1" ht="19.5" customHeight="1" x14ac:dyDescent="0.25">
      <c r="A1222" s="11" t="s">
        <v>2738</v>
      </c>
      <c r="B1222" s="11" t="s">
        <v>2739</v>
      </c>
      <c r="C1222" s="12">
        <v>45747</v>
      </c>
      <c r="D1222" s="12">
        <v>45747</v>
      </c>
      <c r="E1222" s="11" t="s">
        <v>6</v>
      </c>
      <c r="F1222" s="11" t="s">
        <v>834</v>
      </c>
      <c r="G1222" s="11" t="s">
        <v>2740</v>
      </c>
      <c r="H1222" s="11" t="s">
        <v>2741</v>
      </c>
      <c r="I1222" s="11" t="s">
        <v>49</v>
      </c>
      <c r="J1222" s="11">
        <v>-6986.63</v>
      </c>
      <c r="K1222" s="11"/>
      <c r="L1222" s="11">
        <v>6986.63</v>
      </c>
      <c r="M1222" s="14">
        <v>-6986.63</v>
      </c>
      <c r="N1222" s="11" t="s">
        <v>2742</v>
      </c>
      <c r="O1222" s="11" t="s">
        <v>2706</v>
      </c>
    </row>
    <row r="1223" spans="1:15" s="13" customFormat="1" ht="19.5" customHeight="1" x14ac:dyDescent="0.25">
      <c r="A1223" s="11" t="s">
        <v>2743</v>
      </c>
      <c r="B1223" s="11" t="s">
        <v>2743</v>
      </c>
      <c r="C1223" s="12">
        <v>45733</v>
      </c>
      <c r="D1223" s="12">
        <v>45778</v>
      </c>
      <c r="E1223" s="11" t="s">
        <v>6</v>
      </c>
      <c r="F1223" s="11" t="s">
        <v>834</v>
      </c>
      <c r="G1223" s="11" t="s">
        <v>2743</v>
      </c>
      <c r="H1223" s="11"/>
      <c r="I1223" s="11" t="s">
        <v>49</v>
      </c>
      <c r="J1223" s="11">
        <v>1746.66</v>
      </c>
      <c r="K1223" s="11">
        <v>1746.66</v>
      </c>
      <c r="L1223" s="11"/>
      <c r="M1223" s="14">
        <v>1746.66</v>
      </c>
      <c r="N1223" s="11" t="s">
        <v>2742</v>
      </c>
      <c r="O1223" s="11" t="s">
        <v>50</v>
      </c>
    </row>
    <row r="1224" spans="1:15" s="13" customFormat="1" ht="19.5" customHeight="1" x14ac:dyDescent="0.25">
      <c r="A1224" s="11" t="s">
        <v>2743</v>
      </c>
      <c r="B1224" s="11" t="s">
        <v>2743</v>
      </c>
      <c r="C1224" s="12">
        <v>45733</v>
      </c>
      <c r="D1224" s="12">
        <v>45788</v>
      </c>
      <c r="E1224" s="11" t="s">
        <v>6</v>
      </c>
      <c r="F1224" s="11" t="s">
        <v>834</v>
      </c>
      <c r="G1224" s="11" t="s">
        <v>2743</v>
      </c>
      <c r="H1224" s="11"/>
      <c r="I1224" s="11" t="s">
        <v>49</v>
      </c>
      <c r="J1224" s="11">
        <v>1746.66</v>
      </c>
      <c r="K1224" s="11">
        <v>1746.66</v>
      </c>
      <c r="L1224" s="11"/>
      <c r="M1224" s="14">
        <v>1746.66</v>
      </c>
      <c r="N1224" s="11" t="s">
        <v>2742</v>
      </c>
      <c r="O1224" s="11" t="s">
        <v>50</v>
      </c>
    </row>
    <row r="1225" spans="1:15" s="13" customFormat="1" ht="19.5" customHeight="1" x14ac:dyDescent="0.25">
      <c r="A1225" s="11" t="s">
        <v>2743</v>
      </c>
      <c r="B1225" s="11" t="s">
        <v>2743</v>
      </c>
      <c r="C1225" s="12">
        <v>45733</v>
      </c>
      <c r="D1225" s="12">
        <v>45798</v>
      </c>
      <c r="E1225" s="11" t="s">
        <v>6</v>
      </c>
      <c r="F1225" s="11" t="s">
        <v>834</v>
      </c>
      <c r="G1225" s="11" t="s">
        <v>2743</v>
      </c>
      <c r="H1225" s="11"/>
      <c r="I1225" s="11" t="s">
        <v>49</v>
      </c>
      <c r="J1225" s="11">
        <v>1746.66</v>
      </c>
      <c r="K1225" s="11">
        <v>1746.66</v>
      </c>
      <c r="L1225" s="11"/>
      <c r="M1225" s="14">
        <v>1746.66</v>
      </c>
      <c r="N1225" s="11" t="s">
        <v>2742</v>
      </c>
      <c r="O1225" s="11" t="s">
        <v>50</v>
      </c>
    </row>
    <row r="1226" spans="1:15" s="13" customFormat="1" ht="19.5" customHeight="1" x14ac:dyDescent="0.25">
      <c r="A1226" s="11" t="s">
        <v>2743</v>
      </c>
      <c r="B1226" s="11" t="s">
        <v>2743</v>
      </c>
      <c r="C1226" s="12">
        <v>45733</v>
      </c>
      <c r="D1226" s="12">
        <v>45808</v>
      </c>
      <c r="E1226" s="11" t="s">
        <v>6</v>
      </c>
      <c r="F1226" s="11" t="s">
        <v>834</v>
      </c>
      <c r="G1226" s="11" t="s">
        <v>2743</v>
      </c>
      <c r="H1226" s="11"/>
      <c r="I1226" s="11" t="s">
        <v>49</v>
      </c>
      <c r="J1226" s="11">
        <v>1746.65</v>
      </c>
      <c r="K1226" s="11">
        <v>1746.65</v>
      </c>
      <c r="L1226" s="11"/>
      <c r="M1226" s="14">
        <v>1746.65</v>
      </c>
      <c r="N1226" s="11" t="s">
        <v>2742</v>
      </c>
      <c r="O1226" s="11" t="s">
        <v>50</v>
      </c>
    </row>
    <row r="1227" spans="1:15" s="13" customFormat="1" ht="19.5" customHeight="1" x14ac:dyDescent="0.25">
      <c r="A1227" s="11" t="s">
        <v>2744</v>
      </c>
      <c r="B1227" s="11" t="s">
        <v>2745</v>
      </c>
      <c r="C1227" s="12">
        <v>45747</v>
      </c>
      <c r="D1227" s="12">
        <v>45747</v>
      </c>
      <c r="E1227" s="11" t="s">
        <v>6</v>
      </c>
      <c r="F1227" s="11" t="s">
        <v>834</v>
      </c>
      <c r="G1227" s="11" t="s">
        <v>2746</v>
      </c>
      <c r="H1227" s="11" t="s">
        <v>2747</v>
      </c>
      <c r="I1227" s="11" t="s">
        <v>49</v>
      </c>
      <c r="J1227" s="11">
        <v>-12223.42</v>
      </c>
      <c r="K1227" s="11"/>
      <c r="L1227" s="11">
        <v>12223.42</v>
      </c>
      <c r="M1227" s="14">
        <v>-12223.42</v>
      </c>
      <c r="N1227" s="11" t="s">
        <v>2748</v>
      </c>
      <c r="O1227" s="11" t="s">
        <v>2706</v>
      </c>
    </row>
    <row r="1228" spans="1:15" s="13" customFormat="1" ht="19.5" customHeight="1" x14ac:dyDescent="0.25">
      <c r="A1228" s="11" t="s">
        <v>2749</v>
      </c>
      <c r="B1228" s="11" t="s">
        <v>2749</v>
      </c>
      <c r="C1228" s="12">
        <v>45736</v>
      </c>
      <c r="D1228" s="12">
        <v>45781</v>
      </c>
      <c r="E1228" s="11" t="s">
        <v>6</v>
      </c>
      <c r="F1228" s="11" t="s">
        <v>834</v>
      </c>
      <c r="G1228" s="11" t="s">
        <v>2749</v>
      </c>
      <c r="H1228" s="11"/>
      <c r="I1228" s="11" t="s">
        <v>49</v>
      </c>
      <c r="J1228" s="11">
        <v>2036.42</v>
      </c>
      <c r="K1228" s="11">
        <v>2036.42</v>
      </c>
      <c r="L1228" s="11"/>
      <c r="M1228" s="14">
        <v>2036.42</v>
      </c>
      <c r="N1228" s="11" t="s">
        <v>2748</v>
      </c>
      <c r="O1228" s="11" t="s">
        <v>50</v>
      </c>
    </row>
    <row r="1229" spans="1:15" s="13" customFormat="1" ht="19.5" customHeight="1" x14ac:dyDescent="0.25">
      <c r="A1229" s="11" t="s">
        <v>2749</v>
      </c>
      <c r="B1229" s="11" t="s">
        <v>2749</v>
      </c>
      <c r="C1229" s="12">
        <v>45736</v>
      </c>
      <c r="D1229" s="12">
        <v>45788</v>
      </c>
      <c r="E1229" s="11" t="s">
        <v>6</v>
      </c>
      <c r="F1229" s="11" t="s">
        <v>834</v>
      </c>
      <c r="G1229" s="11" t="s">
        <v>2749</v>
      </c>
      <c r="H1229" s="11"/>
      <c r="I1229" s="11" t="s">
        <v>49</v>
      </c>
      <c r="J1229" s="11">
        <v>2036.42</v>
      </c>
      <c r="K1229" s="11">
        <v>2036.42</v>
      </c>
      <c r="L1229" s="11"/>
      <c r="M1229" s="14">
        <v>2036.42</v>
      </c>
      <c r="N1229" s="11" t="s">
        <v>2748</v>
      </c>
      <c r="O1229" s="11" t="s">
        <v>50</v>
      </c>
    </row>
    <row r="1230" spans="1:15" s="13" customFormat="1" ht="19.5" customHeight="1" x14ac:dyDescent="0.25">
      <c r="A1230" s="11" t="s">
        <v>2749</v>
      </c>
      <c r="B1230" s="11" t="s">
        <v>2749</v>
      </c>
      <c r="C1230" s="12">
        <v>45736</v>
      </c>
      <c r="D1230" s="12">
        <v>45795</v>
      </c>
      <c r="E1230" s="11" t="s">
        <v>6</v>
      </c>
      <c r="F1230" s="11" t="s">
        <v>834</v>
      </c>
      <c r="G1230" s="11" t="s">
        <v>2749</v>
      </c>
      <c r="H1230" s="11"/>
      <c r="I1230" s="11" t="s">
        <v>49</v>
      </c>
      <c r="J1230" s="11">
        <v>2036.42</v>
      </c>
      <c r="K1230" s="11">
        <v>2036.42</v>
      </c>
      <c r="L1230" s="11"/>
      <c r="M1230" s="14">
        <v>2036.42</v>
      </c>
      <c r="N1230" s="11" t="s">
        <v>2748</v>
      </c>
      <c r="O1230" s="11" t="s">
        <v>50</v>
      </c>
    </row>
    <row r="1231" spans="1:15" s="13" customFormat="1" ht="19.5" customHeight="1" x14ac:dyDescent="0.25">
      <c r="A1231" s="11" t="s">
        <v>2749</v>
      </c>
      <c r="B1231" s="11" t="s">
        <v>2749</v>
      </c>
      <c r="C1231" s="12">
        <v>45736</v>
      </c>
      <c r="D1231" s="12">
        <v>45802</v>
      </c>
      <c r="E1231" s="11" t="s">
        <v>6</v>
      </c>
      <c r="F1231" s="11" t="s">
        <v>834</v>
      </c>
      <c r="G1231" s="11" t="s">
        <v>2749</v>
      </c>
      <c r="H1231" s="11"/>
      <c r="I1231" s="11" t="s">
        <v>49</v>
      </c>
      <c r="J1231" s="11">
        <v>2036.42</v>
      </c>
      <c r="K1231" s="11">
        <v>2036.42</v>
      </c>
      <c r="L1231" s="11"/>
      <c r="M1231" s="14">
        <v>2036.42</v>
      </c>
      <c r="N1231" s="11" t="s">
        <v>2748</v>
      </c>
      <c r="O1231" s="11" t="s">
        <v>50</v>
      </c>
    </row>
    <row r="1232" spans="1:15" s="13" customFormat="1" ht="19.5" customHeight="1" x14ac:dyDescent="0.25">
      <c r="A1232" s="11" t="s">
        <v>2749</v>
      </c>
      <c r="B1232" s="11" t="s">
        <v>2749</v>
      </c>
      <c r="C1232" s="12">
        <v>45736</v>
      </c>
      <c r="D1232" s="12">
        <v>45809</v>
      </c>
      <c r="E1232" s="11" t="s">
        <v>6</v>
      </c>
      <c r="F1232" s="11" t="s">
        <v>834</v>
      </c>
      <c r="G1232" s="11" t="s">
        <v>2749</v>
      </c>
      <c r="H1232" s="11"/>
      <c r="I1232" s="11" t="s">
        <v>49</v>
      </c>
      <c r="J1232" s="11">
        <v>2036.42</v>
      </c>
      <c r="K1232" s="11">
        <v>2036.42</v>
      </c>
      <c r="L1232" s="11"/>
      <c r="M1232" s="14">
        <v>2036.42</v>
      </c>
      <c r="N1232" s="11" t="s">
        <v>2748</v>
      </c>
      <c r="O1232" s="11" t="s">
        <v>50</v>
      </c>
    </row>
    <row r="1233" spans="1:15" s="13" customFormat="1" ht="19.5" customHeight="1" x14ac:dyDescent="0.25">
      <c r="A1233" s="11" t="s">
        <v>2749</v>
      </c>
      <c r="B1233" s="11" t="s">
        <v>2749</v>
      </c>
      <c r="C1233" s="12">
        <v>45736</v>
      </c>
      <c r="D1233" s="12">
        <v>45826</v>
      </c>
      <c r="E1233" s="11" t="s">
        <v>6</v>
      </c>
      <c r="F1233" s="11" t="s">
        <v>834</v>
      </c>
      <c r="G1233" s="11" t="s">
        <v>2749</v>
      </c>
      <c r="H1233" s="11"/>
      <c r="I1233" s="11" t="s">
        <v>49</v>
      </c>
      <c r="J1233" s="11">
        <v>2041.32</v>
      </c>
      <c r="K1233" s="11">
        <v>2041.32</v>
      </c>
      <c r="L1233" s="11"/>
      <c r="M1233" s="14">
        <v>2041.32</v>
      </c>
      <c r="N1233" s="11" t="s">
        <v>2748</v>
      </c>
      <c r="O1233" s="11" t="s">
        <v>50</v>
      </c>
    </row>
    <row r="1234" spans="1:15" s="13" customFormat="1" ht="19.5" customHeight="1" x14ac:dyDescent="0.25">
      <c r="A1234" s="11" t="s">
        <v>2750</v>
      </c>
      <c r="B1234" s="11" t="s">
        <v>2751</v>
      </c>
      <c r="C1234" s="12">
        <v>45747</v>
      </c>
      <c r="D1234" s="12">
        <v>45747</v>
      </c>
      <c r="E1234" s="11" t="s">
        <v>6</v>
      </c>
      <c r="F1234" s="11" t="s">
        <v>834</v>
      </c>
      <c r="G1234" s="11" t="s">
        <v>2752</v>
      </c>
      <c r="H1234" s="11" t="s">
        <v>2753</v>
      </c>
      <c r="I1234" s="11" t="s">
        <v>49</v>
      </c>
      <c r="J1234" s="11">
        <v>-20237.53</v>
      </c>
      <c r="K1234" s="11"/>
      <c r="L1234" s="11">
        <v>20237.53</v>
      </c>
      <c r="M1234" s="14">
        <v>-20237.53</v>
      </c>
      <c r="N1234" s="11" t="s">
        <v>2754</v>
      </c>
      <c r="O1234" s="11" t="s">
        <v>2706</v>
      </c>
    </row>
    <row r="1235" spans="1:15" s="13" customFormat="1" ht="19.5" customHeight="1" x14ac:dyDescent="0.25">
      <c r="A1235" s="11" t="s">
        <v>2755</v>
      </c>
      <c r="B1235" s="11" t="s">
        <v>2755</v>
      </c>
      <c r="C1235" s="12">
        <v>45736</v>
      </c>
      <c r="D1235" s="12">
        <v>45781</v>
      </c>
      <c r="E1235" s="11" t="s">
        <v>6</v>
      </c>
      <c r="F1235" s="11" t="s">
        <v>834</v>
      </c>
      <c r="G1235" s="11" t="s">
        <v>2755</v>
      </c>
      <c r="H1235" s="11"/>
      <c r="I1235" s="11" t="s">
        <v>49</v>
      </c>
      <c r="J1235" s="11">
        <v>3371.57</v>
      </c>
      <c r="K1235" s="11">
        <v>3371.57</v>
      </c>
      <c r="L1235" s="11"/>
      <c r="M1235" s="14">
        <v>3371.57</v>
      </c>
      <c r="N1235" s="11" t="s">
        <v>2754</v>
      </c>
      <c r="O1235" s="11" t="s">
        <v>50</v>
      </c>
    </row>
    <row r="1236" spans="1:15" s="13" customFormat="1" ht="19.5" customHeight="1" x14ac:dyDescent="0.25">
      <c r="A1236" s="11" t="s">
        <v>2755</v>
      </c>
      <c r="B1236" s="11" t="s">
        <v>2755</v>
      </c>
      <c r="C1236" s="12">
        <v>45736</v>
      </c>
      <c r="D1236" s="12">
        <v>45788</v>
      </c>
      <c r="E1236" s="11" t="s">
        <v>6</v>
      </c>
      <c r="F1236" s="11" t="s">
        <v>834</v>
      </c>
      <c r="G1236" s="11" t="s">
        <v>2755</v>
      </c>
      <c r="H1236" s="11"/>
      <c r="I1236" s="11" t="s">
        <v>49</v>
      </c>
      <c r="J1236" s="11">
        <v>3371.57</v>
      </c>
      <c r="K1236" s="11">
        <v>3371.57</v>
      </c>
      <c r="L1236" s="11"/>
      <c r="M1236" s="14">
        <v>3371.57</v>
      </c>
      <c r="N1236" s="11" t="s">
        <v>2754</v>
      </c>
      <c r="O1236" s="11" t="s">
        <v>50</v>
      </c>
    </row>
    <row r="1237" spans="1:15" s="13" customFormat="1" ht="19.5" customHeight="1" x14ac:dyDescent="0.25">
      <c r="A1237" s="11" t="s">
        <v>2755</v>
      </c>
      <c r="B1237" s="11" t="s">
        <v>2755</v>
      </c>
      <c r="C1237" s="12">
        <v>45736</v>
      </c>
      <c r="D1237" s="12">
        <v>45795</v>
      </c>
      <c r="E1237" s="11" t="s">
        <v>6</v>
      </c>
      <c r="F1237" s="11" t="s">
        <v>834</v>
      </c>
      <c r="G1237" s="11" t="s">
        <v>2755</v>
      </c>
      <c r="H1237" s="11"/>
      <c r="I1237" s="11" t="s">
        <v>49</v>
      </c>
      <c r="J1237" s="11">
        <v>3371.57</v>
      </c>
      <c r="K1237" s="11">
        <v>3371.57</v>
      </c>
      <c r="L1237" s="11"/>
      <c r="M1237" s="14">
        <v>3371.57</v>
      </c>
      <c r="N1237" s="11" t="s">
        <v>2754</v>
      </c>
      <c r="O1237" s="11" t="s">
        <v>50</v>
      </c>
    </row>
    <row r="1238" spans="1:15" s="13" customFormat="1" ht="19.5" customHeight="1" x14ac:dyDescent="0.25">
      <c r="A1238" s="11" t="s">
        <v>2755</v>
      </c>
      <c r="B1238" s="11" t="s">
        <v>2755</v>
      </c>
      <c r="C1238" s="12">
        <v>45736</v>
      </c>
      <c r="D1238" s="12">
        <v>45802</v>
      </c>
      <c r="E1238" s="11" t="s">
        <v>6</v>
      </c>
      <c r="F1238" s="11" t="s">
        <v>834</v>
      </c>
      <c r="G1238" s="11" t="s">
        <v>2755</v>
      </c>
      <c r="H1238" s="11"/>
      <c r="I1238" s="11" t="s">
        <v>49</v>
      </c>
      <c r="J1238" s="11">
        <v>3371.57</v>
      </c>
      <c r="K1238" s="11">
        <v>3371.57</v>
      </c>
      <c r="L1238" s="11"/>
      <c r="M1238" s="14">
        <v>3371.57</v>
      </c>
      <c r="N1238" s="11" t="s">
        <v>2754</v>
      </c>
      <c r="O1238" s="11" t="s">
        <v>50</v>
      </c>
    </row>
    <row r="1239" spans="1:15" s="13" customFormat="1" ht="19.5" customHeight="1" x14ac:dyDescent="0.25">
      <c r="A1239" s="11" t="s">
        <v>2755</v>
      </c>
      <c r="B1239" s="11" t="s">
        <v>2755</v>
      </c>
      <c r="C1239" s="12">
        <v>45736</v>
      </c>
      <c r="D1239" s="12">
        <v>45809</v>
      </c>
      <c r="E1239" s="11" t="s">
        <v>6</v>
      </c>
      <c r="F1239" s="11" t="s">
        <v>834</v>
      </c>
      <c r="G1239" s="11" t="s">
        <v>2755</v>
      </c>
      <c r="H1239" s="11"/>
      <c r="I1239" s="11" t="s">
        <v>49</v>
      </c>
      <c r="J1239" s="11">
        <v>3371.57</v>
      </c>
      <c r="K1239" s="11">
        <v>3371.57</v>
      </c>
      <c r="L1239" s="11"/>
      <c r="M1239" s="14">
        <v>3371.57</v>
      </c>
      <c r="N1239" s="11" t="s">
        <v>2754</v>
      </c>
      <c r="O1239" s="11" t="s">
        <v>50</v>
      </c>
    </row>
    <row r="1240" spans="1:15" s="13" customFormat="1" ht="19.5" customHeight="1" x14ac:dyDescent="0.25">
      <c r="A1240" s="11" t="s">
        <v>2755</v>
      </c>
      <c r="B1240" s="11" t="s">
        <v>2755</v>
      </c>
      <c r="C1240" s="12">
        <v>45736</v>
      </c>
      <c r="D1240" s="12">
        <v>45826</v>
      </c>
      <c r="E1240" s="11" t="s">
        <v>6</v>
      </c>
      <c r="F1240" s="11" t="s">
        <v>834</v>
      </c>
      <c r="G1240" s="11" t="s">
        <v>2755</v>
      </c>
      <c r="H1240" s="11"/>
      <c r="I1240" s="11" t="s">
        <v>49</v>
      </c>
      <c r="J1240" s="11">
        <v>3379.68</v>
      </c>
      <c r="K1240" s="11">
        <v>3379.68</v>
      </c>
      <c r="L1240" s="11"/>
      <c r="M1240" s="14">
        <v>3379.68</v>
      </c>
      <c r="N1240" s="11" t="s">
        <v>2754</v>
      </c>
      <c r="O1240" s="11" t="s">
        <v>50</v>
      </c>
    </row>
    <row r="1241" spans="1:15" s="13" customFormat="1" ht="19.5" customHeight="1" x14ac:dyDescent="0.25">
      <c r="A1241" s="11" t="s">
        <v>2756</v>
      </c>
      <c r="B1241" s="11" t="s">
        <v>2757</v>
      </c>
      <c r="C1241" s="12">
        <v>45747</v>
      </c>
      <c r="D1241" s="12">
        <v>45747</v>
      </c>
      <c r="E1241" s="11" t="s">
        <v>6</v>
      </c>
      <c r="F1241" s="11" t="s">
        <v>834</v>
      </c>
      <c r="G1241" s="11" t="s">
        <v>2758</v>
      </c>
      <c r="H1241" s="11" t="s">
        <v>2759</v>
      </c>
      <c r="I1241" s="11" t="s">
        <v>49</v>
      </c>
      <c r="J1241" s="11">
        <v>-8057.5</v>
      </c>
      <c r="K1241" s="11"/>
      <c r="L1241" s="11">
        <v>8057.5</v>
      </c>
      <c r="M1241" s="14">
        <v>-8057.5</v>
      </c>
      <c r="N1241" s="11" t="s">
        <v>2760</v>
      </c>
      <c r="O1241" s="11" t="s">
        <v>2706</v>
      </c>
    </row>
    <row r="1242" spans="1:15" s="13" customFormat="1" ht="19.5" customHeight="1" x14ac:dyDescent="0.25">
      <c r="A1242" s="11" t="s">
        <v>2761</v>
      </c>
      <c r="B1242" s="11" t="s">
        <v>2761</v>
      </c>
      <c r="C1242" s="12">
        <v>45736</v>
      </c>
      <c r="D1242" s="12">
        <v>45781</v>
      </c>
      <c r="E1242" s="11" t="s">
        <v>6</v>
      </c>
      <c r="F1242" s="11" t="s">
        <v>834</v>
      </c>
      <c r="G1242" s="11" t="s">
        <v>2761</v>
      </c>
      <c r="H1242" s="11"/>
      <c r="I1242" s="11" t="s">
        <v>49</v>
      </c>
      <c r="J1242" s="11">
        <v>2014.38</v>
      </c>
      <c r="K1242" s="11">
        <v>2014.38</v>
      </c>
      <c r="L1242" s="11"/>
      <c r="M1242" s="14">
        <v>2014.38</v>
      </c>
      <c r="N1242" s="11" t="s">
        <v>2760</v>
      </c>
      <c r="O1242" s="11" t="s">
        <v>50</v>
      </c>
    </row>
    <row r="1243" spans="1:15" s="13" customFormat="1" ht="19.5" customHeight="1" x14ac:dyDescent="0.25">
      <c r="A1243" s="11" t="s">
        <v>2761</v>
      </c>
      <c r="B1243" s="11" t="s">
        <v>2761</v>
      </c>
      <c r="C1243" s="12">
        <v>45736</v>
      </c>
      <c r="D1243" s="12">
        <v>45791</v>
      </c>
      <c r="E1243" s="11" t="s">
        <v>6</v>
      </c>
      <c r="F1243" s="11" t="s">
        <v>834</v>
      </c>
      <c r="G1243" s="11" t="s">
        <v>2761</v>
      </c>
      <c r="H1243" s="11"/>
      <c r="I1243" s="11" t="s">
        <v>49</v>
      </c>
      <c r="J1243" s="11">
        <v>2014.38</v>
      </c>
      <c r="K1243" s="11">
        <v>2014.38</v>
      </c>
      <c r="L1243" s="11"/>
      <c r="M1243" s="14">
        <v>2014.38</v>
      </c>
      <c r="N1243" s="11" t="s">
        <v>2760</v>
      </c>
      <c r="O1243" s="11" t="s">
        <v>50</v>
      </c>
    </row>
    <row r="1244" spans="1:15" s="13" customFormat="1" ht="19.5" customHeight="1" x14ac:dyDescent="0.25">
      <c r="A1244" s="11" t="s">
        <v>2761</v>
      </c>
      <c r="B1244" s="11" t="s">
        <v>2761</v>
      </c>
      <c r="C1244" s="12">
        <v>45736</v>
      </c>
      <c r="D1244" s="12">
        <v>45801</v>
      </c>
      <c r="E1244" s="11" t="s">
        <v>6</v>
      </c>
      <c r="F1244" s="11" t="s">
        <v>834</v>
      </c>
      <c r="G1244" s="11" t="s">
        <v>2761</v>
      </c>
      <c r="H1244" s="11"/>
      <c r="I1244" s="11" t="s">
        <v>49</v>
      </c>
      <c r="J1244" s="11">
        <v>2014.38</v>
      </c>
      <c r="K1244" s="11">
        <v>2014.38</v>
      </c>
      <c r="L1244" s="11"/>
      <c r="M1244" s="14">
        <v>2014.38</v>
      </c>
      <c r="N1244" s="11" t="s">
        <v>2760</v>
      </c>
      <c r="O1244" s="11" t="s">
        <v>50</v>
      </c>
    </row>
    <row r="1245" spans="1:15" s="13" customFormat="1" ht="19.5" customHeight="1" x14ac:dyDescent="0.25">
      <c r="A1245" s="11" t="s">
        <v>2761</v>
      </c>
      <c r="B1245" s="11" t="s">
        <v>2761</v>
      </c>
      <c r="C1245" s="12">
        <v>45736</v>
      </c>
      <c r="D1245" s="12">
        <v>45811</v>
      </c>
      <c r="E1245" s="11" t="s">
        <v>6</v>
      </c>
      <c r="F1245" s="11" t="s">
        <v>834</v>
      </c>
      <c r="G1245" s="11" t="s">
        <v>2761</v>
      </c>
      <c r="H1245" s="11"/>
      <c r="I1245" s="11" t="s">
        <v>49</v>
      </c>
      <c r="J1245" s="11">
        <v>2014.36</v>
      </c>
      <c r="K1245" s="11">
        <v>2014.36</v>
      </c>
      <c r="L1245" s="11"/>
      <c r="M1245" s="14">
        <v>2014.36</v>
      </c>
      <c r="N1245" s="11" t="s">
        <v>2760</v>
      </c>
      <c r="O1245" s="11" t="s">
        <v>50</v>
      </c>
    </row>
    <row r="1246" spans="1:15" s="13" customFormat="1" ht="19.5" customHeight="1" x14ac:dyDescent="0.25">
      <c r="A1246" s="11" t="s">
        <v>2762</v>
      </c>
      <c r="B1246" s="11" t="s">
        <v>2763</v>
      </c>
      <c r="C1246" s="12">
        <v>45747</v>
      </c>
      <c r="D1246" s="12">
        <v>45747</v>
      </c>
      <c r="E1246" s="11" t="s">
        <v>6</v>
      </c>
      <c r="F1246" s="11" t="s">
        <v>834</v>
      </c>
      <c r="G1246" s="11" t="s">
        <v>2764</v>
      </c>
      <c r="H1246" s="11" t="s">
        <v>2765</v>
      </c>
      <c r="I1246" s="11" t="s">
        <v>49</v>
      </c>
      <c r="J1246" s="11">
        <v>-7353.74</v>
      </c>
      <c r="K1246" s="11"/>
      <c r="L1246" s="11">
        <v>7353.74</v>
      </c>
      <c r="M1246" s="14">
        <v>-7353.74</v>
      </c>
      <c r="N1246" s="11" t="s">
        <v>2766</v>
      </c>
      <c r="O1246" s="11" t="s">
        <v>2706</v>
      </c>
    </row>
    <row r="1247" spans="1:15" s="13" customFormat="1" ht="19.5" customHeight="1" x14ac:dyDescent="0.25">
      <c r="A1247" s="11" t="s">
        <v>2767</v>
      </c>
      <c r="B1247" s="11" t="s">
        <v>2767</v>
      </c>
      <c r="C1247" s="12">
        <v>45742</v>
      </c>
      <c r="D1247" s="12">
        <v>45787</v>
      </c>
      <c r="E1247" s="11" t="s">
        <v>6</v>
      </c>
      <c r="F1247" s="11" t="s">
        <v>834</v>
      </c>
      <c r="G1247" s="11" t="s">
        <v>2767</v>
      </c>
      <c r="H1247" s="11"/>
      <c r="I1247" s="11" t="s">
        <v>49</v>
      </c>
      <c r="J1247" s="11">
        <v>1838.44</v>
      </c>
      <c r="K1247" s="11">
        <v>1838.44</v>
      </c>
      <c r="L1247" s="11"/>
      <c r="M1247" s="14">
        <v>1838.44</v>
      </c>
      <c r="N1247" s="11" t="s">
        <v>2766</v>
      </c>
      <c r="O1247" s="11" t="s">
        <v>50</v>
      </c>
    </row>
    <row r="1248" spans="1:15" s="13" customFormat="1" ht="19.5" customHeight="1" x14ac:dyDescent="0.25">
      <c r="A1248" s="11" t="s">
        <v>2767</v>
      </c>
      <c r="B1248" s="11" t="s">
        <v>2767</v>
      </c>
      <c r="C1248" s="12">
        <v>45742</v>
      </c>
      <c r="D1248" s="12">
        <v>45797</v>
      </c>
      <c r="E1248" s="11" t="s">
        <v>6</v>
      </c>
      <c r="F1248" s="11" t="s">
        <v>834</v>
      </c>
      <c r="G1248" s="11" t="s">
        <v>2767</v>
      </c>
      <c r="H1248" s="11"/>
      <c r="I1248" s="11" t="s">
        <v>49</v>
      </c>
      <c r="J1248" s="11">
        <v>1838.44</v>
      </c>
      <c r="K1248" s="11">
        <v>1838.44</v>
      </c>
      <c r="L1248" s="11"/>
      <c r="M1248" s="14">
        <v>1838.44</v>
      </c>
      <c r="N1248" s="11" t="s">
        <v>2766</v>
      </c>
      <c r="O1248" s="11" t="s">
        <v>50</v>
      </c>
    </row>
    <row r="1249" spans="1:15" s="13" customFormat="1" ht="19.5" customHeight="1" x14ac:dyDescent="0.25">
      <c r="A1249" s="11" t="s">
        <v>2767</v>
      </c>
      <c r="B1249" s="11" t="s">
        <v>2767</v>
      </c>
      <c r="C1249" s="12">
        <v>45742</v>
      </c>
      <c r="D1249" s="12">
        <v>45807</v>
      </c>
      <c r="E1249" s="11" t="s">
        <v>6</v>
      </c>
      <c r="F1249" s="11" t="s">
        <v>834</v>
      </c>
      <c r="G1249" s="11" t="s">
        <v>2767</v>
      </c>
      <c r="H1249" s="11"/>
      <c r="I1249" s="11" t="s">
        <v>49</v>
      </c>
      <c r="J1249" s="11">
        <v>1838.44</v>
      </c>
      <c r="K1249" s="11">
        <v>1838.44</v>
      </c>
      <c r="L1249" s="11"/>
      <c r="M1249" s="14">
        <v>1838.44</v>
      </c>
      <c r="N1249" s="11" t="s">
        <v>2766</v>
      </c>
      <c r="O1249" s="11" t="s">
        <v>50</v>
      </c>
    </row>
    <row r="1250" spans="1:15" s="13" customFormat="1" ht="19.5" customHeight="1" x14ac:dyDescent="0.25">
      <c r="A1250" s="11" t="s">
        <v>2767</v>
      </c>
      <c r="B1250" s="11" t="s">
        <v>2767</v>
      </c>
      <c r="C1250" s="12">
        <v>45742</v>
      </c>
      <c r="D1250" s="12">
        <v>45817</v>
      </c>
      <c r="E1250" s="11" t="s">
        <v>6</v>
      </c>
      <c r="F1250" s="11" t="s">
        <v>834</v>
      </c>
      <c r="G1250" s="11" t="s">
        <v>2767</v>
      </c>
      <c r="H1250" s="11"/>
      <c r="I1250" s="11" t="s">
        <v>49</v>
      </c>
      <c r="J1250" s="11">
        <v>1838.42</v>
      </c>
      <c r="K1250" s="11">
        <v>1838.42</v>
      </c>
      <c r="L1250" s="11"/>
      <c r="M1250" s="14">
        <v>1838.42</v>
      </c>
      <c r="N1250" s="11" t="s">
        <v>2766</v>
      </c>
      <c r="O1250" s="11" t="s">
        <v>50</v>
      </c>
    </row>
    <row r="1251" spans="1:15" s="13" customFormat="1" ht="19.5" customHeight="1" x14ac:dyDescent="0.25">
      <c r="A1251" s="11" t="s">
        <v>2768</v>
      </c>
      <c r="B1251" s="11" t="s">
        <v>2769</v>
      </c>
      <c r="C1251" s="12">
        <v>45747</v>
      </c>
      <c r="D1251" s="12">
        <v>45747</v>
      </c>
      <c r="E1251" s="11" t="s">
        <v>6</v>
      </c>
      <c r="F1251" s="11" t="s">
        <v>834</v>
      </c>
      <c r="G1251" s="11" t="s">
        <v>2770</v>
      </c>
      <c r="H1251" s="11" t="s">
        <v>2771</v>
      </c>
      <c r="I1251" s="11" t="s">
        <v>49</v>
      </c>
      <c r="J1251" s="11">
        <v>-9153.83</v>
      </c>
      <c r="K1251" s="11"/>
      <c r="L1251" s="11">
        <v>9153.83</v>
      </c>
      <c r="M1251" s="14">
        <v>-9153.83</v>
      </c>
      <c r="N1251" s="11" t="s">
        <v>2772</v>
      </c>
      <c r="O1251" s="11" t="s">
        <v>2706</v>
      </c>
    </row>
    <row r="1252" spans="1:15" s="13" customFormat="1" ht="19.5" customHeight="1" x14ac:dyDescent="0.25">
      <c r="A1252" s="11" t="s">
        <v>2773</v>
      </c>
      <c r="B1252" s="11" t="s">
        <v>2773</v>
      </c>
      <c r="C1252" s="12">
        <v>45743</v>
      </c>
      <c r="D1252" s="12">
        <v>45788</v>
      </c>
      <c r="E1252" s="11" t="s">
        <v>6</v>
      </c>
      <c r="F1252" s="11" t="s">
        <v>834</v>
      </c>
      <c r="G1252" s="11" t="s">
        <v>2773</v>
      </c>
      <c r="H1252" s="11"/>
      <c r="I1252" s="11" t="s">
        <v>49</v>
      </c>
      <c r="J1252" s="11">
        <v>2288.46</v>
      </c>
      <c r="K1252" s="11">
        <v>2288.46</v>
      </c>
      <c r="L1252" s="11"/>
      <c r="M1252" s="14">
        <v>2288.46</v>
      </c>
      <c r="N1252" s="11" t="s">
        <v>2772</v>
      </c>
      <c r="O1252" s="11" t="s">
        <v>50</v>
      </c>
    </row>
    <row r="1253" spans="1:15" s="13" customFormat="1" ht="19.5" customHeight="1" x14ac:dyDescent="0.25">
      <c r="A1253" s="11" t="s">
        <v>2773</v>
      </c>
      <c r="B1253" s="11" t="s">
        <v>2773</v>
      </c>
      <c r="C1253" s="12">
        <v>45743</v>
      </c>
      <c r="D1253" s="12">
        <v>45798</v>
      </c>
      <c r="E1253" s="11" t="s">
        <v>6</v>
      </c>
      <c r="F1253" s="11" t="s">
        <v>834</v>
      </c>
      <c r="G1253" s="11" t="s">
        <v>2773</v>
      </c>
      <c r="H1253" s="11"/>
      <c r="I1253" s="11" t="s">
        <v>49</v>
      </c>
      <c r="J1253" s="11">
        <v>2288.46</v>
      </c>
      <c r="K1253" s="11">
        <v>2288.46</v>
      </c>
      <c r="L1253" s="11"/>
      <c r="M1253" s="14">
        <v>2288.46</v>
      </c>
      <c r="N1253" s="11" t="s">
        <v>2772</v>
      </c>
      <c r="O1253" s="11" t="s">
        <v>50</v>
      </c>
    </row>
    <row r="1254" spans="1:15" s="13" customFormat="1" ht="19.5" customHeight="1" x14ac:dyDescent="0.25">
      <c r="A1254" s="11" t="s">
        <v>2773</v>
      </c>
      <c r="B1254" s="11" t="s">
        <v>2773</v>
      </c>
      <c r="C1254" s="12">
        <v>45743</v>
      </c>
      <c r="D1254" s="12">
        <v>45808</v>
      </c>
      <c r="E1254" s="11" t="s">
        <v>6</v>
      </c>
      <c r="F1254" s="11" t="s">
        <v>834</v>
      </c>
      <c r="G1254" s="11" t="s">
        <v>2773</v>
      </c>
      <c r="H1254" s="11"/>
      <c r="I1254" s="11" t="s">
        <v>49</v>
      </c>
      <c r="J1254" s="11">
        <v>2288.46</v>
      </c>
      <c r="K1254" s="11">
        <v>2288.46</v>
      </c>
      <c r="L1254" s="11"/>
      <c r="M1254" s="14">
        <v>2288.46</v>
      </c>
      <c r="N1254" s="11" t="s">
        <v>2772</v>
      </c>
      <c r="O1254" s="11" t="s">
        <v>50</v>
      </c>
    </row>
    <row r="1255" spans="1:15" s="13" customFormat="1" ht="19.5" customHeight="1" x14ac:dyDescent="0.25">
      <c r="A1255" s="11" t="s">
        <v>2773</v>
      </c>
      <c r="B1255" s="11" t="s">
        <v>2773</v>
      </c>
      <c r="C1255" s="12">
        <v>45743</v>
      </c>
      <c r="D1255" s="12">
        <v>45818</v>
      </c>
      <c r="E1255" s="11" t="s">
        <v>6</v>
      </c>
      <c r="F1255" s="11" t="s">
        <v>834</v>
      </c>
      <c r="G1255" s="11" t="s">
        <v>2773</v>
      </c>
      <c r="H1255" s="11"/>
      <c r="I1255" s="11" t="s">
        <v>49</v>
      </c>
      <c r="J1255" s="11">
        <v>2288.4499999999998</v>
      </c>
      <c r="K1255" s="11">
        <v>2288.4499999999998</v>
      </c>
      <c r="L1255" s="11"/>
      <c r="M1255" s="14">
        <v>2288.4499999999998</v>
      </c>
      <c r="N1255" s="11" t="s">
        <v>2772</v>
      </c>
      <c r="O1255" s="11" t="s">
        <v>50</v>
      </c>
    </row>
    <row r="1256" spans="1:15" s="13" customFormat="1" ht="19.5" customHeight="1" x14ac:dyDescent="0.25">
      <c r="A1256" s="11" t="s">
        <v>2774</v>
      </c>
      <c r="B1256" s="11" t="s">
        <v>2774</v>
      </c>
      <c r="C1256" s="12">
        <v>46106</v>
      </c>
      <c r="D1256" s="12">
        <v>46151</v>
      </c>
      <c r="E1256" s="11" t="s">
        <v>6</v>
      </c>
      <c r="F1256" s="11" t="s">
        <v>843</v>
      </c>
      <c r="G1256" s="11" t="s">
        <v>2774</v>
      </c>
      <c r="H1256" s="11"/>
      <c r="I1256" s="11" t="s">
        <v>49</v>
      </c>
      <c r="J1256" s="11">
        <v>2254.27</v>
      </c>
      <c r="K1256" s="11">
        <v>2254.27</v>
      </c>
      <c r="L1256" s="11"/>
      <c r="M1256" s="14">
        <v>2254.27</v>
      </c>
      <c r="N1256" s="11" t="s">
        <v>2775</v>
      </c>
      <c r="O1256" s="11" t="s">
        <v>50</v>
      </c>
    </row>
    <row r="1257" spans="1:15" s="13" customFormat="1" ht="19.5" customHeight="1" x14ac:dyDescent="0.25">
      <c r="A1257" s="11" t="s">
        <v>2774</v>
      </c>
      <c r="B1257" s="11" t="s">
        <v>2774</v>
      </c>
      <c r="C1257" s="12">
        <v>46106</v>
      </c>
      <c r="D1257" s="12">
        <v>46166</v>
      </c>
      <c r="E1257" s="11" t="s">
        <v>6</v>
      </c>
      <c r="F1257" s="11" t="s">
        <v>843</v>
      </c>
      <c r="G1257" s="11" t="s">
        <v>2774</v>
      </c>
      <c r="H1257" s="11"/>
      <c r="I1257" s="11" t="s">
        <v>49</v>
      </c>
      <c r="J1257" s="11">
        <v>2254.27</v>
      </c>
      <c r="K1257" s="11">
        <v>2254.27</v>
      </c>
      <c r="L1257" s="11"/>
      <c r="M1257" s="14">
        <v>2254.27</v>
      </c>
      <c r="N1257" s="11" t="s">
        <v>2775</v>
      </c>
      <c r="O1257" s="11" t="s">
        <v>50</v>
      </c>
    </row>
    <row r="1258" spans="1:15" s="13" customFormat="1" ht="19.5" customHeight="1" x14ac:dyDescent="0.25">
      <c r="A1258" s="11" t="s">
        <v>2776</v>
      </c>
      <c r="B1258" s="11" t="s">
        <v>2776</v>
      </c>
      <c r="C1258" s="12">
        <v>46108</v>
      </c>
      <c r="D1258" s="12">
        <v>46153</v>
      </c>
      <c r="E1258" s="11" t="s">
        <v>6</v>
      </c>
      <c r="F1258" s="11" t="s">
        <v>843</v>
      </c>
      <c r="G1258" s="11" t="s">
        <v>2776</v>
      </c>
      <c r="H1258" s="11"/>
      <c r="I1258" s="11" t="s">
        <v>49</v>
      </c>
      <c r="J1258" s="11">
        <v>5209.58</v>
      </c>
      <c r="K1258" s="11">
        <v>5209.58</v>
      </c>
      <c r="L1258" s="11"/>
      <c r="M1258" s="14">
        <v>5209.58</v>
      </c>
      <c r="N1258" s="11" t="s">
        <v>2777</v>
      </c>
      <c r="O1258" s="11" t="s">
        <v>50</v>
      </c>
    </row>
    <row r="1259" spans="1:15" s="13" customFormat="1" ht="19.5" customHeight="1" x14ac:dyDescent="0.25">
      <c r="A1259" s="11" t="s">
        <v>2776</v>
      </c>
      <c r="B1259" s="11" t="s">
        <v>2776</v>
      </c>
      <c r="C1259" s="12">
        <v>46108</v>
      </c>
      <c r="D1259" s="12">
        <v>46160</v>
      </c>
      <c r="E1259" s="11" t="s">
        <v>6</v>
      </c>
      <c r="F1259" s="11" t="s">
        <v>843</v>
      </c>
      <c r="G1259" s="11" t="s">
        <v>2776</v>
      </c>
      <c r="H1259" s="11"/>
      <c r="I1259" s="11" t="s">
        <v>49</v>
      </c>
      <c r="J1259" s="11">
        <v>5209.58</v>
      </c>
      <c r="K1259" s="11">
        <v>5209.58</v>
      </c>
      <c r="L1259" s="11"/>
      <c r="M1259" s="14">
        <v>5209.58</v>
      </c>
      <c r="N1259" s="11" t="s">
        <v>2777</v>
      </c>
      <c r="O1259" s="11" t="s">
        <v>50</v>
      </c>
    </row>
    <row r="1260" spans="1:15" s="13" customFormat="1" ht="19.5" customHeight="1" x14ac:dyDescent="0.25">
      <c r="A1260" s="11" t="s">
        <v>2776</v>
      </c>
      <c r="B1260" s="11" t="s">
        <v>2776</v>
      </c>
      <c r="C1260" s="12">
        <v>46108</v>
      </c>
      <c r="D1260" s="12">
        <v>46167</v>
      </c>
      <c r="E1260" s="11" t="s">
        <v>6</v>
      </c>
      <c r="F1260" s="11" t="s">
        <v>843</v>
      </c>
      <c r="G1260" s="11" t="s">
        <v>2776</v>
      </c>
      <c r="H1260" s="11"/>
      <c r="I1260" s="11" t="s">
        <v>49</v>
      </c>
      <c r="J1260" s="11">
        <v>5209.58</v>
      </c>
      <c r="K1260" s="11">
        <v>5209.58</v>
      </c>
      <c r="L1260" s="11"/>
      <c r="M1260" s="14">
        <v>5209.58</v>
      </c>
      <c r="N1260" s="11" t="s">
        <v>2777</v>
      </c>
      <c r="O1260" s="11" t="s">
        <v>50</v>
      </c>
    </row>
    <row r="1261" spans="1:15" s="13" customFormat="1" ht="19.5" customHeight="1" x14ac:dyDescent="0.25">
      <c r="A1261" s="11" t="s">
        <v>2776</v>
      </c>
      <c r="B1261" s="11" t="s">
        <v>2776</v>
      </c>
      <c r="C1261" s="12">
        <v>46108</v>
      </c>
      <c r="D1261" s="12">
        <v>46174</v>
      </c>
      <c r="E1261" s="11" t="s">
        <v>6</v>
      </c>
      <c r="F1261" s="11" t="s">
        <v>843</v>
      </c>
      <c r="G1261" s="11" t="s">
        <v>2776</v>
      </c>
      <c r="H1261" s="11"/>
      <c r="I1261" s="11" t="s">
        <v>49</v>
      </c>
      <c r="J1261" s="11">
        <v>5209.58</v>
      </c>
      <c r="K1261" s="11">
        <v>5209.58</v>
      </c>
      <c r="L1261" s="11"/>
      <c r="M1261" s="14">
        <v>5209.58</v>
      </c>
      <c r="N1261" s="11" t="s">
        <v>2777</v>
      </c>
      <c r="O1261" s="11" t="s">
        <v>50</v>
      </c>
    </row>
    <row r="1262" spans="1:15" s="13" customFormat="1" ht="19.5" customHeight="1" x14ac:dyDescent="0.25">
      <c r="A1262" s="11" t="s">
        <v>2776</v>
      </c>
      <c r="B1262" s="11" t="s">
        <v>2776</v>
      </c>
      <c r="C1262" s="12">
        <v>46108</v>
      </c>
      <c r="D1262" s="12">
        <v>46181</v>
      </c>
      <c r="E1262" s="11" t="s">
        <v>6</v>
      </c>
      <c r="F1262" s="11" t="s">
        <v>843</v>
      </c>
      <c r="G1262" s="11" t="s">
        <v>2776</v>
      </c>
      <c r="H1262" s="11"/>
      <c r="I1262" s="11" t="s">
        <v>49</v>
      </c>
      <c r="J1262" s="11">
        <v>5209.58</v>
      </c>
      <c r="K1262" s="11">
        <v>5209.58</v>
      </c>
      <c r="L1262" s="11"/>
      <c r="M1262" s="14">
        <v>5209.58</v>
      </c>
      <c r="N1262" s="11" t="s">
        <v>2777</v>
      </c>
      <c r="O1262" s="11" t="s">
        <v>50</v>
      </c>
    </row>
    <row r="1263" spans="1:15" s="13" customFormat="1" ht="19.5" customHeight="1" x14ac:dyDescent="0.25">
      <c r="A1263" s="11" t="s">
        <v>2776</v>
      </c>
      <c r="B1263" s="11" t="s">
        <v>2776</v>
      </c>
      <c r="C1263" s="12">
        <v>46108</v>
      </c>
      <c r="D1263" s="12">
        <v>46198</v>
      </c>
      <c r="E1263" s="11" t="s">
        <v>6</v>
      </c>
      <c r="F1263" s="11" t="s">
        <v>843</v>
      </c>
      <c r="G1263" s="11" t="s">
        <v>2776</v>
      </c>
      <c r="H1263" s="11"/>
      <c r="I1263" s="11" t="s">
        <v>49</v>
      </c>
      <c r="J1263" s="11">
        <v>5222.1000000000004</v>
      </c>
      <c r="K1263" s="11">
        <v>5222.1000000000004</v>
      </c>
      <c r="L1263" s="11"/>
      <c r="M1263" s="14">
        <v>5222.1000000000004</v>
      </c>
      <c r="N1263" s="11" t="s">
        <v>2777</v>
      </c>
      <c r="O1263" s="11" t="s">
        <v>50</v>
      </c>
    </row>
    <row r="1264" spans="1:15" s="13" customFormat="1" ht="19.5" customHeight="1" x14ac:dyDescent="0.25">
      <c r="A1264" s="11" t="s">
        <v>2778</v>
      </c>
      <c r="B1264" s="11" t="s">
        <v>2779</v>
      </c>
      <c r="C1264" s="12">
        <v>46097</v>
      </c>
      <c r="D1264" s="11"/>
      <c r="E1264" s="11" t="s">
        <v>6</v>
      </c>
      <c r="F1264" s="11" t="s">
        <v>295</v>
      </c>
      <c r="G1264" s="11" t="s">
        <v>2780</v>
      </c>
      <c r="H1264" s="11" t="s">
        <v>2781</v>
      </c>
      <c r="I1264" s="11" t="s">
        <v>49</v>
      </c>
      <c r="J1264" s="11">
        <v>-17.12</v>
      </c>
      <c r="K1264" s="11"/>
      <c r="L1264" s="11">
        <v>17.12</v>
      </c>
      <c r="M1264" s="14">
        <v>-17.12</v>
      </c>
      <c r="N1264" s="11" t="s">
        <v>2782</v>
      </c>
      <c r="O1264" s="11" t="s">
        <v>234</v>
      </c>
    </row>
    <row r="1265" spans="1:15" s="13" customFormat="1" ht="19.5" customHeight="1" x14ac:dyDescent="0.25">
      <c r="A1265" s="11" t="s">
        <v>2780</v>
      </c>
      <c r="B1265" s="11" t="s">
        <v>2780</v>
      </c>
      <c r="C1265" s="12">
        <v>46096</v>
      </c>
      <c r="D1265" s="12">
        <v>46096</v>
      </c>
      <c r="E1265" s="11" t="s">
        <v>6</v>
      </c>
      <c r="F1265" s="11" t="s">
        <v>295</v>
      </c>
      <c r="G1265" s="11" t="s">
        <v>2780</v>
      </c>
      <c r="H1265" s="11"/>
      <c r="I1265" s="11" t="s">
        <v>49</v>
      </c>
      <c r="J1265" s="11">
        <v>22.99</v>
      </c>
      <c r="K1265" s="11">
        <v>22.99</v>
      </c>
      <c r="L1265" s="11"/>
      <c r="M1265" s="14">
        <v>22.99</v>
      </c>
      <c r="N1265" s="11" t="s">
        <v>2782</v>
      </c>
      <c r="O1265" s="11" t="s">
        <v>50</v>
      </c>
    </row>
    <row r="1266" spans="1:15" s="13" customFormat="1" ht="19.5" customHeight="1" x14ac:dyDescent="0.25">
      <c r="A1266" s="11" t="s">
        <v>2783</v>
      </c>
      <c r="B1266" s="11" t="s">
        <v>2783</v>
      </c>
      <c r="C1266" s="12">
        <v>46096</v>
      </c>
      <c r="D1266" s="12">
        <v>46096</v>
      </c>
      <c r="E1266" s="11" t="s">
        <v>6</v>
      </c>
      <c r="F1266" s="11" t="s">
        <v>295</v>
      </c>
      <c r="G1266" s="11" t="s">
        <v>2783</v>
      </c>
      <c r="H1266" s="11"/>
      <c r="I1266" s="11" t="s">
        <v>49</v>
      </c>
      <c r="J1266" s="11">
        <v>17</v>
      </c>
      <c r="K1266" s="11">
        <v>17</v>
      </c>
      <c r="L1266" s="11"/>
      <c r="M1266" s="14">
        <v>17</v>
      </c>
      <c r="N1266" s="11" t="s">
        <v>2782</v>
      </c>
      <c r="O1266" s="11" t="s">
        <v>50</v>
      </c>
    </row>
    <row r="1267" spans="1:15" s="13" customFormat="1" ht="19.5" customHeight="1" x14ac:dyDescent="0.25">
      <c r="A1267" s="11" t="s">
        <v>2784</v>
      </c>
      <c r="B1267" s="11" t="s">
        <v>2784</v>
      </c>
      <c r="C1267" s="12">
        <v>46096</v>
      </c>
      <c r="D1267" s="12">
        <v>46096</v>
      </c>
      <c r="E1267" s="11" t="s">
        <v>6</v>
      </c>
      <c r="F1267" s="11" t="s">
        <v>295</v>
      </c>
      <c r="G1267" s="11" t="s">
        <v>2784</v>
      </c>
      <c r="H1267" s="11"/>
      <c r="I1267" s="11" t="s">
        <v>49</v>
      </c>
      <c r="J1267" s="11">
        <v>27.98</v>
      </c>
      <c r="K1267" s="11">
        <v>27.98</v>
      </c>
      <c r="L1267" s="11"/>
      <c r="M1267" s="14">
        <v>27.98</v>
      </c>
      <c r="N1267" s="11" t="s">
        <v>2782</v>
      </c>
      <c r="O1267" s="11" t="s">
        <v>50</v>
      </c>
    </row>
    <row r="1268" spans="1:15" s="13" customFormat="1" ht="19.5" customHeight="1" x14ac:dyDescent="0.25">
      <c r="A1268" s="11" t="s">
        <v>2785</v>
      </c>
      <c r="B1268" s="11" t="s">
        <v>2785</v>
      </c>
      <c r="C1268" s="12">
        <v>46096</v>
      </c>
      <c r="D1268" s="12">
        <v>46096</v>
      </c>
      <c r="E1268" s="11" t="s">
        <v>6</v>
      </c>
      <c r="F1268" s="11" t="s">
        <v>295</v>
      </c>
      <c r="G1268" s="11" t="s">
        <v>2785</v>
      </c>
      <c r="H1268" s="11"/>
      <c r="I1268" s="11" t="s">
        <v>49</v>
      </c>
      <c r="J1268" s="11">
        <v>16</v>
      </c>
      <c r="K1268" s="11">
        <v>16</v>
      </c>
      <c r="L1268" s="11"/>
      <c r="M1268" s="14">
        <v>16</v>
      </c>
      <c r="N1268" s="11" t="s">
        <v>2782</v>
      </c>
      <c r="O1268" s="11" t="s">
        <v>50</v>
      </c>
    </row>
    <row r="1269" spans="1:15" s="13" customFormat="1" ht="19.5" customHeight="1" x14ac:dyDescent="0.25">
      <c r="A1269" s="11" t="s">
        <v>2786</v>
      </c>
      <c r="B1269" s="11" t="s">
        <v>2786</v>
      </c>
      <c r="C1269" s="12">
        <v>46096</v>
      </c>
      <c r="D1269" s="12">
        <v>46096</v>
      </c>
      <c r="E1269" s="11" t="s">
        <v>6</v>
      </c>
      <c r="F1269" s="11" t="s">
        <v>295</v>
      </c>
      <c r="G1269" s="11" t="s">
        <v>2786</v>
      </c>
      <c r="H1269" s="11"/>
      <c r="I1269" s="11" t="s">
        <v>49</v>
      </c>
      <c r="J1269" s="11">
        <v>80.099999999999994</v>
      </c>
      <c r="K1269" s="11">
        <v>80.099999999999994</v>
      </c>
      <c r="L1269" s="11"/>
      <c r="M1269" s="14">
        <v>80.099999999999994</v>
      </c>
      <c r="N1269" s="11" t="s">
        <v>2782</v>
      </c>
      <c r="O1269" s="11" t="s">
        <v>50</v>
      </c>
    </row>
    <row r="1270" spans="1:15" s="13" customFormat="1" ht="19.5" customHeight="1" x14ac:dyDescent="0.25">
      <c r="A1270" s="11" t="s">
        <v>2787</v>
      </c>
      <c r="B1270" s="11" t="s">
        <v>2787</v>
      </c>
      <c r="C1270" s="12">
        <v>46096</v>
      </c>
      <c r="D1270" s="12">
        <v>46096</v>
      </c>
      <c r="E1270" s="11" t="s">
        <v>6</v>
      </c>
      <c r="F1270" s="11" t="s">
        <v>295</v>
      </c>
      <c r="G1270" s="11" t="s">
        <v>2787</v>
      </c>
      <c r="H1270" s="11"/>
      <c r="I1270" s="11" t="s">
        <v>49</v>
      </c>
      <c r="J1270" s="11">
        <v>8</v>
      </c>
      <c r="K1270" s="11">
        <v>8</v>
      </c>
      <c r="L1270" s="11"/>
      <c r="M1270" s="14">
        <v>8</v>
      </c>
      <c r="N1270" s="11" t="s">
        <v>2782</v>
      </c>
      <c r="O1270" s="11" t="s">
        <v>50</v>
      </c>
    </row>
    <row r="1271" spans="1:15" s="13" customFormat="1" ht="19.5" customHeight="1" x14ac:dyDescent="0.25">
      <c r="A1271" s="11" t="s">
        <v>2788</v>
      </c>
      <c r="B1271" s="11" t="s">
        <v>2788</v>
      </c>
      <c r="C1271" s="12">
        <v>46096</v>
      </c>
      <c r="D1271" s="12">
        <v>46096</v>
      </c>
      <c r="E1271" s="11" t="s">
        <v>6</v>
      </c>
      <c r="F1271" s="11" t="s">
        <v>295</v>
      </c>
      <c r="G1271" s="11" t="s">
        <v>2788</v>
      </c>
      <c r="H1271" s="11"/>
      <c r="I1271" s="11" t="s">
        <v>49</v>
      </c>
      <c r="J1271" s="11">
        <v>50</v>
      </c>
      <c r="K1271" s="11">
        <v>50</v>
      </c>
      <c r="L1271" s="11"/>
      <c r="M1271" s="14">
        <v>50</v>
      </c>
      <c r="N1271" s="11" t="s">
        <v>2782</v>
      </c>
      <c r="O1271" s="11" t="s">
        <v>50</v>
      </c>
    </row>
    <row r="1272" spans="1:15" s="13" customFormat="1" ht="19.5" customHeight="1" x14ac:dyDescent="0.25">
      <c r="A1272" s="11" t="s">
        <v>2789</v>
      </c>
      <c r="B1272" s="11" t="s">
        <v>2789</v>
      </c>
      <c r="C1272" s="12">
        <v>46096</v>
      </c>
      <c r="D1272" s="12">
        <v>46096</v>
      </c>
      <c r="E1272" s="11" t="s">
        <v>6</v>
      </c>
      <c r="F1272" s="11" t="s">
        <v>295</v>
      </c>
      <c r="G1272" s="11" t="s">
        <v>2789</v>
      </c>
      <c r="H1272" s="11"/>
      <c r="I1272" s="11" t="s">
        <v>49</v>
      </c>
      <c r="J1272" s="11">
        <v>25.99</v>
      </c>
      <c r="K1272" s="11">
        <v>25.99</v>
      </c>
      <c r="L1272" s="11"/>
      <c r="M1272" s="14">
        <v>25.99</v>
      </c>
      <c r="N1272" s="11" t="s">
        <v>2782</v>
      </c>
      <c r="O1272" s="11" t="s">
        <v>50</v>
      </c>
    </row>
    <row r="1273" spans="1:15" s="13" customFormat="1" ht="19.5" customHeight="1" x14ac:dyDescent="0.25">
      <c r="A1273" s="11" t="s">
        <v>2790</v>
      </c>
      <c r="B1273" s="11" t="s">
        <v>2790</v>
      </c>
      <c r="C1273" s="12">
        <v>46096</v>
      </c>
      <c r="D1273" s="12">
        <v>46096</v>
      </c>
      <c r="E1273" s="11" t="s">
        <v>6</v>
      </c>
      <c r="F1273" s="11" t="s">
        <v>295</v>
      </c>
      <c r="G1273" s="11" t="s">
        <v>2790</v>
      </c>
      <c r="H1273" s="11"/>
      <c r="I1273" s="11" t="s">
        <v>49</v>
      </c>
      <c r="J1273" s="11">
        <v>16</v>
      </c>
      <c r="K1273" s="11">
        <v>16</v>
      </c>
      <c r="L1273" s="11"/>
      <c r="M1273" s="14">
        <v>16</v>
      </c>
      <c r="N1273" s="11" t="s">
        <v>2782</v>
      </c>
      <c r="O1273" s="11" t="s">
        <v>50</v>
      </c>
    </row>
    <row r="1274" spans="1:15" s="13" customFormat="1" ht="19.5" customHeight="1" x14ac:dyDescent="0.25">
      <c r="A1274" s="11" t="s">
        <v>2791</v>
      </c>
      <c r="B1274" s="11" t="s">
        <v>2791</v>
      </c>
      <c r="C1274" s="12">
        <v>46096</v>
      </c>
      <c r="D1274" s="12">
        <v>46096</v>
      </c>
      <c r="E1274" s="11" t="s">
        <v>6</v>
      </c>
      <c r="F1274" s="11" t="s">
        <v>295</v>
      </c>
      <c r="G1274" s="11" t="s">
        <v>2791</v>
      </c>
      <c r="H1274" s="11"/>
      <c r="I1274" s="11" t="s">
        <v>49</v>
      </c>
      <c r="J1274" s="11">
        <v>178</v>
      </c>
      <c r="K1274" s="11">
        <v>178</v>
      </c>
      <c r="L1274" s="11"/>
      <c r="M1274" s="14">
        <v>178</v>
      </c>
      <c r="N1274" s="11" t="s">
        <v>2782</v>
      </c>
      <c r="O1274" s="11" t="s">
        <v>50</v>
      </c>
    </row>
    <row r="1275" spans="1:15" s="13" customFormat="1" ht="19.5" customHeight="1" x14ac:dyDescent="0.25">
      <c r="A1275" s="11" t="s">
        <v>2792</v>
      </c>
      <c r="B1275" s="11" t="s">
        <v>2793</v>
      </c>
      <c r="C1275" s="12">
        <v>46053</v>
      </c>
      <c r="D1275" s="11"/>
      <c r="E1275" s="11" t="s">
        <v>6</v>
      </c>
      <c r="F1275" s="11"/>
      <c r="G1275" s="11"/>
      <c r="H1275" s="11" t="s">
        <v>2794</v>
      </c>
      <c r="I1275" s="11" t="s">
        <v>49</v>
      </c>
      <c r="J1275" s="11">
        <v>-36369.79</v>
      </c>
      <c r="K1275" s="11"/>
      <c r="L1275" s="11">
        <v>36369.79</v>
      </c>
      <c r="M1275" s="14">
        <v>-36369.79</v>
      </c>
      <c r="N1275" s="11" t="s">
        <v>2795</v>
      </c>
      <c r="O1275" s="11" t="s">
        <v>234</v>
      </c>
    </row>
    <row r="1276" spans="1:15" s="13" customFormat="1" ht="19.5" customHeight="1" x14ac:dyDescent="0.25">
      <c r="A1276" s="11" t="s">
        <v>2796</v>
      </c>
      <c r="B1276" s="11" t="s">
        <v>2796</v>
      </c>
      <c r="C1276" s="12">
        <v>46052</v>
      </c>
      <c r="D1276" s="12">
        <v>46052</v>
      </c>
      <c r="E1276" s="11" t="s">
        <v>6</v>
      </c>
      <c r="F1276" s="11" t="s">
        <v>2139</v>
      </c>
      <c r="G1276" s="11" t="s">
        <v>2796</v>
      </c>
      <c r="H1276" s="11"/>
      <c r="I1276" s="11" t="s">
        <v>49</v>
      </c>
      <c r="J1276" s="11">
        <v>336.02</v>
      </c>
      <c r="K1276" s="11">
        <v>336.02</v>
      </c>
      <c r="L1276" s="11"/>
      <c r="M1276" s="14">
        <v>336.02</v>
      </c>
      <c r="N1276" s="11" t="s">
        <v>2795</v>
      </c>
      <c r="O1276" s="11" t="s">
        <v>50</v>
      </c>
    </row>
    <row r="1277" spans="1:15" s="13" customFormat="1" ht="19.5" customHeight="1" x14ac:dyDescent="0.25">
      <c r="A1277" s="11" t="s">
        <v>2797</v>
      </c>
      <c r="B1277" s="11" t="s">
        <v>2797</v>
      </c>
      <c r="C1277" s="12">
        <v>46052</v>
      </c>
      <c r="D1277" s="12">
        <v>46052</v>
      </c>
      <c r="E1277" s="11" t="s">
        <v>6</v>
      </c>
      <c r="F1277" s="11" t="s">
        <v>295</v>
      </c>
      <c r="G1277" s="11" t="s">
        <v>2797</v>
      </c>
      <c r="H1277" s="11"/>
      <c r="I1277" s="11" t="s">
        <v>49</v>
      </c>
      <c r="J1277" s="11">
        <v>327.56</v>
      </c>
      <c r="K1277" s="11">
        <v>327.56</v>
      </c>
      <c r="L1277" s="11"/>
      <c r="M1277" s="14">
        <v>327.56</v>
      </c>
      <c r="N1277" s="11" t="s">
        <v>2795</v>
      </c>
      <c r="O1277" s="11" t="s">
        <v>50</v>
      </c>
    </row>
    <row r="1278" spans="1:15" s="13" customFormat="1" ht="19.5" customHeight="1" x14ac:dyDescent="0.25">
      <c r="A1278" s="11" t="s">
        <v>2798</v>
      </c>
      <c r="B1278" s="11" t="s">
        <v>2798</v>
      </c>
      <c r="C1278" s="12">
        <v>46052</v>
      </c>
      <c r="D1278" s="12">
        <v>46052</v>
      </c>
      <c r="E1278" s="11" t="s">
        <v>6</v>
      </c>
      <c r="F1278" s="11" t="s">
        <v>295</v>
      </c>
      <c r="G1278" s="11" t="s">
        <v>2798</v>
      </c>
      <c r="H1278" s="11"/>
      <c r="I1278" s="11" t="s">
        <v>49</v>
      </c>
      <c r="J1278" s="11">
        <v>426.6</v>
      </c>
      <c r="K1278" s="11">
        <v>426.6</v>
      </c>
      <c r="L1278" s="11"/>
      <c r="M1278" s="14">
        <v>426.6</v>
      </c>
      <c r="N1278" s="11" t="s">
        <v>2795</v>
      </c>
      <c r="O1278" s="11" t="s">
        <v>50</v>
      </c>
    </row>
    <row r="1279" spans="1:15" s="13" customFormat="1" ht="19.5" customHeight="1" x14ac:dyDescent="0.25">
      <c r="A1279" s="11" t="s">
        <v>2799</v>
      </c>
      <c r="B1279" s="11" t="s">
        <v>2799</v>
      </c>
      <c r="C1279" s="12">
        <v>46052</v>
      </c>
      <c r="D1279" s="12">
        <v>46052</v>
      </c>
      <c r="E1279" s="11" t="s">
        <v>6</v>
      </c>
      <c r="F1279" s="11" t="s">
        <v>2800</v>
      </c>
      <c r="G1279" s="11" t="s">
        <v>2799</v>
      </c>
      <c r="H1279" s="11"/>
      <c r="I1279" s="11" t="s">
        <v>49</v>
      </c>
      <c r="J1279" s="11">
        <v>304.7</v>
      </c>
      <c r="K1279" s="11">
        <v>304.7</v>
      </c>
      <c r="L1279" s="11"/>
      <c r="M1279" s="14">
        <v>304.7</v>
      </c>
      <c r="N1279" s="11" t="s">
        <v>2795</v>
      </c>
      <c r="O1279" s="11" t="s">
        <v>50</v>
      </c>
    </row>
    <row r="1280" spans="1:15" s="13" customFormat="1" ht="19.5" customHeight="1" x14ac:dyDescent="0.25">
      <c r="A1280" s="11" t="s">
        <v>2801</v>
      </c>
      <c r="B1280" s="11" t="s">
        <v>2801</v>
      </c>
      <c r="C1280" s="12">
        <v>46051</v>
      </c>
      <c r="D1280" s="12">
        <v>46051</v>
      </c>
      <c r="E1280" s="11" t="s">
        <v>6</v>
      </c>
      <c r="F1280" s="11" t="s">
        <v>2802</v>
      </c>
      <c r="G1280" s="11" t="s">
        <v>2801</v>
      </c>
      <c r="H1280" s="11"/>
      <c r="I1280" s="11" t="s">
        <v>49</v>
      </c>
      <c r="J1280" s="11">
        <v>53.79</v>
      </c>
      <c r="K1280" s="11">
        <v>53.79</v>
      </c>
      <c r="L1280" s="11"/>
      <c r="M1280" s="14">
        <v>53.79</v>
      </c>
      <c r="N1280" s="11" t="s">
        <v>2795</v>
      </c>
      <c r="O1280" s="11" t="s">
        <v>50</v>
      </c>
    </row>
    <row r="1281" spans="1:15" s="13" customFormat="1" ht="19.5" customHeight="1" x14ac:dyDescent="0.25">
      <c r="A1281" s="11" t="s">
        <v>2803</v>
      </c>
      <c r="B1281" s="11" t="s">
        <v>2803</v>
      </c>
      <c r="C1281" s="12">
        <v>46050</v>
      </c>
      <c r="D1281" s="12">
        <v>46050</v>
      </c>
      <c r="E1281" s="11" t="s">
        <v>6</v>
      </c>
      <c r="F1281" s="11" t="s">
        <v>295</v>
      </c>
      <c r="G1281" s="11" t="s">
        <v>2803</v>
      </c>
      <c r="H1281" s="11"/>
      <c r="I1281" s="11" t="s">
        <v>49</v>
      </c>
      <c r="J1281" s="11">
        <v>152.35</v>
      </c>
      <c r="K1281" s="11">
        <v>152.35</v>
      </c>
      <c r="L1281" s="11"/>
      <c r="M1281" s="14">
        <v>152.35</v>
      </c>
      <c r="N1281" s="11" t="s">
        <v>2795</v>
      </c>
      <c r="O1281" s="11" t="s">
        <v>50</v>
      </c>
    </row>
    <row r="1282" spans="1:15" s="13" customFormat="1" ht="19.5" customHeight="1" x14ac:dyDescent="0.25">
      <c r="A1282" s="11" t="s">
        <v>2804</v>
      </c>
      <c r="B1282" s="11" t="s">
        <v>2804</v>
      </c>
      <c r="C1282" s="12">
        <v>46050</v>
      </c>
      <c r="D1282" s="12">
        <v>46050</v>
      </c>
      <c r="E1282" s="11" t="s">
        <v>6</v>
      </c>
      <c r="F1282" s="11" t="s">
        <v>64</v>
      </c>
      <c r="G1282" s="11" t="s">
        <v>2804</v>
      </c>
      <c r="H1282" s="11"/>
      <c r="I1282" s="11" t="s">
        <v>49</v>
      </c>
      <c r="J1282" s="11">
        <v>141.6</v>
      </c>
      <c r="K1282" s="11">
        <v>141.6</v>
      </c>
      <c r="L1282" s="11"/>
      <c r="M1282" s="14">
        <v>141.6</v>
      </c>
      <c r="N1282" s="11" t="s">
        <v>2795</v>
      </c>
      <c r="O1282" s="11" t="s">
        <v>50</v>
      </c>
    </row>
    <row r="1283" spans="1:15" s="13" customFormat="1" ht="19.5" customHeight="1" x14ac:dyDescent="0.25">
      <c r="A1283" s="11" t="s">
        <v>2805</v>
      </c>
      <c r="B1283" s="11" t="s">
        <v>2805</v>
      </c>
      <c r="C1283" s="12">
        <v>46050</v>
      </c>
      <c r="D1283" s="12">
        <v>46050</v>
      </c>
      <c r="E1283" s="11" t="s">
        <v>6</v>
      </c>
      <c r="F1283" s="11" t="s">
        <v>295</v>
      </c>
      <c r="G1283" s="11" t="s">
        <v>2805</v>
      </c>
      <c r="H1283" s="11"/>
      <c r="I1283" s="11" t="s">
        <v>49</v>
      </c>
      <c r="J1283" s="11">
        <v>362.79</v>
      </c>
      <c r="K1283" s="11">
        <v>362.79</v>
      </c>
      <c r="L1283" s="11"/>
      <c r="M1283" s="14">
        <v>362.79</v>
      </c>
      <c r="N1283" s="11" t="s">
        <v>2795</v>
      </c>
      <c r="O1283" s="11" t="s">
        <v>50</v>
      </c>
    </row>
    <row r="1284" spans="1:15" s="13" customFormat="1" ht="19.5" customHeight="1" x14ac:dyDescent="0.25">
      <c r="A1284" s="11" t="s">
        <v>2806</v>
      </c>
      <c r="B1284" s="11" t="s">
        <v>2806</v>
      </c>
      <c r="C1284" s="12">
        <v>46049</v>
      </c>
      <c r="D1284" s="12">
        <v>46049</v>
      </c>
      <c r="E1284" s="11" t="s">
        <v>6</v>
      </c>
      <c r="F1284" s="11" t="s">
        <v>2139</v>
      </c>
      <c r="G1284" s="11" t="s">
        <v>2806</v>
      </c>
      <c r="H1284" s="11"/>
      <c r="I1284" s="11" t="s">
        <v>49</v>
      </c>
      <c r="J1284" s="11">
        <v>1121.19</v>
      </c>
      <c r="K1284" s="11">
        <v>1121.19</v>
      </c>
      <c r="L1284" s="11"/>
      <c r="M1284" s="14">
        <v>1121.19</v>
      </c>
      <c r="N1284" s="11" t="s">
        <v>2795</v>
      </c>
      <c r="O1284" s="11" t="s">
        <v>50</v>
      </c>
    </row>
    <row r="1285" spans="1:15" s="13" customFormat="1" ht="19.5" customHeight="1" x14ac:dyDescent="0.25">
      <c r="A1285" s="11" t="s">
        <v>2807</v>
      </c>
      <c r="B1285" s="11" t="s">
        <v>2807</v>
      </c>
      <c r="C1285" s="12">
        <v>46049</v>
      </c>
      <c r="D1285" s="12">
        <v>46049</v>
      </c>
      <c r="E1285" s="11" t="s">
        <v>6</v>
      </c>
      <c r="F1285" s="11" t="s">
        <v>295</v>
      </c>
      <c r="G1285" s="11" t="s">
        <v>2807</v>
      </c>
      <c r="H1285" s="11"/>
      <c r="I1285" s="11" t="s">
        <v>49</v>
      </c>
      <c r="J1285" s="11">
        <v>449.42</v>
      </c>
      <c r="K1285" s="11">
        <v>449.42</v>
      </c>
      <c r="L1285" s="11"/>
      <c r="M1285" s="14">
        <v>449.42</v>
      </c>
      <c r="N1285" s="11" t="s">
        <v>2795</v>
      </c>
      <c r="O1285" s="11" t="s">
        <v>50</v>
      </c>
    </row>
    <row r="1286" spans="1:15" s="13" customFormat="1" ht="19.5" customHeight="1" x14ac:dyDescent="0.25">
      <c r="A1286" s="11" t="s">
        <v>2808</v>
      </c>
      <c r="B1286" s="11" t="s">
        <v>2808</v>
      </c>
      <c r="C1286" s="12">
        <v>46049</v>
      </c>
      <c r="D1286" s="12">
        <v>46049</v>
      </c>
      <c r="E1286" s="11" t="s">
        <v>6</v>
      </c>
      <c r="F1286" s="11" t="s">
        <v>295</v>
      </c>
      <c r="G1286" s="11" t="s">
        <v>2808</v>
      </c>
      <c r="H1286" s="11"/>
      <c r="I1286" s="11" t="s">
        <v>49</v>
      </c>
      <c r="J1286" s="11">
        <v>571.30999999999995</v>
      </c>
      <c r="K1286" s="11">
        <v>571.30999999999995</v>
      </c>
      <c r="L1286" s="11"/>
      <c r="M1286" s="14">
        <v>571.30999999999995</v>
      </c>
      <c r="N1286" s="11" t="s">
        <v>2795</v>
      </c>
      <c r="O1286" s="11" t="s">
        <v>50</v>
      </c>
    </row>
    <row r="1287" spans="1:15" s="13" customFormat="1" ht="19.5" customHeight="1" x14ac:dyDescent="0.25">
      <c r="A1287" s="11" t="s">
        <v>2809</v>
      </c>
      <c r="B1287" s="11" t="s">
        <v>2809</v>
      </c>
      <c r="C1287" s="12">
        <v>46049</v>
      </c>
      <c r="D1287" s="12">
        <v>46049</v>
      </c>
      <c r="E1287" s="11" t="s">
        <v>6</v>
      </c>
      <c r="F1287" s="11" t="s">
        <v>295</v>
      </c>
      <c r="G1287" s="11" t="s">
        <v>2809</v>
      </c>
      <c r="H1287" s="11"/>
      <c r="I1287" s="11" t="s">
        <v>49</v>
      </c>
      <c r="J1287" s="11">
        <v>68.58</v>
      </c>
      <c r="K1287" s="11">
        <v>68.58</v>
      </c>
      <c r="L1287" s="11"/>
      <c r="M1287" s="14">
        <v>68.58</v>
      </c>
      <c r="N1287" s="11" t="s">
        <v>2795</v>
      </c>
      <c r="O1287" s="11" t="s">
        <v>50</v>
      </c>
    </row>
    <row r="1288" spans="1:15" s="13" customFormat="1" ht="19.5" customHeight="1" x14ac:dyDescent="0.25">
      <c r="A1288" s="11" t="s">
        <v>2810</v>
      </c>
      <c r="B1288" s="11" t="s">
        <v>2810</v>
      </c>
      <c r="C1288" s="12">
        <v>46049</v>
      </c>
      <c r="D1288" s="12">
        <v>46049</v>
      </c>
      <c r="E1288" s="11" t="s">
        <v>6</v>
      </c>
      <c r="F1288" s="11" t="s">
        <v>64</v>
      </c>
      <c r="G1288" s="11" t="s">
        <v>2810</v>
      </c>
      <c r="H1288" s="11"/>
      <c r="I1288" s="11" t="s">
        <v>49</v>
      </c>
      <c r="J1288" s="11">
        <v>113.08</v>
      </c>
      <c r="K1288" s="11">
        <v>113.08</v>
      </c>
      <c r="L1288" s="11"/>
      <c r="M1288" s="14">
        <v>113.08</v>
      </c>
      <c r="N1288" s="11" t="s">
        <v>2795</v>
      </c>
      <c r="O1288" s="11" t="s">
        <v>50</v>
      </c>
    </row>
    <row r="1289" spans="1:15" s="13" customFormat="1" ht="19.5" customHeight="1" x14ac:dyDescent="0.25">
      <c r="A1289" s="11" t="s">
        <v>2811</v>
      </c>
      <c r="B1289" s="11" t="s">
        <v>2811</v>
      </c>
      <c r="C1289" s="12">
        <v>46049</v>
      </c>
      <c r="D1289" s="12">
        <v>46049</v>
      </c>
      <c r="E1289" s="11" t="s">
        <v>6</v>
      </c>
      <c r="F1289" s="11" t="s">
        <v>2812</v>
      </c>
      <c r="G1289" s="11" t="s">
        <v>2811</v>
      </c>
      <c r="H1289" s="11"/>
      <c r="I1289" s="11" t="s">
        <v>49</v>
      </c>
      <c r="J1289" s="11">
        <v>20.5</v>
      </c>
      <c r="K1289" s="11">
        <v>20.5</v>
      </c>
      <c r="L1289" s="11"/>
      <c r="M1289" s="14">
        <v>20.5</v>
      </c>
      <c r="N1289" s="11" t="s">
        <v>2795</v>
      </c>
      <c r="O1289" s="11" t="s">
        <v>2384</v>
      </c>
    </row>
    <row r="1290" spans="1:15" s="13" customFormat="1" ht="19.5" customHeight="1" x14ac:dyDescent="0.25">
      <c r="A1290" s="11" t="s">
        <v>2813</v>
      </c>
      <c r="B1290" s="11" t="s">
        <v>2813</v>
      </c>
      <c r="C1290" s="12">
        <v>46049</v>
      </c>
      <c r="D1290" s="12">
        <v>46049</v>
      </c>
      <c r="E1290" s="11" t="s">
        <v>6</v>
      </c>
      <c r="F1290" s="11" t="s">
        <v>2814</v>
      </c>
      <c r="G1290" s="11" t="s">
        <v>2813</v>
      </c>
      <c r="H1290" s="11"/>
      <c r="I1290" s="11" t="s">
        <v>49</v>
      </c>
      <c r="J1290" s="11">
        <v>20.5</v>
      </c>
      <c r="K1290" s="11">
        <v>20.5</v>
      </c>
      <c r="L1290" s="11"/>
      <c r="M1290" s="14">
        <v>20.5</v>
      </c>
      <c r="N1290" s="11" t="s">
        <v>2795</v>
      </c>
      <c r="O1290" s="11" t="s">
        <v>2384</v>
      </c>
    </row>
    <row r="1291" spans="1:15" s="13" customFormat="1" ht="19.5" customHeight="1" x14ac:dyDescent="0.25">
      <c r="A1291" s="11" t="s">
        <v>2815</v>
      </c>
      <c r="B1291" s="11" t="s">
        <v>2815</v>
      </c>
      <c r="C1291" s="12">
        <v>46049</v>
      </c>
      <c r="D1291" s="12">
        <v>46049</v>
      </c>
      <c r="E1291" s="11" t="s">
        <v>6</v>
      </c>
      <c r="F1291" s="11" t="s">
        <v>2816</v>
      </c>
      <c r="G1291" s="11" t="s">
        <v>2815</v>
      </c>
      <c r="H1291" s="11"/>
      <c r="I1291" s="11" t="s">
        <v>49</v>
      </c>
      <c r="J1291" s="11">
        <v>103.97</v>
      </c>
      <c r="K1291" s="11">
        <v>103.97</v>
      </c>
      <c r="L1291" s="11"/>
      <c r="M1291" s="14">
        <v>103.97</v>
      </c>
      <c r="N1291" s="11" t="s">
        <v>2795</v>
      </c>
      <c r="O1291" s="11" t="s">
        <v>2384</v>
      </c>
    </row>
    <row r="1292" spans="1:15" s="13" customFormat="1" ht="19.5" customHeight="1" x14ac:dyDescent="0.25">
      <c r="A1292" s="11" t="s">
        <v>2817</v>
      </c>
      <c r="B1292" s="11" t="s">
        <v>2817</v>
      </c>
      <c r="C1292" s="12">
        <v>46049</v>
      </c>
      <c r="D1292" s="12">
        <v>46049</v>
      </c>
      <c r="E1292" s="11" t="s">
        <v>6</v>
      </c>
      <c r="F1292" s="11" t="s">
        <v>2818</v>
      </c>
      <c r="G1292" s="11" t="s">
        <v>2817</v>
      </c>
      <c r="H1292" s="11"/>
      <c r="I1292" s="11" t="s">
        <v>49</v>
      </c>
      <c r="J1292" s="11">
        <v>24.17</v>
      </c>
      <c r="K1292" s="11">
        <v>24.17</v>
      </c>
      <c r="L1292" s="11"/>
      <c r="M1292" s="14">
        <v>24.17</v>
      </c>
      <c r="N1292" s="11" t="s">
        <v>2795</v>
      </c>
      <c r="O1292" s="11" t="s">
        <v>2384</v>
      </c>
    </row>
    <row r="1293" spans="1:15" s="13" customFormat="1" ht="19.5" customHeight="1" x14ac:dyDescent="0.25">
      <c r="A1293" s="11" t="s">
        <v>2819</v>
      </c>
      <c r="B1293" s="11" t="s">
        <v>2819</v>
      </c>
      <c r="C1293" s="12">
        <v>46049</v>
      </c>
      <c r="D1293" s="12">
        <v>46049</v>
      </c>
      <c r="E1293" s="11" t="s">
        <v>6</v>
      </c>
      <c r="F1293" s="11" t="s">
        <v>2820</v>
      </c>
      <c r="G1293" s="11" t="s">
        <v>2819</v>
      </c>
      <c r="H1293" s="11"/>
      <c r="I1293" s="11" t="s">
        <v>49</v>
      </c>
      <c r="J1293" s="11">
        <v>20.5</v>
      </c>
      <c r="K1293" s="11">
        <v>20.5</v>
      </c>
      <c r="L1293" s="11"/>
      <c r="M1293" s="14">
        <v>20.5</v>
      </c>
      <c r="N1293" s="11" t="s">
        <v>2795</v>
      </c>
      <c r="O1293" s="11" t="s">
        <v>2384</v>
      </c>
    </row>
    <row r="1294" spans="1:15" s="13" customFormat="1" ht="19.5" customHeight="1" x14ac:dyDescent="0.25">
      <c r="A1294" s="11" t="s">
        <v>2821</v>
      </c>
      <c r="B1294" s="11" t="s">
        <v>2821</v>
      </c>
      <c r="C1294" s="12">
        <v>46049</v>
      </c>
      <c r="D1294" s="12">
        <v>46049</v>
      </c>
      <c r="E1294" s="11" t="s">
        <v>6</v>
      </c>
      <c r="F1294" s="11" t="s">
        <v>2822</v>
      </c>
      <c r="G1294" s="11" t="s">
        <v>2821</v>
      </c>
      <c r="H1294" s="11"/>
      <c r="I1294" s="11" t="s">
        <v>49</v>
      </c>
      <c r="J1294" s="11">
        <v>24.17</v>
      </c>
      <c r="K1294" s="11">
        <v>24.17</v>
      </c>
      <c r="L1294" s="11"/>
      <c r="M1294" s="14">
        <v>24.17</v>
      </c>
      <c r="N1294" s="11" t="s">
        <v>2795</v>
      </c>
      <c r="O1294" s="11" t="s">
        <v>2384</v>
      </c>
    </row>
    <row r="1295" spans="1:15" s="13" customFormat="1" ht="19.5" customHeight="1" x14ac:dyDescent="0.25">
      <c r="A1295" s="11" t="s">
        <v>2823</v>
      </c>
      <c r="B1295" s="11" t="s">
        <v>2823</v>
      </c>
      <c r="C1295" s="12">
        <v>46049</v>
      </c>
      <c r="D1295" s="12">
        <v>46049</v>
      </c>
      <c r="E1295" s="11" t="s">
        <v>6</v>
      </c>
      <c r="F1295" s="11" t="s">
        <v>2824</v>
      </c>
      <c r="G1295" s="11" t="s">
        <v>2823</v>
      </c>
      <c r="H1295" s="11"/>
      <c r="I1295" s="11" t="s">
        <v>49</v>
      </c>
      <c r="J1295" s="11">
        <v>24.17</v>
      </c>
      <c r="K1295" s="11">
        <v>24.17</v>
      </c>
      <c r="L1295" s="11"/>
      <c r="M1295" s="14">
        <v>24.17</v>
      </c>
      <c r="N1295" s="11" t="s">
        <v>2795</v>
      </c>
      <c r="O1295" s="11" t="s">
        <v>2384</v>
      </c>
    </row>
    <row r="1296" spans="1:15" s="13" customFormat="1" ht="19.5" customHeight="1" x14ac:dyDescent="0.25">
      <c r="A1296" s="11" t="s">
        <v>2825</v>
      </c>
      <c r="B1296" s="11" t="s">
        <v>2825</v>
      </c>
      <c r="C1296" s="12">
        <v>46049</v>
      </c>
      <c r="D1296" s="12">
        <v>46049</v>
      </c>
      <c r="E1296" s="11" t="s">
        <v>6</v>
      </c>
      <c r="F1296" s="11" t="s">
        <v>2826</v>
      </c>
      <c r="G1296" s="11" t="s">
        <v>2825</v>
      </c>
      <c r="H1296" s="11"/>
      <c r="I1296" s="11" t="s">
        <v>49</v>
      </c>
      <c r="J1296" s="11">
        <v>24.17</v>
      </c>
      <c r="K1296" s="11">
        <v>24.17</v>
      </c>
      <c r="L1296" s="11"/>
      <c r="M1296" s="14">
        <v>24.17</v>
      </c>
      <c r="N1296" s="11" t="s">
        <v>2795</v>
      </c>
      <c r="O1296" s="11" t="s">
        <v>2384</v>
      </c>
    </row>
    <row r="1297" spans="1:15" s="13" customFormat="1" ht="19.5" customHeight="1" x14ac:dyDescent="0.25">
      <c r="A1297" s="11" t="s">
        <v>2827</v>
      </c>
      <c r="B1297" s="11" t="s">
        <v>2827</v>
      </c>
      <c r="C1297" s="12">
        <v>46049</v>
      </c>
      <c r="D1297" s="12">
        <v>46049</v>
      </c>
      <c r="E1297" s="11" t="s">
        <v>6</v>
      </c>
      <c r="F1297" s="11" t="s">
        <v>2828</v>
      </c>
      <c r="G1297" s="11" t="s">
        <v>2827</v>
      </c>
      <c r="H1297" s="11"/>
      <c r="I1297" s="11" t="s">
        <v>49</v>
      </c>
      <c r="J1297" s="11">
        <v>103.97</v>
      </c>
      <c r="K1297" s="11">
        <v>103.97</v>
      </c>
      <c r="L1297" s="11"/>
      <c r="M1297" s="14">
        <v>103.97</v>
      </c>
      <c r="N1297" s="11" t="s">
        <v>2795</v>
      </c>
      <c r="O1297" s="11" t="s">
        <v>2384</v>
      </c>
    </row>
    <row r="1298" spans="1:15" s="13" customFormat="1" ht="19.5" customHeight="1" x14ac:dyDescent="0.25">
      <c r="A1298" s="11" t="s">
        <v>2829</v>
      </c>
      <c r="B1298" s="11" t="s">
        <v>2829</v>
      </c>
      <c r="C1298" s="12">
        <v>46049</v>
      </c>
      <c r="D1298" s="12">
        <v>46049</v>
      </c>
      <c r="E1298" s="11" t="s">
        <v>6</v>
      </c>
      <c r="F1298" s="11" t="s">
        <v>2830</v>
      </c>
      <c r="G1298" s="11" t="s">
        <v>2829</v>
      </c>
      <c r="H1298" s="11"/>
      <c r="I1298" s="11" t="s">
        <v>49</v>
      </c>
      <c r="J1298" s="11">
        <v>24.17</v>
      </c>
      <c r="K1298" s="11">
        <v>24.17</v>
      </c>
      <c r="L1298" s="11"/>
      <c r="M1298" s="14">
        <v>24.17</v>
      </c>
      <c r="N1298" s="11" t="s">
        <v>2795</v>
      </c>
      <c r="O1298" s="11" t="s">
        <v>2384</v>
      </c>
    </row>
    <row r="1299" spans="1:15" s="13" customFormat="1" ht="19.5" customHeight="1" x14ac:dyDescent="0.25">
      <c r="A1299" s="11" t="s">
        <v>2831</v>
      </c>
      <c r="B1299" s="11" t="s">
        <v>2831</v>
      </c>
      <c r="C1299" s="12">
        <v>46049</v>
      </c>
      <c r="D1299" s="12">
        <v>46049</v>
      </c>
      <c r="E1299" s="11" t="s">
        <v>6</v>
      </c>
      <c r="F1299" s="11" t="s">
        <v>2832</v>
      </c>
      <c r="G1299" s="11" t="s">
        <v>2831</v>
      </c>
      <c r="H1299" s="11"/>
      <c r="I1299" s="11" t="s">
        <v>49</v>
      </c>
      <c r="J1299" s="11">
        <v>24.17</v>
      </c>
      <c r="K1299" s="11">
        <v>24.17</v>
      </c>
      <c r="L1299" s="11"/>
      <c r="M1299" s="14">
        <v>24.17</v>
      </c>
      <c r="N1299" s="11" t="s">
        <v>2795</v>
      </c>
      <c r="O1299" s="11" t="s">
        <v>2384</v>
      </c>
    </row>
    <row r="1300" spans="1:15" s="13" customFormat="1" ht="19.5" customHeight="1" x14ac:dyDescent="0.25">
      <c r="A1300" s="11" t="s">
        <v>2833</v>
      </c>
      <c r="B1300" s="11" t="s">
        <v>2833</v>
      </c>
      <c r="C1300" s="12">
        <v>46049</v>
      </c>
      <c r="D1300" s="12">
        <v>46049</v>
      </c>
      <c r="E1300" s="11" t="s">
        <v>6</v>
      </c>
      <c r="F1300" s="11" t="s">
        <v>2834</v>
      </c>
      <c r="G1300" s="11" t="s">
        <v>2833</v>
      </c>
      <c r="H1300" s="11"/>
      <c r="I1300" s="11" t="s">
        <v>49</v>
      </c>
      <c r="J1300" s="11">
        <v>24.17</v>
      </c>
      <c r="K1300" s="11">
        <v>24.17</v>
      </c>
      <c r="L1300" s="11"/>
      <c r="M1300" s="14">
        <v>24.17</v>
      </c>
      <c r="N1300" s="11" t="s">
        <v>2795</v>
      </c>
      <c r="O1300" s="11" t="s">
        <v>2384</v>
      </c>
    </row>
    <row r="1301" spans="1:15" s="13" customFormat="1" ht="19.5" customHeight="1" x14ac:dyDescent="0.25">
      <c r="A1301" s="11" t="s">
        <v>2835</v>
      </c>
      <c r="B1301" s="11" t="s">
        <v>2835</v>
      </c>
      <c r="C1301" s="12">
        <v>46049</v>
      </c>
      <c r="D1301" s="12">
        <v>46049</v>
      </c>
      <c r="E1301" s="11" t="s">
        <v>6</v>
      </c>
      <c r="F1301" s="11" t="s">
        <v>2836</v>
      </c>
      <c r="G1301" s="11" t="s">
        <v>2835</v>
      </c>
      <c r="H1301" s="11"/>
      <c r="I1301" s="11" t="s">
        <v>49</v>
      </c>
      <c r="J1301" s="11">
        <v>24.17</v>
      </c>
      <c r="K1301" s="11">
        <v>24.17</v>
      </c>
      <c r="L1301" s="11"/>
      <c r="M1301" s="14">
        <v>24.17</v>
      </c>
      <c r="N1301" s="11" t="s">
        <v>2795</v>
      </c>
      <c r="O1301" s="11" t="s">
        <v>2384</v>
      </c>
    </row>
    <row r="1302" spans="1:15" s="13" customFormat="1" ht="19.5" customHeight="1" x14ac:dyDescent="0.25">
      <c r="A1302" s="11" t="s">
        <v>2837</v>
      </c>
      <c r="B1302" s="11" t="s">
        <v>2837</v>
      </c>
      <c r="C1302" s="12">
        <v>46049</v>
      </c>
      <c r="D1302" s="12">
        <v>46049</v>
      </c>
      <c r="E1302" s="11" t="s">
        <v>6</v>
      </c>
      <c r="F1302" s="11" t="s">
        <v>2838</v>
      </c>
      <c r="G1302" s="11" t="s">
        <v>2837</v>
      </c>
      <c r="H1302" s="11"/>
      <c r="I1302" s="11" t="s">
        <v>49</v>
      </c>
      <c r="J1302" s="11">
        <v>20.5</v>
      </c>
      <c r="K1302" s="11">
        <v>20.5</v>
      </c>
      <c r="L1302" s="11"/>
      <c r="M1302" s="14">
        <v>20.5</v>
      </c>
      <c r="N1302" s="11" t="s">
        <v>2795</v>
      </c>
      <c r="O1302" s="11" t="s">
        <v>2384</v>
      </c>
    </row>
    <row r="1303" spans="1:15" s="13" customFormat="1" ht="19.5" customHeight="1" x14ac:dyDescent="0.25">
      <c r="A1303" s="11" t="s">
        <v>2839</v>
      </c>
      <c r="B1303" s="11" t="s">
        <v>2839</v>
      </c>
      <c r="C1303" s="12">
        <v>46049</v>
      </c>
      <c r="D1303" s="12">
        <v>46049</v>
      </c>
      <c r="E1303" s="11" t="s">
        <v>6</v>
      </c>
      <c r="F1303" s="11" t="s">
        <v>2840</v>
      </c>
      <c r="G1303" s="11" t="s">
        <v>2839</v>
      </c>
      <c r="H1303" s="11"/>
      <c r="I1303" s="11" t="s">
        <v>49</v>
      </c>
      <c r="J1303" s="11">
        <v>20.5</v>
      </c>
      <c r="K1303" s="11">
        <v>20.5</v>
      </c>
      <c r="L1303" s="11"/>
      <c r="M1303" s="14">
        <v>20.5</v>
      </c>
      <c r="N1303" s="11" t="s">
        <v>2795</v>
      </c>
      <c r="O1303" s="11" t="s">
        <v>2384</v>
      </c>
    </row>
    <row r="1304" spans="1:15" s="13" customFormat="1" ht="19.5" customHeight="1" x14ac:dyDescent="0.25">
      <c r="A1304" s="11" t="s">
        <v>2841</v>
      </c>
      <c r="B1304" s="11" t="s">
        <v>2841</v>
      </c>
      <c r="C1304" s="12">
        <v>46049</v>
      </c>
      <c r="D1304" s="12">
        <v>46049</v>
      </c>
      <c r="E1304" s="11" t="s">
        <v>6</v>
      </c>
      <c r="F1304" s="11" t="s">
        <v>2842</v>
      </c>
      <c r="G1304" s="11" t="s">
        <v>2841</v>
      </c>
      <c r="H1304" s="11"/>
      <c r="I1304" s="11" t="s">
        <v>49</v>
      </c>
      <c r="J1304" s="11">
        <v>20.5</v>
      </c>
      <c r="K1304" s="11">
        <v>20.5</v>
      </c>
      <c r="L1304" s="11"/>
      <c r="M1304" s="14">
        <v>20.5</v>
      </c>
      <c r="N1304" s="11" t="s">
        <v>2795</v>
      </c>
      <c r="O1304" s="11" t="s">
        <v>2384</v>
      </c>
    </row>
    <row r="1305" spans="1:15" s="13" customFormat="1" ht="19.5" customHeight="1" x14ac:dyDescent="0.25">
      <c r="A1305" s="11" t="s">
        <v>2843</v>
      </c>
      <c r="B1305" s="11" t="s">
        <v>2843</v>
      </c>
      <c r="C1305" s="12">
        <v>46049</v>
      </c>
      <c r="D1305" s="12">
        <v>46049</v>
      </c>
      <c r="E1305" s="11" t="s">
        <v>6</v>
      </c>
      <c r="F1305" s="11" t="s">
        <v>2844</v>
      </c>
      <c r="G1305" s="11" t="s">
        <v>2843</v>
      </c>
      <c r="H1305" s="11"/>
      <c r="I1305" s="11" t="s">
        <v>49</v>
      </c>
      <c r="J1305" s="11">
        <v>20.5</v>
      </c>
      <c r="K1305" s="11">
        <v>20.5</v>
      </c>
      <c r="L1305" s="11"/>
      <c r="M1305" s="14">
        <v>20.5</v>
      </c>
      <c r="N1305" s="11" t="s">
        <v>2795</v>
      </c>
      <c r="O1305" s="11" t="s">
        <v>2384</v>
      </c>
    </row>
    <row r="1306" spans="1:15" s="13" customFormat="1" ht="19.5" customHeight="1" x14ac:dyDescent="0.25">
      <c r="A1306" s="11" t="s">
        <v>2845</v>
      </c>
      <c r="B1306" s="11" t="s">
        <v>2845</v>
      </c>
      <c r="C1306" s="12">
        <v>46049</v>
      </c>
      <c r="D1306" s="12">
        <v>46049</v>
      </c>
      <c r="E1306" s="11" t="s">
        <v>6</v>
      </c>
      <c r="F1306" s="11" t="s">
        <v>2846</v>
      </c>
      <c r="G1306" s="11" t="s">
        <v>2845</v>
      </c>
      <c r="H1306" s="11"/>
      <c r="I1306" s="11" t="s">
        <v>49</v>
      </c>
      <c r="J1306" s="11">
        <v>20.5</v>
      </c>
      <c r="K1306" s="11">
        <v>20.5</v>
      </c>
      <c r="L1306" s="11"/>
      <c r="M1306" s="14">
        <v>20.5</v>
      </c>
      <c r="N1306" s="11" t="s">
        <v>2795</v>
      </c>
      <c r="O1306" s="11" t="s">
        <v>2384</v>
      </c>
    </row>
    <row r="1307" spans="1:15" s="13" customFormat="1" ht="19.5" customHeight="1" x14ac:dyDescent="0.25">
      <c r="A1307" s="11" t="s">
        <v>2847</v>
      </c>
      <c r="B1307" s="11" t="s">
        <v>2847</v>
      </c>
      <c r="C1307" s="12">
        <v>46049</v>
      </c>
      <c r="D1307" s="12">
        <v>46049</v>
      </c>
      <c r="E1307" s="11" t="s">
        <v>6</v>
      </c>
      <c r="F1307" s="11" t="s">
        <v>2848</v>
      </c>
      <c r="G1307" s="11" t="s">
        <v>2847</v>
      </c>
      <c r="H1307" s="11"/>
      <c r="I1307" s="11" t="s">
        <v>49</v>
      </c>
      <c r="J1307" s="11">
        <v>20.5</v>
      </c>
      <c r="K1307" s="11">
        <v>20.5</v>
      </c>
      <c r="L1307" s="11"/>
      <c r="M1307" s="14">
        <v>20.5</v>
      </c>
      <c r="N1307" s="11" t="s">
        <v>2795</v>
      </c>
      <c r="O1307" s="11" t="s">
        <v>2384</v>
      </c>
    </row>
    <row r="1308" spans="1:15" s="13" customFormat="1" ht="19.5" customHeight="1" x14ac:dyDescent="0.25">
      <c r="A1308" s="11" t="s">
        <v>2849</v>
      </c>
      <c r="B1308" s="11" t="s">
        <v>2849</v>
      </c>
      <c r="C1308" s="12">
        <v>46049</v>
      </c>
      <c r="D1308" s="12">
        <v>46049</v>
      </c>
      <c r="E1308" s="11" t="s">
        <v>6</v>
      </c>
      <c r="F1308" s="11" t="s">
        <v>2850</v>
      </c>
      <c r="G1308" s="11" t="s">
        <v>2849</v>
      </c>
      <c r="H1308" s="11"/>
      <c r="I1308" s="11" t="s">
        <v>49</v>
      </c>
      <c r="J1308" s="11">
        <v>20.5</v>
      </c>
      <c r="K1308" s="11">
        <v>20.5</v>
      </c>
      <c r="L1308" s="11"/>
      <c r="M1308" s="14">
        <v>20.5</v>
      </c>
      <c r="N1308" s="11" t="s">
        <v>2795</v>
      </c>
      <c r="O1308" s="11" t="s">
        <v>2384</v>
      </c>
    </row>
    <row r="1309" spans="1:15" s="13" customFormat="1" ht="19.5" customHeight="1" x14ac:dyDescent="0.25">
      <c r="A1309" s="11" t="s">
        <v>2851</v>
      </c>
      <c r="B1309" s="11" t="s">
        <v>2851</v>
      </c>
      <c r="C1309" s="12">
        <v>46049</v>
      </c>
      <c r="D1309" s="12">
        <v>46049</v>
      </c>
      <c r="E1309" s="11" t="s">
        <v>6</v>
      </c>
      <c r="F1309" s="11" t="s">
        <v>2852</v>
      </c>
      <c r="G1309" s="11" t="s">
        <v>2851</v>
      </c>
      <c r="H1309" s="11"/>
      <c r="I1309" s="11" t="s">
        <v>49</v>
      </c>
      <c r="J1309" s="11">
        <v>24.07</v>
      </c>
      <c r="K1309" s="11">
        <v>24.07</v>
      </c>
      <c r="L1309" s="11"/>
      <c r="M1309" s="14">
        <v>24.07</v>
      </c>
      <c r="N1309" s="11" t="s">
        <v>2795</v>
      </c>
      <c r="O1309" s="11" t="s">
        <v>2384</v>
      </c>
    </row>
    <row r="1310" spans="1:15" s="13" customFormat="1" ht="19.5" customHeight="1" x14ac:dyDescent="0.25">
      <c r="A1310" s="11" t="s">
        <v>2853</v>
      </c>
      <c r="B1310" s="11" t="s">
        <v>2853</v>
      </c>
      <c r="C1310" s="12">
        <v>46049</v>
      </c>
      <c r="D1310" s="12">
        <v>46049</v>
      </c>
      <c r="E1310" s="11" t="s">
        <v>6</v>
      </c>
      <c r="F1310" s="11" t="s">
        <v>2854</v>
      </c>
      <c r="G1310" s="11" t="s">
        <v>2853</v>
      </c>
      <c r="H1310" s="11"/>
      <c r="I1310" s="11" t="s">
        <v>49</v>
      </c>
      <c r="J1310" s="11">
        <v>24.07</v>
      </c>
      <c r="K1310" s="11">
        <v>24.07</v>
      </c>
      <c r="L1310" s="11"/>
      <c r="M1310" s="14">
        <v>24.07</v>
      </c>
      <c r="N1310" s="11" t="s">
        <v>2795</v>
      </c>
      <c r="O1310" s="11" t="s">
        <v>2384</v>
      </c>
    </row>
    <row r="1311" spans="1:15" s="13" customFormat="1" ht="19.5" customHeight="1" x14ac:dyDescent="0.25">
      <c r="A1311" s="11" t="s">
        <v>2855</v>
      </c>
      <c r="B1311" s="11" t="s">
        <v>2855</v>
      </c>
      <c r="C1311" s="12">
        <v>46049</v>
      </c>
      <c r="D1311" s="12">
        <v>46049</v>
      </c>
      <c r="E1311" s="11" t="s">
        <v>6</v>
      </c>
      <c r="F1311" s="11" t="s">
        <v>2856</v>
      </c>
      <c r="G1311" s="11" t="s">
        <v>2855</v>
      </c>
      <c r="H1311" s="11"/>
      <c r="I1311" s="11" t="s">
        <v>49</v>
      </c>
      <c r="J1311" s="11">
        <v>24.07</v>
      </c>
      <c r="K1311" s="11">
        <v>24.07</v>
      </c>
      <c r="L1311" s="11"/>
      <c r="M1311" s="14">
        <v>24.07</v>
      </c>
      <c r="N1311" s="11" t="s">
        <v>2795</v>
      </c>
      <c r="O1311" s="11" t="s">
        <v>2384</v>
      </c>
    </row>
    <row r="1312" spans="1:15" s="13" customFormat="1" ht="19.5" customHeight="1" x14ac:dyDescent="0.25">
      <c r="A1312" s="11" t="s">
        <v>2857</v>
      </c>
      <c r="B1312" s="11" t="s">
        <v>2857</v>
      </c>
      <c r="C1312" s="12">
        <v>46049</v>
      </c>
      <c r="D1312" s="12">
        <v>46049</v>
      </c>
      <c r="E1312" s="11" t="s">
        <v>6</v>
      </c>
      <c r="F1312" s="11" t="s">
        <v>2858</v>
      </c>
      <c r="G1312" s="11" t="s">
        <v>2857</v>
      </c>
      <c r="H1312" s="11"/>
      <c r="I1312" s="11" t="s">
        <v>49</v>
      </c>
      <c r="J1312" s="11">
        <v>24.07</v>
      </c>
      <c r="K1312" s="11">
        <v>24.07</v>
      </c>
      <c r="L1312" s="11"/>
      <c r="M1312" s="14">
        <v>24.07</v>
      </c>
      <c r="N1312" s="11" t="s">
        <v>2795</v>
      </c>
      <c r="O1312" s="11" t="s">
        <v>2384</v>
      </c>
    </row>
    <row r="1313" spans="1:15" s="13" customFormat="1" ht="19.5" customHeight="1" x14ac:dyDescent="0.25">
      <c r="A1313" s="11" t="s">
        <v>2859</v>
      </c>
      <c r="B1313" s="11" t="s">
        <v>2859</v>
      </c>
      <c r="C1313" s="12">
        <v>46049</v>
      </c>
      <c r="D1313" s="12">
        <v>46049</v>
      </c>
      <c r="E1313" s="11" t="s">
        <v>6</v>
      </c>
      <c r="F1313" s="11" t="s">
        <v>2860</v>
      </c>
      <c r="G1313" s="11" t="s">
        <v>2859</v>
      </c>
      <c r="H1313" s="11"/>
      <c r="I1313" s="11" t="s">
        <v>49</v>
      </c>
      <c r="J1313" s="11">
        <v>20.5</v>
      </c>
      <c r="K1313" s="11">
        <v>20.5</v>
      </c>
      <c r="L1313" s="11"/>
      <c r="M1313" s="14">
        <v>20.5</v>
      </c>
      <c r="N1313" s="11" t="s">
        <v>2795</v>
      </c>
      <c r="O1313" s="11" t="s">
        <v>2384</v>
      </c>
    </row>
    <row r="1314" spans="1:15" s="13" customFormat="1" ht="19.5" customHeight="1" x14ac:dyDescent="0.25">
      <c r="A1314" s="11" t="s">
        <v>2861</v>
      </c>
      <c r="B1314" s="11" t="s">
        <v>2861</v>
      </c>
      <c r="C1314" s="12">
        <v>46049</v>
      </c>
      <c r="D1314" s="12">
        <v>46049</v>
      </c>
      <c r="E1314" s="11" t="s">
        <v>6</v>
      </c>
      <c r="F1314" s="11" t="s">
        <v>2862</v>
      </c>
      <c r="G1314" s="11" t="s">
        <v>2861</v>
      </c>
      <c r="H1314" s="11"/>
      <c r="I1314" s="11" t="s">
        <v>49</v>
      </c>
      <c r="J1314" s="11">
        <v>20.5</v>
      </c>
      <c r="K1314" s="11">
        <v>20.5</v>
      </c>
      <c r="L1314" s="11"/>
      <c r="M1314" s="14">
        <v>20.5</v>
      </c>
      <c r="N1314" s="11" t="s">
        <v>2795</v>
      </c>
      <c r="O1314" s="11" t="s">
        <v>2384</v>
      </c>
    </row>
    <row r="1315" spans="1:15" s="13" customFormat="1" ht="19.5" customHeight="1" x14ac:dyDescent="0.25">
      <c r="A1315" s="11" t="s">
        <v>2863</v>
      </c>
      <c r="B1315" s="11" t="s">
        <v>2863</v>
      </c>
      <c r="C1315" s="12">
        <v>46049</v>
      </c>
      <c r="D1315" s="12">
        <v>46049</v>
      </c>
      <c r="E1315" s="11" t="s">
        <v>6</v>
      </c>
      <c r="F1315" s="11" t="s">
        <v>2864</v>
      </c>
      <c r="G1315" s="11" t="s">
        <v>2863</v>
      </c>
      <c r="H1315" s="11"/>
      <c r="I1315" s="11" t="s">
        <v>49</v>
      </c>
      <c r="J1315" s="11">
        <v>20.5</v>
      </c>
      <c r="K1315" s="11">
        <v>20.5</v>
      </c>
      <c r="L1315" s="11"/>
      <c r="M1315" s="14">
        <v>20.5</v>
      </c>
      <c r="N1315" s="11" t="s">
        <v>2795</v>
      </c>
      <c r="O1315" s="11" t="s">
        <v>2384</v>
      </c>
    </row>
    <row r="1316" spans="1:15" s="13" customFormat="1" ht="19.5" customHeight="1" x14ac:dyDescent="0.25">
      <c r="A1316" s="11" t="s">
        <v>2865</v>
      </c>
      <c r="B1316" s="11" t="s">
        <v>2865</v>
      </c>
      <c r="C1316" s="12">
        <v>46049</v>
      </c>
      <c r="D1316" s="12">
        <v>46049</v>
      </c>
      <c r="E1316" s="11" t="s">
        <v>6</v>
      </c>
      <c r="F1316" s="11" t="s">
        <v>2866</v>
      </c>
      <c r="G1316" s="11" t="s">
        <v>2865</v>
      </c>
      <c r="H1316" s="11"/>
      <c r="I1316" s="11" t="s">
        <v>49</v>
      </c>
      <c r="J1316" s="11">
        <v>20.5</v>
      </c>
      <c r="K1316" s="11">
        <v>20.5</v>
      </c>
      <c r="L1316" s="11"/>
      <c r="M1316" s="14">
        <v>20.5</v>
      </c>
      <c r="N1316" s="11" t="s">
        <v>2795</v>
      </c>
      <c r="O1316" s="11" t="s">
        <v>2384</v>
      </c>
    </row>
    <row r="1317" spans="1:15" s="13" customFormat="1" ht="19.5" customHeight="1" x14ac:dyDescent="0.25">
      <c r="A1317" s="11" t="s">
        <v>2867</v>
      </c>
      <c r="B1317" s="11" t="s">
        <v>2867</v>
      </c>
      <c r="C1317" s="12">
        <v>46049</v>
      </c>
      <c r="D1317" s="12">
        <v>46049</v>
      </c>
      <c r="E1317" s="11" t="s">
        <v>6</v>
      </c>
      <c r="F1317" s="11" t="s">
        <v>2868</v>
      </c>
      <c r="G1317" s="11" t="s">
        <v>2867</v>
      </c>
      <c r="H1317" s="11"/>
      <c r="I1317" s="11" t="s">
        <v>49</v>
      </c>
      <c r="J1317" s="11">
        <v>104.98</v>
      </c>
      <c r="K1317" s="11">
        <v>104.98</v>
      </c>
      <c r="L1317" s="11"/>
      <c r="M1317" s="14">
        <v>104.98</v>
      </c>
      <c r="N1317" s="11" t="s">
        <v>2795</v>
      </c>
      <c r="O1317" s="11" t="s">
        <v>2384</v>
      </c>
    </row>
    <row r="1318" spans="1:15" s="13" customFormat="1" ht="19.5" customHeight="1" x14ac:dyDescent="0.25">
      <c r="A1318" s="11" t="s">
        <v>2869</v>
      </c>
      <c r="B1318" s="11" t="s">
        <v>2869</v>
      </c>
      <c r="C1318" s="12">
        <v>46049</v>
      </c>
      <c r="D1318" s="12">
        <v>46049</v>
      </c>
      <c r="E1318" s="11" t="s">
        <v>6</v>
      </c>
      <c r="F1318" s="11" t="s">
        <v>2870</v>
      </c>
      <c r="G1318" s="11" t="s">
        <v>2869</v>
      </c>
      <c r="H1318" s="11"/>
      <c r="I1318" s="11" t="s">
        <v>49</v>
      </c>
      <c r="J1318" s="11">
        <v>24.07</v>
      </c>
      <c r="K1318" s="11">
        <v>24.07</v>
      </c>
      <c r="L1318" s="11"/>
      <c r="M1318" s="14">
        <v>24.07</v>
      </c>
      <c r="N1318" s="11" t="s">
        <v>2795</v>
      </c>
      <c r="O1318" s="11" t="s">
        <v>2384</v>
      </c>
    </row>
    <row r="1319" spans="1:15" s="13" customFormat="1" ht="19.5" customHeight="1" x14ac:dyDescent="0.25">
      <c r="A1319" s="11" t="s">
        <v>2871</v>
      </c>
      <c r="B1319" s="11" t="s">
        <v>2871</v>
      </c>
      <c r="C1319" s="12">
        <v>46049</v>
      </c>
      <c r="D1319" s="12">
        <v>46049</v>
      </c>
      <c r="E1319" s="11" t="s">
        <v>6</v>
      </c>
      <c r="F1319" s="11" t="s">
        <v>2872</v>
      </c>
      <c r="G1319" s="11" t="s">
        <v>2871</v>
      </c>
      <c r="H1319" s="11"/>
      <c r="I1319" s="11" t="s">
        <v>49</v>
      </c>
      <c r="J1319" s="11">
        <v>103.88</v>
      </c>
      <c r="K1319" s="11">
        <v>103.88</v>
      </c>
      <c r="L1319" s="11"/>
      <c r="M1319" s="14">
        <v>103.88</v>
      </c>
      <c r="N1319" s="11" t="s">
        <v>2795</v>
      </c>
      <c r="O1319" s="11" t="s">
        <v>2384</v>
      </c>
    </row>
    <row r="1320" spans="1:15" s="13" customFormat="1" ht="19.5" customHeight="1" x14ac:dyDescent="0.25">
      <c r="A1320" s="11" t="s">
        <v>2873</v>
      </c>
      <c r="B1320" s="11" t="s">
        <v>2873</v>
      </c>
      <c r="C1320" s="12">
        <v>46048</v>
      </c>
      <c r="D1320" s="12">
        <v>46048</v>
      </c>
      <c r="E1320" s="11" t="s">
        <v>6</v>
      </c>
      <c r="F1320" s="11" t="s">
        <v>295</v>
      </c>
      <c r="G1320" s="11" t="s">
        <v>2873</v>
      </c>
      <c r="H1320" s="11"/>
      <c r="I1320" s="11" t="s">
        <v>49</v>
      </c>
      <c r="J1320" s="11">
        <v>40.590000000000003</v>
      </c>
      <c r="K1320" s="11">
        <v>40.590000000000003</v>
      </c>
      <c r="L1320" s="11"/>
      <c r="M1320" s="14">
        <v>40.590000000000003</v>
      </c>
      <c r="N1320" s="11" t="s">
        <v>2795</v>
      </c>
      <c r="O1320" s="11" t="s">
        <v>50</v>
      </c>
    </row>
    <row r="1321" spans="1:15" s="13" customFormat="1" ht="19.5" customHeight="1" x14ac:dyDescent="0.25">
      <c r="A1321" s="11" t="s">
        <v>2874</v>
      </c>
      <c r="B1321" s="11" t="s">
        <v>2874</v>
      </c>
      <c r="C1321" s="12">
        <v>46045</v>
      </c>
      <c r="D1321" s="12">
        <v>46045</v>
      </c>
      <c r="E1321" s="11" t="s">
        <v>6</v>
      </c>
      <c r="F1321" s="11" t="s">
        <v>2875</v>
      </c>
      <c r="G1321" s="11" t="s">
        <v>2874</v>
      </c>
      <c r="H1321" s="11"/>
      <c r="I1321" s="11" t="s">
        <v>49</v>
      </c>
      <c r="J1321" s="11">
        <v>2117.69</v>
      </c>
      <c r="K1321" s="11">
        <v>2117.69</v>
      </c>
      <c r="L1321" s="11"/>
      <c r="M1321" s="14">
        <v>2117.69</v>
      </c>
      <c r="N1321" s="11" t="s">
        <v>2795</v>
      </c>
      <c r="O1321" s="11" t="s">
        <v>50</v>
      </c>
    </row>
    <row r="1322" spans="1:15" s="13" customFormat="1" ht="19.5" customHeight="1" x14ac:dyDescent="0.25">
      <c r="A1322" s="11" t="s">
        <v>2876</v>
      </c>
      <c r="B1322" s="11" t="s">
        <v>2876</v>
      </c>
      <c r="C1322" s="12">
        <v>46045</v>
      </c>
      <c r="D1322" s="12">
        <v>46045</v>
      </c>
      <c r="E1322" s="11" t="s">
        <v>6</v>
      </c>
      <c r="F1322" s="11" t="s">
        <v>295</v>
      </c>
      <c r="G1322" s="11" t="s">
        <v>2876</v>
      </c>
      <c r="H1322" s="11"/>
      <c r="I1322" s="11" t="s">
        <v>49</v>
      </c>
      <c r="J1322" s="11">
        <v>622.5</v>
      </c>
      <c r="K1322" s="11">
        <v>622.5</v>
      </c>
      <c r="L1322" s="11"/>
      <c r="M1322" s="14">
        <v>622.5</v>
      </c>
      <c r="N1322" s="11" t="s">
        <v>2795</v>
      </c>
      <c r="O1322" s="11" t="s">
        <v>50</v>
      </c>
    </row>
    <row r="1323" spans="1:15" s="13" customFormat="1" ht="19.5" customHeight="1" x14ac:dyDescent="0.25">
      <c r="A1323" s="11" t="s">
        <v>2877</v>
      </c>
      <c r="B1323" s="11" t="s">
        <v>2877</v>
      </c>
      <c r="C1323" s="12">
        <v>46044</v>
      </c>
      <c r="D1323" s="12">
        <v>46044</v>
      </c>
      <c r="E1323" s="11" t="s">
        <v>6</v>
      </c>
      <c r="F1323" s="11" t="s">
        <v>2878</v>
      </c>
      <c r="G1323" s="11" t="s">
        <v>2877</v>
      </c>
      <c r="H1323" s="11"/>
      <c r="I1323" s="11" t="s">
        <v>49</v>
      </c>
      <c r="J1323" s="11">
        <v>726.86</v>
      </c>
      <c r="K1323" s="11">
        <v>726.86</v>
      </c>
      <c r="L1323" s="11"/>
      <c r="M1323" s="14">
        <v>726.86</v>
      </c>
      <c r="N1323" s="11" t="s">
        <v>2795</v>
      </c>
      <c r="O1323" s="11" t="s">
        <v>50</v>
      </c>
    </row>
    <row r="1324" spans="1:15" s="13" customFormat="1" ht="19.5" customHeight="1" x14ac:dyDescent="0.25">
      <c r="A1324" s="11" t="s">
        <v>2879</v>
      </c>
      <c r="B1324" s="11" t="s">
        <v>2879</v>
      </c>
      <c r="C1324" s="12">
        <v>46044</v>
      </c>
      <c r="D1324" s="12">
        <v>46044</v>
      </c>
      <c r="E1324" s="11" t="s">
        <v>6</v>
      </c>
      <c r="F1324" s="11" t="s">
        <v>2880</v>
      </c>
      <c r="G1324" s="11" t="s">
        <v>2879</v>
      </c>
      <c r="H1324" s="11"/>
      <c r="I1324" s="11" t="s">
        <v>49</v>
      </c>
      <c r="J1324" s="11">
        <v>737.21</v>
      </c>
      <c r="K1324" s="11">
        <v>737.21</v>
      </c>
      <c r="L1324" s="11"/>
      <c r="M1324" s="14">
        <v>737.21</v>
      </c>
      <c r="N1324" s="11" t="s">
        <v>2795</v>
      </c>
      <c r="O1324" s="11" t="s">
        <v>50</v>
      </c>
    </row>
    <row r="1325" spans="1:15" s="13" customFormat="1" ht="19.5" customHeight="1" x14ac:dyDescent="0.25">
      <c r="A1325" s="11" t="s">
        <v>2881</v>
      </c>
      <c r="B1325" s="11" t="s">
        <v>2881</v>
      </c>
      <c r="C1325" s="12">
        <v>46044</v>
      </c>
      <c r="D1325" s="12">
        <v>46044</v>
      </c>
      <c r="E1325" s="11" t="s">
        <v>6</v>
      </c>
      <c r="F1325" s="11" t="s">
        <v>2880</v>
      </c>
      <c r="G1325" s="11" t="s">
        <v>2881</v>
      </c>
      <c r="H1325" s="11"/>
      <c r="I1325" s="11" t="s">
        <v>49</v>
      </c>
      <c r="J1325" s="11">
        <v>540.35</v>
      </c>
      <c r="K1325" s="11">
        <v>540.35</v>
      </c>
      <c r="L1325" s="11"/>
      <c r="M1325" s="14">
        <v>540.35</v>
      </c>
      <c r="N1325" s="11" t="s">
        <v>2795</v>
      </c>
      <c r="O1325" s="11" t="s">
        <v>50</v>
      </c>
    </row>
    <row r="1326" spans="1:15" s="13" customFormat="1" ht="19.5" customHeight="1" x14ac:dyDescent="0.25">
      <c r="A1326" s="11" t="s">
        <v>2882</v>
      </c>
      <c r="B1326" s="11" t="s">
        <v>2882</v>
      </c>
      <c r="C1326" s="12">
        <v>46044</v>
      </c>
      <c r="D1326" s="12">
        <v>46044</v>
      </c>
      <c r="E1326" s="11" t="s">
        <v>6</v>
      </c>
      <c r="F1326" s="11" t="s">
        <v>2878</v>
      </c>
      <c r="G1326" s="11" t="s">
        <v>2882</v>
      </c>
      <c r="H1326" s="11"/>
      <c r="I1326" s="11" t="s">
        <v>49</v>
      </c>
      <c r="J1326" s="11">
        <v>540.35</v>
      </c>
      <c r="K1326" s="11">
        <v>540.35</v>
      </c>
      <c r="L1326" s="11"/>
      <c r="M1326" s="14">
        <v>540.35</v>
      </c>
      <c r="N1326" s="11" t="s">
        <v>2795</v>
      </c>
      <c r="O1326" s="11" t="s">
        <v>50</v>
      </c>
    </row>
    <row r="1327" spans="1:15" s="13" customFormat="1" ht="19.5" customHeight="1" x14ac:dyDescent="0.25">
      <c r="A1327" s="11" t="s">
        <v>2883</v>
      </c>
      <c r="B1327" s="11" t="s">
        <v>2883</v>
      </c>
      <c r="C1327" s="12">
        <v>46044</v>
      </c>
      <c r="D1327" s="12">
        <v>46044</v>
      </c>
      <c r="E1327" s="11" t="s">
        <v>6</v>
      </c>
      <c r="F1327" s="11" t="s">
        <v>2884</v>
      </c>
      <c r="G1327" s="11" t="s">
        <v>2883</v>
      </c>
      <c r="H1327" s="11"/>
      <c r="I1327" s="11" t="s">
        <v>49</v>
      </c>
      <c r="J1327" s="11">
        <v>697.55</v>
      </c>
      <c r="K1327" s="11">
        <v>697.55</v>
      </c>
      <c r="L1327" s="11"/>
      <c r="M1327" s="14">
        <v>697.55</v>
      </c>
      <c r="N1327" s="11" t="s">
        <v>2795</v>
      </c>
      <c r="O1327" s="11" t="s">
        <v>50</v>
      </c>
    </row>
    <row r="1328" spans="1:15" s="13" customFormat="1" ht="19.5" customHeight="1" x14ac:dyDescent="0.25">
      <c r="A1328" s="11" t="s">
        <v>2885</v>
      </c>
      <c r="B1328" s="11" t="s">
        <v>2885</v>
      </c>
      <c r="C1328" s="12">
        <v>46044</v>
      </c>
      <c r="D1328" s="12">
        <v>46044</v>
      </c>
      <c r="E1328" s="11" t="s">
        <v>6</v>
      </c>
      <c r="F1328" s="11" t="s">
        <v>295</v>
      </c>
      <c r="G1328" s="11" t="s">
        <v>2885</v>
      </c>
      <c r="H1328" s="11"/>
      <c r="I1328" s="11" t="s">
        <v>49</v>
      </c>
      <c r="J1328" s="11">
        <v>446.04</v>
      </c>
      <c r="K1328" s="11">
        <v>446.04</v>
      </c>
      <c r="L1328" s="11"/>
      <c r="M1328" s="14">
        <v>446.04</v>
      </c>
      <c r="N1328" s="11" t="s">
        <v>2795</v>
      </c>
      <c r="O1328" s="11" t="s">
        <v>50</v>
      </c>
    </row>
    <row r="1329" spans="1:15" s="13" customFormat="1" ht="19.5" customHeight="1" x14ac:dyDescent="0.25">
      <c r="A1329" s="11" t="s">
        <v>2886</v>
      </c>
      <c r="B1329" s="11" t="s">
        <v>2886</v>
      </c>
      <c r="C1329" s="12">
        <v>46044</v>
      </c>
      <c r="D1329" s="12">
        <v>46044</v>
      </c>
      <c r="E1329" s="11" t="s">
        <v>6</v>
      </c>
      <c r="F1329" s="11" t="s">
        <v>295</v>
      </c>
      <c r="G1329" s="11" t="s">
        <v>2886</v>
      </c>
      <c r="H1329" s="11"/>
      <c r="I1329" s="11" t="s">
        <v>49</v>
      </c>
      <c r="J1329" s="11">
        <v>265.5</v>
      </c>
      <c r="K1329" s="11">
        <v>265.5</v>
      </c>
      <c r="L1329" s="11"/>
      <c r="M1329" s="14">
        <v>265.5</v>
      </c>
      <c r="N1329" s="11" t="s">
        <v>2795</v>
      </c>
      <c r="O1329" s="11" t="s">
        <v>50</v>
      </c>
    </row>
    <row r="1330" spans="1:15" s="13" customFormat="1" ht="19.5" customHeight="1" x14ac:dyDescent="0.25">
      <c r="A1330" s="11" t="s">
        <v>2887</v>
      </c>
      <c r="B1330" s="11" t="s">
        <v>2887</v>
      </c>
      <c r="C1330" s="12">
        <v>46043</v>
      </c>
      <c r="D1330" s="12">
        <v>46043</v>
      </c>
      <c r="E1330" s="11" t="s">
        <v>6</v>
      </c>
      <c r="F1330" s="11" t="s">
        <v>2888</v>
      </c>
      <c r="G1330" s="11" t="s">
        <v>2887</v>
      </c>
      <c r="H1330" s="11"/>
      <c r="I1330" s="11" t="s">
        <v>49</v>
      </c>
      <c r="J1330" s="11">
        <v>3029.4</v>
      </c>
      <c r="K1330" s="11">
        <v>3029.4</v>
      </c>
      <c r="L1330" s="11"/>
      <c r="M1330" s="14">
        <v>3029.4</v>
      </c>
      <c r="N1330" s="11" t="s">
        <v>2795</v>
      </c>
      <c r="O1330" s="11" t="s">
        <v>50</v>
      </c>
    </row>
    <row r="1331" spans="1:15" s="13" customFormat="1" ht="19.5" customHeight="1" x14ac:dyDescent="0.25">
      <c r="A1331" s="11" t="s">
        <v>2889</v>
      </c>
      <c r="B1331" s="11" t="s">
        <v>2889</v>
      </c>
      <c r="C1331" s="12">
        <v>46043</v>
      </c>
      <c r="D1331" s="12">
        <v>46043</v>
      </c>
      <c r="E1331" s="11" t="s">
        <v>6</v>
      </c>
      <c r="F1331" s="11" t="s">
        <v>295</v>
      </c>
      <c r="G1331" s="11" t="s">
        <v>2889</v>
      </c>
      <c r="H1331" s="11"/>
      <c r="I1331" s="11" t="s">
        <v>49</v>
      </c>
      <c r="J1331" s="11">
        <v>671.94</v>
      </c>
      <c r="K1331" s="11">
        <v>671.94</v>
      </c>
      <c r="L1331" s="11"/>
      <c r="M1331" s="14">
        <v>671.94</v>
      </c>
      <c r="N1331" s="11" t="s">
        <v>2795</v>
      </c>
      <c r="O1331" s="11" t="s">
        <v>50</v>
      </c>
    </row>
    <row r="1332" spans="1:15" s="13" customFormat="1" ht="19.5" customHeight="1" x14ac:dyDescent="0.25">
      <c r="A1332" s="11" t="s">
        <v>2890</v>
      </c>
      <c r="B1332" s="11" t="s">
        <v>2890</v>
      </c>
      <c r="C1332" s="12">
        <v>46042</v>
      </c>
      <c r="D1332" s="12">
        <v>46042</v>
      </c>
      <c r="E1332" s="11" t="s">
        <v>6</v>
      </c>
      <c r="F1332" s="11" t="s">
        <v>1920</v>
      </c>
      <c r="G1332" s="11" t="s">
        <v>2890</v>
      </c>
      <c r="H1332" s="11"/>
      <c r="I1332" s="11" t="s">
        <v>49</v>
      </c>
      <c r="J1332" s="11">
        <v>198.04</v>
      </c>
      <c r="K1332" s="11">
        <v>198.04</v>
      </c>
      <c r="L1332" s="11"/>
      <c r="M1332" s="14">
        <v>198.04</v>
      </c>
      <c r="N1332" s="11" t="s">
        <v>2795</v>
      </c>
      <c r="O1332" s="11" t="s">
        <v>50</v>
      </c>
    </row>
    <row r="1333" spans="1:15" s="13" customFormat="1" ht="19.5" customHeight="1" x14ac:dyDescent="0.25">
      <c r="A1333" s="11" t="s">
        <v>2891</v>
      </c>
      <c r="B1333" s="11" t="s">
        <v>2891</v>
      </c>
      <c r="C1333" s="12">
        <v>46042</v>
      </c>
      <c r="D1333" s="12">
        <v>46042</v>
      </c>
      <c r="E1333" s="11" t="s">
        <v>6</v>
      </c>
      <c r="F1333" s="11" t="s">
        <v>2620</v>
      </c>
      <c r="G1333" s="11" t="s">
        <v>2891</v>
      </c>
      <c r="H1333" s="11"/>
      <c r="I1333" s="11" t="s">
        <v>49</v>
      </c>
      <c r="J1333" s="11">
        <v>91.44</v>
      </c>
      <c r="K1333" s="11">
        <v>91.44</v>
      </c>
      <c r="L1333" s="11"/>
      <c r="M1333" s="14">
        <v>91.44</v>
      </c>
      <c r="N1333" s="11" t="s">
        <v>2795</v>
      </c>
      <c r="O1333" s="11" t="s">
        <v>50</v>
      </c>
    </row>
    <row r="1334" spans="1:15" s="13" customFormat="1" ht="19.5" customHeight="1" x14ac:dyDescent="0.25">
      <c r="A1334" s="11" t="s">
        <v>2892</v>
      </c>
      <c r="B1334" s="11" t="s">
        <v>2892</v>
      </c>
      <c r="C1334" s="12">
        <v>46042</v>
      </c>
      <c r="D1334" s="12">
        <v>46042</v>
      </c>
      <c r="E1334" s="11" t="s">
        <v>6</v>
      </c>
      <c r="F1334" s="11" t="s">
        <v>2893</v>
      </c>
      <c r="G1334" s="11" t="s">
        <v>2892</v>
      </c>
      <c r="H1334" s="11"/>
      <c r="I1334" s="11" t="s">
        <v>49</v>
      </c>
      <c r="J1334" s="11">
        <v>106.66</v>
      </c>
      <c r="K1334" s="11">
        <v>106.66</v>
      </c>
      <c r="L1334" s="11"/>
      <c r="M1334" s="14">
        <v>106.66</v>
      </c>
      <c r="N1334" s="11" t="s">
        <v>2795</v>
      </c>
      <c r="O1334" s="11" t="s">
        <v>50</v>
      </c>
    </row>
    <row r="1335" spans="1:15" s="13" customFormat="1" ht="19.5" customHeight="1" x14ac:dyDescent="0.25">
      <c r="A1335" s="11" t="s">
        <v>2894</v>
      </c>
      <c r="B1335" s="11" t="s">
        <v>2894</v>
      </c>
      <c r="C1335" s="12">
        <v>46042</v>
      </c>
      <c r="D1335" s="12">
        <v>46042</v>
      </c>
      <c r="E1335" s="11" t="s">
        <v>6</v>
      </c>
      <c r="F1335" s="11" t="s">
        <v>834</v>
      </c>
      <c r="G1335" s="11" t="s">
        <v>2894</v>
      </c>
      <c r="H1335" s="11"/>
      <c r="I1335" s="11" t="s">
        <v>49</v>
      </c>
      <c r="J1335" s="11">
        <v>45.7</v>
      </c>
      <c r="K1335" s="11">
        <v>45.7</v>
      </c>
      <c r="L1335" s="11"/>
      <c r="M1335" s="14">
        <v>45.7</v>
      </c>
      <c r="N1335" s="11" t="s">
        <v>2795</v>
      </c>
      <c r="O1335" s="11" t="s">
        <v>50</v>
      </c>
    </row>
    <row r="1336" spans="1:15" s="13" customFormat="1" ht="19.5" customHeight="1" x14ac:dyDescent="0.25">
      <c r="A1336" s="11" t="s">
        <v>2895</v>
      </c>
      <c r="B1336" s="11" t="s">
        <v>2895</v>
      </c>
      <c r="C1336" s="12">
        <v>46042</v>
      </c>
      <c r="D1336" s="12">
        <v>46042</v>
      </c>
      <c r="E1336" s="11" t="s">
        <v>6</v>
      </c>
      <c r="F1336" s="11" t="s">
        <v>108</v>
      </c>
      <c r="G1336" s="11" t="s">
        <v>2895</v>
      </c>
      <c r="H1336" s="11"/>
      <c r="I1336" s="11" t="s">
        <v>49</v>
      </c>
      <c r="J1336" s="11">
        <v>30.48</v>
      </c>
      <c r="K1336" s="11">
        <v>30.48</v>
      </c>
      <c r="L1336" s="11"/>
      <c r="M1336" s="14">
        <v>30.48</v>
      </c>
      <c r="N1336" s="11" t="s">
        <v>2795</v>
      </c>
      <c r="O1336" s="11" t="s">
        <v>50</v>
      </c>
    </row>
    <row r="1337" spans="1:15" s="13" customFormat="1" ht="19.5" customHeight="1" x14ac:dyDescent="0.25">
      <c r="A1337" s="11" t="s">
        <v>2896</v>
      </c>
      <c r="B1337" s="11" t="s">
        <v>2896</v>
      </c>
      <c r="C1337" s="12">
        <v>46041</v>
      </c>
      <c r="D1337" s="12">
        <v>46041</v>
      </c>
      <c r="E1337" s="11" t="s">
        <v>6</v>
      </c>
      <c r="F1337" s="11" t="s">
        <v>2139</v>
      </c>
      <c r="G1337" s="11" t="s">
        <v>2896</v>
      </c>
      <c r="H1337" s="11"/>
      <c r="I1337" s="11" t="s">
        <v>49</v>
      </c>
      <c r="J1337" s="11">
        <v>298.54000000000002</v>
      </c>
      <c r="K1337" s="11">
        <v>298.54000000000002</v>
      </c>
      <c r="L1337" s="11"/>
      <c r="M1337" s="14">
        <v>298.54000000000002</v>
      </c>
      <c r="N1337" s="11" t="s">
        <v>2795</v>
      </c>
      <c r="O1337" s="11" t="s">
        <v>50</v>
      </c>
    </row>
    <row r="1338" spans="1:15" s="13" customFormat="1" ht="19.5" customHeight="1" x14ac:dyDescent="0.25">
      <c r="A1338" s="11" t="s">
        <v>2897</v>
      </c>
      <c r="B1338" s="11" t="s">
        <v>2897</v>
      </c>
      <c r="C1338" s="12">
        <v>46041</v>
      </c>
      <c r="D1338" s="12">
        <v>46041</v>
      </c>
      <c r="E1338" s="11" t="s">
        <v>6</v>
      </c>
      <c r="F1338" s="11" t="s">
        <v>2139</v>
      </c>
      <c r="G1338" s="11" t="s">
        <v>2897</v>
      </c>
      <c r="H1338" s="11"/>
      <c r="I1338" s="11" t="s">
        <v>49</v>
      </c>
      <c r="J1338" s="11">
        <v>310.33999999999997</v>
      </c>
      <c r="K1338" s="11">
        <v>310.33999999999997</v>
      </c>
      <c r="L1338" s="11"/>
      <c r="M1338" s="14">
        <v>310.33999999999997</v>
      </c>
      <c r="N1338" s="11" t="s">
        <v>2795</v>
      </c>
      <c r="O1338" s="11" t="s">
        <v>50</v>
      </c>
    </row>
    <row r="1339" spans="1:15" s="13" customFormat="1" ht="19.5" customHeight="1" x14ac:dyDescent="0.25">
      <c r="A1339" s="11" t="s">
        <v>2898</v>
      </c>
      <c r="B1339" s="11" t="s">
        <v>2898</v>
      </c>
      <c r="C1339" s="12">
        <v>46040</v>
      </c>
      <c r="D1339" s="12">
        <v>46040</v>
      </c>
      <c r="E1339" s="11" t="s">
        <v>6</v>
      </c>
      <c r="F1339" s="11" t="s">
        <v>295</v>
      </c>
      <c r="G1339" s="11" t="s">
        <v>2898</v>
      </c>
      <c r="H1339" s="11"/>
      <c r="I1339" s="11" t="s">
        <v>49</v>
      </c>
      <c r="J1339" s="11">
        <v>672.5</v>
      </c>
      <c r="K1339" s="11">
        <v>672.5</v>
      </c>
      <c r="L1339" s="11"/>
      <c r="M1339" s="14">
        <v>672.5</v>
      </c>
      <c r="N1339" s="11" t="s">
        <v>2795</v>
      </c>
      <c r="O1339" s="11" t="s">
        <v>50</v>
      </c>
    </row>
    <row r="1340" spans="1:15" s="13" customFormat="1" ht="19.5" customHeight="1" x14ac:dyDescent="0.25">
      <c r="A1340" s="11" t="s">
        <v>2899</v>
      </c>
      <c r="B1340" s="11" t="s">
        <v>2899</v>
      </c>
      <c r="C1340" s="12">
        <v>46040</v>
      </c>
      <c r="D1340" s="12">
        <v>46040</v>
      </c>
      <c r="E1340" s="11" t="s">
        <v>6</v>
      </c>
      <c r="F1340" s="11" t="s">
        <v>295</v>
      </c>
      <c r="G1340" s="11" t="s">
        <v>2899</v>
      </c>
      <c r="H1340" s="11"/>
      <c r="I1340" s="11" t="s">
        <v>49</v>
      </c>
      <c r="J1340" s="11">
        <v>688.78</v>
      </c>
      <c r="K1340" s="11">
        <v>688.78</v>
      </c>
      <c r="L1340" s="11"/>
      <c r="M1340" s="14">
        <v>688.78</v>
      </c>
      <c r="N1340" s="11" t="s">
        <v>2795</v>
      </c>
      <c r="O1340" s="11" t="s">
        <v>50</v>
      </c>
    </row>
    <row r="1341" spans="1:15" s="13" customFormat="1" ht="19.5" customHeight="1" x14ac:dyDescent="0.25">
      <c r="A1341" s="11" t="s">
        <v>2900</v>
      </c>
      <c r="B1341" s="11" t="s">
        <v>2900</v>
      </c>
      <c r="C1341" s="12">
        <v>46037</v>
      </c>
      <c r="D1341" s="12">
        <v>46037</v>
      </c>
      <c r="E1341" s="11" t="s">
        <v>6</v>
      </c>
      <c r="F1341" s="11" t="s">
        <v>295</v>
      </c>
      <c r="G1341" s="11" t="s">
        <v>2900</v>
      </c>
      <c r="H1341" s="11"/>
      <c r="I1341" s="11" t="s">
        <v>49</v>
      </c>
      <c r="J1341" s="11">
        <v>502.77</v>
      </c>
      <c r="K1341" s="11">
        <v>502.77</v>
      </c>
      <c r="L1341" s="11"/>
      <c r="M1341" s="14">
        <v>502.77</v>
      </c>
      <c r="N1341" s="11" t="s">
        <v>2795</v>
      </c>
      <c r="O1341" s="11" t="s">
        <v>50</v>
      </c>
    </row>
    <row r="1342" spans="1:15" s="13" customFormat="1" ht="19.5" customHeight="1" x14ac:dyDescent="0.25">
      <c r="A1342" s="11" t="s">
        <v>2901</v>
      </c>
      <c r="B1342" s="11" t="s">
        <v>2901</v>
      </c>
      <c r="C1342" s="12">
        <v>46037</v>
      </c>
      <c r="D1342" s="12">
        <v>46037</v>
      </c>
      <c r="E1342" s="11" t="s">
        <v>6</v>
      </c>
      <c r="F1342" s="11" t="s">
        <v>2902</v>
      </c>
      <c r="G1342" s="11" t="s">
        <v>2901</v>
      </c>
      <c r="H1342" s="11"/>
      <c r="I1342" s="11" t="s">
        <v>49</v>
      </c>
      <c r="J1342" s="11">
        <v>388.51</v>
      </c>
      <c r="K1342" s="11">
        <v>388.51</v>
      </c>
      <c r="L1342" s="11"/>
      <c r="M1342" s="14">
        <v>388.51</v>
      </c>
      <c r="N1342" s="11" t="s">
        <v>2795</v>
      </c>
      <c r="O1342" s="11" t="s">
        <v>50</v>
      </c>
    </row>
    <row r="1343" spans="1:15" s="13" customFormat="1" ht="19.5" customHeight="1" x14ac:dyDescent="0.25">
      <c r="A1343" s="11" t="s">
        <v>2903</v>
      </c>
      <c r="B1343" s="11" t="s">
        <v>2903</v>
      </c>
      <c r="C1343" s="12">
        <v>46036</v>
      </c>
      <c r="D1343" s="12">
        <v>46036</v>
      </c>
      <c r="E1343" s="11" t="s">
        <v>6</v>
      </c>
      <c r="F1343" s="11" t="s">
        <v>2893</v>
      </c>
      <c r="G1343" s="11" t="s">
        <v>2903</v>
      </c>
      <c r="H1343" s="11"/>
      <c r="I1343" s="11" t="s">
        <v>49</v>
      </c>
      <c r="J1343" s="11">
        <v>152.36000000000001</v>
      </c>
      <c r="K1343" s="11">
        <v>152.36000000000001</v>
      </c>
      <c r="L1343" s="11"/>
      <c r="M1343" s="14">
        <v>152.36000000000001</v>
      </c>
      <c r="N1343" s="11" t="s">
        <v>2795</v>
      </c>
      <c r="O1343" s="11" t="s">
        <v>50</v>
      </c>
    </row>
    <row r="1344" spans="1:15" s="13" customFormat="1" ht="19.5" customHeight="1" x14ac:dyDescent="0.25">
      <c r="A1344" s="11" t="s">
        <v>2904</v>
      </c>
      <c r="B1344" s="11" t="s">
        <v>2904</v>
      </c>
      <c r="C1344" s="12">
        <v>46036</v>
      </c>
      <c r="D1344" s="12">
        <v>46036</v>
      </c>
      <c r="E1344" s="11" t="s">
        <v>6</v>
      </c>
      <c r="F1344" s="11" t="s">
        <v>108</v>
      </c>
      <c r="G1344" s="11" t="s">
        <v>2904</v>
      </c>
      <c r="H1344" s="11"/>
      <c r="I1344" s="11" t="s">
        <v>49</v>
      </c>
      <c r="J1344" s="11">
        <v>152.36000000000001</v>
      </c>
      <c r="K1344" s="11">
        <v>152.36000000000001</v>
      </c>
      <c r="L1344" s="11"/>
      <c r="M1344" s="14">
        <v>152.36000000000001</v>
      </c>
      <c r="N1344" s="11" t="s">
        <v>2795</v>
      </c>
      <c r="O1344" s="11" t="s">
        <v>50</v>
      </c>
    </row>
    <row r="1345" spans="1:15" s="13" customFormat="1" ht="19.5" customHeight="1" x14ac:dyDescent="0.25">
      <c r="A1345" s="11" t="s">
        <v>2905</v>
      </c>
      <c r="B1345" s="11" t="s">
        <v>2905</v>
      </c>
      <c r="C1345" s="12">
        <v>46034</v>
      </c>
      <c r="D1345" s="12">
        <v>46034</v>
      </c>
      <c r="E1345" s="11" t="s">
        <v>6</v>
      </c>
      <c r="F1345" s="11" t="s">
        <v>295</v>
      </c>
      <c r="G1345" s="11" t="s">
        <v>2905</v>
      </c>
      <c r="H1345" s="11"/>
      <c r="I1345" s="11" t="s">
        <v>49</v>
      </c>
      <c r="J1345" s="11">
        <v>637.20000000000005</v>
      </c>
      <c r="K1345" s="11">
        <v>637.20000000000005</v>
      </c>
      <c r="L1345" s="11"/>
      <c r="M1345" s="14">
        <v>637.20000000000005</v>
      </c>
      <c r="N1345" s="11" t="s">
        <v>2795</v>
      </c>
      <c r="O1345" s="11" t="s">
        <v>50</v>
      </c>
    </row>
    <row r="1346" spans="1:15" s="13" customFormat="1" ht="19.5" customHeight="1" x14ac:dyDescent="0.25">
      <c r="A1346" s="11" t="s">
        <v>2906</v>
      </c>
      <c r="B1346" s="11" t="s">
        <v>2906</v>
      </c>
      <c r="C1346" s="12">
        <v>46034</v>
      </c>
      <c r="D1346" s="12">
        <v>46034</v>
      </c>
      <c r="E1346" s="11" t="s">
        <v>6</v>
      </c>
      <c r="F1346" s="11" t="s">
        <v>295</v>
      </c>
      <c r="G1346" s="11" t="s">
        <v>2906</v>
      </c>
      <c r="H1346" s="11"/>
      <c r="I1346" s="11" t="s">
        <v>49</v>
      </c>
      <c r="J1346" s="11">
        <v>332.76</v>
      </c>
      <c r="K1346" s="11">
        <v>332.76</v>
      </c>
      <c r="L1346" s="11"/>
      <c r="M1346" s="14">
        <v>332.76</v>
      </c>
      <c r="N1346" s="11" t="s">
        <v>2795</v>
      </c>
      <c r="O1346" s="11" t="s">
        <v>50</v>
      </c>
    </row>
    <row r="1347" spans="1:15" s="13" customFormat="1" ht="19.5" customHeight="1" x14ac:dyDescent="0.25">
      <c r="A1347" s="11" t="s">
        <v>2907</v>
      </c>
      <c r="B1347" s="11" t="s">
        <v>2907</v>
      </c>
      <c r="C1347" s="12">
        <v>46034</v>
      </c>
      <c r="D1347" s="12">
        <v>46034</v>
      </c>
      <c r="E1347" s="11" t="s">
        <v>6</v>
      </c>
      <c r="F1347" s="11" t="s">
        <v>295</v>
      </c>
      <c r="G1347" s="11" t="s">
        <v>2907</v>
      </c>
      <c r="H1347" s="11"/>
      <c r="I1347" s="11" t="s">
        <v>49</v>
      </c>
      <c r="J1347" s="11">
        <v>637.20000000000005</v>
      </c>
      <c r="K1347" s="11">
        <v>637.20000000000005</v>
      </c>
      <c r="L1347" s="11"/>
      <c r="M1347" s="14">
        <v>637.20000000000005</v>
      </c>
      <c r="N1347" s="11" t="s">
        <v>2795</v>
      </c>
      <c r="O1347" s="11" t="s">
        <v>50</v>
      </c>
    </row>
    <row r="1348" spans="1:15" s="13" customFormat="1" ht="19.5" customHeight="1" x14ac:dyDescent="0.25">
      <c r="A1348" s="11" t="s">
        <v>2908</v>
      </c>
      <c r="B1348" s="11" t="s">
        <v>2908</v>
      </c>
      <c r="C1348" s="12">
        <v>46034</v>
      </c>
      <c r="D1348" s="12">
        <v>46034</v>
      </c>
      <c r="E1348" s="11" t="s">
        <v>6</v>
      </c>
      <c r="F1348" s="11" t="s">
        <v>295</v>
      </c>
      <c r="G1348" s="11" t="s">
        <v>2908</v>
      </c>
      <c r="H1348" s="11"/>
      <c r="I1348" s="11" t="s">
        <v>49</v>
      </c>
      <c r="J1348" s="11">
        <v>700.45</v>
      </c>
      <c r="K1348" s="11">
        <v>700.45</v>
      </c>
      <c r="L1348" s="11"/>
      <c r="M1348" s="14">
        <v>700.45</v>
      </c>
      <c r="N1348" s="11" t="s">
        <v>2795</v>
      </c>
      <c r="O1348" s="11" t="s">
        <v>50</v>
      </c>
    </row>
    <row r="1349" spans="1:15" s="13" customFormat="1" ht="19.5" customHeight="1" x14ac:dyDescent="0.25">
      <c r="A1349" s="11" t="s">
        <v>2909</v>
      </c>
      <c r="B1349" s="11" t="s">
        <v>2909</v>
      </c>
      <c r="C1349" s="12">
        <v>46031</v>
      </c>
      <c r="D1349" s="12">
        <v>46031</v>
      </c>
      <c r="E1349" s="11" t="s">
        <v>6</v>
      </c>
      <c r="F1349" s="11" t="s">
        <v>2910</v>
      </c>
      <c r="G1349" s="11" t="s">
        <v>2909</v>
      </c>
      <c r="H1349" s="11"/>
      <c r="I1349" s="11" t="s">
        <v>49</v>
      </c>
      <c r="J1349" s="11">
        <v>4998.4799999999996</v>
      </c>
      <c r="K1349" s="11">
        <v>4998.4799999999996</v>
      </c>
      <c r="L1349" s="11"/>
      <c r="M1349" s="14">
        <v>4998.4799999999996</v>
      </c>
      <c r="N1349" s="11" t="s">
        <v>2795</v>
      </c>
      <c r="O1349" s="11" t="s">
        <v>50</v>
      </c>
    </row>
    <row r="1350" spans="1:15" s="13" customFormat="1" ht="19.5" customHeight="1" x14ac:dyDescent="0.25">
      <c r="A1350" s="11" t="s">
        <v>2911</v>
      </c>
      <c r="B1350" s="11" t="s">
        <v>2911</v>
      </c>
      <c r="C1350" s="12">
        <v>46031</v>
      </c>
      <c r="D1350" s="12">
        <v>46031</v>
      </c>
      <c r="E1350" s="11" t="s">
        <v>6</v>
      </c>
      <c r="F1350" s="11" t="s">
        <v>295</v>
      </c>
      <c r="G1350" s="11" t="s">
        <v>2911</v>
      </c>
      <c r="H1350" s="11"/>
      <c r="I1350" s="11" t="s">
        <v>49</v>
      </c>
      <c r="J1350" s="11">
        <v>304.7</v>
      </c>
      <c r="K1350" s="11">
        <v>304.7</v>
      </c>
      <c r="L1350" s="11"/>
      <c r="M1350" s="14">
        <v>304.7</v>
      </c>
      <c r="N1350" s="11" t="s">
        <v>2795</v>
      </c>
      <c r="O1350" s="11" t="s">
        <v>50</v>
      </c>
    </row>
    <row r="1351" spans="1:15" s="13" customFormat="1" ht="19.5" customHeight="1" x14ac:dyDescent="0.25">
      <c r="A1351" s="11" t="s">
        <v>2912</v>
      </c>
      <c r="B1351" s="11" t="s">
        <v>2912</v>
      </c>
      <c r="C1351" s="12">
        <v>45979</v>
      </c>
      <c r="D1351" s="12">
        <v>45979</v>
      </c>
      <c r="E1351" s="11" t="s">
        <v>6</v>
      </c>
      <c r="F1351" s="11" t="s">
        <v>2913</v>
      </c>
      <c r="G1351" s="11"/>
      <c r="H1351" s="11"/>
      <c r="I1351" s="11" t="s">
        <v>49</v>
      </c>
      <c r="J1351" s="11">
        <v>-56</v>
      </c>
      <c r="K1351" s="11"/>
      <c r="L1351" s="11">
        <v>56</v>
      </c>
      <c r="M1351" s="11">
        <v>-56</v>
      </c>
      <c r="N1351" s="11"/>
      <c r="O1351" s="11" t="s">
        <v>50</v>
      </c>
    </row>
    <row r="1352" spans="1:15" s="13" customFormat="1" ht="19.5" customHeight="1" x14ac:dyDescent="0.25">
      <c r="A1352" s="11" t="s">
        <v>2914</v>
      </c>
      <c r="B1352" s="11" t="s">
        <v>2914</v>
      </c>
      <c r="C1352" s="12">
        <v>45979</v>
      </c>
      <c r="D1352" s="12">
        <v>45979</v>
      </c>
      <c r="E1352" s="11" t="s">
        <v>6</v>
      </c>
      <c r="F1352" s="11" t="s">
        <v>2915</v>
      </c>
      <c r="G1352" s="11"/>
      <c r="H1352" s="11"/>
      <c r="I1352" s="11" t="s">
        <v>49</v>
      </c>
      <c r="J1352" s="11">
        <v>-48.6</v>
      </c>
      <c r="K1352" s="11"/>
      <c r="L1352" s="11">
        <v>48.6</v>
      </c>
      <c r="M1352" s="11">
        <v>-48.6</v>
      </c>
      <c r="N1352" s="11"/>
      <c r="O1352" s="11" t="s">
        <v>50</v>
      </c>
    </row>
    <row r="1353" spans="1:15" s="13" customFormat="1" ht="19.5" customHeight="1" x14ac:dyDescent="0.25">
      <c r="A1353" s="11" t="s">
        <v>2916</v>
      </c>
      <c r="B1353" s="11" t="s">
        <v>2916</v>
      </c>
      <c r="C1353" s="12">
        <v>46031</v>
      </c>
      <c r="D1353" s="12">
        <v>46031</v>
      </c>
      <c r="E1353" s="11" t="s">
        <v>6</v>
      </c>
      <c r="F1353" s="11" t="s">
        <v>295</v>
      </c>
      <c r="G1353" s="11" t="s">
        <v>2916</v>
      </c>
      <c r="H1353" s="11"/>
      <c r="I1353" s="11" t="s">
        <v>49</v>
      </c>
      <c r="J1353" s="11">
        <v>159.97</v>
      </c>
      <c r="K1353" s="11">
        <v>159.97</v>
      </c>
      <c r="L1353" s="11"/>
      <c r="M1353" s="14">
        <v>159.97</v>
      </c>
      <c r="N1353" s="11" t="s">
        <v>2795</v>
      </c>
      <c r="O1353" s="11" t="s">
        <v>50</v>
      </c>
    </row>
    <row r="1354" spans="1:15" s="13" customFormat="1" ht="19.5" customHeight="1" x14ac:dyDescent="0.25">
      <c r="A1354" s="11" t="s">
        <v>2917</v>
      </c>
      <c r="B1354" s="11" t="s">
        <v>2917</v>
      </c>
      <c r="C1354" s="12">
        <v>46030</v>
      </c>
      <c r="D1354" s="12">
        <v>46030</v>
      </c>
      <c r="E1354" s="11" t="s">
        <v>6</v>
      </c>
      <c r="F1354" s="11" t="s">
        <v>295</v>
      </c>
      <c r="G1354" s="11" t="s">
        <v>2917</v>
      </c>
      <c r="H1354" s="11"/>
      <c r="I1354" s="11" t="s">
        <v>49</v>
      </c>
      <c r="J1354" s="11">
        <v>586.54999999999995</v>
      </c>
      <c r="K1354" s="11">
        <v>586.54999999999995</v>
      </c>
      <c r="L1354" s="11"/>
      <c r="M1354" s="14">
        <v>586.54999999999995</v>
      </c>
      <c r="N1354" s="11" t="s">
        <v>2795</v>
      </c>
      <c r="O1354" s="11" t="s">
        <v>50</v>
      </c>
    </row>
    <row r="1355" spans="1:15" s="13" customFormat="1" ht="19.5" customHeight="1" x14ac:dyDescent="0.25">
      <c r="A1355" s="11" t="s">
        <v>2918</v>
      </c>
      <c r="B1355" s="11" t="s">
        <v>2918</v>
      </c>
      <c r="C1355" s="12">
        <v>46030</v>
      </c>
      <c r="D1355" s="12">
        <v>46030</v>
      </c>
      <c r="E1355" s="11" t="s">
        <v>6</v>
      </c>
      <c r="F1355" s="11" t="s">
        <v>295</v>
      </c>
      <c r="G1355" s="11" t="s">
        <v>2918</v>
      </c>
      <c r="H1355" s="11"/>
      <c r="I1355" s="11" t="s">
        <v>49</v>
      </c>
      <c r="J1355" s="11">
        <v>57.94</v>
      </c>
      <c r="K1355" s="11">
        <v>57.94</v>
      </c>
      <c r="L1355" s="11"/>
      <c r="M1355" s="14">
        <v>57.94</v>
      </c>
      <c r="N1355" s="11" t="s">
        <v>2795</v>
      </c>
      <c r="O1355" s="11" t="s">
        <v>50</v>
      </c>
    </row>
    <row r="1356" spans="1:15" s="13" customFormat="1" ht="19.5" customHeight="1" x14ac:dyDescent="0.25">
      <c r="A1356" s="11" t="s">
        <v>2919</v>
      </c>
      <c r="B1356" s="11" t="s">
        <v>2919</v>
      </c>
      <c r="C1356" s="12">
        <v>46030</v>
      </c>
      <c r="D1356" s="12">
        <v>46030</v>
      </c>
      <c r="E1356" s="11" t="s">
        <v>6</v>
      </c>
      <c r="F1356" s="11" t="s">
        <v>295</v>
      </c>
      <c r="G1356" s="11" t="s">
        <v>2919</v>
      </c>
      <c r="H1356" s="11"/>
      <c r="I1356" s="11" t="s">
        <v>49</v>
      </c>
      <c r="J1356" s="11">
        <v>11.8</v>
      </c>
      <c r="K1356" s="11">
        <v>11.8</v>
      </c>
      <c r="L1356" s="11"/>
      <c r="M1356" s="14">
        <v>11.8</v>
      </c>
      <c r="N1356" s="11" t="s">
        <v>2795</v>
      </c>
      <c r="O1356" s="11" t="s">
        <v>50</v>
      </c>
    </row>
    <row r="1357" spans="1:15" s="13" customFormat="1" ht="19.5" customHeight="1" x14ac:dyDescent="0.25">
      <c r="A1357" s="11" t="s">
        <v>2920</v>
      </c>
      <c r="B1357" s="11" t="s">
        <v>2920</v>
      </c>
      <c r="C1357" s="12">
        <v>46029</v>
      </c>
      <c r="D1357" s="12">
        <v>46029</v>
      </c>
      <c r="E1357" s="11" t="s">
        <v>6</v>
      </c>
      <c r="F1357" s="11" t="s">
        <v>295</v>
      </c>
      <c r="G1357" s="11" t="s">
        <v>2920</v>
      </c>
      <c r="H1357" s="11"/>
      <c r="I1357" s="11" t="s">
        <v>49</v>
      </c>
      <c r="J1357" s="11">
        <v>238.6</v>
      </c>
      <c r="K1357" s="11">
        <v>238.6</v>
      </c>
      <c r="L1357" s="11"/>
      <c r="M1357" s="14">
        <v>238.6</v>
      </c>
      <c r="N1357" s="11" t="s">
        <v>2795</v>
      </c>
      <c r="O1357" s="11" t="s">
        <v>50</v>
      </c>
    </row>
    <row r="1358" spans="1:15" s="13" customFormat="1" ht="19.5" customHeight="1" x14ac:dyDescent="0.25">
      <c r="A1358" s="11" t="s">
        <v>2921</v>
      </c>
      <c r="B1358" s="11" t="s">
        <v>2921</v>
      </c>
      <c r="C1358" s="12">
        <v>46028</v>
      </c>
      <c r="D1358" s="12">
        <v>46028</v>
      </c>
      <c r="E1358" s="11" t="s">
        <v>6</v>
      </c>
      <c r="F1358" s="11" t="s">
        <v>2922</v>
      </c>
      <c r="G1358" s="11" t="s">
        <v>2921</v>
      </c>
      <c r="H1358" s="11"/>
      <c r="I1358" s="11" t="s">
        <v>49</v>
      </c>
      <c r="J1358" s="11">
        <v>3950.07</v>
      </c>
      <c r="K1358" s="11">
        <v>3950.07</v>
      </c>
      <c r="L1358" s="11"/>
      <c r="M1358" s="14">
        <v>3950.07</v>
      </c>
      <c r="N1358" s="11" t="s">
        <v>2795</v>
      </c>
      <c r="O1358" s="11" t="s">
        <v>50</v>
      </c>
    </row>
    <row r="1359" spans="1:15" s="13" customFormat="1" ht="19.5" customHeight="1" x14ac:dyDescent="0.25">
      <c r="A1359" s="11" t="s">
        <v>2923</v>
      </c>
      <c r="B1359" s="11" t="s">
        <v>2923</v>
      </c>
      <c r="C1359" s="12">
        <v>46027</v>
      </c>
      <c r="D1359" s="12">
        <v>46027</v>
      </c>
      <c r="E1359" s="11" t="s">
        <v>6</v>
      </c>
      <c r="F1359" s="11" t="s">
        <v>295</v>
      </c>
      <c r="G1359" s="11" t="s">
        <v>2923</v>
      </c>
      <c r="H1359" s="11"/>
      <c r="I1359" s="11" t="s">
        <v>49</v>
      </c>
      <c r="J1359" s="11">
        <v>586.55999999999995</v>
      </c>
      <c r="K1359" s="11">
        <v>586.55999999999995</v>
      </c>
      <c r="L1359" s="11"/>
      <c r="M1359" s="14">
        <v>586.55999999999995</v>
      </c>
      <c r="N1359" s="11" t="s">
        <v>2795</v>
      </c>
      <c r="O1359" s="11" t="s">
        <v>50</v>
      </c>
    </row>
    <row r="1360" spans="1:15" s="13" customFormat="1" ht="19.5" customHeight="1" x14ac:dyDescent="0.25">
      <c r="A1360" s="11" t="s">
        <v>2924</v>
      </c>
      <c r="B1360" s="11" t="s">
        <v>2924</v>
      </c>
      <c r="C1360" s="12">
        <v>46027</v>
      </c>
      <c r="D1360" s="12">
        <v>46027</v>
      </c>
      <c r="E1360" s="11" t="s">
        <v>6</v>
      </c>
      <c r="F1360" s="11" t="s">
        <v>64</v>
      </c>
      <c r="G1360" s="11" t="s">
        <v>2924</v>
      </c>
      <c r="H1360" s="11"/>
      <c r="I1360" s="11" t="s">
        <v>49</v>
      </c>
      <c r="J1360" s="11">
        <v>152.36000000000001</v>
      </c>
      <c r="K1360" s="11">
        <v>152.36000000000001</v>
      </c>
      <c r="L1360" s="11"/>
      <c r="M1360" s="14">
        <v>152.36000000000001</v>
      </c>
      <c r="N1360" s="11" t="s">
        <v>2795</v>
      </c>
      <c r="O1360" s="11" t="s">
        <v>50</v>
      </c>
    </row>
    <row r="1361" spans="1:15" s="13" customFormat="1" ht="19.5" customHeight="1" x14ac:dyDescent="0.25">
      <c r="A1361" s="11" t="s">
        <v>2925</v>
      </c>
      <c r="B1361" s="11" t="s">
        <v>2925</v>
      </c>
      <c r="C1361" s="12">
        <v>46027</v>
      </c>
      <c r="D1361" s="12">
        <v>46027</v>
      </c>
      <c r="E1361" s="11" t="s">
        <v>6</v>
      </c>
      <c r="F1361" s="11" t="s">
        <v>607</v>
      </c>
      <c r="G1361" s="11" t="s">
        <v>2925</v>
      </c>
      <c r="H1361" s="11"/>
      <c r="I1361" s="11" t="s">
        <v>49</v>
      </c>
      <c r="J1361" s="11">
        <v>152.36000000000001</v>
      </c>
      <c r="K1361" s="11">
        <v>152.36000000000001</v>
      </c>
      <c r="L1361" s="11"/>
      <c r="M1361" s="14">
        <v>152.36000000000001</v>
      </c>
      <c r="N1361" s="11" t="s">
        <v>2795</v>
      </c>
      <c r="O1361" s="11" t="s">
        <v>50</v>
      </c>
    </row>
    <row r="1362" spans="1:15" s="13" customFormat="1" ht="19.5" customHeight="1" x14ac:dyDescent="0.25">
      <c r="A1362" s="11" t="s">
        <v>2926</v>
      </c>
      <c r="B1362" s="11" t="s">
        <v>2926</v>
      </c>
      <c r="C1362" s="12">
        <v>46027</v>
      </c>
      <c r="D1362" s="12">
        <v>46027</v>
      </c>
      <c r="E1362" s="11" t="s">
        <v>6</v>
      </c>
      <c r="F1362" s="11" t="s">
        <v>2927</v>
      </c>
      <c r="G1362" s="11" t="s">
        <v>2926</v>
      </c>
      <c r="H1362" s="11"/>
      <c r="I1362" s="11" t="s">
        <v>49</v>
      </c>
      <c r="J1362" s="11">
        <v>152.36000000000001</v>
      </c>
      <c r="K1362" s="11">
        <v>152.36000000000001</v>
      </c>
      <c r="L1362" s="11"/>
      <c r="M1362" s="14">
        <v>152.36000000000001</v>
      </c>
      <c r="N1362" s="11" t="s">
        <v>2795</v>
      </c>
      <c r="O1362" s="11" t="s">
        <v>50</v>
      </c>
    </row>
    <row r="1363" spans="1:15" s="13" customFormat="1" ht="19.5" customHeight="1" x14ac:dyDescent="0.25">
      <c r="A1363" s="11" t="s">
        <v>2928</v>
      </c>
      <c r="B1363" s="11" t="s">
        <v>2928</v>
      </c>
      <c r="C1363" s="12">
        <v>46027</v>
      </c>
      <c r="D1363" s="12">
        <v>46027</v>
      </c>
      <c r="E1363" s="11" t="s">
        <v>6</v>
      </c>
      <c r="F1363" s="11" t="s">
        <v>843</v>
      </c>
      <c r="G1363" s="11" t="s">
        <v>2928</v>
      </c>
      <c r="H1363" s="11"/>
      <c r="I1363" s="11" t="s">
        <v>49</v>
      </c>
      <c r="J1363" s="11">
        <v>152.36000000000001</v>
      </c>
      <c r="K1363" s="11">
        <v>152.36000000000001</v>
      </c>
      <c r="L1363" s="11"/>
      <c r="M1363" s="14">
        <v>152.36000000000001</v>
      </c>
      <c r="N1363" s="11" t="s">
        <v>2795</v>
      </c>
      <c r="O1363" s="11" t="s">
        <v>50</v>
      </c>
    </row>
    <row r="1364" spans="1:15" s="13" customFormat="1" ht="19.5" customHeight="1" x14ac:dyDescent="0.25">
      <c r="A1364" s="11" t="s">
        <v>2929</v>
      </c>
      <c r="B1364" s="11" t="s">
        <v>2929</v>
      </c>
      <c r="C1364" s="12">
        <v>46027</v>
      </c>
      <c r="D1364" s="12">
        <v>46027</v>
      </c>
      <c r="E1364" s="11" t="s">
        <v>6</v>
      </c>
      <c r="F1364" s="11" t="s">
        <v>119</v>
      </c>
      <c r="G1364" s="11" t="s">
        <v>2929</v>
      </c>
      <c r="H1364" s="11"/>
      <c r="I1364" s="11" t="s">
        <v>49</v>
      </c>
      <c r="J1364" s="11">
        <v>152.36000000000001</v>
      </c>
      <c r="K1364" s="11">
        <v>152.36000000000001</v>
      </c>
      <c r="L1364" s="11"/>
      <c r="M1364" s="14">
        <v>152.36000000000001</v>
      </c>
      <c r="N1364" s="11" t="s">
        <v>2795</v>
      </c>
      <c r="O1364" s="11" t="s">
        <v>50</v>
      </c>
    </row>
    <row r="1365" spans="1:15" s="13" customFormat="1" ht="19.5" customHeight="1" x14ac:dyDescent="0.25">
      <c r="A1365" s="11" t="s">
        <v>2930</v>
      </c>
      <c r="B1365" s="11" t="s">
        <v>2930</v>
      </c>
      <c r="C1365" s="12">
        <v>46027</v>
      </c>
      <c r="D1365" s="12">
        <v>46027</v>
      </c>
      <c r="E1365" s="11" t="s">
        <v>6</v>
      </c>
      <c r="F1365" s="11" t="s">
        <v>295</v>
      </c>
      <c r="G1365" s="11" t="s">
        <v>2930</v>
      </c>
      <c r="H1365" s="11"/>
      <c r="I1365" s="11" t="s">
        <v>49</v>
      </c>
      <c r="J1365" s="11">
        <v>560.5</v>
      </c>
      <c r="K1365" s="11">
        <v>560.5</v>
      </c>
      <c r="L1365" s="11"/>
      <c r="M1365" s="14">
        <v>560.5</v>
      </c>
      <c r="N1365" s="11" t="s">
        <v>2795</v>
      </c>
      <c r="O1365" s="11" t="s">
        <v>50</v>
      </c>
    </row>
    <row r="1366" spans="1:15" s="13" customFormat="1" ht="19.5" customHeight="1" x14ac:dyDescent="0.25">
      <c r="A1366" s="11" t="s">
        <v>2931</v>
      </c>
      <c r="B1366" s="11" t="s">
        <v>2931</v>
      </c>
      <c r="C1366" s="12">
        <v>46027</v>
      </c>
      <c r="D1366" s="12">
        <v>46027</v>
      </c>
      <c r="E1366" s="11" t="s">
        <v>6</v>
      </c>
      <c r="F1366" s="11" t="s">
        <v>295</v>
      </c>
      <c r="G1366" s="11" t="s">
        <v>2931</v>
      </c>
      <c r="H1366" s="11"/>
      <c r="I1366" s="11" t="s">
        <v>49</v>
      </c>
      <c r="J1366" s="11">
        <v>668.59</v>
      </c>
      <c r="K1366" s="11">
        <v>668.59</v>
      </c>
      <c r="L1366" s="11"/>
      <c r="M1366" s="14">
        <v>668.59</v>
      </c>
      <c r="N1366" s="11" t="s">
        <v>2795</v>
      </c>
      <c r="O1366" s="11" t="s">
        <v>50</v>
      </c>
    </row>
    <row r="1367" spans="1:15" s="13" customFormat="1" ht="19.5" customHeight="1" x14ac:dyDescent="0.25">
      <c r="A1367" s="11" t="s">
        <v>2932</v>
      </c>
      <c r="B1367" s="11" t="s">
        <v>2932</v>
      </c>
      <c r="C1367" s="12">
        <v>46027</v>
      </c>
      <c r="D1367" s="12">
        <v>46027</v>
      </c>
      <c r="E1367" s="11" t="s">
        <v>6</v>
      </c>
      <c r="F1367" s="11" t="s">
        <v>295</v>
      </c>
      <c r="G1367" s="11" t="s">
        <v>2932</v>
      </c>
      <c r="H1367" s="11"/>
      <c r="I1367" s="11" t="s">
        <v>49</v>
      </c>
      <c r="J1367" s="11">
        <v>336.3</v>
      </c>
      <c r="K1367" s="11">
        <v>336.3</v>
      </c>
      <c r="L1367" s="11"/>
      <c r="M1367" s="14">
        <v>336.3</v>
      </c>
      <c r="N1367" s="11" t="s">
        <v>2795</v>
      </c>
      <c r="O1367" s="11" t="s">
        <v>50</v>
      </c>
    </row>
    <row r="1368" spans="1:15" s="13" customFormat="1" ht="19.5" customHeight="1" x14ac:dyDescent="0.25">
      <c r="A1368" s="11" t="s">
        <v>2933</v>
      </c>
      <c r="B1368" s="11" t="s">
        <v>2933</v>
      </c>
      <c r="C1368" s="12">
        <v>46027</v>
      </c>
      <c r="D1368" s="12">
        <v>46027</v>
      </c>
      <c r="E1368" s="11" t="s">
        <v>6</v>
      </c>
      <c r="F1368" s="11" t="s">
        <v>295</v>
      </c>
      <c r="G1368" s="11" t="s">
        <v>2933</v>
      </c>
      <c r="H1368" s="11"/>
      <c r="I1368" s="11" t="s">
        <v>49</v>
      </c>
      <c r="J1368" s="11">
        <v>399.01</v>
      </c>
      <c r="K1368" s="11">
        <v>399.01</v>
      </c>
      <c r="L1368" s="11"/>
      <c r="M1368" s="14">
        <v>399.01</v>
      </c>
      <c r="N1368" s="11" t="s">
        <v>2795</v>
      </c>
      <c r="O1368" s="11" t="s">
        <v>50</v>
      </c>
    </row>
    <row r="1369" spans="1:15" s="13" customFormat="1" ht="19.5" customHeight="1" x14ac:dyDescent="0.25">
      <c r="A1369" s="11" t="s">
        <v>2934</v>
      </c>
      <c r="B1369" s="11" t="s">
        <v>2934</v>
      </c>
      <c r="C1369" s="12">
        <v>46027</v>
      </c>
      <c r="D1369" s="12">
        <v>46027</v>
      </c>
      <c r="E1369" s="11" t="s">
        <v>6</v>
      </c>
      <c r="F1369" s="11" t="s">
        <v>2139</v>
      </c>
      <c r="G1369" s="11" t="s">
        <v>2934</v>
      </c>
      <c r="H1369" s="11"/>
      <c r="I1369" s="11" t="s">
        <v>49</v>
      </c>
      <c r="J1369" s="11">
        <v>680.48</v>
      </c>
      <c r="K1369" s="11">
        <v>680.48</v>
      </c>
      <c r="L1369" s="11"/>
      <c r="M1369" s="14">
        <v>680.48</v>
      </c>
      <c r="N1369" s="11" t="s">
        <v>2795</v>
      </c>
      <c r="O1369" s="11" t="s">
        <v>50</v>
      </c>
    </row>
    <row r="1370" spans="1:15" s="13" customFormat="1" ht="19.5" customHeight="1" x14ac:dyDescent="0.25">
      <c r="A1370" s="11" t="s">
        <v>2935</v>
      </c>
      <c r="B1370" s="11" t="s">
        <v>2935</v>
      </c>
      <c r="C1370" s="12">
        <v>46027</v>
      </c>
      <c r="D1370" s="12">
        <v>46027</v>
      </c>
      <c r="E1370" s="11" t="s">
        <v>6</v>
      </c>
      <c r="F1370" s="11" t="s">
        <v>2875</v>
      </c>
      <c r="G1370" s="11" t="s">
        <v>2935</v>
      </c>
      <c r="H1370" s="11"/>
      <c r="I1370" s="11" t="s">
        <v>49</v>
      </c>
      <c r="J1370" s="11">
        <v>222.17</v>
      </c>
      <c r="K1370" s="11">
        <v>222.17</v>
      </c>
      <c r="L1370" s="11"/>
      <c r="M1370" s="14">
        <v>222.17</v>
      </c>
      <c r="N1370" s="11" t="s">
        <v>2795</v>
      </c>
      <c r="O1370" s="11" t="s">
        <v>50</v>
      </c>
    </row>
    <row r="1371" spans="1:15" s="13" customFormat="1" ht="19.5" customHeight="1" x14ac:dyDescent="0.25">
      <c r="A1371" s="11" t="s">
        <v>2936</v>
      </c>
      <c r="B1371" s="11" t="s">
        <v>2936</v>
      </c>
      <c r="C1371" s="12">
        <v>46024</v>
      </c>
      <c r="D1371" s="12">
        <v>46024</v>
      </c>
      <c r="E1371" s="11" t="s">
        <v>6</v>
      </c>
      <c r="F1371" s="11" t="s">
        <v>295</v>
      </c>
      <c r="G1371" s="11" t="s">
        <v>2936</v>
      </c>
      <c r="H1371" s="11"/>
      <c r="I1371" s="11" t="s">
        <v>49</v>
      </c>
      <c r="J1371" s="11">
        <v>17.7</v>
      </c>
      <c r="K1371" s="11">
        <v>17.7</v>
      </c>
      <c r="L1371" s="11"/>
      <c r="M1371" s="14">
        <v>17.7</v>
      </c>
      <c r="N1371" s="11" t="s">
        <v>2795</v>
      </c>
      <c r="O1371" s="11" t="s">
        <v>50</v>
      </c>
    </row>
    <row r="1372" spans="1:15" s="13" customFormat="1" ht="19.5" customHeight="1" x14ac:dyDescent="0.25">
      <c r="A1372" s="11" t="s">
        <v>2937</v>
      </c>
      <c r="B1372" s="11" t="s">
        <v>2937</v>
      </c>
      <c r="C1372" s="12">
        <v>46105</v>
      </c>
      <c r="D1372" s="12">
        <v>46150</v>
      </c>
      <c r="E1372" s="11" t="s">
        <v>6</v>
      </c>
      <c r="F1372" s="11" t="s">
        <v>598</v>
      </c>
      <c r="G1372" s="11" t="s">
        <v>2937</v>
      </c>
      <c r="H1372" s="11"/>
      <c r="I1372" s="11" t="s">
        <v>49</v>
      </c>
      <c r="J1372" s="11">
        <v>3895.99</v>
      </c>
      <c r="K1372" s="11">
        <v>3895.99</v>
      </c>
      <c r="L1372" s="11"/>
      <c r="M1372" s="14">
        <v>3895.99</v>
      </c>
      <c r="N1372" s="11" t="s">
        <v>2938</v>
      </c>
      <c r="O1372" s="11" t="s">
        <v>50</v>
      </c>
    </row>
    <row r="1373" spans="1:15" s="13" customFormat="1" ht="19.5" customHeight="1" x14ac:dyDescent="0.25">
      <c r="A1373" s="11" t="s">
        <v>2937</v>
      </c>
      <c r="B1373" s="11" t="s">
        <v>2937</v>
      </c>
      <c r="C1373" s="12">
        <v>46105</v>
      </c>
      <c r="D1373" s="12">
        <v>46160</v>
      </c>
      <c r="E1373" s="11" t="s">
        <v>6</v>
      </c>
      <c r="F1373" s="11" t="s">
        <v>598</v>
      </c>
      <c r="G1373" s="11" t="s">
        <v>2937</v>
      </c>
      <c r="H1373" s="11"/>
      <c r="I1373" s="11" t="s">
        <v>49</v>
      </c>
      <c r="J1373" s="11">
        <v>3895.99</v>
      </c>
      <c r="K1373" s="11">
        <v>3895.99</v>
      </c>
      <c r="L1373" s="11"/>
      <c r="M1373" s="14">
        <v>3895.99</v>
      </c>
      <c r="N1373" s="11" t="s">
        <v>2938</v>
      </c>
      <c r="O1373" s="11" t="s">
        <v>50</v>
      </c>
    </row>
    <row r="1374" spans="1:15" s="13" customFormat="1" ht="19.5" customHeight="1" x14ac:dyDescent="0.25">
      <c r="A1374" s="11" t="s">
        <v>2937</v>
      </c>
      <c r="B1374" s="11" t="s">
        <v>2937</v>
      </c>
      <c r="C1374" s="12">
        <v>46105</v>
      </c>
      <c r="D1374" s="12">
        <v>46170</v>
      </c>
      <c r="E1374" s="11" t="s">
        <v>6</v>
      </c>
      <c r="F1374" s="11" t="s">
        <v>598</v>
      </c>
      <c r="G1374" s="11" t="s">
        <v>2937</v>
      </c>
      <c r="H1374" s="11"/>
      <c r="I1374" s="11" t="s">
        <v>49</v>
      </c>
      <c r="J1374" s="11">
        <v>3895.99</v>
      </c>
      <c r="K1374" s="11">
        <v>3895.99</v>
      </c>
      <c r="L1374" s="11"/>
      <c r="M1374" s="14">
        <v>3895.99</v>
      </c>
      <c r="N1374" s="11" t="s">
        <v>2938</v>
      </c>
      <c r="O1374" s="11" t="s">
        <v>50</v>
      </c>
    </row>
    <row r="1375" spans="1:15" s="13" customFormat="1" ht="19.5" customHeight="1" x14ac:dyDescent="0.25">
      <c r="A1375" s="11" t="s">
        <v>2937</v>
      </c>
      <c r="B1375" s="11" t="s">
        <v>2937</v>
      </c>
      <c r="C1375" s="12">
        <v>46105</v>
      </c>
      <c r="D1375" s="12">
        <v>46180</v>
      </c>
      <c r="E1375" s="11" t="s">
        <v>6</v>
      </c>
      <c r="F1375" s="11" t="s">
        <v>598</v>
      </c>
      <c r="G1375" s="11" t="s">
        <v>2937</v>
      </c>
      <c r="H1375" s="11"/>
      <c r="I1375" s="11" t="s">
        <v>49</v>
      </c>
      <c r="J1375" s="11">
        <v>3895.98</v>
      </c>
      <c r="K1375" s="11">
        <v>3895.98</v>
      </c>
      <c r="L1375" s="11"/>
      <c r="M1375" s="14">
        <v>3895.98</v>
      </c>
      <c r="N1375" s="11" t="s">
        <v>2938</v>
      </c>
      <c r="O1375" s="11" t="s">
        <v>50</v>
      </c>
    </row>
    <row r="1376" spans="1:15" s="13" customFormat="1" ht="19.5" customHeight="1" x14ac:dyDescent="0.25">
      <c r="A1376" s="11" t="s">
        <v>2939</v>
      </c>
      <c r="B1376" s="11" t="s">
        <v>2939</v>
      </c>
      <c r="C1376" s="12">
        <v>46094</v>
      </c>
      <c r="D1376" s="12">
        <v>46139</v>
      </c>
      <c r="E1376" s="11" t="s">
        <v>6</v>
      </c>
      <c r="F1376" s="11" t="s">
        <v>863</v>
      </c>
      <c r="G1376" s="11" t="s">
        <v>2939</v>
      </c>
      <c r="H1376" s="11"/>
      <c r="I1376" s="11" t="s">
        <v>49</v>
      </c>
      <c r="J1376" s="11">
        <v>3712.12</v>
      </c>
      <c r="K1376" s="11">
        <v>3712.12</v>
      </c>
      <c r="L1376" s="11"/>
      <c r="M1376" s="14">
        <v>3712.12</v>
      </c>
      <c r="N1376" s="11" t="s">
        <v>2940</v>
      </c>
      <c r="O1376" s="11" t="s">
        <v>50</v>
      </c>
    </row>
    <row r="1377" spans="1:15" s="13" customFormat="1" ht="19.5" customHeight="1" x14ac:dyDescent="0.25">
      <c r="A1377" s="11" t="s">
        <v>2939</v>
      </c>
      <c r="B1377" s="11" t="s">
        <v>2939</v>
      </c>
      <c r="C1377" s="12">
        <v>46094</v>
      </c>
      <c r="D1377" s="12">
        <v>46149</v>
      </c>
      <c r="E1377" s="11" t="s">
        <v>6</v>
      </c>
      <c r="F1377" s="11" t="s">
        <v>863</v>
      </c>
      <c r="G1377" s="11" t="s">
        <v>2939</v>
      </c>
      <c r="H1377" s="11"/>
      <c r="I1377" s="11" t="s">
        <v>49</v>
      </c>
      <c r="J1377" s="11">
        <v>3712.12</v>
      </c>
      <c r="K1377" s="11">
        <v>3712.12</v>
      </c>
      <c r="L1377" s="11"/>
      <c r="M1377" s="14">
        <v>3712.12</v>
      </c>
      <c r="N1377" s="11" t="s">
        <v>2940</v>
      </c>
      <c r="O1377" s="11" t="s">
        <v>50</v>
      </c>
    </row>
    <row r="1378" spans="1:15" s="13" customFormat="1" ht="19.5" customHeight="1" x14ac:dyDescent="0.25">
      <c r="A1378" s="11" t="s">
        <v>2939</v>
      </c>
      <c r="B1378" s="11" t="s">
        <v>2939</v>
      </c>
      <c r="C1378" s="12">
        <v>46094</v>
      </c>
      <c r="D1378" s="12">
        <v>46159</v>
      </c>
      <c r="E1378" s="11" t="s">
        <v>6</v>
      </c>
      <c r="F1378" s="11" t="s">
        <v>863</v>
      </c>
      <c r="G1378" s="11" t="s">
        <v>2939</v>
      </c>
      <c r="H1378" s="11"/>
      <c r="I1378" s="11" t="s">
        <v>49</v>
      </c>
      <c r="J1378" s="11">
        <v>3712.12</v>
      </c>
      <c r="K1378" s="11">
        <v>3712.12</v>
      </c>
      <c r="L1378" s="11"/>
      <c r="M1378" s="14">
        <v>3712.12</v>
      </c>
      <c r="N1378" s="11" t="s">
        <v>2940</v>
      </c>
      <c r="O1378" s="11" t="s">
        <v>50</v>
      </c>
    </row>
    <row r="1379" spans="1:15" s="13" customFormat="1" ht="19.5" customHeight="1" x14ac:dyDescent="0.25">
      <c r="A1379" s="11" t="s">
        <v>2939</v>
      </c>
      <c r="B1379" s="11" t="s">
        <v>2939</v>
      </c>
      <c r="C1379" s="12">
        <v>46094</v>
      </c>
      <c r="D1379" s="12">
        <v>46169</v>
      </c>
      <c r="E1379" s="11" t="s">
        <v>6</v>
      </c>
      <c r="F1379" s="11" t="s">
        <v>863</v>
      </c>
      <c r="G1379" s="11" t="s">
        <v>2939</v>
      </c>
      <c r="H1379" s="11"/>
      <c r="I1379" s="11" t="s">
        <v>49</v>
      </c>
      <c r="J1379" s="11">
        <v>3712.13</v>
      </c>
      <c r="K1379" s="11">
        <v>3712.13</v>
      </c>
      <c r="L1379" s="11"/>
      <c r="M1379" s="14">
        <v>3712.13</v>
      </c>
      <c r="N1379" s="11" t="s">
        <v>2940</v>
      </c>
      <c r="O1379" s="11" t="s">
        <v>50</v>
      </c>
    </row>
    <row r="1380" spans="1:15" s="13" customFormat="1" ht="19.5" customHeight="1" x14ac:dyDescent="0.25">
      <c r="A1380" s="11" t="s">
        <v>2941</v>
      </c>
      <c r="B1380" s="11" t="s">
        <v>2941</v>
      </c>
      <c r="C1380" s="12">
        <v>46104</v>
      </c>
      <c r="D1380" s="12">
        <v>46149</v>
      </c>
      <c r="E1380" s="11" t="s">
        <v>6</v>
      </c>
      <c r="F1380" s="11" t="s">
        <v>588</v>
      </c>
      <c r="G1380" s="11" t="s">
        <v>2941</v>
      </c>
      <c r="H1380" s="11"/>
      <c r="I1380" s="11" t="s">
        <v>49</v>
      </c>
      <c r="J1380" s="11">
        <v>2020.15</v>
      </c>
      <c r="K1380" s="11">
        <v>2020.15</v>
      </c>
      <c r="L1380" s="11"/>
      <c r="M1380" s="14">
        <v>2020.15</v>
      </c>
      <c r="N1380" s="11" t="s">
        <v>2942</v>
      </c>
      <c r="O1380" s="11" t="s">
        <v>50</v>
      </c>
    </row>
    <row r="1381" spans="1:15" s="13" customFormat="1" ht="19.5" customHeight="1" x14ac:dyDescent="0.25">
      <c r="A1381" s="11" t="s">
        <v>2941</v>
      </c>
      <c r="B1381" s="11" t="s">
        <v>2941</v>
      </c>
      <c r="C1381" s="12">
        <v>46104</v>
      </c>
      <c r="D1381" s="12">
        <v>46156</v>
      </c>
      <c r="E1381" s="11" t="s">
        <v>6</v>
      </c>
      <c r="F1381" s="11" t="s">
        <v>588</v>
      </c>
      <c r="G1381" s="11" t="s">
        <v>2941</v>
      </c>
      <c r="H1381" s="11"/>
      <c r="I1381" s="11" t="s">
        <v>49</v>
      </c>
      <c r="J1381" s="11">
        <v>2020.15</v>
      </c>
      <c r="K1381" s="11">
        <v>2020.15</v>
      </c>
      <c r="L1381" s="11"/>
      <c r="M1381" s="14">
        <v>2020.15</v>
      </c>
      <c r="N1381" s="11" t="s">
        <v>2942</v>
      </c>
      <c r="O1381" s="11" t="s">
        <v>50</v>
      </c>
    </row>
    <row r="1382" spans="1:15" s="13" customFormat="1" ht="19.5" customHeight="1" x14ac:dyDescent="0.25">
      <c r="A1382" s="11" t="s">
        <v>2941</v>
      </c>
      <c r="B1382" s="11" t="s">
        <v>2941</v>
      </c>
      <c r="C1382" s="12">
        <v>46104</v>
      </c>
      <c r="D1382" s="12">
        <v>46163</v>
      </c>
      <c r="E1382" s="11" t="s">
        <v>6</v>
      </c>
      <c r="F1382" s="11" t="s">
        <v>588</v>
      </c>
      <c r="G1382" s="11" t="s">
        <v>2941</v>
      </c>
      <c r="H1382" s="11"/>
      <c r="I1382" s="11" t="s">
        <v>49</v>
      </c>
      <c r="J1382" s="11">
        <v>2020.15</v>
      </c>
      <c r="K1382" s="11">
        <v>2020.15</v>
      </c>
      <c r="L1382" s="11"/>
      <c r="M1382" s="14">
        <v>2020.15</v>
      </c>
      <c r="N1382" s="11" t="s">
        <v>2942</v>
      </c>
      <c r="O1382" s="11" t="s">
        <v>50</v>
      </c>
    </row>
    <row r="1383" spans="1:15" s="13" customFormat="1" ht="19.5" customHeight="1" x14ac:dyDescent="0.25">
      <c r="A1383" s="11" t="s">
        <v>2941</v>
      </c>
      <c r="B1383" s="11" t="s">
        <v>2941</v>
      </c>
      <c r="C1383" s="12">
        <v>46104</v>
      </c>
      <c r="D1383" s="12">
        <v>46170</v>
      </c>
      <c r="E1383" s="11" t="s">
        <v>6</v>
      </c>
      <c r="F1383" s="11" t="s">
        <v>588</v>
      </c>
      <c r="G1383" s="11" t="s">
        <v>2941</v>
      </c>
      <c r="H1383" s="11"/>
      <c r="I1383" s="11" t="s">
        <v>49</v>
      </c>
      <c r="J1383" s="11">
        <v>2020.15</v>
      </c>
      <c r="K1383" s="11">
        <v>2020.15</v>
      </c>
      <c r="L1383" s="11"/>
      <c r="M1383" s="14">
        <v>2020.15</v>
      </c>
      <c r="N1383" s="11" t="s">
        <v>2942</v>
      </c>
      <c r="O1383" s="11" t="s">
        <v>50</v>
      </c>
    </row>
    <row r="1384" spans="1:15" s="13" customFormat="1" ht="19.5" customHeight="1" x14ac:dyDescent="0.25">
      <c r="A1384" s="11" t="s">
        <v>2941</v>
      </c>
      <c r="B1384" s="11" t="s">
        <v>2941</v>
      </c>
      <c r="C1384" s="12">
        <v>46104</v>
      </c>
      <c r="D1384" s="12">
        <v>46177</v>
      </c>
      <c r="E1384" s="11" t="s">
        <v>6</v>
      </c>
      <c r="F1384" s="11" t="s">
        <v>588</v>
      </c>
      <c r="G1384" s="11" t="s">
        <v>2941</v>
      </c>
      <c r="H1384" s="11"/>
      <c r="I1384" s="11" t="s">
        <v>49</v>
      </c>
      <c r="J1384" s="11">
        <v>2020.15</v>
      </c>
      <c r="K1384" s="11">
        <v>2020.15</v>
      </c>
      <c r="L1384" s="11"/>
      <c r="M1384" s="14">
        <v>2020.15</v>
      </c>
      <c r="N1384" s="11" t="s">
        <v>2942</v>
      </c>
      <c r="O1384" s="11" t="s">
        <v>50</v>
      </c>
    </row>
    <row r="1385" spans="1:15" s="13" customFormat="1" ht="19.5" customHeight="1" x14ac:dyDescent="0.25">
      <c r="A1385" s="11" t="s">
        <v>2941</v>
      </c>
      <c r="B1385" s="11" t="s">
        <v>2941</v>
      </c>
      <c r="C1385" s="12">
        <v>46104</v>
      </c>
      <c r="D1385" s="12">
        <v>46194</v>
      </c>
      <c r="E1385" s="11" t="s">
        <v>6</v>
      </c>
      <c r="F1385" s="11" t="s">
        <v>588</v>
      </c>
      <c r="G1385" s="11" t="s">
        <v>2941</v>
      </c>
      <c r="H1385" s="11"/>
      <c r="I1385" s="11" t="s">
        <v>49</v>
      </c>
      <c r="J1385" s="11">
        <v>2025.01</v>
      </c>
      <c r="K1385" s="11">
        <v>2025.01</v>
      </c>
      <c r="L1385" s="11"/>
      <c r="M1385" s="14">
        <v>2025.01</v>
      </c>
      <c r="N1385" s="11" t="s">
        <v>2942</v>
      </c>
      <c r="O1385" s="11" t="s">
        <v>50</v>
      </c>
    </row>
    <row r="1386" spans="1:15" s="13" customFormat="1" ht="19.5" customHeight="1" x14ac:dyDescent="0.25">
      <c r="A1386" s="11" t="s">
        <v>2943</v>
      </c>
      <c r="B1386" s="11" t="s">
        <v>2943</v>
      </c>
      <c r="C1386" s="12">
        <v>46104</v>
      </c>
      <c r="D1386" s="12">
        <v>46149</v>
      </c>
      <c r="E1386" s="11" t="s">
        <v>6</v>
      </c>
      <c r="F1386" s="11" t="s">
        <v>2944</v>
      </c>
      <c r="G1386" s="11" t="s">
        <v>2943</v>
      </c>
      <c r="H1386" s="11"/>
      <c r="I1386" s="11" t="s">
        <v>49</v>
      </c>
      <c r="J1386" s="11">
        <v>1869.21</v>
      </c>
      <c r="K1386" s="11">
        <v>1869.21</v>
      </c>
      <c r="L1386" s="11"/>
      <c r="M1386" s="14">
        <v>1869.21</v>
      </c>
      <c r="N1386" s="11" t="s">
        <v>2945</v>
      </c>
      <c r="O1386" s="11" t="s">
        <v>50</v>
      </c>
    </row>
    <row r="1387" spans="1:15" s="13" customFormat="1" ht="19.5" customHeight="1" x14ac:dyDescent="0.25">
      <c r="A1387" s="11" t="s">
        <v>2943</v>
      </c>
      <c r="B1387" s="11" t="s">
        <v>2943</v>
      </c>
      <c r="C1387" s="12">
        <v>46104</v>
      </c>
      <c r="D1387" s="12">
        <v>46164</v>
      </c>
      <c r="E1387" s="11" t="s">
        <v>6</v>
      </c>
      <c r="F1387" s="11" t="s">
        <v>2944</v>
      </c>
      <c r="G1387" s="11" t="s">
        <v>2943</v>
      </c>
      <c r="H1387" s="11"/>
      <c r="I1387" s="11" t="s">
        <v>49</v>
      </c>
      <c r="J1387" s="11">
        <v>1869.2</v>
      </c>
      <c r="K1387" s="11">
        <v>1869.2</v>
      </c>
      <c r="L1387" s="11"/>
      <c r="M1387" s="14">
        <v>1869.2</v>
      </c>
      <c r="N1387" s="11" t="s">
        <v>2945</v>
      </c>
      <c r="O1387" s="11" t="s">
        <v>50</v>
      </c>
    </row>
    <row r="1388" spans="1:15" s="13" customFormat="1" ht="19.5" customHeight="1" x14ac:dyDescent="0.25">
      <c r="A1388" s="11" t="s">
        <v>2946</v>
      </c>
      <c r="B1388" s="11" t="s">
        <v>2946</v>
      </c>
      <c r="C1388" s="12">
        <v>46093</v>
      </c>
      <c r="D1388" s="12">
        <v>46138</v>
      </c>
      <c r="E1388" s="11" t="s">
        <v>6</v>
      </c>
      <c r="F1388" s="11" t="s">
        <v>593</v>
      </c>
      <c r="G1388" s="11" t="s">
        <v>2946</v>
      </c>
      <c r="H1388" s="11"/>
      <c r="I1388" s="11" t="s">
        <v>49</v>
      </c>
      <c r="J1388" s="11">
        <v>2283.1</v>
      </c>
      <c r="K1388" s="11">
        <v>2283.1</v>
      </c>
      <c r="L1388" s="11"/>
      <c r="M1388" s="14">
        <v>2283.1</v>
      </c>
      <c r="N1388" s="11" t="s">
        <v>2947</v>
      </c>
      <c r="O1388" s="11" t="s">
        <v>50</v>
      </c>
    </row>
    <row r="1389" spans="1:15" s="13" customFormat="1" ht="19.5" customHeight="1" x14ac:dyDescent="0.25">
      <c r="A1389" s="11" t="s">
        <v>2946</v>
      </c>
      <c r="B1389" s="11" t="s">
        <v>2946</v>
      </c>
      <c r="C1389" s="12">
        <v>46093</v>
      </c>
      <c r="D1389" s="12">
        <v>46145</v>
      </c>
      <c r="E1389" s="11" t="s">
        <v>6</v>
      </c>
      <c r="F1389" s="11" t="s">
        <v>593</v>
      </c>
      <c r="G1389" s="11" t="s">
        <v>2946</v>
      </c>
      <c r="H1389" s="11"/>
      <c r="I1389" s="11" t="s">
        <v>49</v>
      </c>
      <c r="J1389" s="11">
        <v>2283.1</v>
      </c>
      <c r="K1389" s="11">
        <v>2283.1</v>
      </c>
      <c r="L1389" s="11"/>
      <c r="M1389" s="14">
        <v>2283.1</v>
      </c>
      <c r="N1389" s="11" t="s">
        <v>2947</v>
      </c>
      <c r="O1389" s="11" t="s">
        <v>50</v>
      </c>
    </row>
    <row r="1390" spans="1:15" s="13" customFormat="1" ht="19.5" customHeight="1" x14ac:dyDescent="0.25">
      <c r="A1390" s="11" t="s">
        <v>2946</v>
      </c>
      <c r="B1390" s="11" t="s">
        <v>2946</v>
      </c>
      <c r="C1390" s="12">
        <v>46093</v>
      </c>
      <c r="D1390" s="12">
        <v>46152</v>
      </c>
      <c r="E1390" s="11" t="s">
        <v>6</v>
      </c>
      <c r="F1390" s="11" t="s">
        <v>593</v>
      </c>
      <c r="G1390" s="11" t="s">
        <v>2946</v>
      </c>
      <c r="H1390" s="11"/>
      <c r="I1390" s="11" t="s">
        <v>49</v>
      </c>
      <c r="J1390" s="11">
        <v>2283.1</v>
      </c>
      <c r="K1390" s="11">
        <v>2283.1</v>
      </c>
      <c r="L1390" s="11"/>
      <c r="M1390" s="14">
        <v>2283.1</v>
      </c>
      <c r="N1390" s="11" t="s">
        <v>2947</v>
      </c>
      <c r="O1390" s="11" t="s">
        <v>50</v>
      </c>
    </row>
    <row r="1391" spans="1:15" s="13" customFormat="1" ht="19.5" customHeight="1" x14ac:dyDescent="0.25">
      <c r="A1391" s="11" t="s">
        <v>2946</v>
      </c>
      <c r="B1391" s="11" t="s">
        <v>2946</v>
      </c>
      <c r="C1391" s="12">
        <v>46093</v>
      </c>
      <c r="D1391" s="12">
        <v>46159</v>
      </c>
      <c r="E1391" s="11" t="s">
        <v>6</v>
      </c>
      <c r="F1391" s="11" t="s">
        <v>593</v>
      </c>
      <c r="G1391" s="11" t="s">
        <v>2946</v>
      </c>
      <c r="H1391" s="11"/>
      <c r="I1391" s="11" t="s">
        <v>49</v>
      </c>
      <c r="J1391" s="11">
        <v>2283.1</v>
      </c>
      <c r="K1391" s="11">
        <v>2283.1</v>
      </c>
      <c r="L1391" s="11"/>
      <c r="M1391" s="14">
        <v>2283.1</v>
      </c>
      <c r="N1391" s="11" t="s">
        <v>2947</v>
      </c>
      <c r="O1391" s="11" t="s">
        <v>50</v>
      </c>
    </row>
    <row r="1392" spans="1:15" s="13" customFormat="1" ht="19.5" customHeight="1" x14ac:dyDescent="0.25">
      <c r="A1392" s="11" t="s">
        <v>2946</v>
      </c>
      <c r="B1392" s="11" t="s">
        <v>2946</v>
      </c>
      <c r="C1392" s="12">
        <v>46093</v>
      </c>
      <c r="D1392" s="12">
        <v>46166</v>
      </c>
      <c r="E1392" s="11" t="s">
        <v>6</v>
      </c>
      <c r="F1392" s="11" t="s">
        <v>593</v>
      </c>
      <c r="G1392" s="11" t="s">
        <v>2946</v>
      </c>
      <c r="H1392" s="11"/>
      <c r="I1392" s="11" t="s">
        <v>49</v>
      </c>
      <c r="J1392" s="11">
        <v>2283.1</v>
      </c>
      <c r="K1392" s="11">
        <v>2283.1</v>
      </c>
      <c r="L1392" s="11"/>
      <c r="M1392" s="14">
        <v>2283.1</v>
      </c>
      <c r="N1392" s="11" t="s">
        <v>2947</v>
      </c>
      <c r="O1392" s="11" t="s">
        <v>50</v>
      </c>
    </row>
    <row r="1393" spans="1:15" s="13" customFormat="1" ht="19.5" customHeight="1" x14ac:dyDescent="0.25">
      <c r="A1393" s="11" t="s">
        <v>2946</v>
      </c>
      <c r="B1393" s="11" t="s">
        <v>2946</v>
      </c>
      <c r="C1393" s="12">
        <v>46093</v>
      </c>
      <c r="D1393" s="12">
        <v>46183</v>
      </c>
      <c r="E1393" s="11" t="s">
        <v>6</v>
      </c>
      <c r="F1393" s="11" t="s">
        <v>593</v>
      </c>
      <c r="G1393" s="11" t="s">
        <v>2946</v>
      </c>
      <c r="H1393" s="11"/>
      <c r="I1393" s="11" t="s">
        <v>49</v>
      </c>
      <c r="J1393" s="11">
        <v>2288.6</v>
      </c>
      <c r="K1393" s="11">
        <v>2288.6</v>
      </c>
      <c r="L1393" s="11"/>
      <c r="M1393" s="14">
        <v>2288.6</v>
      </c>
      <c r="N1393" s="11" t="s">
        <v>2947</v>
      </c>
      <c r="O1393" s="11" t="s">
        <v>50</v>
      </c>
    </row>
    <row r="1394" spans="1:15" s="13" customFormat="1" ht="19.5" customHeight="1" x14ac:dyDescent="0.25">
      <c r="A1394" s="11" t="s">
        <v>2948</v>
      </c>
      <c r="B1394" s="11" t="s">
        <v>2948</v>
      </c>
      <c r="C1394" s="12">
        <v>46104</v>
      </c>
      <c r="D1394" s="12">
        <v>46149</v>
      </c>
      <c r="E1394" s="11" t="s">
        <v>6</v>
      </c>
      <c r="F1394" s="11" t="s">
        <v>593</v>
      </c>
      <c r="G1394" s="11" t="s">
        <v>2948</v>
      </c>
      <c r="H1394" s="11"/>
      <c r="I1394" s="11" t="s">
        <v>49</v>
      </c>
      <c r="J1394" s="11">
        <v>2249.98</v>
      </c>
      <c r="K1394" s="11">
        <v>2249.98</v>
      </c>
      <c r="L1394" s="11"/>
      <c r="M1394" s="14">
        <v>2249.98</v>
      </c>
      <c r="N1394" s="11" t="s">
        <v>2949</v>
      </c>
      <c r="O1394" s="11" t="s">
        <v>50</v>
      </c>
    </row>
    <row r="1395" spans="1:15" s="13" customFormat="1" ht="19.5" customHeight="1" x14ac:dyDescent="0.25">
      <c r="A1395" s="11" t="s">
        <v>2948</v>
      </c>
      <c r="B1395" s="11" t="s">
        <v>2948</v>
      </c>
      <c r="C1395" s="12">
        <v>46104</v>
      </c>
      <c r="D1395" s="12">
        <v>46156</v>
      </c>
      <c r="E1395" s="11" t="s">
        <v>6</v>
      </c>
      <c r="F1395" s="11" t="s">
        <v>593</v>
      </c>
      <c r="G1395" s="11" t="s">
        <v>2948</v>
      </c>
      <c r="H1395" s="11"/>
      <c r="I1395" s="11" t="s">
        <v>49</v>
      </c>
      <c r="J1395" s="11">
        <v>2249.98</v>
      </c>
      <c r="K1395" s="11">
        <v>2249.98</v>
      </c>
      <c r="L1395" s="11"/>
      <c r="M1395" s="14">
        <v>2249.98</v>
      </c>
      <c r="N1395" s="11" t="s">
        <v>2949</v>
      </c>
      <c r="O1395" s="11" t="s">
        <v>50</v>
      </c>
    </row>
    <row r="1396" spans="1:15" s="13" customFormat="1" ht="19.5" customHeight="1" x14ac:dyDescent="0.25">
      <c r="A1396" s="11" t="s">
        <v>2948</v>
      </c>
      <c r="B1396" s="11" t="s">
        <v>2948</v>
      </c>
      <c r="C1396" s="12">
        <v>46104</v>
      </c>
      <c r="D1396" s="12">
        <v>46163</v>
      </c>
      <c r="E1396" s="11" t="s">
        <v>6</v>
      </c>
      <c r="F1396" s="11" t="s">
        <v>593</v>
      </c>
      <c r="G1396" s="11" t="s">
        <v>2948</v>
      </c>
      <c r="H1396" s="11"/>
      <c r="I1396" s="11" t="s">
        <v>49</v>
      </c>
      <c r="J1396" s="11">
        <v>2249.98</v>
      </c>
      <c r="K1396" s="11">
        <v>2249.98</v>
      </c>
      <c r="L1396" s="11"/>
      <c r="M1396" s="14">
        <v>2249.98</v>
      </c>
      <c r="N1396" s="11" t="s">
        <v>2949</v>
      </c>
      <c r="O1396" s="11" t="s">
        <v>50</v>
      </c>
    </row>
    <row r="1397" spans="1:15" s="13" customFormat="1" ht="19.5" customHeight="1" x14ac:dyDescent="0.25">
      <c r="A1397" s="11" t="s">
        <v>2948</v>
      </c>
      <c r="B1397" s="11" t="s">
        <v>2948</v>
      </c>
      <c r="C1397" s="12">
        <v>46104</v>
      </c>
      <c r="D1397" s="12">
        <v>46170</v>
      </c>
      <c r="E1397" s="11" t="s">
        <v>6</v>
      </c>
      <c r="F1397" s="11" t="s">
        <v>593</v>
      </c>
      <c r="G1397" s="11" t="s">
        <v>2948</v>
      </c>
      <c r="H1397" s="11"/>
      <c r="I1397" s="11" t="s">
        <v>49</v>
      </c>
      <c r="J1397" s="11">
        <v>2249.98</v>
      </c>
      <c r="K1397" s="11">
        <v>2249.98</v>
      </c>
      <c r="L1397" s="11"/>
      <c r="M1397" s="14">
        <v>2249.98</v>
      </c>
      <c r="N1397" s="11" t="s">
        <v>2949</v>
      </c>
      <c r="O1397" s="11" t="s">
        <v>50</v>
      </c>
    </row>
    <row r="1398" spans="1:15" s="13" customFormat="1" ht="19.5" customHeight="1" x14ac:dyDescent="0.25">
      <c r="A1398" s="11" t="s">
        <v>2948</v>
      </c>
      <c r="B1398" s="11" t="s">
        <v>2948</v>
      </c>
      <c r="C1398" s="12">
        <v>46104</v>
      </c>
      <c r="D1398" s="12">
        <v>46177</v>
      </c>
      <c r="E1398" s="11" t="s">
        <v>6</v>
      </c>
      <c r="F1398" s="11" t="s">
        <v>593</v>
      </c>
      <c r="G1398" s="11" t="s">
        <v>2948</v>
      </c>
      <c r="H1398" s="11"/>
      <c r="I1398" s="11" t="s">
        <v>49</v>
      </c>
      <c r="J1398" s="11">
        <v>2249.98</v>
      </c>
      <c r="K1398" s="11">
        <v>2249.98</v>
      </c>
      <c r="L1398" s="11"/>
      <c r="M1398" s="14">
        <v>2249.98</v>
      </c>
      <c r="N1398" s="11" t="s">
        <v>2949</v>
      </c>
      <c r="O1398" s="11" t="s">
        <v>50</v>
      </c>
    </row>
    <row r="1399" spans="1:15" s="13" customFormat="1" ht="19.5" customHeight="1" x14ac:dyDescent="0.25">
      <c r="A1399" s="11" t="s">
        <v>2948</v>
      </c>
      <c r="B1399" s="11" t="s">
        <v>2948</v>
      </c>
      <c r="C1399" s="12">
        <v>46104</v>
      </c>
      <c r="D1399" s="12">
        <v>46194</v>
      </c>
      <c r="E1399" s="11" t="s">
        <v>6</v>
      </c>
      <c r="F1399" s="11" t="s">
        <v>593</v>
      </c>
      <c r="G1399" s="11" t="s">
        <v>2948</v>
      </c>
      <c r="H1399" s="11"/>
      <c r="I1399" s="11" t="s">
        <v>49</v>
      </c>
      <c r="J1399" s="11">
        <v>2255.41</v>
      </c>
      <c r="K1399" s="11">
        <v>2255.41</v>
      </c>
      <c r="L1399" s="11"/>
      <c r="M1399" s="14">
        <v>2255.41</v>
      </c>
      <c r="N1399" s="11" t="s">
        <v>2949</v>
      </c>
      <c r="O1399" s="11" t="s">
        <v>50</v>
      </c>
    </row>
    <row r="1400" spans="1:15" s="13" customFormat="1" ht="19.5" customHeight="1" x14ac:dyDescent="0.25">
      <c r="A1400" s="11" t="s">
        <v>2950</v>
      </c>
      <c r="B1400" s="11" t="s">
        <v>2950</v>
      </c>
      <c r="C1400" s="12">
        <v>46111</v>
      </c>
      <c r="D1400" s="12">
        <v>46156</v>
      </c>
      <c r="E1400" s="11" t="s">
        <v>6</v>
      </c>
      <c r="F1400" s="11" t="s">
        <v>593</v>
      </c>
      <c r="G1400" s="11" t="s">
        <v>2950</v>
      </c>
      <c r="H1400" s="11"/>
      <c r="I1400" s="11" t="s">
        <v>49</v>
      </c>
      <c r="J1400" s="11">
        <v>1681.3</v>
      </c>
      <c r="K1400" s="11">
        <v>1681.3</v>
      </c>
      <c r="L1400" s="11"/>
      <c r="M1400" s="14">
        <v>1681.3</v>
      </c>
      <c r="N1400" s="11" t="s">
        <v>2951</v>
      </c>
      <c r="O1400" s="11" t="s">
        <v>50</v>
      </c>
    </row>
    <row r="1401" spans="1:15" s="13" customFormat="1" ht="19.5" customHeight="1" x14ac:dyDescent="0.25">
      <c r="A1401" s="11" t="s">
        <v>2950</v>
      </c>
      <c r="B1401" s="11" t="s">
        <v>2950</v>
      </c>
      <c r="C1401" s="12">
        <v>46111</v>
      </c>
      <c r="D1401" s="12">
        <v>46166</v>
      </c>
      <c r="E1401" s="11" t="s">
        <v>6</v>
      </c>
      <c r="F1401" s="11" t="s">
        <v>593</v>
      </c>
      <c r="G1401" s="11" t="s">
        <v>2950</v>
      </c>
      <c r="H1401" s="11"/>
      <c r="I1401" s="11" t="s">
        <v>49</v>
      </c>
      <c r="J1401" s="11">
        <v>1681.3</v>
      </c>
      <c r="K1401" s="11">
        <v>1681.3</v>
      </c>
      <c r="L1401" s="11"/>
      <c r="M1401" s="14">
        <v>1681.3</v>
      </c>
      <c r="N1401" s="11" t="s">
        <v>2951</v>
      </c>
      <c r="O1401" s="11" t="s">
        <v>50</v>
      </c>
    </row>
    <row r="1402" spans="1:15" s="13" customFormat="1" ht="19.5" customHeight="1" x14ac:dyDescent="0.25">
      <c r="A1402" s="11" t="s">
        <v>2950</v>
      </c>
      <c r="B1402" s="11" t="s">
        <v>2950</v>
      </c>
      <c r="C1402" s="12">
        <v>46111</v>
      </c>
      <c r="D1402" s="12">
        <v>46176</v>
      </c>
      <c r="E1402" s="11" t="s">
        <v>6</v>
      </c>
      <c r="F1402" s="11" t="s">
        <v>593</v>
      </c>
      <c r="G1402" s="11" t="s">
        <v>2950</v>
      </c>
      <c r="H1402" s="11"/>
      <c r="I1402" s="11" t="s">
        <v>49</v>
      </c>
      <c r="J1402" s="11">
        <v>1681.3</v>
      </c>
      <c r="K1402" s="11">
        <v>1681.3</v>
      </c>
      <c r="L1402" s="11"/>
      <c r="M1402" s="14">
        <v>1681.3</v>
      </c>
      <c r="N1402" s="11" t="s">
        <v>2951</v>
      </c>
      <c r="O1402" s="11" t="s">
        <v>50</v>
      </c>
    </row>
    <row r="1403" spans="1:15" s="13" customFormat="1" ht="19.5" customHeight="1" x14ac:dyDescent="0.25">
      <c r="A1403" s="11" t="s">
        <v>2950</v>
      </c>
      <c r="B1403" s="11" t="s">
        <v>2950</v>
      </c>
      <c r="C1403" s="12">
        <v>46111</v>
      </c>
      <c r="D1403" s="12">
        <v>46186</v>
      </c>
      <c r="E1403" s="11" t="s">
        <v>6</v>
      </c>
      <c r="F1403" s="11" t="s">
        <v>593</v>
      </c>
      <c r="G1403" s="11" t="s">
        <v>2950</v>
      </c>
      <c r="H1403" s="11"/>
      <c r="I1403" s="11" t="s">
        <v>49</v>
      </c>
      <c r="J1403" s="11">
        <v>1681.29</v>
      </c>
      <c r="K1403" s="11">
        <v>1681.29</v>
      </c>
      <c r="L1403" s="11"/>
      <c r="M1403" s="14">
        <v>1681.29</v>
      </c>
      <c r="N1403" s="11" t="s">
        <v>2951</v>
      </c>
      <c r="O1403" s="11" t="s">
        <v>50</v>
      </c>
    </row>
    <row r="1404" spans="1:15" s="13" customFormat="1" ht="19.5" customHeight="1" x14ac:dyDescent="0.25">
      <c r="A1404" s="11" t="s">
        <v>2952</v>
      </c>
      <c r="B1404" s="11" t="s">
        <v>2952</v>
      </c>
      <c r="C1404" s="12">
        <v>45989</v>
      </c>
      <c r="D1404" s="12">
        <v>46034</v>
      </c>
      <c r="E1404" s="11" t="s">
        <v>6</v>
      </c>
      <c r="F1404" s="11" t="s">
        <v>1929</v>
      </c>
      <c r="G1404" s="11" t="s">
        <v>2952</v>
      </c>
      <c r="H1404" s="11"/>
      <c r="I1404" s="11" t="s">
        <v>49</v>
      </c>
      <c r="J1404" s="11">
        <v>1642.08</v>
      </c>
      <c r="K1404" s="11">
        <v>1642.08</v>
      </c>
      <c r="L1404" s="11"/>
      <c r="M1404" s="14">
        <v>1642.08</v>
      </c>
      <c r="N1404" s="11" t="s">
        <v>2953</v>
      </c>
      <c r="O1404" s="11" t="s">
        <v>50</v>
      </c>
    </row>
    <row r="1405" spans="1:15" s="13" customFormat="1" ht="19.5" customHeight="1" x14ac:dyDescent="0.25">
      <c r="A1405" s="11" t="s">
        <v>2952</v>
      </c>
      <c r="B1405" s="11" t="s">
        <v>2952</v>
      </c>
      <c r="C1405" s="12">
        <v>45989</v>
      </c>
      <c r="D1405" s="12">
        <v>46044</v>
      </c>
      <c r="E1405" s="11" t="s">
        <v>6</v>
      </c>
      <c r="F1405" s="11" t="s">
        <v>1929</v>
      </c>
      <c r="G1405" s="11" t="s">
        <v>2952</v>
      </c>
      <c r="H1405" s="11"/>
      <c r="I1405" s="11" t="s">
        <v>49</v>
      </c>
      <c r="J1405" s="11">
        <v>1642.08</v>
      </c>
      <c r="K1405" s="11">
        <v>1642.08</v>
      </c>
      <c r="L1405" s="11"/>
      <c r="M1405" s="14">
        <v>1642.08</v>
      </c>
      <c r="N1405" s="11" t="s">
        <v>2953</v>
      </c>
      <c r="O1405" s="11" t="s">
        <v>50</v>
      </c>
    </row>
    <row r="1406" spans="1:15" s="13" customFormat="1" ht="19.5" customHeight="1" x14ac:dyDescent="0.25">
      <c r="A1406" s="11" t="s">
        <v>2952</v>
      </c>
      <c r="B1406" s="11" t="s">
        <v>2952</v>
      </c>
      <c r="C1406" s="12">
        <v>45989</v>
      </c>
      <c r="D1406" s="12">
        <v>46054</v>
      </c>
      <c r="E1406" s="11" t="s">
        <v>6</v>
      </c>
      <c r="F1406" s="11" t="s">
        <v>1929</v>
      </c>
      <c r="G1406" s="11" t="s">
        <v>2952</v>
      </c>
      <c r="H1406" s="11"/>
      <c r="I1406" s="11" t="s">
        <v>49</v>
      </c>
      <c r="J1406" s="11">
        <v>1642.08</v>
      </c>
      <c r="K1406" s="11">
        <v>1642.08</v>
      </c>
      <c r="L1406" s="11"/>
      <c r="M1406" s="14">
        <v>1642.08</v>
      </c>
      <c r="N1406" s="11" t="s">
        <v>2953</v>
      </c>
      <c r="O1406" s="11" t="s">
        <v>50</v>
      </c>
    </row>
    <row r="1407" spans="1:15" s="13" customFormat="1" ht="19.5" customHeight="1" x14ac:dyDescent="0.25">
      <c r="A1407" s="11" t="s">
        <v>2952</v>
      </c>
      <c r="B1407" s="11" t="s">
        <v>2952</v>
      </c>
      <c r="C1407" s="12">
        <v>45989</v>
      </c>
      <c r="D1407" s="12">
        <v>46064</v>
      </c>
      <c r="E1407" s="11" t="s">
        <v>6</v>
      </c>
      <c r="F1407" s="11" t="s">
        <v>1929</v>
      </c>
      <c r="G1407" s="11" t="s">
        <v>2952</v>
      </c>
      <c r="H1407" s="11"/>
      <c r="I1407" s="11" t="s">
        <v>49</v>
      </c>
      <c r="J1407" s="11">
        <v>1642.08</v>
      </c>
      <c r="K1407" s="11">
        <v>1642.08</v>
      </c>
      <c r="L1407" s="11"/>
      <c r="M1407" s="14">
        <v>1642.08</v>
      </c>
      <c r="N1407" s="11" t="s">
        <v>2953</v>
      </c>
      <c r="O1407" s="11" t="s">
        <v>50</v>
      </c>
    </row>
    <row r="1408" spans="1:15" s="13" customFormat="1" ht="19.5" customHeight="1" x14ac:dyDescent="0.25">
      <c r="A1408" s="11" t="s">
        <v>2954</v>
      </c>
      <c r="B1408" s="11" t="s">
        <v>2954</v>
      </c>
      <c r="C1408" s="12">
        <v>46106</v>
      </c>
      <c r="D1408" s="12">
        <v>46151</v>
      </c>
      <c r="E1408" s="11" t="s">
        <v>6</v>
      </c>
      <c r="F1408" s="11" t="s">
        <v>2955</v>
      </c>
      <c r="G1408" s="11" t="s">
        <v>2954</v>
      </c>
      <c r="H1408" s="11"/>
      <c r="I1408" s="11" t="s">
        <v>49</v>
      </c>
      <c r="J1408" s="11">
        <v>7786.03</v>
      </c>
      <c r="K1408" s="11">
        <v>7786.03</v>
      </c>
      <c r="L1408" s="11"/>
      <c r="M1408" s="14">
        <v>7786.03</v>
      </c>
      <c r="N1408" s="11" t="s">
        <v>2956</v>
      </c>
      <c r="O1408" s="11" t="s">
        <v>50</v>
      </c>
    </row>
    <row r="1409" spans="1:15" s="13" customFormat="1" ht="19.5" customHeight="1" x14ac:dyDescent="0.25">
      <c r="A1409" s="11" t="s">
        <v>2954</v>
      </c>
      <c r="B1409" s="11" t="s">
        <v>2954</v>
      </c>
      <c r="C1409" s="12">
        <v>46106</v>
      </c>
      <c r="D1409" s="12">
        <v>46158</v>
      </c>
      <c r="E1409" s="11" t="s">
        <v>6</v>
      </c>
      <c r="F1409" s="11" t="s">
        <v>2955</v>
      </c>
      <c r="G1409" s="11" t="s">
        <v>2954</v>
      </c>
      <c r="H1409" s="11"/>
      <c r="I1409" s="11" t="s">
        <v>49</v>
      </c>
      <c r="J1409" s="11">
        <v>7786.03</v>
      </c>
      <c r="K1409" s="11">
        <v>7786.03</v>
      </c>
      <c r="L1409" s="11"/>
      <c r="M1409" s="14">
        <v>7786.03</v>
      </c>
      <c r="N1409" s="11" t="s">
        <v>2956</v>
      </c>
      <c r="O1409" s="11" t="s">
        <v>50</v>
      </c>
    </row>
    <row r="1410" spans="1:15" s="13" customFormat="1" ht="19.5" customHeight="1" x14ac:dyDescent="0.25">
      <c r="A1410" s="11" t="s">
        <v>2954</v>
      </c>
      <c r="B1410" s="11" t="s">
        <v>2954</v>
      </c>
      <c r="C1410" s="12">
        <v>46106</v>
      </c>
      <c r="D1410" s="12">
        <v>46165</v>
      </c>
      <c r="E1410" s="11" t="s">
        <v>6</v>
      </c>
      <c r="F1410" s="11" t="s">
        <v>2955</v>
      </c>
      <c r="G1410" s="11" t="s">
        <v>2954</v>
      </c>
      <c r="H1410" s="11"/>
      <c r="I1410" s="11" t="s">
        <v>49</v>
      </c>
      <c r="J1410" s="11">
        <v>7786.03</v>
      </c>
      <c r="K1410" s="11">
        <v>7786.03</v>
      </c>
      <c r="L1410" s="11"/>
      <c r="M1410" s="14">
        <v>7786.03</v>
      </c>
      <c r="N1410" s="11" t="s">
        <v>2956</v>
      </c>
      <c r="O1410" s="11" t="s">
        <v>50</v>
      </c>
    </row>
    <row r="1411" spans="1:15" s="13" customFormat="1" ht="19.5" customHeight="1" x14ac:dyDescent="0.25">
      <c r="A1411" s="11" t="s">
        <v>2954</v>
      </c>
      <c r="B1411" s="11" t="s">
        <v>2954</v>
      </c>
      <c r="C1411" s="12">
        <v>46106</v>
      </c>
      <c r="D1411" s="12">
        <v>46172</v>
      </c>
      <c r="E1411" s="11" t="s">
        <v>6</v>
      </c>
      <c r="F1411" s="11" t="s">
        <v>2955</v>
      </c>
      <c r="G1411" s="11" t="s">
        <v>2954</v>
      </c>
      <c r="H1411" s="11"/>
      <c r="I1411" s="11" t="s">
        <v>49</v>
      </c>
      <c r="J1411" s="11">
        <v>7786.03</v>
      </c>
      <c r="K1411" s="11">
        <v>7786.03</v>
      </c>
      <c r="L1411" s="11"/>
      <c r="M1411" s="14">
        <v>7786.03</v>
      </c>
      <c r="N1411" s="11" t="s">
        <v>2956</v>
      </c>
      <c r="O1411" s="11" t="s">
        <v>50</v>
      </c>
    </row>
    <row r="1412" spans="1:15" s="13" customFormat="1" ht="19.5" customHeight="1" x14ac:dyDescent="0.25">
      <c r="A1412" s="11" t="s">
        <v>2954</v>
      </c>
      <c r="B1412" s="11" t="s">
        <v>2954</v>
      </c>
      <c r="C1412" s="12">
        <v>46106</v>
      </c>
      <c r="D1412" s="12">
        <v>46179</v>
      </c>
      <c r="E1412" s="11" t="s">
        <v>6</v>
      </c>
      <c r="F1412" s="11" t="s">
        <v>2955</v>
      </c>
      <c r="G1412" s="11" t="s">
        <v>2954</v>
      </c>
      <c r="H1412" s="11"/>
      <c r="I1412" s="11" t="s">
        <v>49</v>
      </c>
      <c r="J1412" s="11">
        <v>7786.03</v>
      </c>
      <c r="K1412" s="11">
        <v>7786.03</v>
      </c>
      <c r="L1412" s="11"/>
      <c r="M1412" s="14">
        <v>7786.03</v>
      </c>
      <c r="N1412" s="11" t="s">
        <v>2956</v>
      </c>
      <c r="O1412" s="11" t="s">
        <v>50</v>
      </c>
    </row>
    <row r="1413" spans="1:15" s="13" customFormat="1" ht="19.5" customHeight="1" x14ac:dyDescent="0.25">
      <c r="A1413" s="11" t="s">
        <v>2954</v>
      </c>
      <c r="B1413" s="11" t="s">
        <v>2954</v>
      </c>
      <c r="C1413" s="12">
        <v>46106</v>
      </c>
      <c r="D1413" s="12">
        <v>46186</v>
      </c>
      <c r="E1413" s="11" t="s">
        <v>6</v>
      </c>
      <c r="F1413" s="11" t="s">
        <v>2955</v>
      </c>
      <c r="G1413" s="11" t="s">
        <v>2954</v>
      </c>
      <c r="H1413" s="11"/>
      <c r="I1413" s="11" t="s">
        <v>49</v>
      </c>
      <c r="J1413" s="11">
        <v>7786.03</v>
      </c>
      <c r="K1413" s="11">
        <v>7786.03</v>
      </c>
      <c r="L1413" s="11"/>
      <c r="M1413" s="14">
        <v>7786.03</v>
      </c>
      <c r="N1413" s="11" t="s">
        <v>2956</v>
      </c>
      <c r="O1413" s="11" t="s">
        <v>50</v>
      </c>
    </row>
    <row r="1414" spans="1:15" s="13" customFormat="1" ht="19.5" customHeight="1" x14ac:dyDescent="0.25">
      <c r="A1414" s="11" t="s">
        <v>2954</v>
      </c>
      <c r="B1414" s="11" t="s">
        <v>2954</v>
      </c>
      <c r="C1414" s="12">
        <v>46106</v>
      </c>
      <c r="D1414" s="12">
        <v>46196</v>
      </c>
      <c r="E1414" s="11" t="s">
        <v>6</v>
      </c>
      <c r="F1414" s="11" t="s">
        <v>2955</v>
      </c>
      <c r="G1414" s="11" t="s">
        <v>2954</v>
      </c>
      <c r="H1414" s="11"/>
      <c r="I1414" s="11" t="s">
        <v>49</v>
      </c>
      <c r="J1414" s="11">
        <v>7807.86</v>
      </c>
      <c r="K1414" s="11">
        <v>7807.86</v>
      </c>
      <c r="L1414" s="11"/>
      <c r="M1414" s="14">
        <v>7807.86</v>
      </c>
      <c r="N1414" s="11" t="s">
        <v>2956</v>
      </c>
      <c r="O1414" s="11" t="s">
        <v>50</v>
      </c>
    </row>
    <row r="1415" spans="1:15" s="13" customFormat="1" ht="19.5" customHeight="1" x14ac:dyDescent="0.25">
      <c r="A1415" s="11" t="s">
        <v>2957</v>
      </c>
      <c r="B1415" s="11" t="s">
        <v>2957</v>
      </c>
      <c r="C1415" s="12">
        <v>46105</v>
      </c>
      <c r="D1415" s="12">
        <v>46150</v>
      </c>
      <c r="E1415" s="11" t="s">
        <v>6</v>
      </c>
      <c r="F1415" s="11" t="s">
        <v>64</v>
      </c>
      <c r="G1415" s="11" t="s">
        <v>2957</v>
      </c>
      <c r="H1415" s="11"/>
      <c r="I1415" s="11" t="s">
        <v>49</v>
      </c>
      <c r="J1415" s="11">
        <v>11618.47</v>
      </c>
      <c r="K1415" s="11">
        <v>11618.47</v>
      </c>
      <c r="L1415" s="11"/>
      <c r="M1415" s="14">
        <v>11618.47</v>
      </c>
      <c r="N1415" s="11" t="s">
        <v>2958</v>
      </c>
      <c r="O1415" s="11" t="s">
        <v>50</v>
      </c>
    </row>
    <row r="1416" spans="1:15" s="13" customFormat="1" ht="19.5" customHeight="1" x14ac:dyDescent="0.25">
      <c r="A1416" s="11" t="s">
        <v>2957</v>
      </c>
      <c r="B1416" s="11" t="s">
        <v>2957</v>
      </c>
      <c r="C1416" s="12">
        <v>46105</v>
      </c>
      <c r="D1416" s="12">
        <v>46160</v>
      </c>
      <c r="E1416" s="11" t="s">
        <v>6</v>
      </c>
      <c r="F1416" s="11" t="s">
        <v>64</v>
      </c>
      <c r="G1416" s="11" t="s">
        <v>2957</v>
      </c>
      <c r="H1416" s="11"/>
      <c r="I1416" s="11" t="s">
        <v>49</v>
      </c>
      <c r="J1416" s="11">
        <v>11618.47</v>
      </c>
      <c r="K1416" s="11">
        <v>11618.47</v>
      </c>
      <c r="L1416" s="11"/>
      <c r="M1416" s="14">
        <v>11618.47</v>
      </c>
      <c r="N1416" s="11" t="s">
        <v>2958</v>
      </c>
      <c r="O1416" s="11" t="s">
        <v>50</v>
      </c>
    </row>
    <row r="1417" spans="1:15" s="13" customFormat="1" ht="19.5" customHeight="1" x14ac:dyDescent="0.25">
      <c r="A1417" s="11" t="s">
        <v>2957</v>
      </c>
      <c r="B1417" s="11" t="s">
        <v>2957</v>
      </c>
      <c r="C1417" s="12">
        <v>46105</v>
      </c>
      <c r="D1417" s="12">
        <v>46170</v>
      </c>
      <c r="E1417" s="11" t="s">
        <v>6</v>
      </c>
      <c r="F1417" s="11" t="s">
        <v>64</v>
      </c>
      <c r="G1417" s="11" t="s">
        <v>2957</v>
      </c>
      <c r="H1417" s="11"/>
      <c r="I1417" s="11" t="s">
        <v>49</v>
      </c>
      <c r="J1417" s="11">
        <v>11618.47</v>
      </c>
      <c r="K1417" s="11">
        <v>11618.47</v>
      </c>
      <c r="L1417" s="11"/>
      <c r="M1417" s="14">
        <v>11618.47</v>
      </c>
      <c r="N1417" s="11" t="s">
        <v>2958</v>
      </c>
      <c r="O1417" s="11" t="s">
        <v>50</v>
      </c>
    </row>
    <row r="1418" spans="1:15" s="13" customFormat="1" ht="19.5" customHeight="1" x14ac:dyDescent="0.25">
      <c r="A1418" s="11" t="s">
        <v>2957</v>
      </c>
      <c r="B1418" s="11" t="s">
        <v>2957</v>
      </c>
      <c r="C1418" s="12">
        <v>46105</v>
      </c>
      <c r="D1418" s="12">
        <v>46180</v>
      </c>
      <c r="E1418" s="11" t="s">
        <v>6</v>
      </c>
      <c r="F1418" s="11" t="s">
        <v>64</v>
      </c>
      <c r="G1418" s="11" t="s">
        <v>2957</v>
      </c>
      <c r="H1418" s="11"/>
      <c r="I1418" s="11" t="s">
        <v>49</v>
      </c>
      <c r="J1418" s="11">
        <v>11618.47</v>
      </c>
      <c r="K1418" s="11">
        <v>11618.47</v>
      </c>
      <c r="L1418" s="11"/>
      <c r="M1418" s="14">
        <v>11618.47</v>
      </c>
      <c r="N1418" s="11" t="s">
        <v>2958</v>
      </c>
      <c r="O1418" s="11" t="s">
        <v>50</v>
      </c>
    </row>
    <row r="1419" spans="1:15" s="13" customFormat="1" ht="19.5" customHeight="1" x14ac:dyDescent="0.25">
      <c r="A1419" s="11" t="s">
        <v>2957</v>
      </c>
      <c r="B1419" s="11" t="s">
        <v>2957</v>
      </c>
      <c r="C1419" s="12">
        <v>46105</v>
      </c>
      <c r="D1419" s="12">
        <v>46190</v>
      </c>
      <c r="E1419" s="11" t="s">
        <v>6</v>
      </c>
      <c r="F1419" s="11" t="s">
        <v>64</v>
      </c>
      <c r="G1419" s="11" t="s">
        <v>2957</v>
      </c>
      <c r="H1419" s="11"/>
      <c r="I1419" s="11" t="s">
        <v>49</v>
      </c>
      <c r="J1419" s="11">
        <v>11618.47</v>
      </c>
      <c r="K1419" s="11">
        <v>11618.47</v>
      </c>
      <c r="L1419" s="11"/>
      <c r="M1419" s="14">
        <v>11618.47</v>
      </c>
      <c r="N1419" s="11" t="s">
        <v>2958</v>
      </c>
      <c r="O1419" s="11" t="s">
        <v>50</v>
      </c>
    </row>
    <row r="1420" spans="1:15" s="13" customFormat="1" ht="19.5" customHeight="1" x14ac:dyDescent="0.25">
      <c r="A1420" s="11" t="s">
        <v>2957</v>
      </c>
      <c r="B1420" s="11" t="s">
        <v>2957</v>
      </c>
      <c r="C1420" s="12">
        <v>46105</v>
      </c>
      <c r="D1420" s="12">
        <v>46200</v>
      </c>
      <c r="E1420" s="11" t="s">
        <v>6</v>
      </c>
      <c r="F1420" s="11" t="s">
        <v>64</v>
      </c>
      <c r="G1420" s="11" t="s">
        <v>2957</v>
      </c>
      <c r="H1420" s="11"/>
      <c r="I1420" s="11" t="s">
        <v>49</v>
      </c>
      <c r="J1420" s="11">
        <v>11618.47</v>
      </c>
      <c r="K1420" s="11">
        <v>11618.47</v>
      </c>
      <c r="L1420" s="11"/>
      <c r="M1420" s="14">
        <v>11618.47</v>
      </c>
      <c r="N1420" s="11" t="s">
        <v>2958</v>
      </c>
      <c r="O1420" s="11" t="s">
        <v>50</v>
      </c>
    </row>
    <row r="1421" spans="1:15" s="13" customFormat="1" ht="19.5" customHeight="1" x14ac:dyDescent="0.25">
      <c r="A1421" s="11" t="s">
        <v>2957</v>
      </c>
      <c r="B1421" s="11" t="s">
        <v>2957</v>
      </c>
      <c r="C1421" s="12">
        <v>46105</v>
      </c>
      <c r="D1421" s="12">
        <v>46210</v>
      </c>
      <c r="E1421" s="11" t="s">
        <v>6</v>
      </c>
      <c r="F1421" s="11" t="s">
        <v>64</v>
      </c>
      <c r="G1421" s="11" t="s">
        <v>2957</v>
      </c>
      <c r="H1421" s="11"/>
      <c r="I1421" s="11" t="s">
        <v>49</v>
      </c>
      <c r="J1421" s="11">
        <v>11594.06</v>
      </c>
      <c r="K1421" s="11">
        <v>11594.06</v>
      </c>
      <c r="L1421" s="11"/>
      <c r="M1421" s="14">
        <v>11594.06</v>
      </c>
      <c r="N1421" s="11" t="s">
        <v>2958</v>
      </c>
      <c r="O1421" s="11" t="s">
        <v>50</v>
      </c>
    </row>
    <row r="1422" spans="1:15" s="13" customFormat="1" ht="19.5" customHeight="1" x14ac:dyDescent="0.25">
      <c r="A1422" s="11" t="s">
        <v>2959</v>
      </c>
      <c r="B1422" s="11" t="s">
        <v>2959</v>
      </c>
      <c r="C1422" s="12">
        <v>46107</v>
      </c>
      <c r="D1422" s="12">
        <v>46152</v>
      </c>
      <c r="E1422" s="11" t="s">
        <v>6</v>
      </c>
      <c r="F1422" s="11" t="s">
        <v>64</v>
      </c>
      <c r="G1422" s="11" t="s">
        <v>2959</v>
      </c>
      <c r="H1422" s="11"/>
      <c r="I1422" s="11" t="s">
        <v>49</v>
      </c>
      <c r="J1422" s="11">
        <v>2587.5100000000002</v>
      </c>
      <c r="K1422" s="11">
        <v>2587.5100000000002</v>
      </c>
      <c r="L1422" s="11"/>
      <c r="M1422" s="14">
        <v>2587.5100000000002</v>
      </c>
      <c r="N1422" s="11" t="s">
        <v>2960</v>
      </c>
      <c r="O1422" s="11" t="s">
        <v>50</v>
      </c>
    </row>
    <row r="1423" spans="1:15" s="13" customFormat="1" ht="19.5" customHeight="1" x14ac:dyDescent="0.25">
      <c r="A1423" s="11" t="s">
        <v>2959</v>
      </c>
      <c r="B1423" s="11" t="s">
        <v>2959</v>
      </c>
      <c r="C1423" s="12">
        <v>46107</v>
      </c>
      <c r="D1423" s="12">
        <v>46167</v>
      </c>
      <c r="E1423" s="11" t="s">
        <v>6</v>
      </c>
      <c r="F1423" s="11" t="s">
        <v>64</v>
      </c>
      <c r="G1423" s="11" t="s">
        <v>2959</v>
      </c>
      <c r="H1423" s="11"/>
      <c r="I1423" s="11" t="s">
        <v>49</v>
      </c>
      <c r="J1423" s="11">
        <v>2587.5</v>
      </c>
      <c r="K1423" s="11">
        <v>2587.5</v>
      </c>
      <c r="L1423" s="11"/>
      <c r="M1423" s="14">
        <v>2587.5</v>
      </c>
      <c r="N1423" s="11" t="s">
        <v>2960</v>
      </c>
      <c r="O1423" s="11" t="s">
        <v>50</v>
      </c>
    </row>
    <row r="1424" spans="1:15" s="13" customFormat="1" ht="19.5" customHeight="1" x14ac:dyDescent="0.25">
      <c r="A1424" s="11" t="s">
        <v>2961</v>
      </c>
      <c r="B1424" s="11" t="s">
        <v>2961</v>
      </c>
      <c r="C1424" s="12">
        <v>46106</v>
      </c>
      <c r="D1424" s="12">
        <v>46151</v>
      </c>
      <c r="E1424" s="11" t="s">
        <v>6</v>
      </c>
      <c r="F1424" s="11" t="s">
        <v>64</v>
      </c>
      <c r="G1424" s="11" t="s">
        <v>2961</v>
      </c>
      <c r="H1424" s="11"/>
      <c r="I1424" s="11" t="s">
        <v>49</v>
      </c>
      <c r="J1424" s="11">
        <v>2275.9899999999998</v>
      </c>
      <c r="K1424" s="11">
        <v>2275.9899999999998</v>
      </c>
      <c r="L1424" s="11"/>
      <c r="M1424" s="14">
        <v>2275.9899999999998</v>
      </c>
      <c r="N1424" s="11" t="s">
        <v>2962</v>
      </c>
      <c r="O1424" s="11" t="s">
        <v>50</v>
      </c>
    </row>
    <row r="1425" spans="1:15" s="13" customFormat="1" ht="19.5" customHeight="1" x14ac:dyDescent="0.25">
      <c r="A1425" s="11" t="s">
        <v>2961</v>
      </c>
      <c r="B1425" s="11" t="s">
        <v>2961</v>
      </c>
      <c r="C1425" s="12">
        <v>46106</v>
      </c>
      <c r="D1425" s="12">
        <v>46166</v>
      </c>
      <c r="E1425" s="11" t="s">
        <v>6</v>
      </c>
      <c r="F1425" s="11" t="s">
        <v>64</v>
      </c>
      <c r="G1425" s="11" t="s">
        <v>2961</v>
      </c>
      <c r="H1425" s="11"/>
      <c r="I1425" s="11" t="s">
        <v>49</v>
      </c>
      <c r="J1425" s="11">
        <v>2275.98</v>
      </c>
      <c r="K1425" s="11">
        <v>2275.98</v>
      </c>
      <c r="L1425" s="11"/>
      <c r="M1425" s="14">
        <v>2275.98</v>
      </c>
      <c r="N1425" s="11" t="s">
        <v>2962</v>
      </c>
      <c r="O1425" s="11" t="s">
        <v>50</v>
      </c>
    </row>
    <row r="1426" spans="1:15" s="13" customFormat="1" ht="19.5" customHeight="1" x14ac:dyDescent="0.25">
      <c r="A1426" s="11" t="s">
        <v>2963</v>
      </c>
      <c r="B1426" s="11" t="s">
        <v>2963</v>
      </c>
      <c r="C1426" s="12">
        <v>46112</v>
      </c>
      <c r="D1426" s="12">
        <v>46157</v>
      </c>
      <c r="E1426" s="11" t="s">
        <v>6</v>
      </c>
      <c r="F1426" s="11" t="s">
        <v>64</v>
      </c>
      <c r="G1426" s="11" t="s">
        <v>2963</v>
      </c>
      <c r="H1426" s="11"/>
      <c r="I1426" s="11" t="s">
        <v>49</v>
      </c>
      <c r="J1426" s="11">
        <v>14400.87</v>
      </c>
      <c r="K1426" s="11">
        <v>14400.87</v>
      </c>
      <c r="L1426" s="11"/>
      <c r="M1426" s="14">
        <v>14400.87</v>
      </c>
      <c r="N1426" s="11" t="s">
        <v>2964</v>
      </c>
      <c r="O1426" s="11" t="s">
        <v>50</v>
      </c>
    </row>
    <row r="1427" spans="1:15" s="13" customFormat="1" ht="19.5" customHeight="1" x14ac:dyDescent="0.25">
      <c r="A1427" s="11" t="s">
        <v>2963</v>
      </c>
      <c r="B1427" s="11" t="s">
        <v>2963</v>
      </c>
      <c r="C1427" s="12">
        <v>46112</v>
      </c>
      <c r="D1427" s="12">
        <v>46164</v>
      </c>
      <c r="E1427" s="11" t="s">
        <v>6</v>
      </c>
      <c r="F1427" s="11" t="s">
        <v>64</v>
      </c>
      <c r="G1427" s="11" t="s">
        <v>2963</v>
      </c>
      <c r="H1427" s="11"/>
      <c r="I1427" s="11" t="s">
        <v>49</v>
      </c>
      <c r="J1427" s="11">
        <v>14400.87</v>
      </c>
      <c r="K1427" s="11">
        <v>14400.87</v>
      </c>
      <c r="L1427" s="11"/>
      <c r="M1427" s="14">
        <v>14400.87</v>
      </c>
      <c r="N1427" s="11" t="s">
        <v>2964</v>
      </c>
      <c r="O1427" s="11" t="s">
        <v>50</v>
      </c>
    </row>
    <row r="1428" spans="1:15" s="13" customFormat="1" ht="19.5" customHeight="1" x14ac:dyDescent="0.25">
      <c r="A1428" s="11" t="s">
        <v>2963</v>
      </c>
      <c r="B1428" s="11" t="s">
        <v>2963</v>
      </c>
      <c r="C1428" s="12">
        <v>46112</v>
      </c>
      <c r="D1428" s="12">
        <v>46171</v>
      </c>
      <c r="E1428" s="11" t="s">
        <v>6</v>
      </c>
      <c r="F1428" s="11" t="s">
        <v>64</v>
      </c>
      <c r="G1428" s="11" t="s">
        <v>2963</v>
      </c>
      <c r="H1428" s="11"/>
      <c r="I1428" s="11" t="s">
        <v>49</v>
      </c>
      <c r="J1428" s="11">
        <v>14400.87</v>
      </c>
      <c r="K1428" s="11">
        <v>14400.87</v>
      </c>
      <c r="L1428" s="11"/>
      <c r="M1428" s="14">
        <v>14400.87</v>
      </c>
      <c r="N1428" s="11" t="s">
        <v>2964</v>
      </c>
      <c r="O1428" s="11" t="s">
        <v>50</v>
      </c>
    </row>
    <row r="1429" spans="1:15" s="13" customFormat="1" ht="19.5" customHeight="1" x14ac:dyDescent="0.25">
      <c r="A1429" s="11" t="s">
        <v>2963</v>
      </c>
      <c r="B1429" s="11" t="s">
        <v>2963</v>
      </c>
      <c r="C1429" s="12">
        <v>46112</v>
      </c>
      <c r="D1429" s="12">
        <v>46178</v>
      </c>
      <c r="E1429" s="11" t="s">
        <v>6</v>
      </c>
      <c r="F1429" s="11" t="s">
        <v>64</v>
      </c>
      <c r="G1429" s="11" t="s">
        <v>2963</v>
      </c>
      <c r="H1429" s="11"/>
      <c r="I1429" s="11" t="s">
        <v>49</v>
      </c>
      <c r="J1429" s="11">
        <v>14400.87</v>
      </c>
      <c r="K1429" s="11">
        <v>14400.87</v>
      </c>
      <c r="L1429" s="11"/>
      <c r="M1429" s="14">
        <v>14400.87</v>
      </c>
      <c r="N1429" s="11" t="s">
        <v>2964</v>
      </c>
      <c r="O1429" s="11" t="s">
        <v>50</v>
      </c>
    </row>
    <row r="1430" spans="1:15" s="13" customFormat="1" ht="19.5" customHeight="1" x14ac:dyDescent="0.25">
      <c r="A1430" s="11" t="s">
        <v>2963</v>
      </c>
      <c r="B1430" s="11" t="s">
        <v>2963</v>
      </c>
      <c r="C1430" s="12">
        <v>46112</v>
      </c>
      <c r="D1430" s="12">
        <v>46185</v>
      </c>
      <c r="E1430" s="11" t="s">
        <v>6</v>
      </c>
      <c r="F1430" s="11" t="s">
        <v>64</v>
      </c>
      <c r="G1430" s="11" t="s">
        <v>2963</v>
      </c>
      <c r="H1430" s="11"/>
      <c r="I1430" s="11" t="s">
        <v>49</v>
      </c>
      <c r="J1430" s="11">
        <v>14400.87</v>
      </c>
      <c r="K1430" s="11">
        <v>14400.87</v>
      </c>
      <c r="L1430" s="11"/>
      <c r="M1430" s="14">
        <v>14400.87</v>
      </c>
      <c r="N1430" s="11" t="s">
        <v>2964</v>
      </c>
      <c r="O1430" s="11" t="s">
        <v>50</v>
      </c>
    </row>
    <row r="1431" spans="1:15" s="13" customFormat="1" ht="19.5" customHeight="1" x14ac:dyDescent="0.25">
      <c r="A1431" s="11" t="s">
        <v>2963</v>
      </c>
      <c r="B1431" s="11" t="s">
        <v>2963</v>
      </c>
      <c r="C1431" s="12">
        <v>46112</v>
      </c>
      <c r="D1431" s="12">
        <v>46192</v>
      </c>
      <c r="E1431" s="11" t="s">
        <v>6</v>
      </c>
      <c r="F1431" s="11" t="s">
        <v>64</v>
      </c>
      <c r="G1431" s="11" t="s">
        <v>2963</v>
      </c>
      <c r="H1431" s="11"/>
      <c r="I1431" s="11" t="s">
        <v>49</v>
      </c>
      <c r="J1431" s="11">
        <v>14400.87</v>
      </c>
      <c r="K1431" s="11">
        <v>14400.87</v>
      </c>
      <c r="L1431" s="11"/>
      <c r="M1431" s="14">
        <v>14400.87</v>
      </c>
      <c r="N1431" s="11" t="s">
        <v>2964</v>
      </c>
      <c r="O1431" s="11" t="s">
        <v>50</v>
      </c>
    </row>
    <row r="1432" spans="1:15" s="13" customFormat="1" ht="19.5" customHeight="1" x14ac:dyDescent="0.25">
      <c r="A1432" s="11" t="s">
        <v>2963</v>
      </c>
      <c r="B1432" s="11" t="s">
        <v>2963</v>
      </c>
      <c r="C1432" s="12">
        <v>46112</v>
      </c>
      <c r="D1432" s="12">
        <v>46202</v>
      </c>
      <c r="E1432" s="11" t="s">
        <v>6</v>
      </c>
      <c r="F1432" s="11" t="s">
        <v>64</v>
      </c>
      <c r="G1432" s="11" t="s">
        <v>2963</v>
      </c>
      <c r="H1432" s="11"/>
      <c r="I1432" s="11" t="s">
        <v>49</v>
      </c>
      <c r="J1432" s="11">
        <v>14441.24</v>
      </c>
      <c r="K1432" s="11">
        <v>14441.24</v>
      </c>
      <c r="L1432" s="11"/>
      <c r="M1432" s="14">
        <v>14441.24</v>
      </c>
      <c r="N1432" s="11" t="s">
        <v>2964</v>
      </c>
      <c r="O1432" s="11" t="s">
        <v>50</v>
      </c>
    </row>
    <row r="1433" spans="1:15" s="13" customFormat="1" ht="19.5" customHeight="1" x14ac:dyDescent="0.25">
      <c r="A1433" s="11" t="s">
        <v>2965</v>
      </c>
      <c r="B1433" s="11" t="s">
        <v>2965</v>
      </c>
      <c r="C1433" s="12">
        <v>46111</v>
      </c>
      <c r="D1433" s="12">
        <v>46156</v>
      </c>
      <c r="E1433" s="11" t="s">
        <v>6</v>
      </c>
      <c r="F1433" s="11" t="s">
        <v>64</v>
      </c>
      <c r="G1433" s="11" t="s">
        <v>2965</v>
      </c>
      <c r="H1433" s="11"/>
      <c r="I1433" s="11" t="s">
        <v>49</v>
      </c>
      <c r="J1433" s="11">
        <v>18021.3</v>
      </c>
      <c r="K1433" s="11">
        <v>18021.3</v>
      </c>
      <c r="L1433" s="11"/>
      <c r="M1433" s="14">
        <v>18021.3</v>
      </c>
      <c r="N1433" s="11" t="s">
        <v>2966</v>
      </c>
      <c r="O1433" s="11" t="s">
        <v>50</v>
      </c>
    </row>
    <row r="1434" spans="1:15" s="13" customFormat="1" ht="19.5" customHeight="1" x14ac:dyDescent="0.25">
      <c r="A1434" s="11" t="s">
        <v>2965</v>
      </c>
      <c r="B1434" s="11" t="s">
        <v>2965</v>
      </c>
      <c r="C1434" s="12">
        <v>46111</v>
      </c>
      <c r="D1434" s="12">
        <v>46166</v>
      </c>
      <c r="E1434" s="11" t="s">
        <v>6</v>
      </c>
      <c r="F1434" s="11" t="s">
        <v>64</v>
      </c>
      <c r="G1434" s="11" t="s">
        <v>2965</v>
      </c>
      <c r="H1434" s="11"/>
      <c r="I1434" s="11" t="s">
        <v>49</v>
      </c>
      <c r="J1434" s="11">
        <v>18021.3</v>
      </c>
      <c r="K1434" s="11">
        <v>18021.3</v>
      </c>
      <c r="L1434" s="11"/>
      <c r="M1434" s="14">
        <v>18021.3</v>
      </c>
      <c r="N1434" s="11" t="s">
        <v>2966</v>
      </c>
      <c r="O1434" s="11" t="s">
        <v>50</v>
      </c>
    </row>
    <row r="1435" spans="1:15" s="13" customFormat="1" ht="19.5" customHeight="1" x14ac:dyDescent="0.25">
      <c r="A1435" s="11" t="s">
        <v>2965</v>
      </c>
      <c r="B1435" s="11" t="s">
        <v>2965</v>
      </c>
      <c r="C1435" s="12">
        <v>46111</v>
      </c>
      <c r="D1435" s="12">
        <v>46176</v>
      </c>
      <c r="E1435" s="11" t="s">
        <v>6</v>
      </c>
      <c r="F1435" s="11" t="s">
        <v>64</v>
      </c>
      <c r="G1435" s="11" t="s">
        <v>2965</v>
      </c>
      <c r="H1435" s="11"/>
      <c r="I1435" s="11" t="s">
        <v>49</v>
      </c>
      <c r="J1435" s="11">
        <v>18021.3</v>
      </c>
      <c r="K1435" s="11">
        <v>18021.3</v>
      </c>
      <c r="L1435" s="11"/>
      <c r="M1435" s="14">
        <v>18021.3</v>
      </c>
      <c r="N1435" s="11" t="s">
        <v>2966</v>
      </c>
      <c r="O1435" s="11" t="s">
        <v>50</v>
      </c>
    </row>
    <row r="1436" spans="1:15" s="13" customFormat="1" ht="19.5" customHeight="1" x14ac:dyDescent="0.25">
      <c r="A1436" s="11" t="s">
        <v>2965</v>
      </c>
      <c r="B1436" s="11" t="s">
        <v>2965</v>
      </c>
      <c r="C1436" s="12">
        <v>46111</v>
      </c>
      <c r="D1436" s="12">
        <v>46186</v>
      </c>
      <c r="E1436" s="11" t="s">
        <v>6</v>
      </c>
      <c r="F1436" s="11" t="s">
        <v>64</v>
      </c>
      <c r="G1436" s="11" t="s">
        <v>2965</v>
      </c>
      <c r="H1436" s="11"/>
      <c r="I1436" s="11" t="s">
        <v>49</v>
      </c>
      <c r="J1436" s="11">
        <v>18021.3</v>
      </c>
      <c r="K1436" s="11">
        <v>18021.3</v>
      </c>
      <c r="L1436" s="11"/>
      <c r="M1436" s="14">
        <v>18021.3</v>
      </c>
      <c r="N1436" s="11" t="s">
        <v>2966</v>
      </c>
      <c r="O1436" s="11" t="s">
        <v>50</v>
      </c>
    </row>
    <row r="1437" spans="1:15" s="13" customFormat="1" ht="19.5" customHeight="1" x14ac:dyDescent="0.25">
      <c r="A1437" s="11" t="s">
        <v>2965</v>
      </c>
      <c r="B1437" s="11" t="s">
        <v>2965</v>
      </c>
      <c r="C1437" s="12">
        <v>46111</v>
      </c>
      <c r="D1437" s="12">
        <v>46196</v>
      </c>
      <c r="E1437" s="11" t="s">
        <v>6</v>
      </c>
      <c r="F1437" s="11" t="s">
        <v>64</v>
      </c>
      <c r="G1437" s="11" t="s">
        <v>2965</v>
      </c>
      <c r="H1437" s="11"/>
      <c r="I1437" s="11" t="s">
        <v>49</v>
      </c>
      <c r="J1437" s="11">
        <v>18021.3</v>
      </c>
      <c r="K1437" s="11">
        <v>18021.3</v>
      </c>
      <c r="L1437" s="11"/>
      <c r="M1437" s="14">
        <v>18021.3</v>
      </c>
      <c r="N1437" s="11" t="s">
        <v>2966</v>
      </c>
      <c r="O1437" s="11" t="s">
        <v>50</v>
      </c>
    </row>
    <row r="1438" spans="1:15" s="13" customFormat="1" ht="19.5" customHeight="1" x14ac:dyDescent="0.25">
      <c r="A1438" s="11" t="s">
        <v>2965</v>
      </c>
      <c r="B1438" s="11" t="s">
        <v>2965</v>
      </c>
      <c r="C1438" s="12">
        <v>46111</v>
      </c>
      <c r="D1438" s="12">
        <v>46206</v>
      </c>
      <c r="E1438" s="11" t="s">
        <v>6</v>
      </c>
      <c r="F1438" s="11" t="s">
        <v>64</v>
      </c>
      <c r="G1438" s="11" t="s">
        <v>2965</v>
      </c>
      <c r="H1438" s="11"/>
      <c r="I1438" s="11" t="s">
        <v>49</v>
      </c>
      <c r="J1438" s="11">
        <v>18021.3</v>
      </c>
      <c r="K1438" s="11">
        <v>18021.3</v>
      </c>
      <c r="L1438" s="11"/>
      <c r="M1438" s="14">
        <v>18021.3</v>
      </c>
      <c r="N1438" s="11" t="s">
        <v>2966</v>
      </c>
      <c r="O1438" s="11" t="s">
        <v>50</v>
      </c>
    </row>
    <row r="1439" spans="1:15" s="13" customFormat="1" ht="19.5" customHeight="1" x14ac:dyDescent="0.25">
      <c r="A1439" s="11" t="s">
        <v>2965</v>
      </c>
      <c r="B1439" s="11" t="s">
        <v>2965</v>
      </c>
      <c r="C1439" s="12">
        <v>46111</v>
      </c>
      <c r="D1439" s="12">
        <v>46216</v>
      </c>
      <c r="E1439" s="11" t="s">
        <v>6</v>
      </c>
      <c r="F1439" s="11" t="s">
        <v>64</v>
      </c>
      <c r="G1439" s="11" t="s">
        <v>2965</v>
      </c>
      <c r="H1439" s="11"/>
      <c r="I1439" s="11" t="s">
        <v>49</v>
      </c>
      <c r="J1439" s="11">
        <v>18021.3</v>
      </c>
      <c r="K1439" s="11">
        <v>18021.3</v>
      </c>
      <c r="L1439" s="11"/>
      <c r="M1439" s="14">
        <v>18021.3</v>
      </c>
      <c r="N1439" s="11" t="s">
        <v>2966</v>
      </c>
      <c r="O1439" s="11" t="s">
        <v>50</v>
      </c>
    </row>
    <row r="1440" spans="1:15" s="13" customFormat="1" ht="19.5" customHeight="1" x14ac:dyDescent="0.25">
      <c r="A1440" s="11" t="s">
        <v>2965</v>
      </c>
      <c r="B1440" s="11" t="s">
        <v>2965</v>
      </c>
      <c r="C1440" s="12">
        <v>46111</v>
      </c>
      <c r="D1440" s="12">
        <v>46226</v>
      </c>
      <c r="E1440" s="11" t="s">
        <v>6</v>
      </c>
      <c r="F1440" s="11" t="s">
        <v>64</v>
      </c>
      <c r="G1440" s="11" t="s">
        <v>2965</v>
      </c>
      <c r="H1440" s="11"/>
      <c r="I1440" s="11" t="s">
        <v>49</v>
      </c>
      <c r="J1440" s="11">
        <v>18021.3</v>
      </c>
      <c r="K1440" s="11">
        <v>18021.3</v>
      </c>
      <c r="L1440" s="11"/>
      <c r="M1440" s="14">
        <v>18021.3</v>
      </c>
      <c r="N1440" s="11" t="s">
        <v>2966</v>
      </c>
      <c r="O1440" s="11" t="s">
        <v>50</v>
      </c>
    </row>
    <row r="1441" spans="1:15" s="13" customFormat="1" ht="19.5" customHeight="1" x14ac:dyDescent="0.25">
      <c r="A1441" s="11" t="s">
        <v>2965</v>
      </c>
      <c r="B1441" s="11" t="s">
        <v>2965</v>
      </c>
      <c r="C1441" s="12">
        <v>46111</v>
      </c>
      <c r="D1441" s="12">
        <v>46236</v>
      </c>
      <c r="E1441" s="11" t="s">
        <v>6</v>
      </c>
      <c r="F1441" s="11" t="s">
        <v>64</v>
      </c>
      <c r="G1441" s="11" t="s">
        <v>2965</v>
      </c>
      <c r="H1441" s="11"/>
      <c r="I1441" s="11" t="s">
        <v>49</v>
      </c>
      <c r="J1441" s="11">
        <v>18037.509999999998</v>
      </c>
      <c r="K1441" s="11">
        <v>18037.509999999998</v>
      </c>
      <c r="L1441" s="11"/>
      <c r="M1441" s="14">
        <v>18037.509999999998</v>
      </c>
      <c r="N1441" s="11" t="s">
        <v>2966</v>
      </c>
      <c r="O1441" s="11" t="s">
        <v>50</v>
      </c>
    </row>
    <row r="1442" spans="1:15" s="13" customFormat="1" ht="19.5" customHeight="1" x14ac:dyDescent="0.25">
      <c r="A1442" s="11" t="s">
        <v>2967</v>
      </c>
      <c r="B1442" s="11" t="s">
        <v>2967</v>
      </c>
      <c r="C1442" s="12">
        <v>46112</v>
      </c>
      <c r="D1442" s="12">
        <v>46157</v>
      </c>
      <c r="E1442" s="11" t="s">
        <v>6</v>
      </c>
      <c r="F1442" s="11" t="s">
        <v>64</v>
      </c>
      <c r="G1442" s="11" t="s">
        <v>2967</v>
      </c>
      <c r="H1442" s="11"/>
      <c r="I1442" s="11" t="s">
        <v>49</v>
      </c>
      <c r="J1442" s="11">
        <v>3271.38</v>
      </c>
      <c r="K1442" s="11">
        <v>3271.38</v>
      </c>
      <c r="L1442" s="11"/>
      <c r="M1442" s="14">
        <v>3271.38</v>
      </c>
      <c r="N1442" s="11" t="s">
        <v>2968</v>
      </c>
      <c r="O1442" s="11" t="s">
        <v>50</v>
      </c>
    </row>
    <row r="1443" spans="1:15" s="13" customFormat="1" ht="19.5" customHeight="1" x14ac:dyDescent="0.25">
      <c r="A1443" s="11" t="s">
        <v>2967</v>
      </c>
      <c r="B1443" s="11" t="s">
        <v>2967</v>
      </c>
      <c r="C1443" s="12">
        <v>46112</v>
      </c>
      <c r="D1443" s="12">
        <v>46167</v>
      </c>
      <c r="E1443" s="11" t="s">
        <v>6</v>
      </c>
      <c r="F1443" s="11" t="s">
        <v>64</v>
      </c>
      <c r="G1443" s="11" t="s">
        <v>2967</v>
      </c>
      <c r="H1443" s="11"/>
      <c r="I1443" s="11" t="s">
        <v>49</v>
      </c>
      <c r="J1443" s="11">
        <v>3271.38</v>
      </c>
      <c r="K1443" s="11">
        <v>3271.38</v>
      </c>
      <c r="L1443" s="11"/>
      <c r="M1443" s="14">
        <v>3271.38</v>
      </c>
      <c r="N1443" s="11" t="s">
        <v>2968</v>
      </c>
      <c r="O1443" s="11" t="s">
        <v>50</v>
      </c>
    </row>
    <row r="1444" spans="1:15" s="13" customFormat="1" ht="19.5" customHeight="1" x14ac:dyDescent="0.25">
      <c r="A1444" s="11" t="s">
        <v>2967</v>
      </c>
      <c r="B1444" s="11" t="s">
        <v>2967</v>
      </c>
      <c r="C1444" s="12">
        <v>46112</v>
      </c>
      <c r="D1444" s="12">
        <v>46177</v>
      </c>
      <c r="E1444" s="11" t="s">
        <v>6</v>
      </c>
      <c r="F1444" s="11" t="s">
        <v>64</v>
      </c>
      <c r="G1444" s="11" t="s">
        <v>2967</v>
      </c>
      <c r="H1444" s="11"/>
      <c r="I1444" s="11" t="s">
        <v>49</v>
      </c>
      <c r="J1444" s="11">
        <v>3271.38</v>
      </c>
      <c r="K1444" s="11">
        <v>3271.38</v>
      </c>
      <c r="L1444" s="11"/>
      <c r="M1444" s="14">
        <v>3271.38</v>
      </c>
      <c r="N1444" s="11" t="s">
        <v>2968</v>
      </c>
      <c r="O1444" s="11" t="s">
        <v>50</v>
      </c>
    </row>
    <row r="1445" spans="1:15" s="13" customFormat="1" ht="19.5" customHeight="1" x14ac:dyDescent="0.25">
      <c r="A1445" s="11" t="s">
        <v>2967</v>
      </c>
      <c r="B1445" s="11" t="s">
        <v>2967</v>
      </c>
      <c r="C1445" s="12">
        <v>46112</v>
      </c>
      <c r="D1445" s="12">
        <v>46187</v>
      </c>
      <c r="E1445" s="11" t="s">
        <v>6</v>
      </c>
      <c r="F1445" s="11" t="s">
        <v>64</v>
      </c>
      <c r="G1445" s="11" t="s">
        <v>2967</v>
      </c>
      <c r="H1445" s="11"/>
      <c r="I1445" s="11" t="s">
        <v>49</v>
      </c>
      <c r="J1445" s="11">
        <v>3271.39</v>
      </c>
      <c r="K1445" s="11">
        <v>3271.39</v>
      </c>
      <c r="L1445" s="11"/>
      <c r="M1445" s="14">
        <v>3271.39</v>
      </c>
      <c r="N1445" s="11" t="s">
        <v>2968</v>
      </c>
      <c r="O1445" s="11" t="s">
        <v>50</v>
      </c>
    </row>
    <row r="1446" spans="1:15" s="13" customFormat="1" ht="19.5" customHeight="1" x14ac:dyDescent="0.25">
      <c r="A1446" s="11" t="s">
        <v>2969</v>
      </c>
      <c r="B1446" s="11" t="s">
        <v>2970</v>
      </c>
      <c r="C1446" s="12">
        <v>46070</v>
      </c>
      <c r="D1446" s="11"/>
      <c r="E1446" s="11" t="s">
        <v>6</v>
      </c>
      <c r="F1446" s="11" t="s">
        <v>2971</v>
      </c>
      <c r="G1446" s="11"/>
      <c r="H1446" s="11" t="s">
        <v>2972</v>
      </c>
      <c r="I1446" s="11" t="s">
        <v>49</v>
      </c>
      <c r="J1446" s="11">
        <v>-324.98</v>
      </c>
      <c r="K1446" s="11"/>
      <c r="L1446" s="11">
        <v>324.98</v>
      </c>
      <c r="M1446" s="14">
        <v>-324.98</v>
      </c>
      <c r="N1446" s="11" t="s">
        <v>2973</v>
      </c>
      <c r="O1446" s="11" t="s">
        <v>234</v>
      </c>
    </row>
    <row r="1447" spans="1:15" s="13" customFormat="1" ht="19.5" customHeight="1" x14ac:dyDescent="0.25">
      <c r="A1447" s="11" t="s">
        <v>2969</v>
      </c>
      <c r="B1447" s="11" t="s">
        <v>2970</v>
      </c>
      <c r="C1447" s="12">
        <v>46070</v>
      </c>
      <c r="D1447" s="11"/>
      <c r="E1447" s="11" t="s">
        <v>6</v>
      </c>
      <c r="F1447" s="11" t="s">
        <v>2974</v>
      </c>
      <c r="G1447" s="11"/>
      <c r="H1447" s="11" t="s">
        <v>2972</v>
      </c>
      <c r="I1447" s="11" t="s">
        <v>49</v>
      </c>
      <c r="J1447" s="11">
        <v>-41.96</v>
      </c>
      <c r="K1447" s="11"/>
      <c r="L1447" s="11">
        <v>41.96</v>
      </c>
      <c r="M1447" s="14">
        <v>-41.96</v>
      </c>
      <c r="N1447" s="11" t="s">
        <v>2973</v>
      </c>
      <c r="O1447" s="11" t="s">
        <v>234</v>
      </c>
    </row>
    <row r="1448" spans="1:15" s="13" customFormat="1" ht="19.5" customHeight="1" x14ac:dyDescent="0.25">
      <c r="A1448" s="11" t="s">
        <v>2975</v>
      </c>
      <c r="B1448" s="11" t="s">
        <v>2975</v>
      </c>
      <c r="C1448" s="12">
        <v>46051</v>
      </c>
      <c r="D1448" s="12">
        <v>46051</v>
      </c>
      <c r="E1448" s="11" t="s">
        <v>6</v>
      </c>
      <c r="F1448" s="11" t="s">
        <v>2971</v>
      </c>
      <c r="G1448" s="11" t="s">
        <v>2975</v>
      </c>
      <c r="H1448" s="11"/>
      <c r="I1448" s="11" t="s">
        <v>49</v>
      </c>
      <c r="J1448" s="11">
        <v>10815.11</v>
      </c>
      <c r="K1448" s="11">
        <v>10815.11</v>
      </c>
      <c r="L1448" s="11"/>
      <c r="M1448" s="14">
        <v>10815.11</v>
      </c>
      <c r="N1448" s="11" t="s">
        <v>2973</v>
      </c>
      <c r="O1448" s="11" t="s">
        <v>50</v>
      </c>
    </row>
    <row r="1449" spans="1:15" s="13" customFormat="1" ht="19.5" customHeight="1" x14ac:dyDescent="0.25">
      <c r="A1449" s="11" t="s">
        <v>2976</v>
      </c>
      <c r="B1449" s="11" t="s">
        <v>2976</v>
      </c>
      <c r="C1449" s="12">
        <v>46050</v>
      </c>
      <c r="D1449" s="11"/>
      <c r="E1449" s="11" t="s">
        <v>6</v>
      </c>
      <c r="F1449" s="11" t="s">
        <v>2971</v>
      </c>
      <c r="G1449" s="11" t="s">
        <v>2975</v>
      </c>
      <c r="H1449" s="11"/>
      <c r="I1449" s="11" t="s">
        <v>49</v>
      </c>
      <c r="J1449" s="11">
        <v>-7620.56</v>
      </c>
      <c r="K1449" s="11"/>
      <c r="L1449" s="11">
        <v>7620.56</v>
      </c>
      <c r="M1449" s="14">
        <v>-7620.56</v>
      </c>
      <c r="N1449" s="11" t="s">
        <v>2973</v>
      </c>
      <c r="O1449" s="11" t="s">
        <v>2706</v>
      </c>
    </row>
    <row r="1450" spans="1:15" s="13" customFormat="1" ht="19.5" customHeight="1" x14ac:dyDescent="0.25">
      <c r="A1450" s="11" t="s">
        <v>2977</v>
      </c>
      <c r="B1450" s="11" t="s">
        <v>2977</v>
      </c>
      <c r="C1450" s="12">
        <v>46048</v>
      </c>
      <c r="D1450" s="11"/>
      <c r="E1450" s="11" t="s">
        <v>6</v>
      </c>
      <c r="F1450" s="11" t="s">
        <v>2971</v>
      </c>
      <c r="G1450" s="11" t="s">
        <v>2975</v>
      </c>
      <c r="H1450" s="11"/>
      <c r="I1450" s="11" t="s">
        <v>49</v>
      </c>
      <c r="J1450" s="11">
        <v>-2869.57</v>
      </c>
      <c r="K1450" s="11"/>
      <c r="L1450" s="11">
        <v>2869.57</v>
      </c>
      <c r="M1450" s="14">
        <v>-2869.57</v>
      </c>
      <c r="N1450" s="11" t="s">
        <v>2973</v>
      </c>
      <c r="O1450" s="11" t="s">
        <v>234</v>
      </c>
    </row>
    <row r="1451" spans="1:15" s="13" customFormat="1" ht="19.5" customHeight="1" x14ac:dyDescent="0.25">
      <c r="A1451" s="11" t="s">
        <v>2978</v>
      </c>
      <c r="B1451" s="11" t="s">
        <v>2978</v>
      </c>
      <c r="C1451" s="12">
        <v>46041</v>
      </c>
      <c r="D1451" s="11"/>
      <c r="E1451" s="11" t="s">
        <v>6</v>
      </c>
      <c r="F1451" s="11" t="s">
        <v>2974</v>
      </c>
      <c r="G1451" s="11" t="s">
        <v>2979</v>
      </c>
      <c r="H1451" s="11"/>
      <c r="I1451" s="11" t="s">
        <v>49</v>
      </c>
      <c r="J1451" s="11">
        <v>-1007.06</v>
      </c>
      <c r="K1451" s="11"/>
      <c r="L1451" s="11">
        <v>1007.06</v>
      </c>
      <c r="M1451" s="14">
        <v>-1007.06</v>
      </c>
      <c r="N1451" s="11" t="s">
        <v>2973</v>
      </c>
      <c r="O1451" s="11" t="s">
        <v>234</v>
      </c>
    </row>
    <row r="1452" spans="1:15" s="13" customFormat="1" ht="19.5" customHeight="1" x14ac:dyDescent="0.25">
      <c r="A1452" s="11" t="s">
        <v>2979</v>
      </c>
      <c r="B1452" s="11" t="s">
        <v>2979</v>
      </c>
      <c r="C1452" s="12">
        <v>46035</v>
      </c>
      <c r="D1452" s="12">
        <v>46035</v>
      </c>
      <c r="E1452" s="11" t="s">
        <v>6</v>
      </c>
      <c r="F1452" s="11" t="s">
        <v>2974</v>
      </c>
      <c r="G1452" s="11" t="s">
        <v>2979</v>
      </c>
      <c r="H1452" s="11"/>
      <c r="I1452" s="11" t="s">
        <v>49</v>
      </c>
      <c r="J1452" s="11">
        <v>1049.02</v>
      </c>
      <c r="K1452" s="11">
        <v>1049.02</v>
      </c>
      <c r="L1452" s="11"/>
      <c r="M1452" s="14">
        <v>1049.02</v>
      </c>
      <c r="N1452" s="11" t="s">
        <v>2973</v>
      </c>
      <c r="O1452" s="11" t="s">
        <v>50</v>
      </c>
    </row>
    <row r="1453" spans="1:15" s="13" customFormat="1" ht="19.5" customHeight="1" x14ac:dyDescent="0.25">
      <c r="A1453" s="11" t="s">
        <v>2980</v>
      </c>
      <c r="B1453" s="11" t="s">
        <v>2980</v>
      </c>
      <c r="C1453" s="12">
        <v>46105</v>
      </c>
      <c r="D1453" s="12">
        <v>46150</v>
      </c>
      <c r="E1453" s="11" t="s">
        <v>6</v>
      </c>
      <c r="F1453" s="11" t="s">
        <v>64</v>
      </c>
      <c r="G1453" s="11" t="s">
        <v>2980</v>
      </c>
      <c r="H1453" s="11"/>
      <c r="I1453" s="11" t="s">
        <v>49</v>
      </c>
      <c r="J1453" s="11">
        <v>11313.27</v>
      </c>
      <c r="K1453" s="11">
        <v>11313.27</v>
      </c>
      <c r="L1453" s="11"/>
      <c r="M1453" s="14">
        <v>11313.27</v>
      </c>
      <c r="N1453" s="11" t="s">
        <v>2981</v>
      </c>
      <c r="O1453" s="11" t="s">
        <v>50</v>
      </c>
    </row>
    <row r="1454" spans="1:15" s="13" customFormat="1" ht="19.5" customHeight="1" x14ac:dyDescent="0.25">
      <c r="A1454" s="11" t="s">
        <v>2980</v>
      </c>
      <c r="B1454" s="11" t="s">
        <v>2980</v>
      </c>
      <c r="C1454" s="12">
        <v>46105</v>
      </c>
      <c r="D1454" s="12">
        <v>46160</v>
      </c>
      <c r="E1454" s="11" t="s">
        <v>6</v>
      </c>
      <c r="F1454" s="11" t="s">
        <v>64</v>
      </c>
      <c r="G1454" s="11" t="s">
        <v>2980</v>
      </c>
      <c r="H1454" s="11"/>
      <c r="I1454" s="11" t="s">
        <v>49</v>
      </c>
      <c r="J1454" s="11">
        <v>11313.27</v>
      </c>
      <c r="K1454" s="11">
        <v>11313.27</v>
      </c>
      <c r="L1454" s="11"/>
      <c r="M1454" s="14">
        <v>11313.27</v>
      </c>
      <c r="N1454" s="11" t="s">
        <v>2981</v>
      </c>
      <c r="O1454" s="11" t="s">
        <v>50</v>
      </c>
    </row>
    <row r="1455" spans="1:15" s="13" customFormat="1" ht="19.5" customHeight="1" x14ac:dyDescent="0.25">
      <c r="A1455" s="11" t="s">
        <v>2980</v>
      </c>
      <c r="B1455" s="11" t="s">
        <v>2980</v>
      </c>
      <c r="C1455" s="12">
        <v>46105</v>
      </c>
      <c r="D1455" s="12">
        <v>46170</v>
      </c>
      <c r="E1455" s="11" t="s">
        <v>6</v>
      </c>
      <c r="F1455" s="11" t="s">
        <v>64</v>
      </c>
      <c r="G1455" s="11" t="s">
        <v>2980</v>
      </c>
      <c r="H1455" s="11"/>
      <c r="I1455" s="11" t="s">
        <v>49</v>
      </c>
      <c r="J1455" s="11">
        <v>11313.27</v>
      </c>
      <c r="K1455" s="11">
        <v>11313.27</v>
      </c>
      <c r="L1455" s="11"/>
      <c r="M1455" s="14">
        <v>11313.27</v>
      </c>
      <c r="N1455" s="11" t="s">
        <v>2981</v>
      </c>
      <c r="O1455" s="11" t="s">
        <v>50</v>
      </c>
    </row>
    <row r="1456" spans="1:15" s="13" customFormat="1" ht="19.5" customHeight="1" x14ac:dyDescent="0.25">
      <c r="A1456" s="11" t="s">
        <v>2980</v>
      </c>
      <c r="B1456" s="11" t="s">
        <v>2980</v>
      </c>
      <c r="C1456" s="12">
        <v>46105</v>
      </c>
      <c r="D1456" s="12">
        <v>46180</v>
      </c>
      <c r="E1456" s="11" t="s">
        <v>6</v>
      </c>
      <c r="F1456" s="11" t="s">
        <v>64</v>
      </c>
      <c r="G1456" s="11" t="s">
        <v>2980</v>
      </c>
      <c r="H1456" s="11"/>
      <c r="I1456" s="11" t="s">
        <v>49</v>
      </c>
      <c r="J1456" s="11">
        <v>11313.27</v>
      </c>
      <c r="K1456" s="11">
        <v>11313.27</v>
      </c>
      <c r="L1456" s="11"/>
      <c r="M1456" s="14">
        <v>11313.27</v>
      </c>
      <c r="N1456" s="11" t="s">
        <v>2981</v>
      </c>
      <c r="O1456" s="11" t="s">
        <v>50</v>
      </c>
    </row>
    <row r="1457" spans="1:15" s="13" customFormat="1" ht="19.5" customHeight="1" x14ac:dyDescent="0.25">
      <c r="A1457" s="11" t="s">
        <v>2980</v>
      </c>
      <c r="B1457" s="11" t="s">
        <v>2980</v>
      </c>
      <c r="C1457" s="12">
        <v>46105</v>
      </c>
      <c r="D1457" s="12">
        <v>46190</v>
      </c>
      <c r="E1457" s="11" t="s">
        <v>6</v>
      </c>
      <c r="F1457" s="11" t="s">
        <v>64</v>
      </c>
      <c r="G1457" s="11" t="s">
        <v>2980</v>
      </c>
      <c r="H1457" s="11"/>
      <c r="I1457" s="11" t="s">
        <v>49</v>
      </c>
      <c r="J1457" s="11">
        <v>11313.27</v>
      </c>
      <c r="K1457" s="11">
        <v>11313.27</v>
      </c>
      <c r="L1457" s="11"/>
      <c r="M1457" s="14">
        <v>11313.27</v>
      </c>
      <c r="N1457" s="11" t="s">
        <v>2981</v>
      </c>
      <c r="O1457" s="11" t="s">
        <v>50</v>
      </c>
    </row>
    <row r="1458" spans="1:15" s="13" customFormat="1" ht="19.5" customHeight="1" x14ac:dyDescent="0.25">
      <c r="A1458" s="11" t="s">
        <v>2980</v>
      </c>
      <c r="B1458" s="11" t="s">
        <v>2980</v>
      </c>
      <c r="C1458" s="12">
        <v>46105</v>
      </c>
      <c r="D1458" s="12">
        <v>46200</v>
      </c>
      <c r="E1458" s="11" t="s">
        <v>6</v>
      </c>
      <c r="F1458" s="11" t="s">
        <v>64</v>
      </c>
      <c r="G1458" s="11" t="s">
        <v>2980</v>
      </c>
      <c r="H1458" s="11"/>
      <c r="I1458" s="11" t="s">
        <v>49</v>
      </c>
      <c r="J1458" s="11">
        <v>11313.27</v>
      </c>
      <c r="K1458" s="11">
        <v>11313.27</v>
      </c>
      <c r="L1458" s="11"/>
      <c r="M1458" s="14">
        <v>11313.27</v>
      </c>
      <c r="N1458" s="11" t="s">
        <v>2981</v>
      </c>
      <c r="O1458" s="11" t="s">
        <v>50</v>
      </c>
    </row>
    <row r="1459" spans="1:15" s="13" customFormat="1" ht="19.5" customHeight="1" x14ac:dyDescent="0.25">
      <c r="A1459" s="11" t="s">
        <v>2980</v>
      </c>
      <c r="B1459" s="11" t="s">
        <v>2980</v>
      </c>
      <c r="C1459" s="12">
        <v>46105</v>
      </c>
      <c r="D1459" s="12">
        <v>46210</v>
      </c>
      <c r="E1459" s="11" t="s">
        <v>6</v>
      </c>
      <c r="F1459" s="11" t="s">
        <v>64</v>
      </c>
      <c r="G1459" s="11" t="s">
        <v>2980</v>
      </c>
      <c r="H1459" s="11"/>
      <c r="I1459" s="11" t="s">
        <v>49</v>
      </c>
      <c r="J1459" s="11">
        <v>11289.53</v>
      </c>
      <c r="K1459" s="11">
        <v>11289.53</v>
      </c>
      <c r="L1459" s="11"/>
      <c r="M1459" s="14">
        <v>11289.53</v>
      </c>
      <c r="N1459" s="11" t="s">
        <v>2981</v>
      </c>
      <c r="O1459" s="11" t="s">
        <v>50</v>
      </c>
    </row>
    <row r="1460" spans="1:15" s="13" customFormat="1" ht="19.5" customHeight="1" x14ac:dyDescent="0.25">
      <c r="A1460" s="11" t="s">
        <v>2982</v>
      </c>
      <c r="B1460" s="11" t="s">
        <v>2982</v>
      </c>
      <c r="C1460" s="12">
        <v>46104</v>
      </c>
      <c r="D1460" s="12">
        <v>46149</v>
      </c>
      <c r="E1460" s="11" t="s">
        <v>6</v>
      </c>
      <c r="F1460" s="11" t="s">
        <v>64</v>
      </c>
      <c r="G1460" s="11" t="s">
        <v>2982</v>
      </c>
      <c r="H1460" s="11"/>
      <c r="I1460" s="11" t="s">
        <v>49</v>
      </c>
      <c r="J1460" s="11">
        <v>2520.1</v>
      </c>
      <c r="K1460" s="11">
        <v>2520.1</v>
      </c>
      <c r="L1460" s="11"/>
      <c r="M1460" s="14">
        <v>2520.1</v>
      </c>
      <c r="N1460" s="11" t="s">
        <v>2983</v>
      </c>
      <c r="O1460" s="11" t="s">
        <v>50</v>
      </c>
    </row>
    <row r="1461" spans="1:15" s="13" customFormat="1" ht="19.5" customHeight="1" x14ac:dyDescent="0.25">
      <c r="A1461" s="11" t="s">
        <v>2982</v>
      </c>
      <c r="B1461" s="11" t="s">
        <v>2982</v>
      </c>
      <c r="C1461" s="12">
        <v>46104</v>
      </c>
      <c r="D1461" s="12">
        <v>46156</v>
      </c>
      <c r="E1461" s="11" t="s">
        <v>6</v>
      </c>
      <c r="F1461" s="11" t="s">
        <v>64</v>
      </c>
      <c r="G1461" s="11" t="s">
        <v>2982</v>
      </c>
      <c r="H1461" s="11"/>
      <c r="I1461" s="11" t="s">
        <v>49</v>
      </c>
      <c r="J1461" s="11">
        <v>2520.1</v>
      </c>
      <c r="K1461" s="11">
        <v>2520.1</v>
      </c>
      <c r="L1461" s="11"/>
      <c r="M1461" s="14">
        <v>2520.1</v>
      </c>
      <c r="N1461" s="11" t="s">
        <v>2983</v>
      </c>
      <c r="O1461" s="11" t="s">
        <v>50</v>
      </c>
    </row>
    <row r="1462" spans="1:15" s="13" customFormat="1" ht="19.5" customHeight="1" x14ac:dyDescent="0.25">
      <c r="A1462" s="11" t="s">
        <v>2982</v>
      </c>
      <c r="B1462" s="11" t="s">
        <v>2982</v>
      </c>
      <c r="C1462" s="12">
        <v>46104</v>
      </c>
      <c r="D1462" s="12">
        <v>46163</v>
      </c>
      <c r="E1462" s="11" t="s">
        <v>6</v>
      </c>
      <c r="F1462" s="11" t="s">
        <v>64</v>
      </c>
      <c r="G1462" s="11" t="s">
        <v>2982</v>
      </c>
      <c r="H1462" s="11"/>
      <c r="I1462" s="11" t="s">
        <v>49</v>
      </c>
      <c r="J1462" s="11">
        <v>2520.1</v>
      </c>
      <c r="K1462" s="11">
        <v>2520.1</v>
      </c>
      <c r="L1462" s="11"/>
      <c r="M1462" s="14">
        <v>2520.1</v>
      </c>
      <c r="N1462" s="11" t="s">
        <v>2983</v>
      </c>
      <c r="O1462" s="11" t="s">
        <v>50</v>
      </c>
    </row>
    <row r="1463" spans="1:15" s="13" customFormat="1" ht="19.5" customHeight="1" x14ac:dyDescent="0.25">
      <c r="A1463" s="11" t="s">
        <v>2982</v>
      </c>
      <c r="B1463" s="11" t="s">
        <v>2982</v>
      </c>
      <c r="C1463" s="12">
        <v>46104</v>
      </c>
      <c r="D1463" s="12">
        <v>46170</v>
      </c>
      <c r="E1463" s="11" t="s">
        <v>6</v>
      </c>
      <c r="F1463" s="11" t="s">
        <v>64</v>
      </c>
      <c r="G1463" s="11" t="s">
        <v>2982</v>
      </c>
      <c r="H1463" s="11"/>
      <c r="I1463" s="11" t="s">
        <v>49</v>
      </c>
      <c r="J1463" s="11">
        <v>2520.1</v>
      </c>
      <c r="K1463" s="11">
        <v>2520.1</v>
      </c>
      <c r="L1463" s="11"/>
      <c r="M1463" s="14">
        <v>2520.1</v>
      </c>
      <c r="N1463" s="11" t="s">
        <v>2983</v>
      </c>
      <c r="O1463" s="11" t="s">
        <v>50</v>
      </c>
    </row>
    <row r="1464" spans="1:15" s="13" customFormat="1" ht="19.5" customHeight="1" x14ac:dyDescent="0.25">
      <c r="A1464" s="11" t="s">
        <v>2982</v>
      </c>
      <c r="B1464" s="11" t="s">
        <v>2982</v>
      </c>
      <c r="C1464" s="12">
        <v>46104</v>
      </c>
      <c r="D1464" s="12">
        <v>46177</v>
      </c>
      <c r="E1464" s="11" t="s">
        <v>6</v>
      </c>
      <c r="F1464" s="11" t="s">
        <v>64</v>
      </c>
      <c r="G1464" s="11" t="s">
        <v>2982</v>
      </c>
      <c r="H1464" s="11"/>
      <c r="I1464" s="11" t="s">
        <v>49</v>
      </c>
      <c r="J1464" s="11">
        <v>2520.1</v>
      </c>
      <c r="K1464" s="11">
        <v>2520.1</v>
      </c>
      <c r="L1464" s="11"/>
      <c r="M1464" s="14">
        <v>2520.1</v>
      </c>
      <c r="N1464" s="11" t="s">
        <v>2983</v>
      </c>
      <c r="O1464" s="11" t="s">
        <v>50</v>
      </c>
    </row>
    <row r="1465" spans="1:15" s="13" customFormat="1" ht="19.5" customHeight="1" x14ac:dyDescent="0.25">
      <c r="A1465" s="11" t="s">
        <v>2982</v>
      </c>
      <c r="B1465" s="11" t="s">
        <v>2982</v>
      </c>
      <c r="C1465" s="12">
        <v>46104</v>
      </c>
      <c r="D1465" s="12">
        <v>46194</v>
      </c>
      <c r="E1465" s="11" t="s">
        <v>6</v>
      </c>
      <c r="F1465" s="11" t="s">
        <v>64</v>
      </c>
      <c r="G1465" s="11" t="s">
        <v>2982</v>
      </c>
      <c r="H1465" s="11"/>
      <c r="I1465" s="11" t="s">
        <v>49</v>
      </c>
      <c r="J1465" s="11">
        <v>2526.15</v>
      </c>
      <c r="K1465" s="11">
        <v>2526.15</v>
      </c>
      <c r="L1465" s="11"/>
      <c r="M1465" s="14">
        <v>2526.15</v>
      </c>
      <c r="N1465" s="11" t="s">
        <v>2983</v>
      </c>
      <c r="O1465" s="11" t="s">
        <v>50</v>
      </c>
    </row>
    <row r="1466" spans="1:15" s="13" customFormat="1" ht="19.5" customHeight="1" x14ac:dyDescent="0.25">
      <c r="A1466" s="11" t="s">
        <v>2984</v>
      </c>
      <c r="B1466" s="11" t="s">
        <v>2984</v>
      </c>
      <c r="C1466" s="12">
        <v>46111</v>
      </c>
      <c r="D1466" s="12">
        <v>46156</v>
      </c>
      <c r="E1466" s="11" t="s">
        <v>6</v>
      </c>
      <c r="F1466" s="11" t="s">
        <v>834</v>
      </c>
      <c r="G1466" s="11" t="s">
        <v>2984</v>
      </c>
      <c r="H1466" s="11"/>
      <c r="I1466" s="11" t="s">
        <v>49</v>
      </c>
      <c r="J1466" s="11">
        <v>11679.49</v>
      </c>
      <c r="K1466" s="11">
        <v>11679.49</v>
      </c>
      <c r="L1466" s="11"/>
      <c r="M1466" s="14">
        <v>11679.49</v>
      </c>
      <c r="N1466" s="11" t="s">
        <v>2985</v>
      </c>
      <c r="O1466" s="11" t="s">
        <v>50</v>
      </c>
    </row>
    <row r="1467" spans="1:15" s="13" customFormat="1" ht="19.5" customHeight="1" x14ac:dyDescent="0.25">
      <c r="A1467" s="11" t="s">
        <v>2984</v>
      </c>
      <c r="B1467" s="11" t="s">
        <v>2984</v>
      </c>
      <c r="C1467" s="12">
        <v>46111</v>
      </c>
      <c r="D1467" s="12">
        <v>46167</v>
      </c>
      <c r="E1467" s="11" t="s">
        <v>6</v>
      </c>
      <c r="F1467" s="11" t="s">
        <v>834</v>
      </c>
      <c r="G1467" s="11" t="s">
        <v>2984</v>
      </c>
      <c r="H1467" s="11"/>
      <c r="I1467" s="11" t="s">
        <v>49</v>
      </c>
      <c r="J1467" s="11">
        <v>11679.49</v>
      </c>
      <c r="K1467" s="11">
        <v>11679.49</v>
      </c>
      <c r="L1467" s="11"/>
      <c r="M1467" s="14">
        <v>11679.49</v>
      </c>
      <c r="N1467" s="11" t="s">
        <v>2985</v>
      </c>
      <c r="O1467" s="11" t="s">
        <v>50</v>
      </c>
    </row>
    <row r="1468" spans="1:15" s="13" customFormat="1" ht="19.5" customHeight="1" x14ac:dyDescent="0.25">
      <c r="A1468" s="11" t="s">
        <v>2984</v>
      </c>
      <c r="B1468" s="11" t="s">
        <v>2984</v>
      </c>
      <c r="C1468" s="12">
        <v>46111</v>
      </c>
      <c r="D1468" s="12">
        <v>46178</v>
      </c>
      <c r="E1468" s="11" t="s">
        <v>6</v>
      </c>
      <c r="F1468" s="11" t="s">
        <v>834</v>
      </c>
      <c r="G1468" s="11" t="s">
        <v>2984</v>
      </c>
      <c r="H1468" s="11"/>
      <c r="I1468" s="11" t="s">
        <v>49</v>
      </c>
      <c r="J1468" s="11">
        <v>11679.49</v>
      </c>
      <c r="K1468" s="11">
        <v>11679.49</v>
      </c>
      <c r="L1468" s="11"/>
      <c r="M1468" s="14">
        <v>11679.49</v>
      </c>
      <c r="N1468" s="11" t="s">
        <v>2985</v>
      </c>
      <c r="O1468" s="11" t="s">
        <v>50</v>
      </c>
    </row>
    <row r="1469" spans="1:15" s="13" customFormat="1" ht="19.5" customHeight="1" x14ac:dyDescent="0.25">
      <c r="A1469" s="11" t="s">
        <v>2984</v>
      </c>
      <c r="B1469" s="11" t="s">
        <v>2984</v>
      </c>
      <c r="C1469" s="12">
        <v>46111</v>
      </c>
      <c r="D1469" s="12">
        <v>46189</v>
      </c>
      <c r="E1469" s="11" t="s">
        <v>6</v>
      </c>
      <c r="F1469" s="11" t="s">
        <v>834</v>
      </c>
      <c r="G1469" s="11" t="s">
        <v>2984</v>
      </c>
      <c r="H1469" s="11"/>
      <c r="I1469" s="11" t="s">
        <v>49</v>
      </c>
      <c r="J1469" s="11">
        <v>11679.49</v>
      </c>
      <c r="K1469" s="11">
        <v>11679.49</v>
      </c>
      <c r="L1469" s="11"/>
      <c r="M1469" s="14">
        <v>11679.49</v>
      </c>
      <c r="N1469" s="11" t="s">
        <v>2985</v>
      </c>
      <c r="O1469" s="11" t="s">
        <v>50</v>
      </c>
    </row>
    <row r="1470" spans="1:15" s="13" customFormat="1" ht="19.5" customHeight="1" x14ac:dyDescent="0.25">
      <c r="A1470" s="11" t="s">
        <v>2984</v>
      </c>
      <c r="B1470" s="11" t="s">
        <v>2984</v>
      </c>
      <c r="C1470" s="12">
        <v>46111</v>
      </c>
      <c r="D1470" s="12">
        <v>46200</v>
      </c>
      <c r="E1470" s="11" t="s">
        <v>6</v>
      </c>
      <c r="F1470" s="11" t="s">
        <v>834</v>
      </c>
      <c r="G1470" s="11" t="s">
        <v>2984</v>
      </c>
      <c r="H1470" s="11"/>
      <c r="I1470" s="11" t="s">
        <v>49</v>
      </c>
      <c r="J1470" s="11">
        <v>11679.49</v>
      </c>
      <c r="K1470" s="11">
        <v>11679.49</v>
      </c>
      <c r="L1470" s="11"/>
      <c r="M1470" s="14">
        <v>11679.49</v>
      </c>
      <c r="N1470" s="11" t="s">
        <v>2985</v>
      </c>
      <c r="O1470" s="11" t="s">
        <v>50</v>
      </c>
    </row>
    <row r="1471" spans="1:15" s="13" customFormat="1" ht="19.5" customHeight="1" x14ac:dyDescent="0.25">
      <c r="A1471" s="11" t="s">
        <v>2984</v>
      </c>
      <c r="B1471" s="11" t="s">
        <v>2984</v>
      </c>
      <c r="C1471" s="12">
        <v>46111</v>
      </c>
      <c r="D1471" s="12">
        <v>46211</v>
      </c>
      <c r="E1471" s="11" t="s">
        <v>6</v>
      </c>
      <c r="F1471" s="11" t="s">
        <v>834</v>
      </c>
      <c r="G1471" s="11" t="s">
        <v>2984</v>
      </c>
      <c r="H1471" s="11"/>
      <c r="I1471" s="11" t="s">
        <v>49</v>
      </c>
      <c r="J1471" s="11">
        <v>11679.49</v>
      </c>
      <c r="K1471" s="11">
        <v>11679.49</v>
      </c>
      <c r="L1471" s="11"/>
      <c r="M1471" s="14">
        <v>11679.49</v>
      </c>
      <c r="N1471" s="11" t="s">
        <v>2985</v>
      </c>
      <c r="O1471" s="11" t="s">
        <v>50</v>
      </c>
    </row>
    <row r="1472" spans="1:15" s="13" customFormat="1" ht="19.5" customHeight="1" x14ac:dyDescent="0.25">
      <c r="A1472" s="11" t="s">
        <v>2984</v>
      </c>
      <c r="B1472" s="11" t="s">
        <v>2984</v>
      </c>
      <c r="C1472" s="12">
        <v>46111</v>
      </c>
      <c r="D1472" s="12">
        <v>46222</v>
      </c>
      <c r="E1472" s="11" t="s">
        <v>6</v>
      </c>
      <c r="F1472" s="11" t="s">
        <v>834</v>
      </c>
      <c r="G1472" s="11" t="s">
        <v>2984</v>
      </c>
      <c r="H1472" s="11"/>
      <c r="I1472" s="11" t="s">
        <v>49</v>
      </c>
      <c r="J1472" s="11">
        <v>11679.49</v>
      </c>
      <c r="K1472" s="11">
        <v>11679.49</v>
      </c>
      <c r="L1472" s="11"/>
      <c r="M1472" s="14">
        <v>11679.49</v>
      </c>
      <c r="N1472" s="11" t="s">
        <v>2985</v>
      </c>
      <c r="O1472" s="11" t="s">
        <v>50</v>
      </c>
    </row>
    <row r="1473" spans="1:15" s="13" customFormat="1" ht="19.5" customHeight="1" x14ac:dyDescent="0.25">
      <c r="A1473" s="11" t="s">
        <v>2984</v>
      </c>
      <c r="B1473" s="11" t="s">
        <v>2984</v>
      </c>
      <c r="C1473" s="12">
        <v>46111</v>
      </c>
      <c r="D1473" s="12">
        <v>46233</v>
      </c>
      <c r="E1473" s="11" t="s">
        <v>6</v>
      </c>
      <c r="F1473" s="11" t="s">
        <v>834</v>
      </c>
      <c r="G1473" s="11" t="s">
        <v>2984</v>
      </c>
      <c r="H1473" s="11"/>
      <c r="I1473" s="11" t="s">
        <v>49</v>
      </c>
      <c r="J1473" s="11">
        <v>11679.5</v>
      </c>
      <c r="K1473" s="11">
        <v>11679.5</v>
      </c>
      <c r="L1473" s="11"/>
      <c r="M1473" s="14">
        <v>11679.5</v>
      </c>
      <c r="N1473" s="11" t="s">
        <v>2985</v>
      </c>
      <c r="O1473" s="11" t="s">
        <v>50</v>
      </c>
    </row>
    <row r="1474" spans="1:15" s="13" customFormat="1" ht="19.5" customHeight="1" x14ac:dyDescent="0.25">
      <c r="A1474" s="11" t="s">
        <v>2986</v>
      </c>
      <c r="B1474" s="11" t="s">
        <v>2986</v>
      </c>
      <c r="C1474" s="12">
        <v>46111</v>
      </c>
      <c r="D1474" s="12">
        <v>46156</v>
      </c>
      <c r="E1474" s="11" t="s">
        <v>6</v>
      </c>
      <c r="F1474" s="11" t="s">
        <v>834</v>
      </c>
      <c r="G1474" s="11" t="s">
        <v>2986</v>
      </c>
      <c r="H1474" s="11"/>
      <c r="I1474" s="11" t="s">
        <v>49</v>
      </c>
      <c r="J1474" s="11">
        <v>11041.32</v>
      </c>
      <c r="K1474" s="11">
        <v>11041.32</v>
      </c>
      <c r="L1474" s="11"/>
      <c r="M1474" s="14">
        <v>11041.32</v>
      </c>
      <c r="N1474" s="11" t="s">
        <v>2987</v>
      </c>
      <c r="O1474" s="11" t="s">
        <v>50</v>
      </c>
    </row>
    <row r="1475" spans="1:15" s="13" customFormat="1" ht="19.5" customHeight="1" x14ac:dyDescent="0.25">
      <c r="A1475" s="11" t="s">
        <v>2986</v>
      </c>
      <c r="B1475" s="11" t="s">
        <v>2986</v>
      </c>
      <c r="C1475" s="12">
        <v>46111</v>
      </c>
      <c r="D1475" s="12">
        <v>46166</v>
      </c>
      <c r="E1475" s="11" t="s">
        <v>6</v>
      </c>
      <c r="F1475" s="11" t="s">
        <v>834</v>
      </c>
      <c r="G1475" s="11" t="s">
        <v>2986</v>
      </c>
      <c r="H1475" s="11"/>
      <c r="I1475" s="11" t="s">
        <v>49</v>
      </c>
      <c r="J1475" s="11">
        <v>11041.32</v>
      </c>
      <c r="K1475" s="11">
        <v>11041.32</v>
      </c>
      <c r="L1475" s="11"/>
      <c r="M1475" s="14">
        <v>11041.32</v>
      </c>
      <c r="N1475" s="11" t="s">
        <v>2987</v>
      </c>
      <c r="O1475" s="11" t="s">
        <v>50</v>
      </c>
    </row>
    <row r="1476" spans="1:15" s="13" customFormat="1" ht="19.5" customHeight="1" x14ac:dyDescent="0.25">
      <c r="A1476" s="11" t="s">
        <v>2986</v>
      </c>
      <c r="B1476" s="11" t="s">
        <v>2986</v>
      </c>
      <c r="C1476" s="12">
        <v>46111</v>
      </c>
      <c r="D1476" s="12">
        <v>46176</v>
      </c>
      <c r="E1476" s="11" t="s">
        <v>6</v>
      </c>
      <c r="F1476" s="11" t="s">
        <v>834</v>
      </c>
      <c r="G1476" s="11" t="s">
        <v>2986</v>
      </c>
      <c r="H1476" s="11"/>
      <c r="I1476" s="11" t="s">
        <v>49</v>
      </c>
      <c r="J1476" s="11">
        <v>11041.32</v>
      </c>
      <c r="K1476" s="11">
        <v>11041.32</v>
      </c>
      <c r="L1476" s="11"/>
      <c r="M1476" s="14">
        <v>11041.32</v>
      </c>
      <c r="N1476" s="11" t="s">
        <v>2987</v>
      </c>
      <c r="O1476" s="11" t="s">
        <v>50</v>
      </c>
    </row>
    <row r="1477" spans="1:15" s="13" customFormat="1" ht="19.5" customHeight="1" x14ac:dyDescent="0.25">
      <c r="A1477" s="11" t="s">
        <v>2986</v>
      </c>
      <c r="B1477" s="11" t="s">
        <v>2986</v>
      </c>
      <c r="C1477" s="12">
        <v>46111</v>
      </c>
      <c r="D1477" s="12">
        <v>46186</v>
      </c>
      <c r="E1477" s="11" t="s">
        <v>6</v>
      </c>
      <c r="F1477" s="11" t="s">
        <v>834</v>
      </c>
      <c r="G1477" s="11" t="s">
        <v>2986</v>
      </c>
      <c r="H1477" s="11"/>
      <c r="I1477" s="11" t="s">
        <v>49</v>
      </c>
      <c r="J1477" s="11">
        <v>11041.32</v>
      </c>
      <c r="K1477" s="11">
        <v>11041.32</v>
      </c>
      <c r="L1477" s="11"/>
      <c r="M1477" s="14">
        <v>11041.32</v>
      </c>
      <c r="N1477" s="11" t="s">
        <v>2987</v>
      </c>
      <c r="O1477" s="11" t="s">
        <v>50</v>
      </c>
    </row>
    <row r="1478" spans="1:15" s="13" customFormat="1" ht="19.5" customHeight="1" x14ac:dyDescent="0.25">
      <c r="A1478" s="11" t="s">
        <v>2986</v>
      </c>
      <c r="B1478" s="11" t="s">
        <v>2986</v>
      </c>
      <c r="C1478" s="12">
        <v>46111</v>
      </c>
      <c r="D1478" s="12">
        <v>46196</v>
      </c>
      <c r="E1478" s="11" t="s">
        <v>6</v>
      </c>
      <c r="F1478" s="11" t="s">
        <v>834</v>
      </c>
      <c r="G1478" s="11" t="s">
        <v>2986</v>
      </c>
      <c r="H1478" s="11"/>
      <c r="I1478" s="11" t="s">
        <v>49</v>
      </c>
      <c r="J1478" s="11">
        <v>11041.32</v>
      </c>
      <c r="K1478" s="11">
        <v>11041.32</v>
      </c>
      <c r="L1478" s="11"/>
      <c r="M1478" s="14">
        <v>11041.32</v>
      </c>
      <c r="N1478" s="11" t="s">
        <v>2987</v>
      </c>
      <c r="O1478" s="11" t="s">
        <v>50</v>
      </c>
    </row>
    <row r="1479" spans="1:15" s="13" customFormat="1" ht="19.5" customHeight="1" x14ac:dyDescent="0.25">
      <c r="A1479" s="11" t="s">
        <v>2986</v>
      </c>
      <c r="B1479" s="11" t="s">
        <v>2986</v>
      </c>
      <c r="C1479" s="12">
        <v>46111</v>
      </c>
      <c r="D1479" s="12">
        <v>46206</v>
      </c>
      <c r="E1479" s="11" t="s">
        <v>6</v>
      </c>
      <c r="F1479" s="11" t="s">
        <v>834</v>
      </c>
      <c r="G1479" s="11" t="s">
        <v>2986</v>
      </c>
      <c r="H1479" s="11"/>
      <c r="I1479" s="11" t="s">
        <v>49</v>
      </c>
      <c r="J1479" s="11">
        <v>11041.32</v>
      </c>
      <c r="K1479" s="11">
        <v>11041.32</v>
      </c>
      <c r="L1479" s="11"/>
      <c r="M1479" s="14">
        <v>11041.32</v>
      </c>
      <c r="N1479" s="11" t="s">
        <v>2987</v>
      </c>
      <c r="O1479" s="11" t="s">
        <v>50</v>
      </c>
    </row>
    <row r="1480" spans="1:15" s="13" customFormat="1" ht="19.5" customHeight="1" x14ac:dyDescent="0.25">
      <c r="A1480" s="11" t="s">
        <v>2986</v>
      </c>
      <c r="B1480" s="11" t="s">
        <v>2986</v>
      </c>
      <c r="C1480" s="12">
        <v>46111</v>
      </c>
      <c r="D1480" s="12">
        <v>46216</v>
      </c>
      <c r="E1480" s="11" t="s">
        <v>6</v>
      </c>
      <c r="F1480" s="11" t="s">
        <v>834</v>
      </c>
      <c r="G1480" s="11" t="s">
        <v>2986</v>
      </c>
      <c r="H1480" s="11"/>
      <c r="I1480" s="11" t="s">
        <v>49</v>
      </c>
      <c r="J1480" s="11">
        <v>11018.11</v>
      </c>
      <c r="K1480" s="11">
        <v>11018.11</v>
      </c>
      <c r="L1480" s="11"/>
      <c r="M1480" s="14">
        <v>11018.11</v>
      </c>
      <c r="N1480" s="11" t="s">
        <v>2987</v>
      </c>
      <c r="O1480" s="11" t="s">
        <v>50</v>
      </c>
    </row>
    <row r="1481" spans="1:15" s="13" customFormat="1" ht="19.5" customHeight="1" x14ac:dyDescent="0.25">
      <c r="A1481" s="11" t="s">
        <v>2988</v>
      </c>
      <c r="B1481" s="11" t="s">
        <v>2988</v>
      </c>
      <c r="C1481" s="12">
        <v>46108</v>
      </c>
      <c r="D1481" s="12">
        <v>46153</v>
      </c>
      <c r="E1481" s="11" t="s">
        <v>6</v>
      </c>
      <c r="F1481" s="11" t="s">
        <v>834</v>
      </c>
      <c r="G1481" s="11" t="s">
        <v>2988</v>
      </c>
      <c r="H1481" s="11"/>
      <c r="I1481" s="11" t="s">
        <v>49</v>
      </c>
      <c r="J1481" s="11">
        <v>2275.63</v>
      </c>
      <c r="K1481" s="11">
        <v>2275.63</v>
      </c>
      <c r="L1481" s="11"/>
      <c r="M1481" s="14">
        <v>2275.63</v>
      </c>
      <c r="N1481" s="11" t="s">
        <v>2989</v>
      </c>
      <c r="O1481" s="11" t="s">
        <v>50</v>
      </c>
    </row>
    <row r="1482" spans="1:15" s="13" customFormat="1" ht="19.5" customHeight="1" x14ac:dyDescent="0.25">
      <c r="A1482" s="11" t="s">
        <v>2988</v>
      </c>
      <c r="B1482" s="11" t="s">
        <v>2988</v>
      </c>
      <c r="C1482" s="12">
        <v>46108</v>
      </c>
      <c r="D1482" s="12">
        <v>46168</v>
      </c>
      <c r="E1482" s="11" t="s">
        <v>6</v>
      </c>
      <c r="F1482" s="11" t="s">
        <v>834</v>
      </c>
      <c r="G1482" s="11" t="s">
        <v>2988</v>
      </c>
      <c r="H1482" s="11"/>
      <c r="I1482" s="11" t="s">
        <v>49</v>
      </c>
      <c r="J1482" s="11">
        <v>2275.63</v>
      </c>
      <c r="K1482" s="11">
        <v>2275.63</v>
      </c>
      <c r="L1482" s="11"/>
      <c r="M1482" s="14">
        <v>2275.63</v>
      </c>
      <c r="N1482" s="11" t="s">
        <v>2989</v>
      </c>
      <c r="O1482" s="11" t="s">
        <v>50</v>
      </c>
    </row>
    <row r="1483" spans="1:15" s="13" customFormat="1" ht="19.5" customHeight="1" x14ac:dyDescent="0.25">
      <c r="A1483" s="11" t="s">
        <v>2990</v>
      </c>
      <c r="B1483" s="11" t="s">
        <v>2990</v>
      </c>
      <c r="C1483" s="12">
        <v>46106</v>
      </c>
      <c r="D1483" s="12">
        <v>46151</v>
      </c>
      <c r="E1483" s="11" t="s">
        <v>6</v>
      </c>
      <c r="F1483" s="11" t="s">
        <v>834</v>
      </c>
      <c r="G1483" s="11" t="s">
        <v>2990</v>
      </c>
      <c r="H1483" s="11"/>
      <c r="I1483" s="11" t="s">
        <v>49</v>
      </c>
      <c r="J1483" s="11">
        <v>1100.1600000000001</v>
      </c>
      <c r="K1483" s="11">
        <v>1100.1600000000001</v>
      </c>
      <c r="L1483" s="11"/>
      <c r="M1483" s="14">
        <v>1100.1600000000001</v>
      </c>
      <c r="N1483" s="11" t="s">
        <v>2991</v>
      </c>
      <c r="O1483" s="11" t="s">
        <v>50</v>
      </c>
    </row>
    <row r="1484" spans="1:15" s="13" customFormat="1" ht="19.5" customHeight="1" x14ac:dyDescent="0.25">
      <c r="A1484" s="11" t="s">
        <v>2990</v>
      </c>
      <c r="B1484" s="11" t="s">
        <v>2990</v>
      </c>
      <c r="C1484" s="12">
        <v>46106</v>
      </c>
      <c r="D1484" s="12">
        <v>46158</v>
      </c>
      <c r="E1484" s="11" t="s">
        <v>6</v>
      </c>
      <c r="F1484" s="11" t="s">
        <v>834</v>
      </c>
      <c r="G1484" s="11" t="s">
        <v>2990</v>
      </c>
      <c r="H1484" s="11"/>
      <c r="I1484" s="11" t="s">
        <v>49</v>
      </c>
      <c r="J1484" s="11">
        <v>1100.1600000000001</v>
      </c>
      <c r="K1484" s="11">
        <v>1100.1600000000001</v>
      </c>
      <c r="L1484" s="11"/>
      <c r="M1484" s="14">
        <v>1100.1600000000001</v>
      </c>
      <c r="N1484" s="11" t="s">
        <v>2991</v>
      </c>
      <c r="O1484" s="11" t="s">
        <v>50</v>
      </c>
    </row>
    <row r="1485" spans="1:15" s="13" customFormat="1" ht="19.5" customHeight="1" x14ac:dyDescent="0.25">
      <c r="A1485" s="11" t="s">
        <v>2990</v>
      </c>
      <c r="B1485" s="11" t="s">
        <v>2990</v>
      </c>
      <c r="C1485" s="12">
        <v>46106</v>
      </c>
      <c r="D1485" s="12">
        <v>46165</v>
      </c>
      <c r="E1485" s="11" t="s">
        <v>6</v>
      </c>
      <c r="F1485" s="11" t="s">
        <v>834</v>
      </c>
      <c r="G1485" s="11" t="s">
        <v>2990</v>
      </c>
      <c r="H1485" s="11"/>
      <c r="I1485" s="11" t="s">
        <v>49</v>
      </c>
      <c r="J1485" s="11">
        <v>1100.1600000000001</v>
      </c>
      <c r="K1485" s="11">
        <v>1100.1600000000001</v>
      </c>
      <c r="L1485" s="11"/>
      <c r="M1485" s="14">
        <v>1100.1600000000001</v>
      </c>
      <c r="N1485" s="11" t="s">
        <v>2991</v>
      </c>
      <c r="O1485" s="11" t="s">
        <v>50</v>
      </c>
    </row>
    <row r="1486" spans="1:15" s="13" customFormat="1" ht="19.5" customHeight="1" x14ac:dyDescent="0.25">
      <c r="A1486" s="11" t="s">
        <v>2990</v>
      </c>
      <c r="B1486" s="11" t="s">
        <v>2990</v>
      </c>
      <c r="C1486" s="12">
        <v>46106</v>
      </c>
      <c r="D1486" s="12">
        <v>46172</v>
      </c>
      <c r="E1486" s="11" t="s">
        <v>6</v>
      </c>
      <c r="F1486" s="11" t="s">
        <v>834</v>
      </c>
      <c r="G1486" s="11" t="s">
        <v>2990</v>
      </c>
      <c r="H1486" s="11"/>
      <c r="I1486" s="11" t="s">
        <v>49</v>
      </c>
      <c r="J1486" s="11">
        <v>1100.1600000000001</v>
      </c>
      <c r="K1486" s="11">
        <v>1100.1600000000001</v>
      </c>
      <c r="L1486" s="11"/>
      <c r="M1486" s="14">
        <v>1100.1600000000001</v>
      </c>
      <c r="N1486" s="11" t="s">
        <v>2991</v>
      </c>
      <c r="O1486" s="11" t="s">
        <v>50</v>
      </c>
    </row>
    <row r="1487" spans="1:15" s="13" customFormat="1" ht="19.5" customHeight="1" x14ac:dyDescent="0.25">
      <c r="A1487" s="11" t="s">
        <v>2990</v>
      </c>
      <c r="B1487" s="11" t="s">
        <v>2990</v>
      </c>
      <c r="C1487" s="12">
        <v>46106</v>
      </c>
      <c r="D1487" s="12">
        <v>46179</v>
      </c>
      <c r="E1487" s="11" t="s">
        <v>6</v>
      </c>
      <c r="F1487" s="11" t="s">
        <v>834</v>
      </c>
      <c r="G1487" s="11" t="s">
        <v>2990</v>
      </c>
      <c r="H1487" s="11"/>
      <c r="I1487" s="11" t="s">
        <v>49</v>
      </c>
      <c r="J1487" s="11">
        <v>1100.1600000000001</v>
      </c>
      <c r="K1487" s="11">
        <v>1100.1600000000001</v>
      </c>
      <c r="L1487" s="11"/>
      <c r="M1487" s="14">
        <v>1100.1600000000001</v>
      </c>
      <c r="N1487" s="11" t="s">
        <v>2991</v>
      </c>
      <c r="O1487" s="11" t="s">
        <v>50</v>
      </c>
    </row>
    <row r="1488" spans="1:15" s="13" customFormat="1" ht="19.5" customHeight="1" x14ac:dyDescent="0.25">
      <c r="A1488" s="11" t="s">
        <v>2990</v>
      </c>
      <c r="B1488" s="11" t="s">
        <v>2990</v>
      </c>
      <c r="C1488" s="12">
        <v>46106</v>
      </c>
      <c r="D1488" s="12">
        <v>46196</v>
      </c>
      <c r="E1488" s="11" t="s">
        <v>6</v>
      </c>
      <c r="F1488" s="11" t="s">
        <v>834</v>
      </c>
      <c r="G1488" s="11" t="s">
        <v>2990</v>
      </c>
      <c r="H1488" s="11"/>
      <c r="I1488" s="11" t="s">
        <v>49</v>
      </c>
      <c r="J1488" s="11">
        <v>1102.8</v>
      </c>
      <c r="K1488" s="11">
        <v>1102.8</v>
      </c>
      <c r="L1488" s="11"/>
      <c r="M1488" s="14">
        <v>1102.8</v>
      </c>
      <c r="N1488" s="11" t="s">
        <v>2991</v>
      </c>
      <c r="O1488" s="11" t="s">
        <v>50</v>
      </c>
    </row>
    <row r="1489" spans="1:15" s="13" customFormat="1" ht="19.5" customHeight="1" x14ac:dyDescent="0.25">
      <c r="A1489" s="11" t="s">
        <v>2992</v>
      </c>
      <c r="B1489" s="11" t="s">
        <v>2992</v>
      </c>
      <c r="C1489" s="12">
        <v>46104</v>
      </c>
      <c r="D1489" s="12">
        <v>46149</v>
      </c>
      <c r="E1489" s="11" t="s">
        <v>6</v>
      </c>
      <c r="F1489" s="11" t="s">
        <v>834</v>
      </c>
      <c r="G1489" s="11" t="s">
        <v>2992</v>
      </c>
      <c r="H1489" s="11"/>
      <c r="I1489" s="11" t="s">
        <v>49</v>
      </c>
      <c r="J1489" s="11">
        <v>2211.4299999999998</v>
      </c>
      <c r="K1489" s="11">
        <v>2211.4299999999998</v>
      </c>
      <c r="L1489" s="11"/>
      <c r="M1489" s="14">
        <v>2211.4299999999998</v>
      </c>
      <c r="N1489" s="11" t="s">
        <v>2993</v>
      </c>
      <c r="O1489" s="11" t="s">
        <v>50</v>
      </c>
    </row>
    <row r="1490" spans="1:15" s="13" customFormat="1" ht="19.5" customHeight="1" x14ac:dyDescent="0.25">
      <c r="A1490" s="11" t="s">
        <v>2992</v>
      </c>
      <c r="B1490" s="11" t="s">
        <v>2992</v>
      </c>
      <c r="C1490" s="12">
        <v>46104</v>
      </c>
      <c r="D1490" s="12">
        <v>46156</v>
      </c>
      <c r="E1490" s="11" t="s">
        <v>6</v>
      </c>
      <c r="F1490" s="11" t="s">
        <v>834</v>
      </c>
      <c r="G1490" s="11" t="s">
        <v>2992</v>
      </c>
      <c r="H1490" s="11"/>
      <c r="I1490" s="11" t="s">
        <v>49</v>
      </c>
      <c r="J1490" s="11">
        <v>2211.4299999999998</v>
      </c>
      <c r="K1490" s="11">
        <v>2211.4299999999998</v>
      </c>
      <c r="L1490" s="11"/>
      <c r="M1490" s="14">
        <v>2211.4299999999998</v>
      </c>
      <c r="N1490" s="11" t="s">
        <v>2993</v>
      </c>
      <c r="O1490" s="11" t="s">
        <v>50</v>
      </c>
    </row>
    <row r="1491" spans="1:15" s="13" customFormat="1" ht="19.5" customHeight="1" x14ac:dyDescent="0.25">
      <c r="A1491" s="11" t="s">
        <v>2992</v>
      </c>
      <c r="B1491" s="11" t="s">
        <v>2992</v>
      </c>
      <c r="C1491" s="12">
        <v>46104</v>
      </c>
      <c r="D1491" s="12">
        <v>46163</v>
      </c>
      <c r="E1491" s="11" t="s">
        <v>6</v>
      </c>
      <c r="F1491" s="11" t="s">
        <v>834</v>
      </c>
      <c r="G1491" s="11" t="s">
        <v>2992</v>
      </c>
      <c r="H1491" s="11"/>
      <c r="I1491" s="11" t="s">
        <v>49</v>
      </c>
      <c r="J1491" s="11">
        <v>2211.4299999999998</v>
      </c>
      <c r="K1491" s="11">
        <v>2211.4299999999998</v>
      </c>
      <c r="L1491" s="11"/>
      <c r="M1491" s="14">
        <v>2211.4299999999998</v>
      </c>
      <c r="N1491" s="11" t="s">
        <v>2993</v>
      </c>
      <c r="O1491" s="11" t="s">
        <v>50</v>
      </c>
    </row>
    <row r="1492" spans="1:15" s="13" customFormat="1" ht="19.5" customHeight="1" x14ac:dyDescent="0.25">
      <c r="A1492" s="11" t="s">
        <v>2992</v>
      </c>
      <c r="B1492" s="11" t="s">
        <v>2992</v>
      </c>
      <c r="C1492" s="12">
        <v>46104</v>
      </c>
      <c r="D1492" s="12">
        <v>46170</v>
      </c>
      <c r="E1492" s="11" t="s">
        <v>6</v>
      </c>
      <c r="F1492" s="11" t="s">
        <v>834</v>
      </c>
      <c r="G1492" s="11" t="s">
        <v>2992</v>
      </c>
      <c r="H1492" s="11"/>
      <c r="I1492" s="11" t="s">
        <v>49</v>
      </c>
      <c r="J1492" s="11">
        <v>2211.4299999999998</v>
      </c>
      <c r="K1492" s="11">
        <v>2211.4299999999998</v>
      </c>
      <c r="L1492" s="11"/>
      <c r="M1492" s="14">
        <v>2211.4299999999998</v>
      </c>
      <c r="N1492" s="11" t="s">
        <v>2993</v>
      </c>
      <c r="O1492" s="11" t="s">
        <v>50</v>
      </c>
    </row>
    <row r="1493" spans="1:15" s="13" customFormat="1" ht="19.5" customHeight="1" x14ac:dyDescent="0.25">
      <c r="A1493" s="11" t="s">
        <v>2992</v>
      </c>
      <c r="B1493" s="11" t="s">
        <v>2992</v>
      </c>
      <c r="C1493" s="12">
        <v>46104</v>
      </c>
      <c r="D1493" s="12">
        <v>46177</v>
      </c>
      <c r="E1493" s="11" t="s">
        <v>6</v>
      </c>
      <c r="F1493" s="11" t="s">
        <v>834</v>
      </c>
      <c r="G1493" s="11" t="s">
        <v>2992</v>
      </c>
      <c r="H1493" s="11"/>
      <c r="I1493" s="11" t="s">
        <v>49</v>
      </c>
      <c r="J1493" s="11">
        <v>2211.4299999999998</v>
      </c>
      <c r="K1493" s="11">
        <v>2211.4299999999998</v>
      </c>
      <c r="L1493" s="11"/>
      <c r="M1493" s="14">
        <v>2211.4299999999998</v>
      </c>
      <c r="N1493" s="11" t="s">
        <v>2993</v>
      </c>
      <c r="O1493" s="11" t="s">
        <v>50</v>
      </c>
    </row>
    <row r="1494" spans="1:15" s="13" customFormat="1" ht="19.5" customHeight="1" x14ac:dyDescent="0.25">
      <c r="A1494" s="11" t="s">
        <v>2992</v>
      </c>
      <c r="B1494" s="11" t="s">
        <v>2992</v>
      </c>
      <c r="C1494" s="12">
        <v>46104</v>
      </c>
      <c r="D1494" s="12">
        <v>46194</v>
      </c>
      <c r="E1494" s="11" t="s">
        <v>6</v>
      </c>
      <c r="F1494" s="11" t="s">
        <v>834</v>
      </c>
      <c r="G1494" s="11" t="s">
        <v>2992</v>
      </c>
      <c r="H1494" s="11"/>
      <c r="I1494" s="11" t="s">
        <v>49</v>
      </c>
      <c r="J1494" s="11">
        <v>2216.7199999999998</v>
      </c>
      <c r="K1494" s="11">
        <v>2216.7199999999998</v>
      </c>
      <c r="L1494" s="11"/>
      <c r="M1494" s="14">
        <v>2216.7199999999998</v>
      </c>
      <c r="N1494" s="11" t="s">
        <v>2993</v>
      </c>
      <c r="O1494" s="11" t="s">
        <v>50</v>
      </c>
    </row>
    <row r="1495" spans="1:15" s="13" customFormat="1" ht="19.5" customHeight="1" x14ac:dyDescent="0.25">
      <c r="A1495" s="11" t="s">
        <v>2994</v>
      </c>
      <c r="B1495" s="11" t="s">
        <v>2994</v>
      </c>
      <c r="C1495" s="12">
        <v>46104</v>
      </c>
      <c r="D1495" s="12">
        <v>46149</v>
      </c>
      <c r="E1495" s="11" t="s">
        <v>6</v>
      </c>
      <c r="F1495" s="11" t="s">
        <v>834</v>
      </c>
      <c r="G1495" s="11" t="s">
        <v>2994</v>
      </c>
      <c r="H1495" s="11"/>
      <c r="I1495" s="11" t="s">
        <v>49</v>
      </c>
      <c r="J1495" s="11">
        <v>3439.23</v>
      </c>
      <c r="K1495" s="11">
        <v>3439.23</v>
      </c>
      <c r="L1495" s="11"/>
      <c r="M1495" s="14">
        <v>3439.23</v>
      </c>
      <c r="N1495" s="11" t="s">
        <v>2995</v>
      </c>
      <c r="O1495" s="11" t="s">
        <v>50</v>
      </c>
    </row>
    <row r="1496" spans="1:15" s="13" customFormat="1" ht="19.5" customHeight="1" x14ac:dyDescent="0.25">
      <c r="A1496" s="11" t="s">
        <v>2994</v>
      </c>
      <c r="B1496" s="11" t="s">
        <v>2994</v>
      </c>
      <c r="C1496" s="12">
        <v>46104</v>
      </c>
      <c r="D1496" s="12">
        <v>46156</v>
      </c>
      <c r="E1496" s="11" t="s">
        <v>6</v>
      </c>
      <c r="F1496" s="11" t="s">
        <v>834</v>
      </c>
      <c r="G1496" s="11" t="s">
        <v>2994</v>
      </c>
      <c r="H1496" s="11"/>
      <c r="I1496" s="11" t="s">
        <v>49</v>
      </c>
      <c r="J1496" s="11">
        <v>3439.23</v>
      </c>
      <c r="K1496" s="11">
        <v>3439.23</v>
      </c>
      <c r="L1496" s="11"/>
      <c r="M1496" s="14">
        <v>3439.23</v>
      </c>
      <c r="N1496" s="11" t="s">
        <v>2995</v>
      </c>
      <c r="O1496" s="11" t="s">
        <v>50</v>
      </c>
    </row>
    <row r="1497" spans="1:15" s="13" customFormat="1" ht="19.5" customHeight="1" x14ac:dyDescent="0.25">
      <c r="A1497" s="11" t="s">
        <v>2994</v>
      </c>
      <c r="B1497" s="11" t="s">
        <v>2994</v>
      </c>
      <c r="C1497" s="12">
        <v>46104</v>
      </c>
      <c r="D1497" s="12">
        <v>46163</v>
      </c>
      <c r="E1497" s="11" t="s">
        <v>6</v>
      </c>
      <c r="F1497" s="11" t="s">
        <v>834</v>
      </c>
      <c r="G1497" s="11" t="s">
        <v>2994</v>
      </c>
      <c r="H1497" s="11"/>
      <c r="I1497" s="11" t="s">
        <v>49</v>
      </c>
      <c r="J1497" s="11">
        <v>3439.23</v>
      </c>
      <c r="K1497" s="11">
        <v>3439.23</v>
      </c>
      <c r="L1497" s="11"/>
      <c r="M1497" s="14">
        <v>3439.23</v>
      </c>
      <c r="N1497" s="11" t="s">
        <v>2995</v>
      </c>
      <c r="O1497" s="11" t="s">
        <v>50</v>
      </c>
    </row>
    <row r="1498" spans="1:15" s="13" customFormat="1" ht="19.5" customHeight="1" x14ac:dyDescent="0.25">
      <c r="A1498" s="11" t="s">
        <v>2994</v>
      </c>
      <c r="B1498" s="11" t="s">
        <v>2994</v>
      </c>
      <c r="C1498" s="12">
        <v>46104</v>
      </c>
      <c r="D1498" s="12">
        <v>46170</v>
      </c>
      <c r="E1498" s="11" t="s">
        <v>6</v>
      </c>
      <c r="F1498" s="11" t="s">
        <v>834</v>
      </c>
      <c r="G1498" s="11" t="s">
        <v>2994</v>
      </c>
      <c r="H1498" s="11"/>
      <c r="I1498" s="11" t="s">
        <v>49</v>
      </c>
      <c r="J1498" s="11">
        <v>3439.23</v>
      </c>
      <c r="K1498" s="11">
        <v>3439.23</v>
      </c>
      <c r="L1498" s="11"/>
      <c r="M1498" s="14">
        <v>3439.23</v>
      </c>
      <c r="N1498" s="11" t="s">
        <v>2995</v>
      </c>
      <c r="O1498" s="11" t="s">
        <v>50</v>
      </c>
    </row>
    <row r="1499" spans="1:15" s="13" customFormat="1" ht="19.5" customHeight="1" x14ac:dyDescent="0.25">
      <c r="A1499" s="11" t="s">
        <v>2994</v>
      </c>
      <c r="B1499" s="11" t="s">
        <v>2994</v>
      </c>
      <c r="C1499" s="12">
        <v>46104</v>
      </c>
      <c r="D1499" s="12">
        <v>46177</v>
      </c>
      <c r="E1499" s="11" t="s">
        <v>6</v>
      </c>
      <c r="F1499" s="11" t="s">
        <v>834</v>
      </c>
      <c r="G1499" s="11" t="s">
        <v>2994</v>
      </c>
      <c r="H1499" s="11"/>
      <c r="I1499" s="11" t="s">
        <v>49</v>
      </c>
      <c r="J1499" s="11">
        <v>3439.23</v>
      </c>
      <c r="K1499" s="11">
        <v>3439.23</v>
      </c>
      <c r="L1499" s="11"/>
      <c r="M1499" s="14">
        <v>3439.23</v>
      </c>
      <c r="N1499" s="11" t="s">
        <v>2995</v>
      </c>
      <c r="O1499" s="11" t="s">
        <v>50</v>
      </c>
    </row>
    <row r="1500" spans="1:15" s="13" customFormat="1" ht="19.5" customHeight="1" x14ac:dyDescent="0.25">
      <c r="A1500" s="11" t="s">
        <v>2994</v>
      </c>
      <c r="B1500" s="11" t="s">
        <v>2994</v>
      </c>
      <c r="C1500" s="12">
        <v>46104</v>
      </c>
      <c r="D1500" s="12">
        <v>46194</v>
      </c>
      <c r="E1500" s="11" t="s">
        <v>6</v>
      </c>
      <c r="F1500" s="11" t="s">
        <v>834</v>
      </c>
      <c r="G1500" s="11" t="s">
        <v>2994</v>
      </c>
      <c r="H1500" s="11"/>
      <c r="I1500" s="11" t="s">
        <v>49</v>
      </c>
      <c r="J1500" s="11">
        <v>3447.51</v>
      </c>
      <c r="K1500" s="11">
        <v>3447.51</v>
      </c>
      <c r="L1500" s="11"/>
      <c r="M1500" s="14">
        <v>3447.51</v>
      </c>
      <c r="N1500" s="11" t="s">
        <v>2995</v>
      </c>
      <c r="O1500" s="11" t="s">
        <v>50</v>
      </c>
    </row>
    <row r="1501" spans="1:15" s="13" customFormat="1" ht="19.5" customHeight="1" x14ac:dyDescent="0.25">
      <c r="A1501" s="11" t="s">
        <v>2996</v>
      </c>
      <c r="B1501" s="11" t="s">
        <v>2996</v>
      </c>
      <c r="C1501" s="12">
        <v>46100</v>
      </c>
      <c r="D1501" s="12">
        <v>46145</v>
      </c>
      <c r="E1501" s="11" t="s">
        <v>6</v>
      </c>
      <c r="F1501" s="11" t="s">
        <v>834</v>
      </c>
      <c r="G1501" s="11" t="s">
        <v>2996</v>
      </c>
      <c r="H1501" s="11"/>
      <c r="I1501" s="11" t="s">
        <v>49</v>
      </c>
      <c r="J1501" s="11">
        <v>2179.94</v>
      </c>
      <c r="K1501" s="11">
        <v>2179.94</v>
      </c>
      <c r="L1501" s="11"/>
      <c r="M1501" s="14">
        <v>2179.94</v>
      </c>
      <c r="N1501" s="11" t="s">
        <v>2997</v>
      </c>
      <c r="O1501" s="11" t="s">
        <v>50</v>
      </c>
    </row>
    <row r="1502" spans="1:15" s="13" customFormat="1" ht="19.5" customHeight="1" x14ac:dyDescent="0.25">
      <c r="A1502" s="11" t="s">
        <v>2996</v>
      </c>
      <c r="B1502" s="11" t="s">
        <v>2996</v>
      </c>
      <c r="C1502" s="12">
        <v>46100</v>
      </c>
      <c r="D1502" s="12">
        <v>46160</v>
      </c>
      <c r="E1502" s="11" t="s">
        <v>6</v>
      </c>
      <c r="F1502" s="11" t="s">
        <v>834</v>
      </c>
      <c r="G1502" s="11" t="s">
        <v>2996</v>
      </c>
      <c r="H1502" s="11"/>
      <c r="I1502" s="11" t="s">
        <v>49</v>
      </c>
      <c r="J1502" s="11">
        <v>2179.9299999999998</v>
      </c>
      <c r="K1502" s="11">
        <v>2179.9299999999998</v>
      </c>
      <c r="L1502" s="11"/>
      <c r="M1502" s="14">
        <v>2179.9299999999998</v>
      </c>
      <c r="N1502" s="11" t="s">
        <v>2997</v>
      </c>
      <c r="O1502" s="11" t="s">
        <v>50</v>
      </c>
    </row>
    <row r="1503" spans="1:15" s="13" customFormat="1" ht="19.5" customHeight="1" x14ac:dyDescent="0.25">
      <c r="A1503" s="11" t="s">
        <v>2998</v>
      </c>
      <c r="B1503" s="11" t="s">
        <v>2998</v>
      </c>
      <c r="C1503" s="12">
        <v>46112</v>
      </c>
      <c r="D1503" s="12">
        <v>46157</v>
      </c>
      <c r="E1503" s="11" t="s">
        <v>6</v>
      </c>
      <c r="F1503" s="11" t="s">
        <v>834</v>
      </c>
      <c r="G1503" s="11" t="s">
        <v>2998</v>
      </c>
      <c r="H1503" s="11"/>
      <c r="I1503" s="11" t="s">
        <v>49</v>
      </c>
      <c r="J1503" s="11">
        <v>4129.25</v>
      </c>
      <c r="K1503" s="11">
        <v>4129.25</v>
      </c>
      <c r="L1503" s="11"/>
      <c r="M1503" s="14">
        <v>4129.25</v>
      </c>
      <c r="N1503" s="11" t="s">
        <v>2999</v>
      </c>
      <c r="O1503" s="11" t="s">
        <v>50</v>
      </c>
    </row>
    <row r="1504" spans="1:15" s="13" customFormat="1" ht="19.5" customHeight="1" x14ac:dyDescent="0.25">
      <c r="A1504" s="11" t="s">
        <v>2998</v>
      </c>
      <c r="B1504" s="11" t="s">
        <v>2998</v>
      </c>
      <c r="C1504" s="12">
        <v>46112</v>
      </c>
      <c r="D1504" s="12">
        <v>46166</v>
      </c>
      <c r="E1504" s="11" t="s">
        <v>6</v>
      </c>
      <c r="F1504" s="11" t="s">
        <v>834</v>
      </c>
      <c r="G1504" s="11" t="s">
        <v>2998</v>
      </c>
      <c r="H1504" s="11"/>
      <c r="I1504" s="11" t="s">
        <v>49</v>
      </c>
      <c r="J1504" s="11">
        <v>4129.25</v>
      </c>
      <c r="K1504" s="11">
        <v>4129.25</v>
      </c>
      <c r="L1504" s="11"/>
      <c r="M1504" s="14">
        <v>4129.25</v>
      </c>
      <c r="N1504" s="11" t="s">
        <v>2999</v>
      </c>
      <c r="O1504" s="11" t="s">
        <v>50</v>
      </c>
    </row>
    <row r="1505" spans="1:15" s="13" customFormat="1" ht="19.5" customHeight="1" x14ac:dyDescent="0.25">
      <c r="A1505" s="11" t="s">
        <v>2998</v>
      </c>
      <c r="B1505" s="11" t="s">
        <v>2998</v>
      </c>
      <c r="C1505" s="12">
        <v>46112</v>
      </c>
      <c r="D1505" s="12">
        <v>46175</v>
      </c>
      <c r="E1505" s="11" t="s">
        <v>6</v>
      </c>
      <c r="F1505" s="11" t="s">
        <v>834</v>
      </c>
      <c r="G1505" s="11" t="s">
        <v>2998</v>
      </c>
      <c r="H1505" s="11"/>
      <c r="I1505" s="11" t="s">
        <v>49</v>
      </c>
      <c r="J1505" s="11">
        <v>4129.25</v>
      </c>
      <c r="K1505" s="11">
        <v>4129.25</v>
      </c>
      <c r="L1505" s="11"/>
      <c r="M1505" s="14">
        <v>4129.25</v>
      </c>
      <c r="N1505" s="11" t="s">
        <v>2999</v>
      </c>
      <c r="O1505" s="11" t="s">
        <v>50</v>
      </c>
    </row>
    <row r="1506" spans="1:15" s="13" customFormat="1" ht="19.5" customHeight="1" x14ac:dyDescent="0.25">
      <c r="A1506" s="11" t="s">
        <v>2998</v>
      </c>
      <c r="B1506" s="11" t="s">
        <v>2998</v>
      </c>
      <c r="C1506" s="12">
        <v>46112</v>
      </c>
      <c r="D1506" s="12">
        <v>46184</v>
      </c>
      <c r="E1506" s="11" t="s">
        <v>6</v>
      </c>
      <c r="F1506" s="11" t="s">
        <v>834</v>
      </c>
      <c r="G1506" s="11" t="s">
        <v>2998</v>
      </c>
      <c r="H1506" s="11"/>
      <c r="I1506" s="11" t="s">
        <v>49</v>
      </c>
      <c r="J1506" s="11">
        <v>4129.25</v>
      </c>
      <c r="K1506" s="11">
        <v>4129.25</v>
      </c>
      <c r="L1506" s="11"/>
      <c r="M1506" s="14">
        <v>4129.25</v>
      </c>
      <c r="N1506" s="11" t="s">
        <v>2999</v>
      </c>
      <c r="O1506" s="11" t="s">
        <v>50</v>
      </c>
    </row>
    <row r="1507" spans="1:15" s="13" customFormat="1" ht="19.5" customHeight="1" x14ac:dyDescent="0.25">
      <c r="A1507" s="11" t="s">
        <v>2998</v>
      </c>
      <c r="B1507" s="11" t="s">
        <v>2998</v>
      </c>
      <c r="C1507" s="12">
        <v>46112</v>
      </c>
      <c r="D1507" s="12">
        <v>46193</v>
      </c>
      <c r="E1507" s="11" t="s">
        <v>6</v>
      </c>
      <c r="F1507" s="11" t="s">
        <v>834</v>
      </c>
      <c r="G1507" s="11" t="s">
        <v>2998</v>
      </c>
      <c r="H1507" s="11"/>
      <c r="I1507" s="11" t="s">
        <v>49</v>
      </c>
      <c r="J1507" s="11">
        <v>4129.25</v>
      </c>
      <c r="K1507" s="11">
        <v>4129.25</v>
      </c>
      <c r="L1507" s="11"/>
      <c r="M1507" s="14">
        <v>4129.25</v>
      </c>
      <c r="N1507" s="11" t="s">
        <v>2999</v>
      </c>
      <c r="O1507" s="11" t="s">
        <v>50</v>
      </c>
    </row>
    <row r="1508" spans="1:15" s="13" customFormat="1" ht="19.5" customHeight="1" x14ac:dyDescent="0.25">
      <c r="A1508" s="11" t="s">
        <v>2998</v>
      </c>
      <c r="B1508" s="11" t="s">
        <v>2998</v>
      </c>
      <c r="C1508" s="12">
        <v>46112</v>
      </c>
      <c r="D1508" s="12">
        <v>46202</v>
      </c>
      <c r="E1508" s="11" t="s">
        <v>6</v>
      </c>
      <c r="F1508" s="11" t="s">
        <v>834</v>
      </c>
      <c r="G1508" s="11" t="s">
        <v>2998</v>
      </c>
      <c r="H1508" s="11"/>
      <c r="I1508" s="11" t="s">
        <v>49</v>
      </c>
      <c r="J1508" s="11">
        <v>4124.3100000000004</v>
      </c>
      <c r="K1508" s="11">
        <v>4124.3100000000004</v>
      </c>
      <c r="L1508" s="11"/>
      <c r="M1508" s="14">
        <v>4124.3100000000004</v>
      </c>
      <c r="N1508" s="11" t="s">
        <v>2999</v>
      </c>
      <c r="O1508" s="11" t="s">
        <v>50</v>
      </c>
    </row>
    <row r="1509" spans="1:15" s="13" customFormat="1" ht="19.5" customHeight="1" x14ac:dyDescent="0.25">
      <c r="A1509" s="11" t="s">
        <v>3000</v>
      </c>
      <c r="B1509" s="11" t="s">
        <v>3000</v>
      </c>
      <c r="C1509" s="12">
        <v>46112</v>
      </c>
      <c r="D1509" s="12">
        <v>46157</v>
      </c>
      <c r="E1509" s="11" t="s">
        <v>6</v>
      </c>
      <c r="F1509" s="11" t="s">
        <v>108</v>
      </c>
      <c r="G1509" s="11" t="s">
        <v>3000</v>
      </c>
      <c r="H1509" s="11"/>
      <c r="I1509" s="11" t="s">
        <v>49</v>
      </c>
      <c r="J1509" s="11">
        <v>4689.5</v>
      </c>
      <c r="K1509" s="11">
        <v>4689.5</v>
      </c>
      <c r="L1509" s="11"/>
      <c r="M1509" s="14">
        <v>4689.5</v>
      </c>
      <c r="N1509" s="11" t="s">
        <v>3001</v>
      </c>
      <c r="O1509" s="11" t="s">
        <v>50</v>
      </c>
    </row>
    <row r="1510" spans="1:15" s="13" customFormat="1" ht="19.5" customHeight="1" x14ac:dyDescent="0.25">
      <c r="A1510" s="11" t="s">
        <v>3000</v>
      </c>
      <c r="B1510" s="11" t="s">
        <v>3000</v>
      </c>
      <c r="C1510" s="12">
        <v>46112</v>
      </c>
      <c r="D1510" s="12">
        <v>46166</v>
      </c>
      <c r="E1510" s="11" t="s">
        <v>6</v>
      </c>
      <c r="F1510" s="11" t="s">
        <v>108</v>
      </c>
      <c r="G1510" s="11" t="s">
        <v>3000</v>
      </c>
      <c r="H1510" s="11"/>
      <c r="I1510" s="11" t="s">
        <v>49</v>
      </c>
      <c r="J1510" s="11">
        <v>4689.5</v>
      </c>
      <c r="K1510" s="11">
        <v>4689.5</v>
      </c>
      <c r="L1510" s="11"/>
      <c r="M1510" s="14">
        <v>4689.5</v>
      </c>
      <c r="N1510" s="11" t="s">
        <v>3001</v>
      </c>
      <c r="O1510" s="11" t="s">
        <v>50</v>
      </c>
    </row>
    <row r="1511" spans="1:15" s="13" customFormat="1" ht="19.5" customHeight="1" x14ac:dyDescent="0.25">
      <c r="A1511" s="11" t="s">
        <v>3000</v>
      </c>
      <c r="B1511" s="11" t="s">
        <v>3000</v>
      </c>
      <c r="C1511" s="12">
        <v>46112</v>
      </c>
      <c r="D1511" s="12">
        <v>46175</v>
      </c>
      <c r="E1511" s="11" t="s">
        <v>6</v>
      </c>
      <c r="F1511" s="11" t="s">
        <v>108</v>
      </c>
      <c r="G1511" s="11" t="s">
        <v>3000</v>
      </c>
      <c r="H1511" s="11"/>
      <c r="I1511" s="11" t="s">
        <v>49</v>
      </c>
      <c r="J1511" s="11">
        <v>4689.5</v>
      </c>
      <c r="K1511" s="11">
        <v>4689.5</v>
      </c>
      <c r="L1511" s="11"/>
      <c r="M1511" s="14">
        <v>4689.5</v>
      </c>
      <c r="N1511" s="11" t="s">
        <v>3001</v>
      </c>
      <c r="O1511" s="11" t="s">
        <v>50</v>
      </c>
    </row>
    <row r="1512" spans="1:15" s="13" customFormat="1" ht="19.5" customHeight="1" x14ac:dyDescent="0.25">
      <c r="A1512" s="11" t="s">
        <v>3000</v>
      </c>
      <c r="B1512" s="11" t="s">
        <v>3000</v>
      </c>
      <c r="C1512" s="12">
        <v>46112</v>
      </c>
      <c r="D1512" s="12">
        <v>46184</v>
      </c>
      <c r="E1512" s="11" t="s">
        <v>6</v>
      </c>
      <c r="F1512" s="11" t="s">
        <v>108</v>
      </c>
      <c r="G1512" s="11" t="s">
        <v>3000</v>
      </c>
      <c r="H1512" s="11"/>
      <c r="I1512" s="11" t="s">
        <v>49</v>
      </c>
      <c r="J1512" s="11">
        <v>4689.5</v>
      </c>
      <c r="K1512" s="11">
        <v>4689.5</v>
      </c>
      <c r="L1512" s="11"/>
      <c r="M1512" s="14">
        <v>4689.5</v>
      </c>
      <c r="N1512" s="11" t="s">
        <v>3001</v>
      </c>
      <c r="O1512" s="11" t="s">
        <v>50</v>
      </c>
    </row>
    <row r="1513" spans="1:15" s="13" customFormat="1" ht="19.5" customHeight="1" x14ac:dyDescent="0.25">
      <c r="A1513" s="11" t="s">
        <v>3000</v>
      </c>
      <c r="B1513" s="11" t="s">
        <v>3000</v>
      </c>
      <c r="C1513" s="12">
        <v>46112</v>
      </c>
      <c r="D1513" s="12">
        <v>46193</v>
      </c>
      <c r="E1513" s="11" t="s">
        <v>6</v>
      </c>
      <c r="F1513" s="11" t="s">
        <v>108</v>
      </c>
      <c r="G1513" s="11" t="s">
        <v>3000</v>
      </c>
      <c r="H1513" s="11"/>
      <c r="I1513" s="11" t="s">
        <v>49</v>
      </c>
      <c r="J1513" s="11">
        <v>4689.5</v>
      </c>
      <c r="K1513" s="11">
        <v>4689.5</v>
      </c>
      <c r="L1513" s="11"/>
      <c r="M1513" s="14">
        <v>4689.5</v>
      </c>
      <c r="N1513" s="11" t="s">
        <v>3001</v>
      </c>
      <c r="O1513" s="11" t="s">
        <v>50</v>
      </c>
    </row>
    <row r="1514" spans="1:15" s="13" customFormat="1" ht="19.5" customHeight="1" x14ac:dyDescent="0.25">
      <c r="A1514" s="11" t="s">
        <v>3000</v>
      </c>
      <c r="B1514" s="11" t="s">
        <v>3000</v>
      </c>
      <c r="C1514" s="12">
        <v>46112</v>
      </c>
      <c r="D1514" s="12">
        <v>46202</v>
      </c>
      <c r="E1514" s="11" t="s">
        <v>6</v>
      </c>
      <c r="F1514" s="11" t="s">
        <v>108</v>
      </c>
      <c r="G1514" s="11" t="s">
        <v>3000</v>
      </c>
      <c r="H1514" s="11"/>
      <c r="I1514" s="11" t="s">
        <v>49</v>
      </c>
      <c r="J1514" s="11">
        <v>4683.88</v>
      </c>
      <c r="K1514" s="11">
        <v>4683.88</v>
      </c>
      <c r="L1514" s="11"/>
      <c r="M1514" s="14">
        <v>4683.88</v>
      </c>
      <c r="N1514" s="11" t="s">
        <v>3001</v>
      </c>
      <c r="O1514" s="11" t="s">
        <v>50</v>
      </c>
    </row>
    <row r="1515" spans="1:15" s="13" customFormat="1" ht="19.5" customHeight="1" x14ac:dyDescent="0.25">
      <c r="A1515" s="11" t="s">
        <v>3002</v>
      </c>
      <c r="B1515" s="11" t="s">
        <v>3002</v>
      </c>
      <c r="C1515" s="12">
        <v>46105</v>
      </c>
      <c r="D1515" s="12">
        <v>46150</v>
      </c>
      <c r="E1515" s="11" t="s">
        <v>6</v>
      </c>
      <c r="F1515" s="11" t="s">
        <v>108</v>
      </c>
      <c r="G1515" s="11" t="s">
        <v>3002</v>
      </c>
      <c r="H1515" s="11"/>
      <c r="I1515" s="11" t="s">
        <v>49</v>
      </c>
      <c r="J1515" s="11">
        <v>16917.189999999999</v>
      </c>
      <c r="K1515" s="11">
        <v>16917.189999999999</v>
      </c>
      <c r="L1515" s="11"/>
      <c r="M1515" s="14">
        <v>16917.189999999999</v>
      </c>
      <c r="N1515" s="11" t="s">
        <v>3003</v>
      </c>
      <c r="O1515" s="11" t="s">
        <v>50</v>
      </c>
    </row>
    <row r="1516" spans="1:15" s="13" customFormat="1" ht="19.5" customHeight="1" x14ac:dyDescent="0.25">
      <c r="A1516" s="11" t="s">
        <v>3002</v>
      </c>
      <c r="B1516" s="11" t="s">
        <v>3002</v>
      </c>
      <c r="C1516" s="12">
        <v>46105</v>
      </c>
      <c r="D1516" s="12">
        <v>46163</v>
      </c>
      <c r="E1516" s="11" t="s">
        <v>6</v>
      </c>
      <c r="F1516" s="11" t="s">
        <v>108</v>
      </c>
      <c r="G1516" s="11" t="s">
        <v>3002</v>
      </c>
      <c r="H1516" s="11"/>
      <c r="I1516" s="11" t="s">
        <v>49</v>
      </c>
      <c r="J1516" s="11">
        <v>16917.189999999999</v>
      </c>
      <c r="K1516" s="11">
        <v>16917.189999999999</v>
      </c>
      <c r="L1516" s="11"/>
      <c r="M1516" s="14">
        <v>16917.189999999999</v>
      </c>
      <c r="N1516" s="11" t="s">
        <v>3003</v>
      </c>
      <c r="O1516" s="11" t="s">
        <v>50</v>
      </c>
    </row>
    <row r="1517" spans="1:15" s="13" customFormat="1" ht="19.5" customHeight="1" x14ac:dyDescent="0.25">
      <c r="A1517" s="11" t="s">
        <v>3002</v>
      </c>
      <c r="B1517" s="11" t="s">
        <v>3002</v>
      </c>
      <c r="C1517" s="12">
        <v>46105</v>
      </c>
      <c r="D1517" s="12">
        <v>46176</v>
      </c>
      <c r="E1517" s="11" t="s">
        <v>6</v>
      </c>
      <c r="F1517" s="11" t="s">
        <v>108</v>
      </c>
      <c r="G1517" s="11" t="s">
        <v>3002</v>
      </c>
      <c r="H1517" s="11"/>
      <c r="I1517" s="11" t="s">
        <v>49</v>
      </c>
      <c r="J1517" s="11">
        <v>16917.189999999999</v>
      </c>
      <c r="K1517" s="11">
        <v>16917.189999999999</v>
      </c>
      <c r="L1517" s="11"/>
      <c r="M1517" s="14">
        <v>16917.189999999999</v>
      </c>
      <c r="N1517" s="11" t="s">
        <v>3003</v>
      </c>
      <c r="O1517" s="11" t="s">
        <v>50</v>
      </c>
    </row>
    <row r="1518" spans="1:15" s="13" customFormat="1" ht="19.5" customHeight="1" x14ac:dyDescent="0.25">
      <c r="A1518" s="11" t="s">
        <v>3002</v>
      </c>
      <c r="B1518" s="11" t="s">
        <v>3002</v>
      </c>
      <c r="C1518" s="12">
        <v>46105</v>
      </c>
      <c r="D1518" s="12">
        <v>46189</v>
      </c>
      <c r="E1518" s="11" t="s">
        <v>6</v>
      </c>
      <c r="F1518" s="11" t="s">
        <v>108</v>
      </c>
      <c r="G1518" s="11" t="s">
        <v>3002</v>
      </c>
      <c r="H1518" s="11"/>
      <c r="I1518" s="11" t="s">
        <v>49</v>
      </c>
      <c r="J1518" s="11">
        <v>16917.189999999999</v>
      </c>
      <c r="K1518" s="11">
        <v>16917.189999999999</v>
      </c>
      <c r="L1518" s="11"/>
      <c r="M1518" s="14">
        <v>16917.189999999999</v>
      </c>
      <c r="N1518" s="11" t="s">
        <v>3003</v>
      </c>
      <c r="O1518" s="11" t="s">
        <v>50</v>
      </c>
    </row>
    <row r="1519" spans="1:15" s="13" customFormat="1" ht="19.5" customHeight="1" x14ac:dyDescent="0.25">
      <c r="A1519" s="11" t="s">
        <v>3002</v>
      </c>
      <c r="B1519" s="11" t="s">
        <v>3002</v>
      </c>
      <c r="C1519" s="12">
        <v>46105</v>
      </c>
      <c r="D1519" s="12">
        <v>46202</v>
      </c>
      <c r="E1519" s="11" t="s">
        <v>6</v>
      </c>
      <c r="F1519" s="11" t="s">
        <v>108</v>
      </c>
      <c r="G1519" s="11" t="s">
        <v>3002</v>
      </c>
      <c r="H1519" s="11"/>
      <c r="I1519" s="11" t="s">
        <v>49</v>
      </c>
      <c r="J1519" s="11">
        <v>16917.189999999999</v>
      </c>
      <c r="K1519" s="11">
        <v>16917.189999999999</v>
      </c>
      <c r="L1519" s="11"/>
      <c r="M1519" s="14">
        <v>16917.189999999999</v>
      </c>
      <c r="N1519" s="11" t="s">
        <v>3003</v>
      </c>
      <c r="O1519" s="11" t="s">
        <v>50</v>
      </c>
    </row>
    <row r="1520" spans="1:15" s="13" customFormat="1" ht="19.5" customHeight="1" x14ac:dyDescent="0.25">
      <c r="A1520" s="11" t="s">
        <v>3002</v>
      </c>
      <c r="B1520" s="11" t="s">
        <v>3002</v>
      </c>
      <c r="C1520" s="12">
        <v>46105</v>
      </c>
      <c r="D1520" s="12">
        <v>46215</v>
      </c>
      <c r="E1520" s="11" t="s">
        <v>6</v>
      </c>
      <c r="F1520" s="11" t="s">
        <v>108</v>
      </c>
      <c r="G1520" s="11" t="s">
        <v>3002</v>
      </c>
      <c r="H1520" s="11"/>
      <c r="I1520" s="11" t="s">
        <v>49</v>
      </c>
      <c r="J1520" s="11">
        <v>16917.189999999999</v>
      </c>
      <c r="K1520" s="11">
        <v>16917.189999999999</v>
      </c>
      <c r="L1520" s="11"/>
      <c r="M1520" s="14">
        <v>16917.189999999999</v>
      </c>
      <c r="N1520" s="11" t="s">
        <v>3003</v>
      </c>
      <c r="O1520" s="11" t="s">
        <v>50</v>
      </c>
    </row>
    <row r="1521" spans="1:15" s="13" customFormat="1" ht="19.5" customHeight="1" x14ac:dyDescent="0.25">
      <c r="A1521" s="11" t="s">
        <v>3002</v>
      </c>
      <c r="B1521" s="11" t="s">
        <v>3002</v>
      </c>
      <c r="C1521" s="12">
        <v>46105</v>
      </c>
      <c r="D1521" s="12">
        <v>46228</v>
      </c>
      <c r="E1521" s="11" t="s">
        <v>6</v>
      </c>
      <c r="F1521" s="11" t="s">
        <v>108</v>
      </c>
      <c r="G1521" s="11" t="s">
        <v>3002</v>
      </c>
      <c r="H1521" s="11"/>
      <c r="I1521" s="11" t="s">
        <v>49</v>
      </c>
      <c r="J1521" s="11">
        <v>16881.64</v>
      </c>
      <c r="K1521" s="11">
        <v>16881.64</v>
      </c>
      <c r="L1521" s="11"/>
      <c r="M1521" s="14">
        <v>16881.64</v>
      </c>
      <c r="N1521" s="11" t="s">
        <v>3003</v>
      </c>
      <c r="O1521" s="11" t="s">
        <v>50</v>
      </c>
    </row>
    <row r="1522" spans="1:15" s="13" customFormat="1" ht="19.5" customHeight="1" x14ac:dyDescent="0.25">
      <c r="A1522" s="11" t="s">
        <v>3004</v>
      </c>
      <c r="B1522" s="11" t="s">
        <v>3004</v>
      </c>
      <c r="C1522" s="12">
        <v>46105</v>
      </c>
      <c r="D1522" s="12">
        <v>46150</v>
      </c>
      <c r="E1522" s="11" t="s">
        <v>6</v>
      </c>
      <c r="F1522" s="11" t="s">
        <v>108</v>
      </c>
      <c r="G1522" s="11" t="s">
        <v>3004</v>
      </c>
      <c r="H1522" s="11"/>
      <c r="I1522" s="11" t="s">
        <v>49</v>
      </c>
      <c r="J1522" s="11">
        <v>5993.11</v>
      </c>
      <c r="K1522" s="11">
        <v>5993.11</v>
      </c>
      <c r="L1522" s="11"/>
      <c r="M1522" s="14">
        <v>5993.11</v>
      </c>
      <c r="N1522" s="11" t="s">
        <v>3005</v>
      </c>
      <c r="O1522" s="11" t="s">
        <v>50</v>
      </c>
    </row>
    <row r="1523" spans="1:15" s="13" customFormat="1" ht="19.5" customHeight="1" x14ac:dyDescent="0.25">
      <c r="A1523" s="11" t="s">
        <v>3004</v>
      </c>
      <c r="B1523" s="11" t="s">
        <v>3004</v>
      </c>
      <c r="C1523" s="12">
        <v>46105</v>
      </c>
      <c r="D1523" s="12">
        <v>46159</v>
      </c>
      <c r="E1523" s="11" t="s">
        <v>6</v>
      </c>
      <c r="F1523" s="11" t="s">
        <v>108</v>
      </c>
      <c r="G1523" s="11" t="s">
        <v>3004</v>
      </c>
      <c r="H1523" s="11"/>
      <c r="I1523" s="11" t="s">
        <v>49</v>
      </c>
      <c r="J1523" s="11">
        <v>5982.34</v>
      </c>
      <c r="K1523" s="11">
        <v>5982.34</v>
      </c>
      <c r="L1523" s="11"/>
      <c r="M1523" s="14">
        <v>5982.34</v>
      </c>
      <c r="N1523" s="11" t="s">
        <v>3005</v>
      </c>
      <c r="O1523" s="11" t="s">
        <v>50</v>
      </c>
    </row>
    <row r="1524" spans="1:15" s="13" customFormat="1" ht="19.5" customHeight="1" x14ac:dyDescent="0.25">
      <c r="A1524" s="11" t="s">
        <v>3004</v>
      </c>
      <c r="B1524" s="11" t="s">
        <v>3004</v>
      </c>
      <c r="C1524" s="12">
        <v>46105</v>
      </c>
      <c r="D1524" s="12">
        <v>46168</v>
      </c>
      <c r="E1524" s="11" t="s">
        <v>6</v>
      </c>
      <c r="F1524" s="11" t="s">
        <v>108</v>
      </c>
      <c r="G1524" s="11" t="s">
        <v>3004</v>
      </c>
      <c r="H1524" s="11"/>
      <c r="I1524" s="11" t="s">
        <v>49</v>
      </c>
      <c r="J1524" s="11">
        <v>5982.34</v>
      </c>
      <c r="K1524" s="11">
        <v>5982.34</v>
      </c>
      <c r="L1524" s="11"/>
      <c r="M1524" s="14">
        <v>5982.34</v>
      </c>
      <c r="N1524" s="11" t="s">
        <v>3005</v>
      </c>
      <c r="O1524" s="11" t="s">
        <v>50</v>
      </c>
    </row>
    <row r="1525" spans="1:15" s="13" customFormat="1" ht="19.5" customHeight="1" x14ac:dyDescent="0.25">
      <c r="A1525" s="11" t="s">
        <v>3004</v>
      </c>
      <c r="B1525" s="11" t="s">
        <v>3004</v>
      </c>
      <c r="C1525" s="12">
        <v>46105</v>
      </c>
      <c r="D1525" s="12">
        <v>46177</v>
      </c>
      <c r="E1525" s="11" t="s">
        <v>6</v>
      </c>
      <c r="F1525" s="11" t="s">
        <v>108</v>
      </c>
      <c r="G1525" s="11" t="s">
        <v>3004</v>
      </c>
      <c r="H1525" s="11"/>
      <c r="I1525" s="11" t="s">
        <v>49</v>
      </c>
      <c r="J1525" s="11">
        <v>5982.34</v>
      </c>
      <c r="K1525" s="11">
        <v>5982.34</v>
      </c>
      <c r="L1525" s="11"/>
      <c r="M1525" s="14">
        <v>5982.34</v>
      </c>
      <c r="N1525" s="11" t="s">
        <v>3005</v>
      </c>
      <c r="O1525" s="11" t="s">
        <v>50</v>
      </c>
    </row>
    <row r="1526" spans="1:15" s="13" customFormat="1" ht="19.5" customHeight="1" x14ac:dyDescent="0.25">
      <c r="A1526" s="11" t="s">
        <v>3004</v>
      </c>
      <c r="B1526" s="11" t="s">
        <v>3004</v>
      </c>
      <c r="C1526" s="12">
        <v>46105</v>
      </c>
      <c r="D1526" s="12">
        <v>46186</v>
      </c>
      <c r="E1526" s="11" t="s">
        <v>6</v>
      </c>
      <c r="F1526" s="11" t="s">
        <v>108</v>
      </c>
      <c r="G1526" s="11" t="s">
        <v>3004</v>
      </c>
      <c r="H1526" s="11"/>
      <c r="I1526" s="11" t="s">
        <v>49</v>
      </c>
      <c r="J1526" s="11">
        <v>5982.34</v>
      </c>
      <c r="K1526" s="11">
        <v>5982.34</v>
      </c>
      <c r="L1526" s="11"/>
      <c r="M1526" s="14">
        <v>5982.34</v>
      </c>
      <c r="N1526" s="11" t="s">
        <v>3005</v>
      </c>
      <c r="O1526" s="11" t="s">
        <v>50</v>
      </c>
    </row>
    <row r="1527" spans="1:15" s="13" customFormat="1" ht="19.5" customHeight="1" x14ac:dyDescent="0.25">
      <c r="A1527" s="11" t="s">
        <v>3004</v>
      </c>
      <c r="B1527" s="11" t="s">
        <v>3004</v>
      </c>
      <c r="C1527" s="12">
        <v>46105</v>
      </c>
      <c r="D1527" s="12">
        <v>46195</v>
      </c>
      <c r="E1527" s="11" t="s">
        <v>6</v>
      </c>
      <c r="F1527" s="11" t="s">
        <v>108</v>
      </c>
      <c r="G1527" s="11" t="s">
        <v>3004</v>
      </c>
      <c r="H1527" s="11"/>
      <c r="I1527" s="11" t="s">
        <v>49</v>
      </c>
      <c r="J1527" s="11">
        <v>5964.4</v>
      </c>
      <c r="K1527" s="11">
        <v>5964.4</v>
      </c>
      <c r="L1527" s="11"/>
      <c r="M1527" s="14">
        <v>5964.4</v>
      </c>
      <c r="N1527" s="11" t="s">
        <v>3005</v>
      </c>
      <c r="O1527" s="11" t="s">
        <v>50</v>
      </c>
    </row>
    <row r="1528" spans="1:15" s="13" customFormat="1" ht="19.5" customHeight="1" x14ac:dyDescent="0.25">
      <c r="A1528" s="11" t="s">
        <v>3006</v>
      </c>
      <c r="B1528" s="11" t="s">
        <v>3006</v>
      </c>
      <c r="C1528" s="12">
        <v>46107</v>
      </c>
      <c r="D1528" s="12">
        <v>46152</v>
      </c>
      <c r="E1528" s="11" t="s">
        <v>6</v>
      </c>
      <c r="F1528" s="11" t="s">
        <v>108</v>
      </c>
      <c r="G1528" s="11" t="s">
        <v>3006</v>
      </c>
      <c r="H1528" s="11"/>
      <c r="I1528" s="11" t="s">
        <v>49</v>
      </c>
      <c r="J1528" s="11">
        <v>3330.52</v>
      </c>
      <c r="K1528" s="11">
        <v>3330.52</v>
      </c>
      <c r="L1528" s="11"/>
      <c r="M1528" s="14">
        <v>3330.52</v>
      </c>
      <c r="N1528" s="11" t="s">
        <v>3007</v>
      </c>
      <c r="O1528" s="11" t="s">
        <v>50</v>
      </c>
    </row>
    <row r="1529" spans="1:15" s="13" customFormat="1" ht="19.5" customHeight="1" x14ac:dyDescent="0.25">
      <c r="A1529" s="11" t="s">
        <v>3006</v>
      </c>
      <c r="B1529" s="11" t="s">
        <v>3006</v>
      </c>
      <c r="C1529" s="12">
        <v>46107</v>
      </c>
      <c r="D1529" s="12">
        <v>46159</v>
      </c>
      <c r="E1529" s="11" t="s">
        <v>6</v>
      </c>
      <c r="F1529" s="11" t="s">
        <v>108</v>
      </c>
      <c r="G1529" s="11" t="s">
        <v>3006</v>
      </c>
      <c r="H1529" s="11"/>
      <c r="I1529" s="11" t="s">
        <v>49</v>
      </c>
      <c r="J1529" s="11">
        <v>3330.52</v>
      </c>
      <c r="K1529" s="11">
        <v>3330.52</v>
      </c>
      <c r="L1529" s="11"/>
      <c r="M1529" s="14">
        <v>3330.52</v>
      </c>
      <c r="N1529" s="11" t="s">
        <v>3007</v>
      </c>
      <c r="O1529" s="11" t="s">
        <v>50</v>
      </c>
    </row>
    <row r="1530" spans="1:15" s="13" customFormat="1" ht="19.5" customHeight="1" x14ac:dyDescent="0.25">
      <c r="A1530" s="11" t="s">
        <v>3006</v>
      </c>
      <c r="B1530" s="11" t="s">
        <v>3006</v>
      </c>
      <c r="C1530" s="12">
        <v>46107</v>
      </c>
      <c r="D1530" s="12">
        <v>46166</v>
      </c>
      <c r="E1530" s="11" t="s">
        <v>6</v>
      </c>
      <c r="F1530" s="11" t="s">
        <v>108</v>
      </c>
      <c r="G1530" s="11" t="s">
        <v>3006</v>
      </c>
      <c r="H1530" s="11"/>
      <c r="I1530" s="11" t="s">
        <v>49</v>
      </c>
      <c r="J1530" s="11">
        <v>3330.52</v>
      </c>
      <c r="K1530" s="11">
        <v>3330.52</v>
      </c>
      <c r="L1530" s="11"/>
      <c r="M1530" s="14">
        <v>3330.52</v>
      </c>
      <c r="N1530" s="11" t="s">
        <v>3007</v>
      </c>
      <c r="O1530" s="11" t="s">
        <v>50</v>
      </c>
    </row>
    <row r="1531" spans="1:15" s="13" customFormat="1" ht="19.5" customHeight="1" x14ac:dyDescent="0.25">
      <c r="A1531" s="11" t="s">
        <v>3006</v>
      </c>
      <c r="B1531" s="11" t="s">
        <v>3006</v>
      </c>
      <c r="C1531" s="12">
        <v>46107</v>
      </c>
      <c r="D1531" s="12">
        <v>46173</v>
      </c>
      <c r="E1531" s="11" t="s">
        <v>6</v>
      </c>
      <c r="F1531" s="11" t="s">
        <v>108</v>
      </c>
      <c r="G1531" s="11" t="s">
        <v>3006</v>
      </c>
      <c r="H1531" s="11"/>
      <c r="I1531" s="11" t="s">
        <v>49</v>
      </c>
      <c r="J1531" s="11">
        <v>3330.52</v>
      </c>
      <c r="K1531" s="11">
        <v>3330.52</v>
      </c>
      <c r="L1531" s="11"/>
      <c r="M1531" s="14">
        <v>3330.52</v>
      </c>
      <c r="N1531" s="11" t="s">
        <v>3007</v>
      </c>
      <c r="O1531" s="11" t="s">
        <v>50</v>
      </c>
    </row>
    <row r="1532" spans="1:15" s="13" customFormat="1" ht="19.5" customHeight="1" x14ac:dyDescent="0.25">
      <c r="A1532" s="11" t="s">
        <v>3006</v>
      </c>
      <c r="B1532" s="11" t="s">
        <v>3006</v>
      </c>
      <c r="C1532" s="12">
        <v>46107</v>
      </c>
      <c r="D1532" s="12">
        <v>46180</v>
      </c>
      <c r="E1532" s="11" t="s">
        <v>6</v>
      </c>
      <c r="F1532" s="11" t="s">
        <v>108</v>
      </c>
      <c r="G1532" s="11" t="s">
        <v>3006</v>
      </c>
      <c r="H1532" s="11"/>
      <c r="I1532" s="11" t="s">
        <v>49</v>
      </c>
      <c r="J1532" s="11">
        <v>3330.52</v>
      </c>
      <c r="K1532" s="11">
        <v>3330.52</v>
      </c>
      <c r="L1532" s="11"/>
      <c r="M1532" s="14">
        <v>3330.52</v>
      </c>
      <c r="N1532" s="11" t="s">
        <v>3007</v>
      </c>
      <c r="O1532" s="11" t="s">
        <v>50</v>
      </c>
    </row>
    <row r="1533" spans="1:15" s="13" customFormat="1" ht="19.5" customHeight="1" x14ac:dyDescent="0.25">
      <c r="A1533" s="11" t="s">
        <v>3006</v>
      </c>
      <c r="B1533" s="11" t="s">
        <v>3006</v>
      </c>
      <c r="C1533" s="12">
        <v>46107</v>
      </c>
      <c r="D1533" s="12">
        <v>46197</v>
      </c>
      <c r="E1533" s="11" t="s">
        <v>6</v>
      </c>
      <c r="F1533" s="11" t="s">
        <v>108</v>
      </c>
      <c r="G1533" s="11" t="s">
        <v>3006</v>
      </c>
      <c r="H1533" s="11"/>
      <c r="I1533" s="11" t="s">
        <v>49</v>
      </c>
      <c r="J1533" s="11">
        <v>3338.49</v>
      </c>
      <c r="K1533" s="11">
        <v>3338.49</v>
      </c>
      <c r="L1533" s="11"/>
      <c r="M1533" s="14">
        <v>3338.49</v>
      </c>
      <c r="N1533" s="11" t="s">
        <v>3007</v>
      </c>
      <c r="O1533" s="11" t="s">
        <v>50</v>
      </c>
    </row>
    <row r="1534" spans="1:15" s="13" customFormat="1" ht="19.5" customHeight="1" x14ac:dyDescent="0.25">
      <c r="A1534" s="11" t="s">
        <v>3008</v>
      </c>
      <c r="B1534" s="11" t="s">
        <v>3008</v>
      </c>
      <c r="C1534" s="12">
        <v>46111</v>
      </c>
      <c r="D1534" s="12">
        <v>46156</v>
      </c>
      <c r="E1534" s="11" t="s">
        <v>6</v>
      </c>
      <c r="F1534" s="11" t="s">
        <v>3009</v>
      </c>
      <c r="G1534" s="11" t="s">
        <v>3008</v>
      </c>
      <c r="H1534" s="11"/>
      <c r="I1534" s="11" t="s">
        <v>49</v>
      </c>
      <c r="J1534" s="11">
        <v>5287.01</v>
      </c>
      <c r="K1534" s="11">
        <v>5287.01</v>
      </c>
      <c r="L1534" s="11"/>
      <c r="M1534" s="14">
        <v>5287.01</v>
      </c>
      <c r="N1534" s="11" t="s">
        <v>3010</v>
      </c>
      <c r="O1534" s="11" t="s">
        <v>50</v>
      </c>
    </row>
    <row r="1535" spans="1:15" s="13" customFormat="1" ht="19.5" customHeight="1" x14ac:dyDescent="0.25">
      <c r="A1535" s="11" t="s">
        <v>3008</v>
      </c>
      <c r="B1535" s="11" t="s">
        <v>3008</v>
      </c>
      <c r="C1535" s="12">
        <v>46111</v>
      </c>
      <c r="D1535" s="12">
        <v>46163</v>
      </c>
      <c r="E1535" s="11" t="s">
        <v>6</v>
      </c>
      <c r="F1535" s="11" t="s">
        <v>3009</v>
      </c>
      <c r="G1535" s="11" t="s">
        <v>3008</v>
      </c>
      <c r="H1535" s="11"/>
      <c r="I1535" s="11" t="s">
        <v>49</v>
      </c>
      <c r="J1535" s="11">
        <v>5287.01</v>
      </c>
      <c r="K1535" s="11">
        <v>5287.01</v>
      </c>
      <c r="L1535" s="11"/>
      <c r="M1535" s="14">
        <v>5287.01</v>
      </c>
      <c r="N1535" s="11" t="s">
        <v>3010</v>
      </c>
      <c r="O1535" s="11" t="s">
        <v>50</v>
      </c>
    </row>
    <row r="1536" spans="1:15" s="13" customFormat="1" ht="19.5" customHeight="1" x14ac:dyDescent="0.25">
      <c r="A1536" s="11" t="s">
        <v>3008</v>
      </c>
      <c r="B1536" s="11" t="s">
        <v>3008</v>
      </c>
      <c r="C1536" s="12">
        <v>46111</v>
      </c>
      <c r="D1536" s="12">
        <v>46170</v>
      </c>
      <c r="E1536" s="11" t="s">
        <v>6</v>
      </c>
      <c r="F1536" s="11" t="s">
        <v>3009</v>
      </c>
      <c r="G1536" s="11" t="s">
        <v>3008</v>
      </c>
      <c r="H1536" s="11"/>
      <c r="I1536" s="11" t="s">
        <v>49</v>
      </c>
      <c r="J1536" s="11">
        <v>5287.01</v>
      </c>
      <c r="K1536" s="11">
        <v>5287.01</v>
      </c>
      <c r="L1536" s="11"/>
      <c r="M1536" s="14">
        <v>5287.01</v>
      </c>
      <c r="N1536" s="11" t="s">
        <v>3010</v>
      </c>
      <c r="O1536" s="11" t="s">
        <v>50</v>
      </c>
    </row>
    <row r="1537" spans="1:15" s="13" customFormat="1" ht="19.5" customHeight="1" x14ac:dyDescent="0.25">
      <c r="A1537" s="11" t="s">
        <v>3008</v>
      </c>
      <c r="B1537" s="11" t="s">
        <v>3008</v>
      </c>
      <c r="C1537" s="12">
        <v>46111</v>
      </c>
      <c r="D1537" s="12">
        <v>46177</v>
      </c>
      <c r="E1537" s="11" t="s">
        <v>6</v>
      </c>
      <c r="F1537" s="11" t="s">
        <v>3009</v>
      </c>
      <c r="G1537" s="11" t="s">
        <v>3008</v>
      </c>
      <c r="H1537" s="11"/>
      <c r="I1537" s="11" t="s">
        <v>49</v>
      </c>
      <c r="J1537" s="11">
        <v>5287.01</v>
      </c>
      <c r="K1537" s="11">
        <v>5287.01</v>
      </c>
      <c r="L1537" s="11"/>
      <c r="M1537" s="14">
        <v>5287.01</v>
      </c>
      <c r="N1537" s="11" t="s">
        <v>3010</v>
      </c>
      <c r="O1537" s="11" t="s">
        <v>50</v>
      </c>
    </row>
    <row r="1538" spans="1:15" s="13" customFormat="1" ht="19.5" customHeight="1" x14ac:dyDescent="0.25">
      <c r="A1538" s="11" t="s">
        <v>3008</v>
      </c>
      <c r="B1538" s="11" t="s">
        <v>3008</v>
      </c>
      <c r="C1538" s="12">
        <v>46111</v>
      </c>
      <c r="D1538" s="12">
        <v>46184</v>
      </c>
      <c r="E1538" s="11" t="s">
        <v>6</v>
      </c>
      <c r="F1538" s="11" t="s">
        <v>3009</v>
      </c>
      <c r="G1538" s="11" t="s">
        <v>3008</v>
      </c>
      <c r="H1538" s="11"/>
      <c r="I1538" s="11" t="s">
        <v>49</v>
      </c>
      <c r="J1538" s="11">
        <v>5287.01</v>
      </c>
      <c r="K1538" s="11">
        <v>5287.01</v>
      </c>
      <c r="L1538" s="11"/>
      <c r="M1538" s="14">
        <v>5287.01</v>
      </c>
      <c r="N1538" s="11" t="s">
        <v>3010</v>
      </c>
      <c r="O1538" s="11" t="s">
        <v>50</v>
      </c>
    </row>
    <row r="1539" spans="1:15" s="13" customFormat="1" ht="19.5" customHeight="1" x14ac:dyDescent="0.25">
      <c r="A1539" s="11" t="s">
        <v>3008</v>
      </c>
      <c r="B1539" s="11" t="s">
        <v>3008</v>
      </c>
      <c r="C1539" s="12">
        <v>46111</v>
      </c>
      <c r="D1539" s="12">
        <v>46201</v>
      </c>
      <c r="E1539" s="11" t="s">
        <v>6</v>
      </c>
      <c r="F1539" s="11" t="s">
        <v>3009</v>
      </c>
      <c r="G1539" s="11" t="s">
        <v>3008</v>
      </c>
      <c r="H1539" s="11"/>
      <c r="I1539" s="11" t="s">
        <v>49</v>
      </c>
      <c r="J1539" s="11">
        <v>5299.7</v>
      </c>
      <c r="K1539" s="11">
        <v>5299.7</v>
      </c>
      <c r="L1539" s="11"/>
      <c r="M1539" s="14">
        <v>5299.7</v>
      </c>
      <c r="N1539" s="11" t="s">
        <v>3010</v>
      </c>
      <c r="O1539" s="11" t="s">
        <v>50</v>
      </c>
    </row>
    <row r="1540" spans="1:15" s="13" customFormat="1" ht="19.5" customHeight="1" x14ac:dyDescent="0.25">
      <c r="A1540" s="11" t="s">
        <v>3011</v>
      </c>
      <c r="B1540" s="11" t="s">
        <v>3011</v>
      </c>
      <c r="C1540" s="12">
        <v>46105</v>
      </c>
      <c r="D1540" s="12">
        <v>46150</v>
      </c>
      <c r="E1540" s="11" t="s">
        <v>6</v>
      </c>
      <c r="F1540" s="11" t="s">
        <v>1654</v>
      </c>
      <c r="G1540" s="11" t="s">
        <v>3011</v>
      </c>
      <c r="H1540" s="11"/>
      <c r="I1540" s="11" t="s">
        <v>49</v>
      </c>
      <c r="J1540" s="11">
        <v>2108.89</v>
      </c>
      <c r="K1540" s="11">
        <v>2108.89</v>
      </c>
      <c r="L1540" s="11"/>
      <c r="M1540" s="14">
        <v>2108.89</v>
      </c>
      <c r="N1540" s="11" t="s">
        <v>3012</v>
      </c>
      <c r="O1540" s="11" t="s">
        <v>50</v>
      </c>
    </row>
    <row r="1541" spans="1:15" s="13" customFormat="1" ht="19.5" customHeight="1" x14ac:dyDescent="0.25">
      <c r="A1541" s="11" t="s">
        <v>3011</v>
      </c>
      <c r="B1541" s="11" t="s">
        <v>3011</v>
      </c>
      <c r="C1541" s="12">
        <v>46105</v>
      </c>
      <c r="D1541" s="12">
        <v>46160</v>
      </c>
      <c r="E1541" s="11" t="s">
        <v>6</v>
      </c>
      <c r="F1541" s="11" t="s">
        <v>1654</v>
      </c>
      <c r="G1541" s="11" t="s">
        <v>3011</v>
      </c>
      <c r="H1541" s="11"/>
      <c r="I1541" s="11" t="s">
        <v>49</v>
      </c>
      <c r="J1541" s="11">
        <v>2108.89</v>
      </c>
      <c r="K1541" s="11">
        <v>2108.89</v>
      </c>
      <c r="L1541" s="11"/>
      <c r="M1541" s="14">
        <v>2108.89</v>
      </c>
      <c r="N1541" s="11" t="s">
        <v>3012</v>
      </c>
      <c r="O1541" s="11" t="s">
        <v>50</v>
      </c>
    </row>
    <row r="1542" spans="1:15" s="13" customFormat="1" ht="19.5" customHeight="1" x14ac:dyDescent="0.25">
      <c r="A1542" s="11" t="s">
        <v>3011</v>
      </c>
      <c r="B1542" s="11" t="s">
        <v>3011</v>
      </c>
      <c r="C1542" s="12">
        <v>46105</v>
      </c>
      <c r="D1542" s="12">
        <v>46170</v>
      </c>
      <c r="E1542" s="11" t="s">
        <v>6</v>
      </c>
      <c r="F1542" s="11" t="s">
        <v>1654</v>
      </c>
      <c r="G1542" s="11" t="s">
        <v>3011</v>
      </c>
      <c r="H1542" s="11"/>
      <c r="I1542" s="11" t="s">
        <v>49</v>
      </c>
      <c r="J1542" s="11">
        <v>2108.89</v>
      </c>
      <c r="K1542" s="11">
        <v>2108.89</v>
      </c>
      <c r="L1542" s="11"/>
      <c r="M1542" s="14">
        <v>2108.89</v>
      </c>
      <c r="N1542" s="11" t="s">
        <v>3012</v>
      </c>
      <c r="O1542" s="11" t="s">
        <v>50</v>
      </c>
    </row>
    <row r="1543" spans="1:15" s="13" customFormat="1" ht="19.5" customHeight="1" x14ac:dyDescent="0.25">
      <c r="A1543" s="11" t="s">
        <v>3011</v>
      </c>
      <c r="B1543" s="11" t="s">
        <v>3011</v>
      </c>
      <c r="C1543" s="12">
        <v>46105</v>
      </c>
      <c r="D1543" s="12">
        <v>46180</v>
      </c>
      <c r="E1543" s="11" t="s">
        <v>6</v>
      </c>
      <c r="F1543" s="11" t="s">
        <v>1654</v>
      </c>
      <c r="G1543" s="11" t="s">
        <v>3011</v>
      </c>
      <c r="H1543" s="11"/>
      <c r="I1543" s="11" t="s">
        <v>49</v>
      </c>
      <c r="J1543" s="11">
        <v>2108.87</v>
      </c>
      <c r="K1543" s="11">
        <v>2108.87</v>
      </c>
      <c r="L1543" s="11"/>
      <c r="M1543" s="14">
        <v>2108.87</v>
      </c>
      <c r="N1543" s="11" t="s">
        <v>3012</v>
      </c>
      <c r="O1543" s="11" t="s">
        <v>50</v>
      </c>
    </row>
    <row r="1544" spans="1:15" s="13" customFormat="1" ht="19.5" customHeight="1" x14ac:dyDescent="0.25">
      <c r="A1544" s="11" t="s">
        <v>2594</v>
      </c>
      <c r="B1544" s="11" t="s">
        <v>2594</v>
      </c>
      <c r="C1544" s="12">
        <v>46107</v>
      </c>
      <c r="D1544" s="11"/>
      <c r="E1544" s="11" t="s">
        <v>6</v>
      </c>
      <c r="F1544" s="11" t="s">
        <v>2595</v>
      </c>
      <c r="G1544" s="11" t="s">
        <v>3013</v>
      </c>
      <c r="H1544" s="11"/>
      <c r="I1544" s="11" t="s">
        <v>49</v>
      </c>
      <c r="J1544" s="11">
        <v>-1820</v>
      </c>
      <c r="K1544" s="11"/>
      <c r="L1544" s="11">
        <v>1820</v>
      </c>
      <c r="M1544" s="14">
        <v>-1820</v>
      </c>
      <c r="N1544" s="11" t="s">
        <v>3014</v>
      </c>
      <c r="O1544" s="11" t="s">
        <v>234</v>
      </c>
    </row>
    <row r="1545" spans="1:15" s="13" customFormat="1" ht="19.5" customHeight="1" x14ac:dyDescent="0.25">
      <c r="A1545" s="11" t="s">
        <v>3013</v>
      </c>
      <c r="B1545" s="11" t="s">
        <v>3013</v>
      </c>
      <c r="C1545" s="12">
        <v>46083</v>
      </c>
      <c r="D1545" s="12">
        <v>46113</v>
      </c>
      <c r="E1545" s="11" t="s">
        <v>6</v>
      </c>
      <c r="F1545" s="11" t="s">
        <v>2595</v>
      </c>
      <c r="G1545" s="11" t="s">
        <v>3013</v>
      </c>
      <c r="H1545" s="11"/>
      <c r="I1545" s="11" t="s">
        <v>49</v>
      </c>
      <c r="J1545" s="11">
        <v>8625.32</v>
      </c>
      <c r="K1545" s="11">
        <v>8625.32</v>
      </c>
      <c r="L1545" s="11"/>
      <c r="M1545" s="14">
        <v>8625.32</v>
      </c>
      <c r="N1545" s="11" t="s">
        <v>3014</v>
      </c>
      <c r="O1545" s="11" t="s">
        <v>50</v>
      </c>
    </row>
    <row r="1546" spans="1:15" s="13" customFormat="1" ht="19.5" customHeight="1" x14ac:dyDescent="0.25">
      <c r="A1546" s="11" t="s">
        <v>3015</v>
      </c>
      <c r="B1546" s="11" t="s">
        <v>3015</v>
      </c>
      <c r="C1546" s="12">
        <v>46107</v>
      </c>
      <c r="D1546" s="12">
        <v>46107</v>
      </c>
      <c r="E1546" s="11" t="s">
        <v>6</v>
      </c>
      <c r="F1546" s="11" t="s">
        <v>518</v>
      </c>
      <c r="G1546" s="11"/>
      <c r="H1546" s="11"/>
      <c r="I1546" s="11" t="s">
        <v>49</v>
      </c>
      <c r="J1546" s="11">
        <v>-2478</v>
      </c>
      <c r="K1546" s="11"/>
      <c r="L1546" s="11">
        <v>2478</v>
      </c>
      <c r="M1546" s="14">
        <v>-2478</v>
      </c>
      <c r="N1546" s="11" t="s">
        <v>3016</v>
      </c>
      <c r="O1546" s="11" t="s">
        <v>50</v>
      </c>
    </row>
    <row r="1547" spans="1:15" s="13" customFormat="1" ht="19.5" customHeight="1" x14ac:dyDescent="0.25">
      <c r="A1547" s="11" t="s">
        <v>3017</v>
      </c>
      <c r="B1547" s="11" t="s">
        <v>3017</v>
      </c>
      <c r="C1547" s="12">
        <v>45988</v>
      </c>
      <c r="D1547" s="12">
        <v>46078</v>
      </c>
      <c r="E1547" s="11" t="s">
        <v>6</v>
      </c>
      <c r="F1547" s="11" t="s">
        <v>518</v>
      </c>
      <c r="G1547" s="11" t="s">
        <v>3017</v>
      </c>
      <c r="H1547" s="11"/>
      <c r="I1547" s="11" t="s">
        <v>49</v>
      </c>
      <c r="J1547" s="11">
        <v>4288.12</v>
      </c>
      <c r="K1547" s="11">
        <v>4288.12</v>
      </c>
      <c r="L1547" s="11"/>
      <c r="M1547" s="14">
        <v>4288.12</v>
      </c>
      <c r="N1547" s="11" t="s">
        <v>3016</v>
      </c>
      <c r="O1547" s="11" t="s">
        <v>50</v>
      </c>
    </row>
    <row r="1548" spans="1:15" s="13" customFormat="1" ht="19.5" customHeight="1" x14ac:dyDescent="0.25">
      <c r="A1548" s="11" t="s">
        <v>3018</v>
      </c>
      <c r="B1548" s="11" t="s">
        <v>3018</v>
      </c>
      <c r="C1548" s="12">
        <v>46101</v>
      </c>
      <c r="D1548" s="12">
        <v>46146</v>
      </c>
      <c r="E1548" s="11" t="s">
        <v>6</v>
      </c>
      <c r="F1548" s="11" t="s">
        <v>101</v>
      </c>
      <c r="G1548" s="11" t="s">
        <v>3018</v>
      </c>
      <c r="H1548" s="11"/>
      <c r="I1548" s="11" t="s">
        <v>49</v>
      </c>
      <c r="J1548" s="11">
        <v>2375.4499999999998</v>
      </c>
      <c r="K1548" s="11">
        <v>2375.4499999999998</v>
      </c>
      <c r="L1548" s="11"/>
      <c r="M1548" s="14">
        <v>2375.4499999999998</v>
      </c>
      <c r="N1548" s="11" t="s">
        <v>3019</v>
      </c>
      <c r="O1548" s="11" t="s">
        <v>50</v>
      </c>
    </row>
    <row r="1549" spans="1:15" s="13" customFormat="1" ht="19.5" customHeight="1" x14ac:dyDescent="0.25">
      <c r="A1549" s="11" t="s">
        <v>3018</v>
      </c>
      <c r="B1549" s="11" t="s">
        <v>3018</v>
      </c>
      <c r="C1549" s="12">
        <v>46101</v>
      </c>
      <c r="D1549" s="12">
        <v>46153</v>
      </c>
      <c r="E1549" s="11" t="s">
        <v>6</v>
      </c>
      <c r="F1549" s="11" t="s">
        <v>101</v>
      </c>
      <c r="G1549" s="11" t="s">
        <v>3018</v>
      </c>
      <c r="H1549" s="11"/>
      <c r="I1549" s="11" t="s">
        <v>49</v>
      </c>
      <c r="J1549" s="11">
        <v>2375.4499999999998</v>
      </c>
      <c r="K1549" s="11">
        <v>2375.4499999999998</v>
      </c>
      <c r="L1549" s="11"/>
      <c r="M1549" s="14">
        <v>2375.4499999999998</v>
      </c>
      <c r="N1549" s="11" t="s">
        <v>3019</v>
      </c>
      <c r="O1549" s="11" t="s">
        <v>50</v>
      </c>
    </row>
    <row r="1550" spans="1:15" s="13" customFormat="1" ht="19.5" customHeight="1" x14ac:dyDescent="0.25">
      <c r="A1550" s="11" t="s">
        <v>3018</v>
      </c>
      <c r="B1550" s="11" t="s">
        <v>3018</v>
      </c>
      <c r="C1550" s="12">
        <v>46101</v>
      </c>
      <c r="D1550" s="12">
        <v>46160</v>
      </c>
      <c r="E1550" s="11" t="s">
        <v>6</v>
      </c>
      <c r="F1550" s="11" t="s">
        <v>101</v>
      </c>
      <c r="G1550" s="11" t="s">
        <v>3018</v>
      </c>
      <c r="H1550" s="11"/>
      <c r="I1550" s="11" t="s">
        <v>49</v>
      </c>
      <c r="J1550" s="11">
        <v>2375.4499999999998</v>
      </c>
      <c r="K1550" s="11">
        <v>2375.4499999999998</v>
      </c>
      <c r="L1550" s="11"/>
      <c r="M1550" s="14">
        <v>2375.4499999999998</v>
      </c>
      <c r="N1550" s="11" t="s">
        <v>3019</v>
      </c>
      <c r="O1550" s="11" t="s">
        <v>50</v>
      </c>
    </row>
    <row r="1551" spans="1:15" s="13" customFormat="1" ht="19.5" customHeight="1" x14ac:dyDescent="0.25">
      <c r="A1551" s="11" t="s">
        <v>3018</v>
      </c>
      <c r="B1551" s="11" t="s">
        <v>3018</v>
      </c>
      <c r="C1551" s="12">
        <v>46101</v>
      </c>
      <c r="D1551" s="12">
        <v>46167</v>
      </c>
      <c r="E1551" s="11" t="s">
        <v>6</v>
      </c>
      <c r="F1551" s="11" t="s">
        <v>101</v>
      </c>
      <c r="G1551" s="11" t="s">
        <v>3018</v>
      </c>
      <c r="H1551" s="11"/>
      <c r="I1551" s="11" t="s">
        <v>49</v>
      </c>
      <c r="J1551" s="11">
        <v>2375.4499999999998</v>
      </c>
      <c r="K1551" s="11">
        <v>2375.4499999999998</v>
      </c>
      <c r="L1551" s="11"/>
      <c r="M1551" s="14">
        <v>2375.4499999999998</v>
      </c>
      <c r="N1551" s="11" t="s">
        <v>3019</v>
      </c>
      <c r="O1551" s="11" t="s">
        <v>50</v>
      </c>
    </row>
    <row r="1552" spans="1:15" s="13" customFormat="1" ht="19.5" customHeight="1" x14ac:dyDescent="0.25">
      <c r="A1552" s="11" t="s">
        <v>3018</v>
      </c>
      <c r="B1552" s="11" t="s">
        <v>3018</v>
      </c>
      <c r="C1552" s="12">
        <v>46101</v>
      </c>
      <c r="D1552" s="12">
        <v>46174</v>
      </c>
      <c r="E1552" s="11" t="s">
        <v>6</v>
      </c>
      <c r="F1552" s="11" t="s">
        <v>101</v>
      </c>
      <c r="G1552" s="11" t="s">
        <v>3018</v>
      </c>
      <c r="H1552" s="11"/>
      <c r="I1552" s="11" t="s">
        <v>49</v>
      </c>
      <c r="J1552" s="11">
        <v>2375.4499999999998</v>
      </c>
      <c r="K1552" s="11">
        <v>2375.4499999999998</v>
      </c>
      <c r="L1552" s="11"/>
      <c r="M1552" s="14">
        <v>2375.4499999999998</v>
      </c>
      <c r="N1552" s="11" t="s">
        <v>3019</v>
      </c>
      <c r="O1552" s="11" t="s">
        <v>50</v>
      </c>
    </row>
    <row r="1553" spans="1:15" s="13" customFormat="1" ht="19.5" customHeight="1" x14ac:dyDescent="0.25">
      <c r="A1553" s="11" t="s">
        <v>3018</v>
      </c>
      <c r="B1553" s="11" t="s">
        <v>3018</v>
      </c>
      <c r="C1553" s="12">
        <v>46101</v>
      </c>
      <c r="D1553" s="12">
        <v>46191</v>
      </c>
      <c r="E1553" s="11" t="s">
        <v>6</v>
      </c>
      <c r="F1553" s="11" t="s">
        <v>101</v>
      </c>
      <c r="G1553" s="11" t="s">
        <v>3018</v>
      </c>
      <c r="H1553" s="11"/>
      <c r="I1553" s="11" t="s">
        <v>49</v>
      </c>
      <c r="J1553" s="11">
        <v>2381.16</v>
      </c>
      <c r="K1553" s="11">
        <v>2381.16</v>
      </c>
      <c r="L1553" s="11"/>
      <c r="M1553" s="14">
        <v>2381.16</v>
      </c>
      <c r="N1553" s="11" t="s">
        <v>3019</v>
      </c>
      <c r="O1553" s="11" t="s">
        <v>50</v>
      </c>
    </row>
    <row r="1554" spans="1:15" s="13" customFormat="1" ht="19.5" customHeight="1" x14ac:dyDescent="0.25">
      <c r="A1554" s="11" t="s">
        <v>3020</v>
      </c>
      <c r="B1554" s="11" t="s">
        <v>3020</v>
      </c>
      <c r="C1554" s="12">
        <v>46105</v>
      </c>
      <c r="D1554" s="12">
        <v>46150</v>
      </c>
      <c r="E1554" s="11" t="s">
        <v>6</v>
      </c>
      <c r="F1554" s="11" t="s">
        <v>101</v>
      </c>
      <c r="G1554" s="11" t="s">
        <v>3020</v>
      </c>
      <c r="H1554" s="11"/>
      <c r="I1554" s="11" t="s">
        <v>49</v>
      </c>
      <c r="J1554" s="11">
        <v>5081.03</v>
      </c>
      <c r="K1554" s="11">
        <v>5081.03</v>
      </c>
      <c r="L1554" s="11"/>
      <c r="M1554" s="14">
        <v>5081.03</v>
      </c>
      <c r="N1554" s="11" t="s">
        <v>3021</v>
      </c>
      <c r="O1554" s="11" t="s">
        <v>50</v>
      </c>
    </row>
    <row r="1555" spans="1:15" s="13" customFormat="1" ht="19.5" customHeight="1" x14ac:dyDescent="0.25">
      <c r="A1555" s="11" t="s">
        <v>3020</v>
      </c>
      <c r="B1555" s="11" t="s">
        <v>3020</v>
      </c>
      <c r="C1555" s="12">
        <v>46105</v>
      </c>
      <c r="D1555" s="12">
        <v>46155</v>
      </c>
      <c r="E1555" s="11" t="s">
        <v>6</v>
      </c>
      <c r="F1555" s="11" t="s">
        <v>101</v>
      </c>
      <c r="G1555" s="11" t="s">
        <v>3020</v>
      </c>
      <c r="H1555" s="11"/>
      <c r="I1555" s="11" t="s">
        <v>49</v>
      </c>
      <c r="J1555" s="11">
        <v>5081.03</v>
      </c>
      <c r="K1555" s="11">
        <v>5081.03</v>
      </c>
      <c r="L1555" s="11"/>
      <c r="M1555" s="14">
        <v>5081.03</v>
      </c>
      <c r="N1555" s="11" t="s">
        <v>3021</v>
      </c>
      <c r="O1555" s="11" t="s">
        <v>50</v>
      </c>
    </row>
    <row r="1556" spans="1:15" s="13" customFormat="1" ht="19.5" customHeight="1" x14ac:dyDescent="0.25">
      <c r="A1556" s="11" t="s">
        <v>3020</v>
      </c>
      <c r="B1556" s="11" t="s">
        <v>3020</v>
      </c>
      <c r="C1556" s="12">
        <v>46105</v>
      </c>
      <c r="D1556" s="12">
        <v>46165</v>
      </c>
      <c r="E1556" s="11" t="s">
        <v>6</v>
      </c>
      <c r="F1556" s="11" t="s">
        <v>101</v>
      </c>
      <c r="G1556" s="11" t="s">
        <v>3020</v>
      </c>
      <c r="H1556" s="11"/>
      <c r="I1556" s="11" t="s">
        <v>49</v>
      </c>
      <c r="J1556" s="11">
        <v>5081.03</v>
      </c>
      <c r="K1556" s="11">
        <v>5081.03</v>
      </c>
      <c r="L1556" s="11"/>
      <c r="M1556" s="14">
        <v>5081.03</v>
      </c>
      <c r="N1556" s="11" t="s">
        <v>3021</v>
      </c>
      <c r="O1556" s="11" t="s">
        <v>50</v>
      </c>
    </row>
    <row r="1557" spans="1:15" s="13" customFormat="1" ht="19.5" customHeight="1" x14ac:dyDescent="0.25">
      <c r="A1557" s="11" t="s">
        <v>3020</v>
      </c>
      <c r="B1557" s="11" t="s">
        <v>3020</v>
      </c>
      <c r="C1557" s="12">
        <v>46105</v>
      </c>
      <c r="D1557" s="12">
        <v>46170</v>
      </c>
      <c r="E1557" s="11" t="s">
        <v>6</v>
      </c>
      <c r="F1557" s="11" t="s">
        <v>101</v>
      </c>
      <c r="G1557" s="11" t="s">
        <v>3020</v>
      </c>
      <c r="H1557" s="11"/>
      <c r="I1557" s="11" t="s">
        <v>49</v>
      </c>
      <c r="J1557" s="11">
        <v>5081.03</v>
      </c>
      <c r="K1557" s="11">
        <v>5081.03</v>
      </c>
      <c r="L1557" s="11"/>
      <c r="M1557" s="14">
        <v>5081.03</v>
      </c>
      <c r="N1557" s="11" t="s">
        <v>3021</v>
      </c>
      <c r="O1557" s="11" t="s">
        <v>50</v>
      </c>
    </row>
    <row r="1558" spans="1:15" s="13" customFormat="1" ht="19.5" customHeight="1" x14ac:dyDescent="0.25">
      <c r="A1558" s="11" t="s">
        <v>3020</v>
      </c>
      <c r="B1558" s="11" t="s">
        <v>3020</v>
      </c>
      <c r="C1558" s="12">
        <v>46105</v>
      </c>
      <c r="D1558" s="12">
        <v>46180</v>
      </c>
      <c r="E1558" s="11" t="s">
        <v>6</v>
      </c>
      <c r="F1558" s="11" t="s">
        <v>101</v>
      </c>
      <c r="G1558" s="11" t="s">
        <v>3020</v>
      </c>
      <c r="H1558" s="11"/>
      <c r="I1558" s="11" t="s">
        <v>49</v>
      </c>
      <c r="J1558" s="11">
        <v>5081.05</v>
      </c>
      <c r="K1558" s="11">
        <v>5081.05</v>
      </c>
      <c r="L1558" s="11"/>
      <c r="M1558" s="14">
        <v>5081.05</v>
      </c>
      <c r="N1558" s="11" t="s">
        <v>3021</v>
      </c>
      <c r="O1558" s="11" t="s">
        <v>50</v>
      </c>
    </row>
    <row r="1559" spans="1:15" s="13" customFormat="1" ht="19.5" customHeight="1" x14ac:dyDescent="0.25">
      <c r="A1559" s="11" t="s">
        <v>3022</v>
      </c>
      <c r="B1559" s="11" t="s">
        <v>3022</v>
      </c>
      <c r="C1559" s="12">
        <v>46107</v>
      </c>
      <c r="D1559" s="12">
        <v>46152</v>
      </c>
      <c r="E1559" s="11" t="s">
        <v>6</v>
      </c>
      <c r="F1559" s="11" t="s">
        <v>101</v>
      </c>
      <c r="G1559" s="11" t="s">
        <v>3022</v>
      </c>
      <c r="H1559" s="11"/>
      <c r="I1559" s="11" t="s">
        <v>49</v>
      </c>
      <c r="J1559" s="11">
        <v>3947.49</v>
      </c>
      <c r="K1559" s="11">
        <v>3947.49</v>
      </c>
      <c r="L1559" s="11"/>
      <c r="M1559" s="14">
        <v>3947.49</v>
      </c>
      <c r="N1559" s="11" t="s">
        <v>3023</v>
      </c>
      <c r="O1559" s="11" t="s">
        <v>50</v>
      </c>
    </row>
    <row r="1560" spans="1:15" s="13" customFormat="1" ht="19.5" customHeight="1" x14ac:dyDescent="0.25">
      <c r="A1560" s="11" t="s">
        <v>3022</v>
      </c>
      <c r="B1560" s="11" t="s">
        <v>3022</v>
      </c>
      <c r="C1560" s="12">
        <v>46107</v>
      </c>
      <c r="D1560" s="12">
        <v>46159</v>
      </c>
      <c r="E1560" s="11" t="s">
        <v>6</v>
      </c>
      <c r="F1560" s="11" t="s">
        <v>101</v>
      </c>
      <c r="G1560" s="11" t="s">
        <v>3022</v>
      </c>
      <c r="H1560" s="11"/>
      <c r="I1560" s="11" t="s">
        <v>49</v>
      </c>
      <c r="J1560" s="11">
        <v>3947.49</v>
      </c>
      <c r="K1560" s="11">
        <v>3947.49</v>
      </c>
      <c r="L1560" s="11"/>
      <c r="M1560" s="14">
        <v>3947.49</v>
      </c>
      <c r="N1560" s="11" t="s">
        <v>3023</v>
      </c>
      <c r="O1560" s="11" t="s">
        <v>50</v>
      </c>
    </row>
    <row r="1561" spans="1:15" s="13" customFormat="1" ht="19.5" customHeight="1" x14ac:dyDescent="0.25">
      <c r="A1561" s="11" t="s">
        <v>3022</v>
      </c>
      <c r="B1561" s="11" t="s">
        <v>3022</v>
      </c>
      <c r="C1561" s="12">
        <v>46107</v>
      </c>
      <c r="D1561" s="12">
        <v>46166</v>
      </c>
      <c r="E1561" s="11" t="s">
        <v>6</v>
      </c>
      <c r="F1561" s="11" t="s">
        <v>101</v>
      </c>
      <c r="G1561" s="11" t="s">
        <v>3022</v>
      </c>
      <c r="H1561" s="11"/>
      <c r="I1561" s="11" t="s">
        <v>49</v>
      </c>
      <c r="J1561" s="11">
        <v>3947.49</v>
      </c>
      <c r="K1561" s="11">
        <v>3947.49</v>
      </c>
      <c r="L1561" s="11"/>
      <c r="M1561" s="14">
        <v>3947.49</v>
      </c>
      <c r="N1561" s="11" t="s">
        <v>3023</v>
      </c>
      <c r="O1561" s="11" t="s">
        <v>50</v>
      </c>
    </row>
    <row r="1562" spans="1:15" s="13" customFormat="1" ht="19.5" customHeight="1" x14ac:dyDescent="0.25">
      <c r="A1562" s="11" t="s">
        <v>3022</v>
      </c>
      <c r="B1562" s="11" t="s">
        <v>3022</v>
      </c>
      <c r="C1562" s="12">
        <v>46107</v>
      </c>
      <c r="D1562" s="12">
        <v>46173</v>
      </c>
      <c r="E1562" s="11" t="s">
        <v>6</v>
      </c>
      <c r="F1562" s="11" t="s">
        <v>101</v>
      </c>
      <c r="G1562" s="11" t="s">
        <v>3022</v>
      </c>
      <c r="H1562" s="11"/>
      <c r="I1562" s="11" t="s">
        <v>49</v>
      </c>
      <c r="J1562" s="11">
        <v>3947.49</v>
      </c>
      <c r="K1562" s="11">
        <v>3947.49</v>
      </c>
      <c r="L1562" s="11"/>
      <c r="M1562" s="14">
        <v>3947.49</v>
      </c>
      <c r="N1562" s="11" t="s">
        <v>3023</v>
      </c>
      <c r="O1562" s="11" t="s">
        <v>50</v>
      </c>
    </row>
    <row r="1563" spans="1:15" s="13" customFormat="1" ht="19.5" customHeight="1" x14ac:dyDescent="0.25">
      <c r="A1563" s="11" t="s">
        <v>3022</v>
      </c>
      <c r="B1563" s="11" t="s">
        <v>3022</v>
      </c>
      <c r="C1563" s="12">
        <v>46107</v>
      </c>
      <c r="D1563" s="12">
        <v>46180</v>
      </c>
      <c r="E1563" s="11" t="s">
        <v>6</v>
      </c>
      <c r="F1563" s="11" t="s">
        <v>101</v>
      </c>
      <c r="G1563" s="11" t="s">
        <v>3022</v>
      </c>
      <c r="H1563" s="11"/>
      <c r="I1563" s="11" t="s">
        <v>49</v>
      </c>
      <c r="J1563" s="11">
        <v>3947.49</v>
      </c>
      <c r="K1563" s="11">
        <v>3947.49</v>
      </c>
      <c r="L1563" s="11"/>
      <c r="M1563" s="14">
        <v>3947.49</v>
      </c>
      <c r="N1563" s="11" t="s">
        <v>3023</v>
      </c>
      <c r="O1563" s="11" t="s">
        <v>50</v>
      </c>
    </row>
    <row r="1564" spans="1:15" s="13" customFormat="1" ht="19.5" customHeight="1" x14ac:dyDescent="0.25">
      <c r="A1564" s="11" t="s">
        <v>3022</v>
      </c>
      <c r="B1564" s="11" t="s">
        <v>3022</v>
      </c>
      <c r="C1564" s="12">
        <v>46107</v>
      </c>
      <c r="D1564" s="12">
        <v>46197</v>
      </c>
      <c r="E1564" s="11" t="s">
        <v>6</v>
      </c>
      <c r="F1564" s="11" t="s">
        <v>101</v>
      </c>
      <c r="G1564" s="11" t="s">
        <v>3022</v>
      </c>
      <c r="H1564" s="11"/>
      <c r="I1564" s="11" t="s">
        <v>49</v>
      </c>
      <c r="J1564" s="11">
        <v>3956.95</v>
      </c>
      <c r="K1564" s="11">
        <v>3956.95</v>
      </c>
      <c r="L1564" s="11"/>
      <c r="M1564" s="14">
        <v>3956.95</v>
      </c>
      <c r="N1564" s="11" t="s">
        <v>3023</v>
      </c>
      <c r="O1564" s="11" t="s">
        <v>50</v>
      </c>
    </row>
    <row r="1565" spans="1:15" s="13" customFormat="1" ht="19.5" customHeight="1" x14ac:dyDescent="0.25">
      <c r="A1565" s="11" t="s">
        <v>3024</v>
      </c>
      <c r="B1565" s="11" t="s">
        <v>3024</v>
      </c>
      <c r="C1565" s="12">
        <v>46111</v>
      </c>
      <c r="D1565" s="12">
        <v>46156</v>
      </c>
      <c r="E1565" s="11" t="s">
        <v>6</v>
      </c>
      <c r="F1565" s="11" t="s">
        <v>101</v>
      </c>
      <c r="G1565" s="11" t="s">
        <v>3024</v>
      </c>
      <c r="H1565" s="11"/>
      <c r="I1565" s="11" t="s">
        <v>49</v>
      </c>
      <c r="J1565" s="11">
        <v>4788.2700000000004</v>
      </c>
      <c r="K1565" s="11">
        <v>4788.2700000000004</v>
      </c>
      <c r="L1565" s="11"/>
      <c r="M1565" s="14">
        <v>4788.2700000000004</v>
      </c>
      <c r="N1565" s="11" t="s">
        <v>3025</v>
      </c>
      <c r="O1565" s="11" t="s">
        <v>50</v>
      </c>
    </row>
    <row r="1566" spans="1:15" s="13" customFormat="1" ht="19.5" customHeight="1" x14ac:dyDescent="0.25">
      <c r="A1566" s="11" t="s">
        <v>3024</v>
      </c>
      <c r="B1566" s="11" t="s">
        <v>3024</v>
      </c>
      <c r="C1566" s="12">
        <v>46111</v>
      </c>
      <c r="D1566" s="12">
        <v>46171</v>
      </c>
      <c r="E1566" s="11" t="s">
        <v>6</v>
      </c>
      <c r="F1566" s="11" t="s">
        <v>101</v>
      </c>
      <c r="G1566" s="11" t="s">
        <v>3024</v>
      </c>
      <c r="H1566" s="11"/>
      <c r="I1566" s="11" t="s">
        <v>49</v>
      </c>
      <c r="J1566" s="11">
        <v>4788.2700000000004</v>
      </c>
      <c r="K1566" s="11">
        <v>4788.2700000000004</v>
      </c>
      <c r="L1566" s="11"/>
      <c r="M1566" s="14">
        <v>4788.2700000000004</v>
      </c>
      <c r="N1566" s="11" t="s">
        <v>3025</v>
      </c>
      <c r="O1566" s="11" t="s">
        <v>50</v>
      </c>
    </row>
    <row r="1567" spans="1:15" s="13" customFormat="1" ht="19.5" customHeight="1" x14ac:dyDescent="0.25">
      <c r="A1567" s="11" t="s">
        <v>3024</v>
      </c>
      <c r="B1567" s="11" t="s">
        <v>3024</v>
      </c>
      <c r="C1567" s="12">
        <v>46111</v>
      </c>
      <c r="D1567" s="12">
        <v>46186</v>
      </c>
      <c r="E1567" s="11" t="s">
        <v>6</v>
      </c>
      <c r="F1567" s="11" t="s">
        <v>101</v>
      </c>
      <c r="G1567" s="11" t="s">
        <v>3024</v>
      </c>
      <c r="H1567" s="11"/>
      <c r="I1567" s="11" t="s">
        <v>49</v>
      </c>
      <c r="J1567" s="11">
        <v>4789.71</v>
      </c>
      <c r="K1567" s="11">
        <v>4789.71</v>
      </c>
      <c r="L1567" s="11"/>
      <c r="M1567" s="14">
        <v>4789.71</v>
      </c>
      <c r="N1567" s="11" t="s">
        <v>3025</v>
      </c>
      <c r="O1567" s="11" t="s">
        <v>50</v>
      </c>
    </row>
    <row r="1568" spans="1:15" s="13" customFormat="1" ht="19.5" customHeight="1" x14ac:dyDescent="0.25">
      <c r="A1568" s="11" t="s">
        <v>3026</v>
      </c>
      <c r="B1568" s="11" t="s">
        <v>3026</v>
      </c>
      <c r="C1568" s="12">
        <v>46108</v>
      </c>
      <c r="D1568" s="12">
        <v>46153</v>
      </c>
      <c r="E1568" s="11" t="s">
        <v>6</v>
      </c>
      <c r="F1568" s="11" t="s">
        <v>1405</v>
      </c>
      <c r="G1568" s="11" t="s">
        <v>3026</v>
      </c>
      <c r="H1568" s="11"/>
      <c r="I1568" s="11" t="s">
        <v>49</v>
      </c>
      <c r="J1568" s="11">
        <v>1805.42</v>
      </c>
      <c r="K1568" s="11">
        <v>1805.42</v>
      </c>
      <c r="L1568" s="11"/>
      <c r="M1568" s="14">
        <v>1805.42</v>
      </c>
      <c r="N1568" s="11" t="s">
        <v>3027</v>
      </c>
      <c r="O1568" s="11" t="s">
        <v>50</v>
      </c>
    </row>
    <row r="1569" spans="1:15" s="13" customFormat="1" ht="19.5" customHeight="1" x14ac:dyDescent="0.25">
      <c r="A1569" s="11" t="s">
        <v>3026</v>
      </c>
      <c r="B1569" s="11" t="s">
        <v>3026</v>
      </c>
      <c r="C1569" s="12">
        <v>46108</v>
      </c>
      <c r="D1569" s="12">
        <v>46168</v>
      </c>
      <c r="E1569" s="11" t="s">
        <v>6</v>
      </c>
      <c r="F1569" s="11" t="s">
        <v>1405</v>
      </c>
      <c r="G1569" s="11" t="s">
        <v>3026</v>
      </c>
      <c r="H1569" s="11"/>
      <c r="I1569" s="11" t="s">
        <v>49</v>
      </c>
      <c r="J1569" s="11">
        <v>1805.41</v>
      </c>
      <c r="K1569" s="11">
        <v>1805.41</v>
      </c>
      <c r="L1569" s="11"/>
      <c r="M1569" s="14">
        <v>1805.41</v>
      </c>
      <c r="N1569" s="11" t="s">
        <v>3027</v>
      </c>
      <c r="O1569" s="11" t="s">
        <v>50</v>
      </c>
    </row>
    <row r="1570" spans="1:15" s="13" customFormat="1" ht="19.5" customHeight="1" x14ac:dyDescent="0.25">
      <c r="A1570" s="11" t="s">
        <v>3028</v>
      </c>
      <c r="B1570" s="11" t="s">
        <v>3028</v>
      </c>
      <c r="C1570" s="12">
        <v>46106</v>
      </c>
      <c r="D1570" s="12">
        <v>46151</v>
      </c>
      <c r="E1570" s="11" t="s">
        <v>6</v>
      </c>
      <c r="F1570" s="11" t="s">
        <v>1405</v>
      </c>
      <c r="G1570" s="11" t="s">
        <v>3028</v>
      </c>
      <c r="H1570" s="11"/>
      <c r="I1570" s="11" t="s">
        <v>49</v>
      </c>
      <c r="J1570" s="11">
        <v>3284.71</v>
      </c>
      <c r="K1570" s="11">
        <v>3284.71</v>
      </c>
      <c r="L1570" s="11"/>
      <c r="M1570" s="14">
        <v>3284.71</v>
      </c>
      <c r="N1570" s="11" t="s">
        <v>3029</v>
      </c>
      <c r="O1570" s="11" t="s">
        <v>50</v>
      </c>
    </row>
    <row r="1571" spans="1:15" s="13" customFormat="1" ht="19.5" customHeight="1" x14ac:dyDescent="0.25">
      <c r="A1571" s="11" t="s">
        <v>3028</v>
      </c>
      <c r="B1571" s="11" t="s">
        <v>3028</v>
      </c>
      <c r="C1571" s="12">
        <v>46106</v>
      </c>
      <c r="D1571" s="12">
        <v>46156</v>
      </c>
      <c r="E1571" s="11" t="s">
        <v>6</v>
      </c>
      <c r="F1571" s="11" t="s">
        <v>1405</v>
      </c>
      <c r="G1571" s="11" t="s">
        <v>3028</v>
      </c>
      <c r="H1571" s="11"/>
      <c r="I1571" s="11" t="s">
        <v>49</v>
      </c>
      <c r="J1571" s="11">
        <v>3284.71</v>
      </c>
      <c r="K1571" s="11">
        <v>3284.71</v>
      </c>
      <c r="L1571" s="11"/>
      <c r="M1571" s="14">
        <v>3284.71</v>
      </c>
      <c r="N1571" s="11" t="s">
        <v>3029</v>
      </c>
      <c r="O1571" s="11" t="s">
        <v>50</v>
      </c>
    </row>
    <row r="1572" spans="1:15" s="13" customFormat="1" ht="19.5" customHeight="1" x14ac:dyDescent="0.25">
      <c r="A1572" s="11" t="s">
        <v>3028</v>
      </c>
      <c r="B1572" s="11" t="s">
        <v>3028</v>
      </c>
      <c r="C1572" s="12">
        <v>46106</v>
      </c>
      <c r="D1572" s="12">
        <v>46166</v>
      </c>
      <c r="E1572" s="11" t="s">
        <v>6</v>
      </c>
      <c r="F1572" s="11" t="s">
        <v>1405</v>
      </c>
      <c r="G1572" s="11" t="s">
        <v>3028</v>
      </c>
      <c r="H1572" s="11"/>
      <c r="I1572" s="11" t="s">
        <v>49</v>
      </c>
      <c r="J1572" s="11">
        <v>3284.71</v>
      </c>
      <c r="K1572" s="11">
        <v>3284.71</v>
      </c>
      <c r="L1572" s="11"/>
      <c r="M1572" s="14">
        <v>3284.71</v>
      </c>
      <c r="N1572" s="11" t="s">
        <v>3029</v>
      </c>
      <c r="O1572" s="11" t="s">
        <v>50</v>
      </c>
    </row>
    <row r="1573" spans="1:15" s="13" customFormat="1" ht="19.5" customHeight="1" x14ac:dyDescent="0.25">
      <c r="A1573" s="11" t="s">
        <v>3028</v>
      </c>
      <c r="B1573" s="11" t="s">
        <v>3028</v>
      </c>
      <c r="C1573" s="12">
        <v>46106</v>
      </c>
      <c r="D1573" s="12">
        <v>46171</v>
      </c>
      <c r="E1573" s="11" t="s">
        <v>6</v>
      </c>
      <c r="F1573" s="11" t="s">
        <v>1405</v>
      </c>
      <c r="G1573" s="11" t="s">
        <v>3028</v>
      </c>
      <c r="H1573" s="11"/>
      <c r="I1573" s="11" t="s">
        <v>49</v>
      </c>
      <c r="J1573" s="11">
        <v>3284.71</v>
      </c>
      <c r="K1573" s="11">
        <v>3284.71</v>
      </c>
      <c r="L1573" s="11"/>
      <c r="M1573" s="14">
        <v>3284.71</v>
      </c>
      <c r="N1573" s="11" t="s">
        <v>3029</v>
      </c>
      <c r="O1573" s="11" t="s">
        <v>50</v>
      </c>
    </row>
    <row r="1574" spans="1:15" s="13" customFormat="1" ht="19.5" customHeight="1" x14ac:dyDescent="0.25">
      <c r="A1574" s="11" t="s">
        <v>3028</v>
      </c>
      <c r="B1574" s="11" t="s">
        <v>3028</v>
      </c>
      <c r="C1574" s="12">
        <v>46106</v>
      </c>
      <c r="D1574" s="12">
        <v>46181</v>
      </c>
      <c r="E1574" s="11" t="s">
        <v>6</v>
      </c>
      <c r="F1574" s="11" t="s">
        <v>1405</v>
      </c>
      <c r="G1574" s="11" t="s">
        <v>3028</v>
      </c>
      <c r="H1574" s="11"/>
      <c r="I1574" s="11" t="s">
        <v>49</v>
      </c>
      <c r="J1574" s="11">
        <v>3284.7</v>
      </c>
      <c r="K1574" s="11">
        <v>3284.7</v>
      </c>
      <c r="L1574" s="11"/>
      <c r="M1574" s="14">
        <v>3284.7</v>
      </c>
      <c r="N1574" s="11" t="s">
        <v>3029</v>
      </c>
      <c r="O1574" s="11" t="s">
        <v>50</v>
      </c>
    </row>
    <row r="1575" spans="1:15" s="13" customFormat="1" ht="19.5" customHeight="1" x14ac:dyDescent="0.25">
      <c r="A1575" s="11" t="s">
        <v>3030</v>
      </c>
      <c r="B1575" s="11" t="s">
        <v>3031</v>
      </c>
      <c r="C1575" s="12">
        <v>46081</v>
      </c>
      <c r="D1575" s="11"/>
      <c r="E1575" s="11" t="s">
        <v>6</v>
      </c>
      <c r="F1575" s="11"/>
      <c r="G1575" s="11"/>
      <c r="H1575" s="11" t="s">
        <v>3032</v>
      </c>
      <c r="I1575" s="11" t="s">
        <v>49</v>
      </c>
      <c r="J1575" s="11">
        <v>-37780.29</v>
      </c>
      <c r="K1575" s="11"/>
      <c r="L1575" s="11">
        <v>37780.29</v>
      </c>
      <c r="M1575" s="14">
        <v>-37780.29</v>
      </c>
      <c r="N1575" s="11" t="s">
        <v>3033</v>
      </c>
      <c r="O1575" s="11" t="s">
        <v>234</v>
      </c>
    </row>
    <row r="1576" spans="1:15" s="13" customFormat="1" ht="19.5" customHeight="1" x14ac:dyDescent="0.25">
      <c r="A1576" s="11" t="s">
        <v>3034</v>
      </c>
      <c r="B1576" s="11" t="s">
        <v>3034</v>
      </c>
      <c r="C1576" s="12">
        <v>46079</v>
      </c>
      <c r="D1576" s="12">
        <v>46079</v>
      </c>
      <c r="E1576" s="11" t="s">
        <v>6</v>
      </c>
      <c r="F1576" s="11" t="s">
        <v>2139</v>
      </c>
      <c r="G1576" s="11" t="s">
        <v>3034</v>
      </c>
      <c r="H1576" s="11"/>
      <c r="I1576" s="11" t="s">
        <v>49</v>
      </c>
      <c r="J1576" s="11">
        <v>592.36</v>
      </c>
      <c r="K1576" s="11">
        <v>592.36</v>
      </c>
      <c r="L1576" s="11"/>
      <c r="M1576" s="14">
        <v>592.36</v>
      </c>
      <c r="N1576" s="11" t="s">
        <v>3033</v>
      </c>
      <c r="O1576" s="11" t="s">
        <v>50</v>
      </c>
    </row>
    <row r="1577" spans="1:15" s="13" customFormat="1" ht="19.5" customHeight="1" x14ac:dyDescent="0.25">
      <c r="A1577" s="11" t="s">
        <v>3035</v>
      </c>
      <c r="B1577" s="11" t="s">
        <v>3035</v>
      </c>
      <c r="C1577" s="12">
        <v>46079</v>
      </c>
      <c r="D1577" s="12">
        <v>46079</v>
      </c>
      <c r="E1577" s="11" t="s">
        <v>6</v>
      </c>
      <c r="F1577" s="11" t="s">
        <v>295</v>
      </c>
      <c r="G1577" s="11" t="s">
        <v>3035</v>
      </c>
      <c r="H1577" s="11"/>
      <c r="I1577" s="11" t="s">
        <v>49</v>
      </c>
      <c r="J1577" s="11">
        <v>106.66</v>
      </c>
      <c r="K1577" s="11">
        <v>106.66</v>
      </c>
      <c r="L1577" s="11"/>
      <c r="M1577" s="14">
        <v>106.66</v>
      </c>
      <c r="N1577" s="11" t="s">
        <v>3033</v>
      </c>
      <c r="O1577" s="11" t="s">
        <v>50</v>
      </c>
    </row>
    <row r="1578" spans="1:15" s="13" customFormat="1" ht="19.5" customHeight="1" x14ac:dyDescent="0.25">
      <c r="A1578" s="11" t="s">
        <v>3036</v>
      </c>
      <c r="B1578" s="11" t="s">
        <v>3036</v>
      </c>
      <c r="C1578" s="12">
        <v>46079</v>
      </c>
      <c r="D1578" s="12">
        <v>46079</v>
      </c>
      <c r="E1578" s="11" t="s">
        <v>6</v>
      </c>
      <c r="F1578" s="11" t="s">
        <v>295</v>
      </c>
      <c r="G1578" s="11" t="s">
        <v>3036</v>
      </c>
      <c r="H1578" s="11"/>
      <c r="I1578" s="11" t="s">
        <v>49</v>
      </c>
      <c r="J1578" s="11">
        <v>411.34</v>
      </c>
      <c r="K1578" s="11">
        <v>411.34</v>
      </c>
      <c r="L1578" s="11"/>
      <c r="M1578" s="14">
        <v>411.34</v>
      </c>
      <c r="N1578" s="11" t="s">
        <v>3033</v>
      </c>
      <c r="O1578" s="11" t="s">
        <v>50</v>
      </c>
    </row>
    <row r="1579" spans="1:15" s="13" customFormat="1" ht="19.5" customHeight="1" x14ac:dyDescent="0.25">
      <c r="A1579" s="11" t="s">
        <v>3037</v>
      </c>
      <c r="B1579" s="11" t="s">
        <v>3037</v>
      </c>
      <c r="C1579" s="12">
        <v>46079</v>
      </c>
      <c r="D1579" s="12">
        <v>46079</v>
      </c>
      <c r="E1579" s="11" t="s">
        <v>6</v>
      </c>
      <c r="F1579" s="11" t="s">
        <v>295</v>
      </c>
      <c r="G1579" s="11" t="s">
        <v>3037</v>
      </c>
      <c r="H1579" s="11"/>
      <c r="I1579" s="11" t="s">
        <v>49</v>
      </c>
      <c r="J1579" s="11">
        <v>243.76</v>
      </c>
      <c r="K1579" s="11">
        <v>243.76</v>
      </c>
      <c r="L1579" s="11"/>
      <c r="M1579" s="14">
        <v>243.76</v>
      </c>
      <c r="N1579" s="11" t="s">
        <v>3033</v>
      </c>
      <c r="O1579" s="11" t="s">
        <v>50</v>
      </c>
    </row>
    <row r="1580" spans="1:15" s="13" customFormat="1" ht="19.5" customHeight="1" x14ac:dyDescent="0.25">
      <c r="A1580" s="11" t="s">
        <v>3038</v>
      </c>
      <c r="B1580" s="11" t="s">
        <v>3038</v>
      </c>
      <c r="C1580" s="12">
        <v>46079</v>
      </c>
      <c r="D1580" s="12">
        <v>46079</v>
      </c>
      <c r="E1580" s="11" t="s">
        <v>6</v>
      </c>
      <c r="F1580" s="11" t="s">
        <v>295</v>
      </c>
      <c r="G1580" s="11" t="s">
        <v>3038</v>
      </c>
      <c r="H1580" s="11"/>
      <c r="I1580" s="11" t="s">
        <v>49</v>
      </c>
      <c r="J1580" s="11">
        <v>335.18</v>
      </c>
      <c r="K1580" s="11">
        <v>335.18</v>
      </c>
      <c r="L1580" s="11"/>
      <c r="M1580" s="14">
        <v>335.18</v>
      </c>
      <c r="N1580" s="11" t="s">
        <v>3033</v>
      </c>
      <c r="O1580" s="11" t="s">
        <v>50</v>
      </c>
    </row>
    <row r="1581" spans="1:15" s="13" customFormat="1" ht="19.5" customHeight="1" x14ac:dyDescent="0.25">
      <c r="A1581" s="11" t="s">
        <v>3039</v>
      </c>
      <c r="B1581" s="11" t="s">
        <v>3039</v>
      </c>
      <c r="C1581" s="12">
        <v>46079</v>
      </c>
      <c r="D1581" s="12">
        <v>46079</v>
      </c>
      <c r="E1581" s="11" t="s">
        <v>6</v>
      </c>
      <c r="F1581" s="11" t="s">
        <v>2139</v>
      </c>
      <c r="G1581" s="11" t="s">
        <v>3039</v>
      </c>
      <c r="H1581" s="11"/>
      <c r="I1581" s="11" t="s">
        <v>49</v>
      </c>
      <c r="J1581" s="11">
        <v>618.32000000000005</v>
      </c>
      <c r="K1581" s="11">
        <v>618.32000000000005</v>
      </c>
      <c r="L1581" s="11"/>
      <c r="M1581" s="14">
        <v>618.32000000000005</v>
      </c>
      <c r="N1581" s="11" t="s">
        <v>3033</v>
      </c>
      <c r="O1581" s="11" t="s">
        <v>50</v>
      </c>
    </row>
    <row r="1582" spans="1:15" s="13" customFormat="1" ht="19.5" customHeight="1" x14ac:dyDescent="0.25">
      <c r="A1582" s="11" t="s">
        <v>3040</v>
      </c>
      <c r="B1582" s="11" t="s">
        <v>3040</v>
      </c>
      <c r="C1582" s="12">
        <v>46079</v>
      </c>
      <c r="D1582" s="12">
        <v>46079</v>
      </c>
      <c r="E1582" s="11" t="s">
        <v>6</v>
      </c>
      <c r="F1582" s="11" t="s">
        <v>3041</v>
      </c>
      <c r="G1582" s="11" t="s">
        <v>3040</v>
      </c>
      <c r="H1582" s="11"/>
      <c r="I1582" s="11" t="s">
        <v>49</v>
      </c>
      <c r="J1582" s="11">
        <v>2276.38</v>
      </c>
      <c r="K1582" s="11">
        <v>2276.38</v>
      </c>
      <c r="L1582" s="11"/>
      <c r="M1582" s="14">
        <v>2276.38</v>
      </c>
      <c r="N1582" s="11" t="s">
        <v>3033</v>
      </c>
      <c r="O1582" s="11" t="s">
        <v>50</v>
      </c>
    </row>
    <row r="1583" spans="1:15" s="13" customFormat="1" ht="19.5" customHeight="1" x14ac:dyDescent="0.25">
      <c r="A1583" s="11" t="s">
        <v>3042</v>
      </c>
      <c r="B1583" s="11" t="s">
        <v>3042</v>
      </c>
      <c r="C1583" s="12">
        <v>46079</v>
      </c>
      <c r="D1583" s="12">
        <v>46079</v>
      </c>
      <c r="E1583" s="11" t="s">
        <v>6</v>
      </c>
      <c r="F1583" s="11" t="s">
        <v>3041</v>
      </c>
      <c r="G1583" s="11" t="s">
        <v>3042</v>
      </c>
      <c r="H1583" s="11"/>
      <c r="I1583" s="11" t="s">
        <v>49</v>
      </c>
      <c r="J1583" s="11">
        <v>3642.59</v>
      </c>
      <c r="K1583" s="11">
        <v>3642.59</v>
      </c>
      <c r="L1583" s="11"/>
      <c r="M1583" s="14">
        <v>3642.59</v>
      </c>
      <c r="N1583" s="11" t="s">
        <v>3033</v>
      </c>
      <c r="O1583" s="11" t="s">
        <v>50</v>
      </c>
    </row>
    <row r="1584" spans="1:15" s="13" customFormat="1" ht="19.5" customHeight="1" x14ac:dyDescent="0.25">
      <c r="A1584" s="11" t="s">
        <v>3043</v>
      </c>
      <c r="B1584" s="11" t="s">
        <v>3043</v>
      </c>
      <c r="C1584" s="12">
        <v>46079</v>
      </c>
      <c r="D1584" s="12">
        <v>46079</v>
      </c>
      <c r="E1584" s="11" t="s">
        <v>6</v>
      </c>
      <c r="F1584" s="11" t="s">
        <v>3044</v>
      </c>
      <c r="G1584" s="11" t="s">
        <v>3043</v>
      </c>
      <c r="H1584" s="11"/>
      <c r="I1584" s="11" t="s">
        <v>49</v>
      </c>
      <c r="J1584" s="11">
        <v>1947</v>
      </c>
      <c r="K1584" s="11">
        <v>1947</v>
      </c>
      <c r="L1584" s="11"/>
      <c r="M1584" s="14">
        <v>1947</v>
      </c>
      <c r="N1584" s="11" t="s">
        <v>3033</v>
      </c>
      <c r="O1584" s="11" t="s">
        <v>50</v>
      </c>
    </row>
    <row r="1585" spans="1:15" s="13" customFormat="1" ht="19.5" customHeight="1" x14ac:dyDescent="0.25">
      <c r="A1585" s="11" t="s">
        <v>3045</v>
      </c>
      <c r="B1585" s="11" t="s">
        <v>3045</v>
      </c>
      <c r="C1585" s="12">
        <v>46079</v>
      </c>
      <c r="D1585" s="12">
        <v>46079</v>
      </c>
      <c r="E1585" s="11" t="s">
        <v>6</v>
      </c>
      <c r="F1585" s="11" t="s">
        <v>295</v>
      </c>
      <c r="G1585" s="11" t="s">
        <v>3045</v>
      </c>
      <c r="H1585" s="11"/>
      <c r="I1585" s="11" t="s">
        <v>49</v>
      </c>
      <c r="J1585" s="11">
        <v>5.9</v>
      </c>
      <c r="K1585" s="11">
        <v>5.9</v>
      </c>
      <c r="L1585" s="11"/>
      <c r="M1585" s="14">
        <v>5.9</v>
      </c>
      <c r="N1585" s="11" t="s">
        <v>3033</v>
      </c>
      <c r="O1585" s="11" t="s">
        <v>50</v>
      </c>
    </row>
    <row r="1586" spans="1:15" s="13" customFormat="1" ht="19.5" customHeight="1" x14ac:dyDescent="0.25">
      <c r="A1586" s="11" t="s">
        <v>3046</v>
      </c>
      <c r="B1586" s="11" t="s">
        <v>3046</v>
      </c>
      <c r="C1586" s="12">
        <v>46079</v>
      </c>
      <c r="D1586" s="12">
        <v>46079</v>
      </c>
      <c r="E1586" s="11" t="s">
        <v>6</v>
      </c>
      <c r="F1586" s="11" t="s">
        <v>295</v>
      </c>
      <c r="G1586" s="11" t="s">
        <v>3046</v>
      </c>
      <c r="H1586" s="11"/>
      <c r="I1586" s="11" t="s">
        <v>49</v>
      </c>
      <c r="J1586" s="11">
        <v>684.78</v>
      </c>
      <c r="K1586" s="11">
        <v>684.78</v>
      </c>
      <c r="L1586" s="11"/>
      <c r="M1586" s="14">
        <v>684.78</v>
      </c>
      <c r="N1586" s="11" t="s">
        <v>3033</v>
      </c>
      <c r="O1586" s="11" t="s">
        <v>50</v>
      </c>
    </row>
    <row r="1587" spans="1:15" s="13" customFormat="1" ht="19.5" customHeight="1" x14ac:dyDescent="0.25">
      <c r="A1587" s="11" t="s">
        <v>3047</v>
      </c>
      <c r="B1587" s="11" t="s">
        <v>3047</v>
      </c>
      <c r="C1587" s="12">
        <v>46076</v>
      </c>
      <c r="D1587" s="12">
        <v>46076</v>
      </c>
      <c r="E1587" s="11" t="s">
        <v>6</v>
      </c>
      <c r="F1587" s="11" t="s">
        <v>295</v>
      </c>
      <c r="G1587" s="11" t="s">
        <v>3047</v>
      </c>
      <c r="H1587" s="11"/>
      <c r="I1587" s="11" t="s">
        <v>49</v>
      </c>
      <c r="J1587" s="11">
        <v>684.78</v>
      </c>
      <c r="K1587" s="11">
        <v>684.78</v>
      </c>
      <c r="L1587" s="11"/>
      <c r="M1587" s="14">
        <v>684.78</v>
      </c>
      <c r="N1587" s="11" t="s">
        <v>3033</v>
      </c>
      <c r="O1587" s="11" t="s">
        <v>50</v>
      </c>
    </row>
    <row r="1588" spans="1:15" s="13" customFormat="1" ht="19.5" customHeight="1" x14ac:dyDescent="0.25">
      <c r="A1588" s="11" t="s">
        <v>3048</v>
      </c>
      <c r="B1588" s="11" t="s">
        <v>3048</v>
      </c>
      <c r="C1588" s="12">
        <v>46076</v>
      </c>
      <c r="D1588" s="12">
        <v>46076</v>
      </c>
      <c r="E1588" s="11" t="s">
        <v>6</v>
      </c>
      <c r="F1588" s="11" t="s">
        <v>295</v>
      </c>
      <c r="G1588" s="11" t="s">
        <v>3048</v>
      </c>
      <c r="H1588" s="11"/>
      <c r="I1588" s="11" t="s">
        <v>49</v>
      </c>
      <c r="J1588" s="11">
        <v>138.65</v>
      </c>
      <c r="K1588" s="11">
        <v>138.65</v>
      </c>
      <c r="L1588" s="11"/>
      <c r="M1588" s="14">
        <v>138.65</v>
      </c>
      <c r="N1588" s="11" t="s">
        <v>3033</v>
      </c>
      <c r="O1588" s="11" t="s">
        <v>50</v>
      </c>
    </row>
    <row r="1589" spans="1:15" s="13" customFormat="1" ht="19.5" customHeight="1" x14ac:dyDescent="0.25">
      <c r="A1589" s="11" t="s">
        <v>3049</v>
      </c>
      <c r="B1589" s="11" t="s">
        <v>3049</v>
      </c>
      <c r="C1589" s="12">
        <v>46074</v>
      </c>
      <c r="D1589" s="12">
        <v>46074</v>
      </c>
      <c r="E1589" s="11" t="s">
        <v>6</v>
      </c>
      <c r="F1589" s="11" t="s">
        <v>2139</v>
      </c>
      <c r="G1589" s="11" t="s">
        <v>3049</v>
      </c>
      <c r="H1589" s="11"/>
      <c r="I1589" s="11" t="s">
        <v>49</v>
      </c>
      <c r="J1589" s="11">
        <v>640.15</v>
      </c>
      <c r="K1589" s="11">
        <v>640.15</v>
      </c>
      <c r="L1589" s="11"/>
      <c r="M1589" s="14">
        <v>640.15</v>
      </c>
      <c r="N1589" s="11" t="s">
        <v>3033</v>
      </c>
      <c r="O1589" s="11" t="s">
        <v>50</v>
      </c>
    </row>
    <row r="1590" spans="1:15" s="13" customFormat="1" ht="19.5" customHeight="1" x14ac:dyDescent="0.25">
      <c r="A1590" s="11" t="s">
        <v>3050</v>
      </c>
      <c r="B1590" s="11" t="s">
        <v>3050</v>
      </c>
      <c r="C1590" s="12">
        <v>46074</v>
      </c>
      <c r="D1590" s="12">
        <v>46074</v>
      </c>
      <c r="E1590" s="11" t="s">
        <v>6</v>
      </c>
      <c r="F1590" s="11" t="s">
        <v>2875</v>
      </c>
      <c r="G1590" s="11" t="s">
        <v>3050</v>
      </c>
      <c r="H1590" s="11"/>
      <c r="I1590" s="11" t="s">
        <v>49</v>
      </c>
      <c r="J1590" s="11">
        <v>224.15</v>
      </c>
      <c r="K1590" s="11">
        <v>224.15</v>
      </c>
      <c r="L1590" s="11"/>
      <c r="M1590" s="14">
        <v>224.15</v>
      </c>
      <c r="N1590" s="11" t="s">
        <v>3033</v>
      </c>
      <c r="O1590" s="11" t="s">
        <v>50</v>
      </c>
    </row>
    <row r="1591" spans="1:15" s="13" customFormat="1" ht="19.5" customHeight="1" x14ac:dyDescent="0.25">
      <c r="A1591" s="11" t="s">
        <v>3051</v>
      </c>
      <c r="B1591" s="11" t="s">
        <v>3051</v>
      </c>
      <c r="C1591" s="12">
        <v>46074</v>
      </c>
      <c r="D1591" s="12">
        <v>46074</v>
      </c>
      <c r="E1591" s="11" t="s">
        <v>6</v>
      </c>
      <c r="F1591" s="11" t="s">
        <v>295</v>
      </c>
      <c r="G1591" s="11" t="s">
        <v>3051</v>
      </c>
      <c r="H1591" s="11"/>
      <c r="I1591" s="11" t="s">
        <v>49</v>
      </c>
      <c r="J1591" s="11">
        <v>693.19</v>
      </c>
      <c r="K1591" s="11">
        <v>693.19</v>
      </c>
      <c r="L1591" s="11"/>
      <c r="M1591" s="14">
        <v>693.19</v>
      </c>
      <c r="N1591" s="11" t="s">
        <v>3033</v>
      </c>
      <c r="O1591" s="11" t="s">
        <v>50</v>
      </c>
    </row>
    <row r="1592" spans="1:15" s="13" customFormat="1" ht="19.5" customHeight="1" x14ac:dyDescent="0.25">
      <c r="A1592" s="11" t="s">
        <v>3052</v>
      </c>
      <c r="B1592" s="11" t="s">
        <v>3052</v>
      </c>
      <c r="C1592" s="12">
        <v>46074</v>
      </c>
      <c r="D1592" s="12">
        <v>46074</v>
      </c>
      <c r="E1592" s="11" t="s">
        <v>6</v>
      </c>
      <c r="F1592" s="11" t="s">
        <v>295</v>
      </c>
      <c r="G1592" s="11" t="s">
        <v>3052</v>
      </c>
      <c r="H1592" s="11"/>
      <c r="I1592" s="11" t="s">
        <v>49</v>
      </c>
      <c r="J1592" s="11">
        <v>495.13</v>
      </c>
      <c r="K1592" s="11">
        <v>495.13</v>
      </c>
      <c r="L1592" s="11"/>
      <c r="M1592" s="14">
        <v>495.13</v>
      </c>
      <c r="N1592" s="11" t="s">
        <v>3033</v>
      </c>
      <c r="O1592" s="11" t="s">
        <v>50</v>
      </c>
    </row>
    <row r="1593" spans="1:15" s="13" customFormat="1" ht="19.5" customHeight="1" x14ac:dyDescent="0.25">
      <c r="A1593" s="11" t="s">
        <v>3053</v>
      </c>
      <c r="B1593" s="11" t="s">
        <v>3053</v>
      </c>
      <c r="C1593" s="12">
        <v>46074</v>
      </c>
      <c r="D1593" s="12">
        <v>46074</v>
      </c>
      <c r="E1593" s="11" t="s">
        <v>6</v>
      </c>
      <c r="F1593" s="11" t="s">
        <v>295</v>
      </c>
      <c r="G1593" s="11" t="s">
        <v>3053</v>
      </c>
      <c r="H1593" s="11"/>
      <c r="I1593" s="11" t="s">
        <v>49</v>
      </c>
      <c r="J1593" s="11">
        <v>188.8</v>
      </c>
      <c r="K1593" s="11">
        <v>188.8</v>
      </c>
      <c r="L1593" s="11"/>
      <c r="M1593" s="14">
        <v>188.8</v>
      </c>
      <c r="N1593" s="11" t="s">
        <v>3033</v>
      </c>
      <c r="O1593" s="11" t="s">
        <v>50</v>
      </c>
    </row>
    <row r="1594" spans="1:15" s="13" customFormat="1" ht="19.5" customHeight="1" x14ac:dyDescent="0.25">
      <c r="A1594" s="11" t="s">
        <v>3054</v>
      </c>
      <c r="B1594" s="11" t="s">
        <v>3054</v>
      </c>
      <c r="C1594" s="12">
        <v>46074</v>
      </c>
      <c r="D1594" s="12">
        <v>46074</v>
      </c>
      <c r="E1594" s="11" t="s">
        <v>6</v>
      </c>
      <c r="F1594" s="11" t="s">
        <v>295</v>
      </c>
      <c r="G1594" s="11" t="s">
        <v>3054</v>
      </c>
      <c r="H1594" s="11"/>
      <c r="I1594" s="11" t="s">
        <v>49</v>
      </c>
      <c r="J1594" s="11">
        <v>403.73</v>
      </c>
      <c r="K1594" s="11">
        <v>403.73</v>
      </c>
      <c r="L1594" s="11"/>
      <c r="M1594" s="14">
        <v>403.73</v>
      </c>
      <c r="N1594" s="11" t="s">
        <v>3033</v>
      </c>
      <c r="O1594" s="11" t="s">
        <v>50</v>
      </c>
    </row>
    <row r="1595" spans="1:15" s="13" customFormat="1" ht="19.5" customHeight="1" x14ac:dyDescent="0.25">
      <c r="A1595" s="11" t="s">
        <v>3055</v>
      </c>
      <c r="B1595" s="11" t="s">
        <v>3055</v>
      </c>
      <c r="C1595" s="12">
        <v>46074</v>
      </c>
      <c r="D1595" s="12">
        <v>46074</v>
      </c>
      <c r="E1595" s="11" t="s">
        <v>6</v>
      </c>
      <c r="F1595" s="11" t="s">
        <v>2875</v>
      </c>
      <c r="G1595" s="11" t="s">
        <v>3055</v>
      </c>
      <c r="H1595" s="11"/>
      <c r="I1595" s="11" t="s">
        <v>49</v>
      </c>
      <c r="J1595" s="11">
        <v>337.48</v>
      </c>
      <c r="K1595" s="11">
        <v>337.48</v>
      </c>
      <c r="L1595" s="11"/>
      <c r="M1595" s="14">
        <v>337.48</v>
      </c>
      <c r="N1595" s="11" t="s">
        <v>3033</v>
      </c>
      <c r="O1595" s="11" t="s">
        <v>50</v>
      </c>
    </row>
    <row r="1596" spans="1:15" s="13" customFormat="1" ht="19.5" customHeight="1" x14ac:dyDescent="0.25">
      <c r="A1596" s="11" t="s">
        <v>3056</v>
      </c>
      <c r="B1596" s="11" t="s">
        <v>3056</v>
      </c>
      <c r="C1596" s="12">
        <v>46074</v>
      </c>
      <c r="D1596" s="12">
        <v>46074</v>
      </c>
      <c r="E1596" s="11" t="s">
        <v>6</v>
      </c>
      <c r="F1596" s="11" t="s">
        <v>2139</v>
      </c>
      <c r="G1596" s="11" t="s">
        <v>3056</v>
      </c>
      <c r="H1596" s="11"/>
      <c r="I1596" s="11" t="s">
        <v>49</v>
      </c>
      <c r="J1596" s="11">
        <v>1534</v>
      </c>
      <c r="K1596" s="11">
        <v>1534</v>
      </c>
      <c r="L1596" s="11"/>
      <c r="M1596" s="14">
        <v>1534</v>
      </c>
      <c r="N1596" s="11" t="s">
        <v>3033</v>
      </c>
      <c r="O1596" s="11" t="s">
        <v>50</v>
      </c>
    </row>
    <row r="1597" spans="1:15" s="13" customFormat="1" ht="19.5" customHeight="1" x14ac:dyDescent="0.25">
      <c r="A1597" s="11" t="s">
        <v>3057</v>
      </c>
      <c r="B1597" s="11" t="s">
        <v>3057</v>
      </c>
      <c r="C1597" s="12">
        <v>46074</v>
      </c>
      <c r="D1597" s="12">
        <v>46074</v>
      </c>
      <c r="E1597" s="11" t="s">
        <v>6</v>
      </c>
      <c r="F1597" s="11" t="s">
        <v>2139</v>
      </c>
      <c r="G1597" s="11" t="s">
        <v>3057</v>
      </c>
      <c r="H1597" s="11"/>
      <c r="I1597" s="11" t="s">
        <v>49</v>
      </c>
      <c r="J1597" s="11">
        <v>796.5</v>
      </c>
      <c r="K1597" s="11">
        <v>796.5</v>
      </c>
      <c r="L1597" s="11"/>
      <c r="M1597" s="14">
        <v>796.5</v>
      </c>
      <c r="N1597" s="11" t="s">
        <v>3033</v>
      </c>
      <c r="O1597" s="11" t="s">
        <v>50</v>
      </c>
    </row>
    <row r="1598" spans="1:15" s="13" customFormat="1" ht="19.5" customHeight="1" x14ac:dyDescent="0.25">
      <c r="A1598" s="11" t="s">
        <v>3058</v>
      </c>
      <c r="B1598" s="11" t="s">
        <v>3058</v>
      </c>
      <c r="C1598" s="12">
        <v>46074</v>
      </c>
      <c r="D1598" s="12">
        <v>46074</v>
      </c>
      <c r="E1598" s="11" t="s">
        <v>6</v>
      </c>
      <c r="F1598" s="11" t="s">
        <v>3059</v>
      </c>
      <c r="G1598" s="11" t="s">
        <v>3058</v>
      </c>
      <c r="H1598" s="11"/>
      <c r="I1598" s="11" t="s">
        <v>49</v>
      </c>
      <c r="J1598" s="11">
        <v>718.03</v>
      </c>
      <c r="K1598" s="11">
        <v>718.03</v>
      </c>
      <c r="L1598" s="11"/>
      <c r="M1598" s="14">
        <v>718.03</v>
      </c>
      <c r="N1598" s="11" t="s">
        <v>3033</v>
      </c>
      <c r="O1598" s="11" t="s">
        <v>50</v>
      </c>
    </row>
    <row r="1599" spans="1:15" s="13" customFormat="1" ht="19.5" customHeight="1" x14ac:dyDescent="0.25">
      <c r="A1599" s="11" t="s">
        <v>3060</v>
      </c>
      <c r="B1599" s="11" t="s">
        <v>3060</v>
      </c>
      <c r="C1599" s="12">
        <v>46074</v>
      </c>
      <c r="D1599" s="12">
        <v>46074</v>
      </c>
      <c r="E1599" s="11" t="s">
        <v>6</v>
      </c>
      <c r="F1599" s="11" t="s">
        <v>3061</v>
      </c>
      <c r="G1599" s="11" t="s">
        <v>3060</v>
      </c>
      <c r="H1599" s="11"/>
      <c r="I1599" s="11" t="s">
        <v>49</v>
      </c>
      <c r="J1599" s="11">
        <v>540.35</v>
      </c>
      <c r="K1599" s="11">
        <v>540.35</v>
      </c>
      <c r="L1599" s="11"/>
      <c r="M1599" s="14">
        <v>540.35</v>
      </c>
      <c r="N1599" s="11" t="s">
        <v>3033</v>
      </c>
      <c r="O1599" s="11" t="s">
        <v>50</v>
      </c>
    </row>
    <row r="1600" spans="1:15" s="13" customFormat="1" ht="19.5" customHeight="1" x14ac:dyDescent="0.25">
      <c r="A1600" s="11" t="s">
        <v>3062</v>
      </c>
      <c r="B1600" s="11" t="s">
        <v>3062</v>
      </c>
      <c r="C1600" s="12">
        <v>46074</v>
      </c>
      <c r="D1600" s="12">
        <v>46074</v>
      </c>
      <c r="E1600" s="11" t="s">
        <v>6</v>
      </c>
      <c r="F1600" s="11" t="s">
        <v>3063</v>
      </c>
      <c r="G1600" s="11" t="s">
        <v>3062</v>
      </c>
      <c r="H1600" s="11"/>
      <c r="I1600" s="11" t="s">
        <v>49</v>
      </c>
      <c r="J1600" s="11">
        <v>1127.1199999999999</v>
      </c>
      <c r="K1600" s="11">
        <v>1127.1199999999999</v>
      </c>
      <c r="L1600" s="11"/>
      <c r="M1600" s="14">
        <v>1127.1199999999999</v>
      </c>
      <c r="N1600" s="11" t="s">
        <v>3033</v>
      </c>
      <c r="O1600" s="11" t="s">
        <v>50</v>
      </c>
    </row>
    <row r="1601" spans="1:15" s="13" customFormat="1" ht="19.5" customHeight="1" x14ac:dyDescent="0.25">
      <c r="A1601" s="11" t="s">
        <v>3064</v>
      </c>
      <c r="B1601" s="11" t="s">
        <v>3064</v>
      </c>
      <c r="C1601" s="12">
        <v>46074</v>
      </c>
      <c r="D1601" s="12">
        <v>46074</v>
      </c>
      <c r="E1601" s="11" t="s">
        <v>6</v>
      </c>
      <c r="F1601" s="11" t="s">
        <v>2884</v>
      </c>
      <c r="G1601" s="11" t="s">
        <v>3064</v>
      </c>
      <c r="H1601" s="11"/>
      <c r="I1601" s="11" t="s">
        <v>49</v>
      </c>
      <c r="J1601" s="11">
        <v>358.67</v>
      </c>
      <c r="K1601" s="11">
        <v>358.67</v>
      </c>
      <c r="L1601" s="11"/>
      <c r="M1601" s="14">
        <v>358.67</v>
      </c>
      <c r="N1601" s="11" t="s">
        <v>3033</v>
      </c>
      <c r="O1601" s="11" t="s">
        <v>50</v>
      </c>
    </row>
    <row r="1602" spans="1:15" s="13" customFormat="1" ht="19.5" customHeight="1" x14ac:dyDescent="0.25">
      <c r="A1602" s="11" t="s">
        <v>3065</v>
      </c>
      <c r="B1602" s="11" t="s">
        <v>3065</v>
      </c>
      <c r="C1602" s="12">
        <v>46074</v>
      </c>
      <c r="D1602" s="12">
        <v>46074</v>
      </c>
      <c r="E1602" s="11" t="s">
        <v>6</v>
      </c>
      <c r="F1602" s="11" t="s">
        <v>3066</v>
      </c>
      <c r="G1602" s="11" t="s">
        <v>3065</v>
      </c>
      <c r="H1602" s="11"/>
      <c r="I1602" s="11" t="s">
        <v>49</v>
      </c>
      <c r="J1602" s="11">
        <v>39.46</v>
      </c>
      <c r="K1602" s="11">
        <v>39.46</v>
      </c>
      <c r="L1602" s="11"/>
      <c r="M1602" s="14">
        <v>39.46</v>
      </c>
      <c r="N1602" s="11" t="s">
        <v>3033</v>
      </c>
      <c r="O1602" s="11" t="s">
        <v>50</v>
      </c>
    </row>
    <row r="1603" spans="1:15" s="13" customFormat="1" ht="19.5" customHeight="1" x14ac:dyDescent="0.25">
      <c r="A1603" s="11" t="s">
        <v>3067</v>
      </c>
      <c r="B1603" s="11" t="s">
        <v>3067</v>
      </c>
      <c r="C1603" s="12">
        <v>46074</v>
      </c>
      <c r="D1603" s="12">
        <v>46074</v>
      </c>
      <c r="E1603" s="11" t="s">
        <v>6</v>
      </c>
      <c r="F1603" s="11" t="s">
        <v>3068</v>
      </c>
      <c r="G1603" s="11" t="s">
        <v>3067</v>
      </c>
      <c r="H1603" s="11"/>
      <c r="I1603" s="11" t="s">
        <v>49</v>
      </c>
      <c r="J1603" s="11">
        <v>39.46</v>
      </c>
      <c r="K1603" s="11">
        <v>39.46</v>
      </c>
      <c r="L1603" s="11"/>
      <c r="M1603" s="14">
        <v>39.46</v>
      </c>
      <c r="N1603" s="11" t="s">
        <v>3033</v>
      </c>
      <c r="O1603" s="11" t="s">
        <v>50</v>
      </c>
    </row>
    <row r="1604" spans="1:15" s="13" customFormat="1" ht="19.5" customHeight="1" x14ac:dyDescent="0.25">
      <c r="A1604" s="11" t="s">
        <v>3069</v>
      </c>
      <c r="B1604" s="11" t="s">
        <v>3069</v>
      </c>
      <c r="C1604" s="12">
        <v>45975</v>
      </c>
      <c r="D1604" s="12">
        <v>45975</v>
      </c>
      <c r="E1604" s="11" t="s">
        <v>6</v>
      </c>
      <c r="F1604" s="11" t="s">
        <v>3070</v>
      </c>
      <c r="G1604" s="11" t="s">
        <v>3069</v>
      </c>
      <c r="H1604" s="11"/>
      <c r="I1604" s="11" t="s">
        <v>49</v>
      </c>
      <c r="J1604" s="11">
        <v>106.9</v>
      </c>
      <c r="K1604" s="11">
        <v>106.9</v>
      </c>
      <c r="L1604" s="11"/>
      <c r="M1604" s="11">
        <v>106.9</v>
      </c>
      <c r="N1604" s="11"/>
      <c r="O1604" s="11" t="s">
        <v>50</v>
      </c>
    </row>
    <row r="1605" spans="1:15" s="13" customFormat="1" ht="19.5" customHeight="1" x14ac:dyDescent="0.25">
      <c r="A1605" s="11" t="s">
        <v>3071</v>
      </c>
      <c r="B1605" s="11" t="s">
        <v>3071</v>
      </c>
      <c r="C1605" s="12">
        <v>46074</v>
      </c>
      <c r="D1605" s="12">
        <v>46074</v>
      </c>
      <c r="E1605" s="11" t="s">
        <v>6</v>
      </c>
      <c r="F1605" s="11" t="s">
        <v>295</v>
      </c>
      <c r="G1605" s="11" t="s">
        <v>3071</v>
      </c>
      <c r="H1605" s="11"/>
      <c r="I1605" s="11" t="s">
        <v>49</v>
      </c>
      <c r="J1605" s="11">
        <v>214.9</v>
      </c>
      <c r="K1605" s="11">
        <v>214.9</v>
      </c>
      <c r="L1605" s="11"/>
      <c r="M1605" s="14">
        <v>214.9</v>
      </c>
      <c r="N1605" s="11" t="s">
        <v>3033</v>
      </c>
      <c r="O1605" s="11" t="s">
        <v>50</v>
      </c>
    </row>
    <row r="1606" spans="1:15" s="13" customFormat="1" ht="19.5" customHeight="1" x14ac:dyDescent="0.25">
      <c r="A1606" s="11" t="s">
        <v>3072</v>
      </c>
      <c r="B1606" s="11" t="s">
        <v>3072</v>
      </c>
      <c r="C1606" s="12">
        <v>46074</v>
      </c>
      <c r="D1606" s="12">
        <v>46074</v>
      </c>
      <c r="E1606" s="11" t="s">
        <v>6</v>
      </c>
      <c r="F1606" s="11" t="s">
        <v>295</v>
      </c>
      <c r="G1606" s="11" t="s">
        <v>3072</v>
      </c>
      <c r="H1606" s="11"/>
      <c r="I1606" s="11" t="s">
        <v>49</v>
      </c>
      <c r="J1606" s="11">
        <v>693.06</v>
      </c>
      <c r="K1606" s="11">
        <v>693.06</v>
      </c>
      <c r="L1606" s="11"/>
      <c r="M1606" s="14">
        <v>693.06</v>
      </c>
      <c r="N1606" s="11" t="s">
        <v>3033</v>
      </c>
      <c r="O1606" s="11" t="s">
        <v>50</v>
      </c>
    </row>
    <row r="1607" spans="1:15" s="13" customFormat="1" ht="19.5" customHeight="1" x14ac:dyDescent="0.25">
      <c r="A1607" s="11" t="s">
        <v>3073</v>
      </c>
      <c r="B1607" s="11" t="s">
        <v>3073</v>
      </c>
      <c r="C1607" s="12">
        <v>46073</v>
      </c>
      <c r="D1607" s="12">
        <v>46073</v>
      </c>
      <c r="E1607" s="11" t="s">
        <v>6</v>
      </c>
      <c r="F1607" s="11" t="s">
        <v>3059</v>
      </c>
      <c r="G1607" s="11" t="s">
        <v>3073</v>
      </c>
      <c r="H1607" s="11"/>
      <c r="I1607" s="11" t="s">
        <v>49</v>
      </c>
      <c r="J1607" s="11">
        <v>718.03</v>
      </c>
      <c r="K1607" s="11">
        <v>718.03</v>
      </c>
      <c r="L1607" s="11"/>
      <c r="M1607" s="14">
        <v>718.03</v>
      </c>
      <c r="N1607" s="11" t="s">
        <v>3033</v>
      </c>
      <c r="O1607" s="11" t="s">
        <v>50</v>
      </c>
    </row>
    <row r="1608" spans="1:15" s="13" customFormat="1" ht="19.5" customHeight="1" x14ac:dyDescent="0.25">
      <c r="A1608" s="11" t="s">
        <v>3074</v>
      </c>
      <c r="B1608" s="11" t="s">
        <v>3074</v>
      </c>
      <c r="C1608" s="12">
        <v>46073</v>
      </c>
      <c r="D1608" s="12">
        <v>46073</v>
      </c>
      <c r="E1608" s="11" t="s">
        <v>6</v>
      </c>
      <c r="F1608" s="11" t="s">
        <v>295</v>
      </c>
      <c r="G1608" s="11" t="s">
        <v>3074</v>
      </c>
      <c r="H1608" s="11"/>
      <c r="I1608" s="11" t="s">
        <v>49</v>
      </c>
      <c r="J1608" s="11">
        <v>106.66</v>
      </c>
      <c r="K1608" s="11">
        <v>106.66</v>
      </c>
      <c r="L1608" s="11"/>
      <c r="M1608" s="14">
        <v>106.66</v>
      </c>
      <c r="N1608" s="11" t="s">
        <v>3033</v>
      </c>
      <c r="O1608" s="11" t="s">
        <v>50</v>
      </c>
    </row>
    <row r="1609" spans="1:15" s="13" customFormat="1" ht="19.5" customHeight="1" x14ac:dyDescent="0.25">
      <c r="A1609" s="11" t="s">
        <v>3075</v>
      </c>
      <c r="B1609" s="11" t="s">
        <v>3075</v>
      </c>
      <c r="C1609" s="12">
        <v>46073</v>
      </c>
      <c r="D1609" s="12">
        <v>46073</v>
      </c>
      <c r="E1609" s="11" t="s">
        <v>6</v>
      </c>
      <c r="F1609" s="11" t="s">
        <v>295</v>
      </c>
      <c r="G1609" s="11" t="s">
        <v>3075</v>
      </c>
      <c r="H1609" s="11"/>
      <c r="I1609" s="11" t="s">
        <v>49</v>
      </c>
      <c r="J1609" s="11">
        <v>380.55</v>
      </c>
      <c r="K1609" s="11">
        <v>380.55</v>
      </c>
      <c r="L1609" s="11"/>
      <c r="M1609" s="14">
        <v>380.55</v>
      </c>
      <c r="N1609" s="11" t="s">
        <v>3033</v>
      </c>
      <c r="O1609" s="11" t="s">
        <v>50</v>
      </c>
    </row>
    <row r="1610" spans="1:15" s="13" customFormat="1" ht="19.5" customHeight="1" x14ac:dyDescent="0.25">
      <c r="A1610" s="11" t="s">
        <v>3076</v>
      </c>
      <c r="B1610" s="11" t="s">
        <v>3076</v>
      </c>
      <c r="C1610" s="12">
        <v>46073</v>
      </c>
      <c r="D1610" s="12">
        <v>46073</v>
      </c>
      <c r="E1610" s="11" t="s">
        <v>6</v>
      </c>
      <c r="F1610" s="11" t="s">
        <v>3077</v>
      </c>
      <c r="G1610" s="11" t="s">
        <v>3076</v>
      </c>
      <c r="H1610" s="11"/>
      <c r="I1610" s="11" t="s">
        <v>49</v>
      </c>
      <c r="J1610" s="11">
        <v>129.96</v>
      </c>
      <c r="K1610" s="11">
        <v>129.96</v>
      </c>
      <c r="L1610" s="11"/>
      <c r="M1610" s="14">
        <v>129.96</v>
      </c>
      <c r="N1610" s="11" t="s">
        <v>3033</v>
      </c>
      <c r="O1610" s="11" t="s">
        <v>50</v>
      </c>
    </row>
    <row r="1611" spans="1:15" s="13" customFormat="1" ht="19.5" customHeight="1" x14ac:dyDescent="0.25">
      <c r="A1611" s="11" t="s">
        <v>3078</v>
      </c>
      <c r="B1611" s="11" t="s">
        <v>3078</v>
      </c>
      <c r="C1611" s="12">
        <v>46073</v>
      </c>
      <c r="D1611" s="12">
        <v>46073</v>
      </c>
      <c r="E1611" s="11" t="s">
        <v>6</v>
      </c>
      <c r="F1611" s="11" t="s">
        <v>843</v>
      </c>
      <c r="G1611" s="11" t="s">
        <v>3078</v>
      </c>
      <c r="H1611" s="11"/>
      <c r="I1611" s="11" t="s">
        <v>49</v>
      </c>
      <c r="J1611" s="11">
        <v>7617.53</v>
      </c>
      <c r="K1611" s="11">
        <v>7617.53</v>
      </c>
      <c r="L1611" s="11"/>
      <c r="M1611" s="14">
        <v>7617.53</v>
      </c>
      <c r="N1611" s="11" t="s">
        <v>3033</v>
      </c>
      <c r="O1611" s="11" t="s">
        <v>50</v>
      </c>
    </row>
    <row r="1612" spans="1:15" s="13" customFormat="1" ht="19.5" customHeight="1" x14ac:dyDescent="0.25">
      <c r="A1612" s="11" t="s">
        <v>3079</v>
      </c>
      <c r="B1612" s="11" t="s">
        <v>3079</v>
      </c>
      <c r="C1612" s="12">
        <v>46073</v>
      </c>
      <c r="D1612" s="12">
        <v>46073</v>
      </c>
      <c r="E1612" s="11" t="s">
        <v>6</v>
      </c>
      <c r="F1612" s="11" t="s">
        <v>295</v>
      </c>
      <c r="G1612" s="11" t="s">
        <v>3079</v>
      </c>
      <c r="H1612" s="11"/>
      <c r="I1612" s="11" t="s">
        <v>49</v>
      </c>
      <c r="J1612" s="11">
        <v>183.82</v>
      </c>
      <c r="K1612" s="11">
        <v>183.82</v>
      </c>
      <c r="L1612" s="11"/>
      <c r="M1612" s="14">
        <v>183.82</v>
      </c>
      <c r="N1612" s="11" t="s">
        <v>3033</v>
      </c>
      <c r="O1612" s="11" t="s">
        <v>50</v>
      </c>
    </row>
    <row r="1613" spans="1:15" s="13" customFormat="1" ht="19.5" customHeight="1" x14ac:dyDescent="0.25">
      <c r="A1613" s="11" t="s">
        <v>3080</v>
      </c>
      <c r="B1613" s="11" t="s">
        <v>3080</v>
      </c>
      <c r="C1613" s="12">
        <v>46072</v>
      </c>
      <c r="D1613" s="12">
        <v>46072</v>
      </c>
      <c r="E1613" s="11" t="s">
        <v>6</v>
      </c>
      <c r="F1613" s="11" t="s">
        <v>3081</v>
      </c>
      <c r="G1613" s="11" t="s">
        <v>3080</v>
      </c>
      <c r="H1613" s="11"/>
      <c r="I1613" s="11" t="s">
        <v>49</v>
      </c>
      <c r="J1613" s="11">
        <v>64.010000000000005</v>
      </c>
      <c r="K1613" s="11">
        <v>64.010000000000005</v>
      </c>
      <c r="L1613" s="11"/>
      <c r="M1613" s="14">
        <v>64.010000000000005</v>
      </c>
      <c r="N1613" s="11" t="s">
        <v>3033</v>
      </c>
      <c r="O1613" s="11" t="s">
        <v>50</v>
      </c>
    </row>
    <row r="1614" spans="1:15" s="13" customFormat="1" ht="19.5" customHeight="1" x14ac:dyDescent="0.25">
      <c r="A1614" s="11" t="s">
        <v>3082</v>
      </c>
      <c r="B1614" s="11" t="s">
        <v>3082</v>
      </c>
      <c r="C1614" s="12">
        <v>46072</v>
      </c>
      <c r="D1614" s="12">
        <v>46072</v>
      </c>
      <c r="E1614" s="11" t="s">
        <v>6</v>
      </c>
      <c r="F1614" s="11" t="s">
        <v>3083</v>
      </c>
      <c r="G1614" s="11" t="s">
        <v>3082</v>
      </c>
      <c r="H1614" s="11"/>
      <c r="I1614" s="11" t="s">
        <v>49</v>
      </c>
      <c r="J1614" s="11">
        <v>7.5</v>
      </c>
      <c r="K1614" s="11">
        <v>7.5</v>
      </c>
      <c r="L1614" s="11"/>
      <c r="M1614" s="14">
        <v>7.5</v>
      </c>
      <c r="N1614" s="11" t="s">
        <v>3033</v>
      </c>
      <c r="O1614" s="11" t="s">
        <v>50</v>
      </c>
    </row>
    <row r="1615" spans="1:15" s="13" customFormat="1" ht="19.5" customHeight="1" x14ac:dyDescent="0.25">
      <c r="A1615" s="11" t="s">
        <v>3084</v>
      </c>
      <c r="B1615" s="11" t="s">
        <v>3084</v>
      </c>
      <c r="C1615" s="12">
        <v>46072</v>
      </c>
      <c r="D1615" s="12">
        <v>46072</v>
      </c>
      <c r="E1615" s="11" t="s">
        <v>6</v>
      </c>
      <c r="F1615" s="11" t="s">
        <v>3083</v>
      </c>
      <c r="G1615" s="11" t="s">
        <v>3084</v>
      </c>
      <c r="H1615" s="11"/>
      <c r="I1615" s="11" t="s">
        <v>49</v>
      </c>
      <c r="J1615" s="11">
        <v>306.8</v>
      </c>
      <c r="K1615" s="11">
        <v>306.8</v>
      </c>
      <c r="L1615" s="11"/>
      <c r="M1615" s="14">
        <v>306.8</v>
      </c>
      <c r="N1615" s="11" t="s">
        <v>3033</v>
      </c>
      <c r="O1615" s="11" t="s">
        <v>50</v>
      </c>
    </row>
    <row r="1616" spans="1:15" s="13" customFormat="1" ht="19.5" customHeight="1" x14ac:dyDescent="0.25">
      <c r="A1616" s="11" t="s">
        <v>3085</v>
      </c>
      <c r="B1616" s="11" t="s">
        <v>3085</v>
      </c>
      <c r="C1616" s="12">
        <v>46072</v>
      </c>
      <c r="D1616" s="12">
        <v>46072</v>
      </c>
      <c r="E1616" s="11" t="s">
        <v>6</v>
      </c>
      <c r="F1616" s="11" t="s">
        <v>295</v>
      </c>
      <c r="G1616" s="11" t="s">
        <v>3085</v>
      </c>
      <c r="H1616" s="11"/>
      <c r="I1616" s="11" t="s">
        <v>49</v>
      </c>
      <c r="J1616" s="11">
        <v>686.19</v>
      </c>
      <c r="K1616" s="11">
        <v>686.19</v>
      </c>
      <c r="L1616" s="11"/>
      <c r="M1616" s="14">
        <v>686.19</v>
      </c>
      <c r="N1616" s="11" t="s">
        <v>3033</v>
      </c>
      <c r="O1616" s="11" t="s">
        <v>50</v>
      </c>
    </row>
    <row r="1617" spans="1:15" s="13" customFormat="1" ht="19.5" customHeight="1" x14ac:dyDescent="0.25">
      <c r="A1617" s="11" t="s">
        <v>3086</v>
      </c>
      <c r="B1617" s="11" t="s">
        <v>3086</v>
      </c>
      <c r="C1617" s="12">
        <v>46072</v>
      </c>
      <c r="D1617" s="12">
        <v>46072</v>
      </c>
      <c r="E1617" s="11" t="s">
        <v>6</v>
      </c>
      <c r="F1617" s="11" t="s">
        <v>295</v>
      </c>
      <c r="G1617" s="11" t="s">
        <v>3086</v>
      </c>
      <c r="H1617" s="11"/>
      <c r="I1617" s="11" t="s">
        <v>49</v>
      </c>
      <c r="J1617" s="11">
        <v>689.21</v>
      </c>
      <c r="K1617" s="11">
        <v>689.21</v>
      </c>
      <c r="L1617" s="11"/>
      <c r="M1617" s="14">
        <v>689.21</v>
      </c>
      <c r="N1617" s="11" t="s">
        <v>3033</v>
      </c>
      <c r="O1617" s="11" t="s">
        <v>50</v>
      </c>
    </row>
    <row r="1618" spans="1:15" s="13" customFormat="1" ht="19.5" customHeight="1" x14ac:dyDescent="0.25">
      <c r="A1618" s="11" t="s">
        <v>3087</v>
      </c>
      <c r="B1618" s="11" t="s">
        <v>3087</v>
      </c>
      <c r="C1618" s="12">
        <v>46071</v>
      </c>
      <c r="D1618" s="12">
        <v>46071</v>
      </c>
      <c r="E1618" s="11" t="s">
        <v>6</v>
      </c>
      <c r="F1618" s="11" t="s">
        <v>295</v>
      </c>
      <c r="G1618" s="11" t="s">
        <v>3087</v>
      </c>
      <c r="H1618" s="11"/>
      <c r="I1618" s="11" t="s">
        <v>49</v>
      </c>
      <c r="J1618" s="11">
        <v>327.54000000000002</v>
      </c>
      <c r="K1618" s="11">
        <v>327.54000000000002</v>
      </c>
      <c r="L1618" s="11"/>
      <c r="M1618" s="14">
        <v>327.54000000000002</v>
      </c>
      <c r="N1618" s="11" t="s">
        <v>3033</v>
      </c>
      <c r="O1618" s="11" t="s">
        <v>50</v>
      </c>
    </row>
    <row r="1619" spans="1:15" s="13" customFormat="1" ht="19.5" customHeight="1" x14ac:dyDescent="0.25">
      <c r="A1619" s="11" t="s">
        <v>3088</v>
      </c>
      <c r="B1619" s="11" t="s">
        <v>3088</v>
      </c>
      <c r="C1619" s="12">
        <v>46071</v>
      </c>
      <c r="D1619" s="12">
        <v>46071</v>
      </c>
      <c r="E1619" s="11" t="s">
        <v>6</v>
      </c>
      <c r="F1619" s="11" t="s">
        <v>295</v>
      </c>
      <c r="G1619" s="11" t="s">
        <v>3088</v>
      </c>
      <c r="H1619" s="11"/>
      <c r="I1619" s="11" t="s">
        <v>49</v>
      </c>
      <c r="J1619" s="11">
        <v>479.91</v>
      </c>
      <c r="K1619" s="11">
        <v>479.91</v>
      </c>
      <c r="L1619" s="11"/>
      <c r="M1619" s="14">
        <v>479.91</v>
      </c>
      <c r="N1619" s="11" t="s">
        <v>3033</v>
      </c>
      <c r="O1619" s="11" t="s">
        <v>50</v>
      </c>
    </row>
    <row r="1620" spans="1:15" s="13" customFormat="1" ht="19.5" customHeight="1" x14ac:dyDescent="0.25">
      <c r="A1620" s="11" t="s">
        <v>3089</v>
      </c>
      <c r="B1620" s="11" t="s">
        <v>3089</v>
      </c>
      <c r="C1620" s="12">
        <v>46071</v>
      </c>
      <c r="D1620" s="12">
        <v>46071</v>
      </c>
      <c r="E1620" s="11" t="s">
        <v>6</v>
      </c>
      <c r="F1620" s="11" t="s">
        <v>295</v>
      </c>
      <c r="G1620" s="11" t="s">
        <v>3089</v>
      </c>
      <c r="H1620" s="11"/>
      <c r="I1620" s="11" t="s">
        <v>49</v>
      </c>
      <c r="J1620" s="11">
        <v>304.72000000000003</v>
      </c>
      <c r="K1620" s="11">
        <v>304.72000000000003</v>
      </c>
      <c r="L1620" s="11"/>
      <c r="M1620" s="14">
        <v>304.72000000000003</v>
      </c>
      <c r="N1620" s="11" t="s">
        <v>3033</v>
      </c>
      <c r="O1620" s="11" t="s">
        <v>50</v>
      </c>
    </row>
    <row r="1621" spans="1:15" s="13" customFormat="1" ht="19.5" customHeight="1" x14ac:dyDescent="0.25">
      <c r="A1621" s="11" t="s">
        <v>3090</v>
      </c>
      <c r="B1621" s="11" t="s">
        <v>3090</v>
      </c>
      <c r="C1621" s="12">
        <v>46071</v>
      </c>
      <c r="D1621" s="12">
        <v>46071</v>
      </c>
      <c r="E1621" s="11" t="s">
        <v>6</v>
      </c>
      <c r="F1621" s="11" t="s">
        <v>2875</v>
      </c>
      <c r="G1621" s="11" t="s">
        <v>3090</v>
      </c>
      <c r="H1621" s="11"/>
      <c r="I1621" s="11" t="s">
        <v>49</v>
      </c>
      <c r="J1621" s="11">
        <v>1135.75</v>
      </c>
      <c r="K1621" s="11">
        <v>1135.75</v>
      </c>
      <c r="L1621" s="11"/>
      <c r="M1621" s="14">
        <v>1135.75</v>
      </c>
      <c r="N1621" s="11" t="s">
        <v>3033</v>
      </c>
      <c r="O1621" s="11" t="s">
        <v>50</v>
      </c>
    </row>
    <row r="1622" spans="1:15" s="13" customFormat="1" ht="19.5" customHeight="1" x14ac:dyDescent="0.25">
      <c r="A1622" s="11" t="s">
        <v>3091</v>
      </c>
      <c r="B1622" s="11" t="s">
        <v>3091</v>
      </c>
      <c r="C1622" s="12">
        <v>46071</v>
      </c>
      <c r="D1622" s="12">
        <v>46071</v>
      </c>
      <c r="E1622" s="11" t="s">
        <v>6</v>
      </c>
      <c r="F1622" s="11" t="s">
        <v>275</v>
      </c>
      <c r="G1622" s="11" t="s">
        <v>3091</v>
      </c>
      <c r="H1622" s="11"/>
      <c r="I1622" s="11" t="s">
        <v>49</v>
      </c>
      <c r="J1622" s="11">
        <v>45.7</v>
      </c>
      <c r="K1622" s="11">
        <v>45.7</v>
      </c>
      <c r="L1622" s="11"/>
      <c r="M1622" s="14">
        <v>45.7</v>
      </c>
      <c r="N1622" s="11" t="s">
        <v>3033</v>
      </c>
      <c r="O1622" s="11" t="s">
        <v>50</v>
      </c>
    </row>
    <row r="1623" spans="1:15" s="13" customFormat="1" ht="19.5" customHeight="1" x14ac:dyDescent="0.25">
      <c r="A1623" s="11" t="s">
        <v>3092</v>
      </c>
      <c r="B1623" s="11" t="s">
        <v>3092</v>
      </c>
      <c r="C1623" s="12">
        <v>46071</v>
      </c>
      <c r="D1623" s="12">
        <v>46071</v>
      </c>
      <c r="E1623" s="11" t="s">
        <v>6</v>
      </c>
      <c r="F1623" s="11" t="s">
        <v>295</v>
      </c>
      <c r="G1623" s="11" t="s">
        <v>3092</v>
      </c>
      <c r="H1623" s="11"/>
      <c r="I1623" s="11" t="s">
        <v>49</v>
      </c>
      <c r="J1623" s="11">
        <v>689.21</v>
      </c>
      <c r="K1623" s="11">
        <v>689.21</v>
      </c>
      <c r="L1623" s="11"/>
      <c r="M1623" s="14">
        <v>689.21</v>
      </c>
      <c r="N1623" s="11" t="s">
        <v>3033</v>
      </c>
      <c r="O1623" s="11" t="s">
        <v>75</v>
      </c>
    </row>
    <row r="1624" spans="1:15" s="13" customFormat="1" ht="19.5" customHeight="1" x14ac:dyDescent="0.25">
      <c r="A1624" s="11" t="s">
        <v>3093</v>
      </c>
      <c r="B1624" s="11" t="s">
        <v>3093</v>
      </c>
      <c r="C1624" s="12">
        <v>46065</v>
      </c>
      <c r="D1624" s="12">
        <v>46065</v>
      </c>
      <c r="E1624" s="11" t="s">
        <v>6</v>
      </c>
      <c r="F1624" s="11" t="s">
        <v>119</v>
      </c>
      <c r="G1624" s="11" t="s">
        <v>3093</v>
      </c>
      <c r="H1624" s="11"/>
      <c r="I1624" s="11" t="s">
        <v>49</v>
      </c>
      <c r="J1624" s="11">
        <v>250.74</v>
      </c>
      <c r="K1624" s="11">
        <v>250.74</v>
      </c>
      <c r="L1624" s="11"/>
      <c r="M1624" s="14">
        <v>250.74</v>
      </c>
      <c r="N1624" s="11" t="s">
        <v>3033</v>
      </c>
      <c r="O1624" s="11" t="s">
        <v>75</v>
      </c>
    </row>
    <row r="1625" spans="1:15" s="13" customFormat="1" ht="19.5" customHeight="1" x14ac:dyDescent="0.25">
      <c r="A1625" s="11" t="s">
        <v>3094</v>
      </c>
      <c r="B1625" s="11" t="s">
        <v>3094</v>
      </c>
      <c r="C1625" s="12">
        <v>46063</v>
      </c>
      <c r="D1625" s="12">
        <v>46063</v>
      </c>
      <c r="E1625" s="11" t="s">
        <v>6</v>
      </c>
      <c r="F1625" s="11" t="s">
        <v>295</v>
      </c>
      <c r="G1625" s="11" t="s">
        <v>3094</v>
      </c>
      <c r="H1625" s="11"/>
      <c r="I1625" s="11" t="s">
        <v>49</v>
      </c>
      <c r="J1625" s="11">
        <v>47.02</v>
      </c>
      <c r="K1625" s="11">
        <v>47.02</v>
      </c>
      <c r="L1625" s="11"/>
      <c r="M1625" s="14">
        <v>47.02</v>
      </c>
      <c r="N1625" s="11" t="s">
        <v>3033</v>
      </c>
      <c r="O1625" s="11" t="s">
        <v>75</v>
      </c>
    </row>
    <row r="1626" spans="1:15" s="13" customFormat="1" ht="19.5" customHeight="1" x14ac:dyDescent="0.25">
      <c r="A1626" s="11" t="s">
        <v>3095</v>
      </c>
      <c r="B1626" s="11" t="s">
        <v>3095</v>
      </c>
      <c r="C1626" s="12">
        <v>46059</v>
      </c>
      <c r="D1626" s="12">
        <v>46059</v>
      </c>
      <c r="E1626" s="11" t="s">
        <v>6</v>
      </c>
      <c r="F1626" s="11" t="s">
        <v>3096</v>
      </c>
      <c r="G1626" s="11" t="s">
        <v>3095</v>
      </c>
      <c r="H1626" s="11"/>
      <c r="I1626" s="11" t="s">
        <v>49</v>
      </c>
      <c r="J1626" s="11">
        <v>99.94</v>
      </c>
      <c r="K1626" s="11">
        <v>99.94</v>
      </c>
      <c r="L1626" s="11"/>
      <c r="M1626" s="14">
        <v>99.94</v>
      </c>
      <c r="N1626" s="11" t="s">
        <v>3033</v>
      </c>
      <c r="O1626" s="11" t="s">
        <v>75</v>
      </c>
    </row>
    <row r="1627" spans="1:15" s="13" customFormat="1" ht="19.5" customHeight="1" x14ac:dyDescent="0.25">
      <c r="A1627" s="11" t="s">
        <v>3097</v>
      </c>
      <c r="B1627" s="11" t="s">
        <v>3097</v>
      </c>
      <c r="C1627" s="12">
        <v>46059</v>
      </c>
      <c r="D1627" s="12">
        <v>46059</v>
      </c>
      <c r="E1627" s="11" t="s">
        <v>6</v>
      </c>
      <c r="F1627" s="11" t="s">
        <v>295</v>
      </c>
      <c r="G1627" s="11" t="s">
        <v>3097</v>
      </c>
      <c r="H1627" s="11"/>
      <c r="I1627" s="11" t="s">
        <v>49</v>
      </c>
      <c r="J1627" s="11">
        <v>150.44999999999999</v>
      </c>
      <c r="K1627" s="11">
        <v>150.44999999999999</v>
      </c>
      <c r="L1627" s="11"/>
      <c r="M1627" s="14">
        <v>150.44999999999999</v>
      </c>
      <c r="N1627" s="11" t="s">
        <v>3033</v>
      </c>
      <c r="O1627" s="11" t="s">
        <v>75</v>
      </c>
    </row>
    <row r="1628" spans="1:15" s="13" customFormat="1" ht="19.5" customHeight="1" x14ac:dyDescent="0.25">
      <c r="A1628" s="11" t="s">
        <v>3098</v>
      </c>
      <c r="B1628" s="11" t="s">
        <v>3098</v>
      </c>
      <c r="C1628" s="12">
        <v>46057</v>
      </c>
      <c r="D1628" s="12">
        <v>46057</v>
      </c>
      <c r="E1628" s="11" t="s">
        <v>6</v>
      </c>
      <c r="F1628" s="11" t="s">
        <v>295</v>
      </c>
      <c r="G1628" s="11" t="s">
        <v>3098</v>
      </c>
      <c r="H1628" s="11"/>
      <c r="I1628" s="11" t="s">
        <v>49</v>
      </c>
      <c r="J1628" s="11">
        <v>454.79</v>
      </c>
      <c r="K1628" s="11">
        <v>454.79</v>
      </c>
      <c r="L1628" s="11"/>
      <c r="M1628" s="14">
        <v>454.79</v>
      </c>
      <c r="N1628" s="11" t="s">
        <v>3033</v>
      </c>
      <c r="O1628" s="11" t="s">
        <v>75</v>
      </c>
    </row>
    <row r="1629" spans="1:15" s="13" customFormat="1" ht="19.5" customHeight="1" x14ac:dyDescent="0.25">
      <c r="A1629" s="11" t="s">
        <v>3099</v>
      </c>
      <c r="B1629" s="11" t="s">
        <v>3099</v>
      </c>
      <c r="C1629" s="12">
        <v>46057</v>
      </c>
      <c r="D1629" s="12">
        <v>46057</v>
      </c>
      <c r="E1629" s="11" t="s">
        <v>6</v>
      </c>
      <c r="F1629" s="11" t="s">
        <v>295</v>
      </c>
      <c r="G1629" s="11" t="s">
        <v>3099</v>
      </c>
      <c r="H1629" s="11"/>
      <c r="I1629" s="11" t="s">
        <v>49</v>
      </c>
      <c r="J1629" s="11">
        <v>167.17</v>
      </c>
      <c r="K1629" s="11">
        <v>167.17</v>
      </c>
      <c r="L1629" s="11"/>
      <c r="M1629" s="14">
        <v>167.17</v>
      </c>
      <c r="N1629" s="11" t="s">
        <v>3033</v>
      </c>
      <c r="O1629" s="11" t="s">
        <v>75</v>
      </c>
    </row>
    <row r="1630" spans="1:15" s="13" customFormat="1" ht="19.5" customHeight="1" x14ac:dyDescent="0.25">
      <c r="A1630" s="11" t="s">
        <v>3100</v>
      </c>
      <c r="B1630" s="11" t="s">
        <v>3100</v>
      </c>
      <c r="C1630" s="12">
        <v>46057</v>
      </c>
      <c r="D1630" s="12">
        <v>46057</v>
      </c>
      <c r="E1630" s="11" t="s">
        <v>6</v>
      </c>
      <c r="F1630" s="11" t="s">
        <v>295</v>
      </c>
      <c r="G1630" s="11" t="s">
        <v>3100</v>
      </c>
      <c r="H1630" s="11"/>
      <c r="I1630" s="11" t="s">
        <v>49</v>
      </c>
      <c r="J1630" s="11">
        <v>690.45</v>
      </c>
      <c r="K1630" s="11">
        <v>690.45</v>
      </c>
      <c r="L1630" s="11"/>
      <c r="M1630" s="14">
        <v>690.45</v>
      </c>
      <c r="N1630" s="11" t="s">
        <v>3033</v>
      </c>
      <c r="O1630" s="11" t="s">
        <v>75</v>
      </c>
    </row>
    <row r="1631" spans="1:15" s="13" customFormat="1" ht="19.5" customHeight="1" x14ac:dyDescent="0.25">
      <c r="A1631" s="11" t="s">
        <v>3101</v>
      </c>
      <c r="B1631" s="11" t="s">
        <v>3101</v>
      </c>
      <c r="C1631" s="12">
        <v>46057</v>
      </c>
      <c r="D1631" s="12">
        <v>46057</v>
      </c>
      <c r="E1631" s="11" t="s">
        <v>6</v>
      </c>
      <c r="F1631" s="11" t="s">
        <v>295</v>
      </c>
      <c r="G1631" s="11" t="s">
        <v>3101</v>
      </c>
      <c r="H1631" s="11"/>
      <c r="I1631" s="11" t="s">
        <v>49</v>
      </c>
      <c r="J1631" s="11">
        <v>691.22</v>
      </c>
      <c r="K1631" s="11">
        <v>691.22</v>
      </c>
      <c r="L1631" s="11"/>
      <c r="M1631" s="14">
        <v>691.22</v>
      </c>
      <c r="N1631" s="11" t="s">
        <v>3033</v>
      </c>
      <c r="O1631" s="11" t="s">
        <v>75</v>
      </c>
    </row>
    <row r="1632" spans="1:15" s="13" customFormat="1" ht="19.5" customHeight="1" x14ac:dyDescent="0.25">
      <c r="A1632" s="11" t="s">
        <v>3102</v>
      </c>
      <c r="B1632" s="11" t="s">
        <v>3102</v>
      </c>
      <c r="C1632" s="12">
        <v>46057</v>
      </c>
      <c r="D1632" s="12">
        <v>46057</v>
      </c>
      <c r="E1632" s="11" t="s">
        <v>6</v>
      </c>
      <c r="F1632" s="11" t="s">
        <v>295</v>
      </c>
      <c r="G1632" s="11" t="s">
        <v>3102</v>
      </c>
      <c r="H1632" s="11"/>
      <c r="I1632" s="11" t="s">
        <v>49</v>
      </c>
      <c r="J1632" s="11">
        <v>623.54</v>
      </c>
      <c r="K1632" s="11">
        <v>623.54</v>
      </c>
      <c r="L1632" s="11"/>
      <c r="M1632" s="14">
        <v>623.54</v>
      </c>
      <c r="N1632" s="11" t="s">
        <v>3033</v>
      </c>
      <c r="O1632" s="11" t="s">
        <v>75</v>
      </c>
    </row>
    <row r="1633" spans="1:15" s="13" customFormat="1" ht="19.5" customHeight="1" x14ac:dyDescent="0.25">
      <c r="A1633" s="11" t="s">
        <v>3103</v>
      </c>
      <c r="B1633" s="11" t="s">
        <v>3103</v>
      </c>
      <c r="C1633" s="12">
        <v>46112</v>
      </c>
      <c r="D1633" s="12">
        <v>46157</v>
      </c>
      <c r="E1633" s="11" t="s">
        <v>6</v>
      </c>
      <c r="F1633" s="11" t="s">
        <v>64</v>
      </c>
      <c r="G1633" s="11" t="s">
        <v>3103</v>
      </c>
      <c r="H1633" s="11"/>
      <c r="I1633" s="11" t="s">
        <v>49</v>
      </c>
      <c r="J1633" s="11">
        <v>16357.05</v>
      </c>
      <c r="K1633" s="11">
        <v>16357.05</v>
      </c>
      <c r="L1633" s="11"/>
      <c r="M1633" s="14">
        <v>16357.05</v>
      </c>
      <c r="N1633" s="11" t="s">
        <v>3104</v>
      </c>
      <c r="O1633" s="11" t="s">
        <v>50</v>
      </c>
    </row>
    <row r="1634" spans="1:15" s="13" customFormat="1" ht="19.5" customHeight="1" x14ac:dyDescent="0.25">
      <c r="A1634" s="11" t="s">
        <v>3103</v>
      </c>
      <c r="B1634" s="11" t="s">
        <v>3103</v>
      </c>
      <c r="C1634" s="12">
        <v>46112</v>
      </c>
      <c r="D1634" s="12">
        <v>46167</v>
      </c>
      <c r="E1634" s="11" t="s">
        <v>6</v>
      </c>
      <c r="F1634" s="11" t="s">
        <v>64</v>
      </c>
      <c r="G1634" s="11" t="s">
        <v>3103</v>
      </c>
      <c r="H1634" s="11"/>
      <c r="I1634" s="11" t="s">
        <v>49</v>
      </c>
      <c r="J1634" s="11">
        <v>16357.05</v>
      </c>
      <c r="K1634" s="11">
        <v>16357.05</v>
      </c>
      <c r="L1634" s="11"/>
      <c r="M1634" s="14">
        <v>16357.05</v>
      </c>
      <c r="N1634" s="11" t="s">
        <v>3104</v>
      </c>
      <c r="O1634" s="11" t="s">
        <v>50</v>
      </c>
    </row>
    <row r="1635" spans="1:15" s="13" customFormat="1" ht="19.5" customHeight="1" x14ac:dyDescent="0.25">
      <c r="A1635" s="11" t="s">
        <v>3103</v>
      </c>
      <c r="B1635" s="11" t="s">
        <v>3103</v>
      </c>
      <c r="C1635" s="12">
        <v>46112</v>
      </c>
      <c r="D1635" s="12">
        <v>46177</v>
      </c>
      <c r="E1635" s="11" t="s">
        <v>6</v>
      </c>
      <c r="F1635" s="11" t="s">
        <v>64</v>
      </c>
      <c r="G1635" s="11" t="s">
        <v>3103</v>
      </c>
      <c r="H1635" s="11"/>
      <c r="I1635" s="11" t="s">
        <v>49</v>
      </c>
      <c r="J1635" s="11">
        <v>16357.05</v>
      </c>
      <c r="K1635" s="11">
        <v>16357.05</v>
      </c>
      <c r="L1635" s="11"/>
      <c r="M1635" s="14">
        <v>16357.05</v>
      </c>
      <c r="N1635" s="11" t="s">
        <v>3104</v>
      </c>
      <c r="O1635" s="11" t="s">
        <v>50</v>
      </c>
    </row>
    <row r="1636" spans="1:15" s="13" customFormat="1" ht="19.5" customHeight="1" x14ac:dyDescent="0.25">
      <c r="A1636" s="11" t="s">
        <v>3103</v>
      </c>
      <c r="B1636" s="11" t="s">
        <v>3103</v>
      </c>
      <c r="C1636" s="12">
        <v>46112</v>
      </c>
      <c r="D1636" s="12">
        <v>46187</v>
      </c>
      <c r="E1636" s="11" t="s">
        <v>6</v>
      </c>
      <c r="F1636" s="11" t="s">
        <v>64</v>
      </c>
      <c r="G1636" s="11" t="s">
        <v>3103</v>
      </c>
      <c r="H1636" s="11"/>
      <c r="I1636" s="11" t="s">
        <v>49</v>
      </c>
      <c r="J1636" s="11">
        <v>16357.05</v>
      </c>
      <c r="K1636" s="11">
        <v>16357.05</v>
      </c>
      <c r="L1636" s="11"/>
      <c r="M1636" s="14">
        <v>16357.05</v>
      </c>
      <c r="N1636" s="11" t="s">
        <v>3104</v>
      </c>
      <c r="O1636" s="11" t="s">
        <v>50</v>
      </c>
    </row>
    <row r="1637" spans="1:15" s="13" customFormat="1" ht="19.5" customHeight="1" x14ac:dyDescent="0.25">
      <c r="A1637" s="11" t="s">
        <v>3103</v>
      </c>
      <c r="B1637" s="11" t="s">
        <v>3103</v>
      </c>
      <c r="C1637" s="12">
        <v>46112</v>
      </c>
      <c r="D1637" s="12">
        <v>46197</v>
      </c>
      <c r="E1637" s="11" t="s">
        <v>6</v>
      </c>
      <c r="F1637" s="11" t="s">
        <v>64</v>
      </c>
      <c r="G1637" s="11" t="s">
        <v>3103</v>
      </c>
      <c r="H1637" s="11"/>
      <c r="I1637" s="11" t="s">
        <v>49</v>
      </c>
      <c r="J1637" s="11">
        <v>16357.05</v>
      </c>
      <c r="K1637" s="11">
        <v>16357.05</v>
      </c>
      <c r="L1637" s="11"/>
      <c r="M1637" s="14">
        <v>16357.05</v>
      </c>
      <c r="N1637" s="11" t="s">
        <v>3104</v>
      </c>
      <c r="O1637" s="11" t="s">
        <v>50</v>
      </c>
    </row>
    <row r="1638" spans="1:15" s="13" customFormat="1" ht="19.5" customHeight="1" x14ac:dyDescent="0.25">
      <c r="A1638" s="11" t="s">
        <v>3103</v>
      </c>
      <c r="B1638" s="11" t="s">
        <v>3103</v>
      </c>
      <c r="C1638" s="12">
        <v>46112</v>
      </c>
      <c r="D1638" s="12">
        <v>46207</v>
      </c>
      <c r="E1638" s="11" t="s">
        <v>6</v>
      </c>
      <c r="F1638" s="11" t="s">
        <v>64</v>
      </c>
      <c r="G1638" s="11" t="s">
        <v>3103</v>
      </c>
      <c r="H1638" s="11"/>
      <c r="I1638" s="11" t="s">
        <v>49</v>
      </c>
      <c r="J1638" s="11">
        <v>16357.05</v>
      </c>
      <c r="K1638" s="11">
        <v>16357.05</v>
      </c>
      <c r="L1638" s="11"/>
      <c r="M1638" s="14">
        <v>16357.05</v>
      </c>
      <c r="N1638" s="11" t="s">
        <v>3104</v>
      </c>
      <c r="O1638" s="11" t="s">
        <v>50</v>
      </c>
    </row>
    <row r="1639" spans="1:15" s="13" customFormat="1" ht="19.5" customHeight="1" x14ac:dyDescent="0.25">
      <c r="A1639" s="11" t="s">
        <v>3103</v>
      </c>
      <c r="B1639" s="11" t="s">
        <v>3103</v>
      </c>
      <c r="C1639" s="12">
        <v>46112</v>
      </c>
      <c r="D1639" s="12">
        <v>46217</v>
      </c>
      <c r="E1639" s="11" t="s">
        <v>6</v>
      </c>
      <c r="F1639" s="11" t="s">
        <v>64</v>
      </c>
      <c r="G1639" s="11" t="s">
        <v>3103</v>
      </c>
      <c r="H1639" s="11"/>
      <c r="I1639" s="11" t="s">
        <v>49</v>
      </c>
      <c r="J1639" s="11">
        <v>16322.72</v>
      </c>
      <c r="K1639" s="11">
        <v>16322.72</v>
      </c>
      <c r="L1639" s="11"/>
      <c r="M1639" s="14">
        <v>16322.72</v>
      </c>
      <c r="N1639" s="11" t="s">
        <v>3104</v>
      </c>
      <c r="O1639" s="11" t="s">
        <v>50</v>
      </c>
    </row>
    <row r="1640" spans="1:15" s="13" customFormat="1" ht="19.5" customHeight="1" x14ac:dyDescent="0.25">
      <c r="A1640" s="11" t="s">
        <v>3105</v>
      </c>
      <c r="B1640" s="11" t="s">
        <v>3105</v>
      </c>
      <c r="C1640" s="12">
        <v>46112</v>
      </c>
      <c r="D1640" s="12">
        <v>46157</v>
      </c>
      <c r="E1640" s="11" t="s">
        <v>6</v>
      </c>
      <c r="F1640" s="11" t="s">
        <v>64</v>
      </c>
      <c r="G1640" s="11" t="s">
        <v>3105</v>
      </c>
      <c r="H1640" s="11"/>
      <c r="I1640" s="11" t="s">
        <v>49</v>
      </c>
      <c r="J1640" s="11">
        <v>16710.07</v>
      </c>
      <c r="K1640" s="11">
        <v>16710.07</v>
      </c>
      <c r="L1640" s="11"/>
      <c r="M1640" s="14">
        <v>16710.07</v>
      </c>
      <c r="N1640" s="11" t="s">
        <v>3106</v>
      </c>
      <c r="O1640" s="11" t="s">
        <v>50</v>
      </c>
    </row>
    <row r="1641" spans="1:15" s="13" customFormat="1" ht="19.5" customHeight="1" x14ac:dyDescent="0.25">
      <c r="A1641" s="11" t="s">
        <v>3105</v>
      </c>
      <c r="B1641" s="11" t="s">
        <v>3105</v>
      </c>
      <c r="C1641" s="12">
        <v>46112</v>
      </c>
      <c r="D1641" s="12">
        <v>46167</v>
      </c>
      <c r="E1641" s="11" t="s">
        <v>6</v>
      </c>
      <c r="F1641" s="11" t="s">
        <v>64</v>
      </c>
      <c r="G1641" s="11" t="s">
        <v>3105</v>
      </c>
      <c r="H1641" s="11"/>
      <c r="I1641" s="11" t="s">
        <v>49</v>
      </c>
      <c r="J1641" s="11">
        <v>16710.07</v>
      </c>
      <c r="K1641" s="11">
        <v>16710.07</v>
      </c>
      <c r="L1641" s="11"/>
      <c r="M1641" s="14">
        <v>16710.07</v>
      </c>
      <c r="N1641" s="11" t="s">
        <v>3106</v>
      </c>
      <c r="O1641" s="11" t="s">
        <v>50</v>
      </c>
    </row>
    <row r="1642" spans="1:15" s="13" customFormat="1" ht="19.5" customHeight="1" x14ac:dyDescent="0.25">
      <c r="A1642" s="11" t="s">
        <v>3105</v>
      </c>
      <c r="B1642" s="11" t="s">
        <v>3105</v>
      </c>
      <c r="C1642" s="12">
        <v>46112</v>
      </c>
      <c r="D1642" s="12">
        <v>46177</v>
      </c>
      <c r="E1642" s="11" t="s">
        <v>6</v>
      </c>
      <c r="F1642" s="11" t="s">
        <v>64</v>
      </c>
      <c r="G1642" s="11" t="s">
        <v>3105</v>
      </c>
      <c r="H1642" s="11"/>
      <c r="I1642" s="11" t="s">
        <v>49</v>
      </c>
      <c r="J1642" s="11">
        <v>16710.07</v>
      </c>
      <c r="K1642" s="11">
        <v>16710.07</v>
      </c>
      <c r="L1642" s="11"/>
      <c r="M1642" s="14">
        <v>16710.07</v>
      </c>
      <c r="N1642" s="11" t="s">
        <v>3106</v>
      </c>
      <c r="O1642" s="11" t="s">
        <v>50</v>
      </c>
    </row>
    <row r="1643" spans="1:15" s="13" customFormat="1" ht="19.5" customHeight="1" x14ac:dyDescent="0.25">
      <c r="A1643" s="11" t="s">
        <v>3105</v>
      </c>
      <c r="B1643" s="11" t="s">
        <v>3105</v>
      </c>
      <c r="C1643" s="12">
        <v>46112</v>
      </c>
      <c r="D1643" s="12">
        <v>46187</v>
      </c>
      <c r="E1643" s="11" t="s">
        <v>6</v>
      </c>
      <c r="F1643" s="11" t="s">
        <v>64</v>
      </c>
      <c r="G1643" s="11" t="s">
        <v>3105</v>
      </c>
      <c r="H1643" s="11"/>
      <c r="I1643" s="11" t="s">
        <v>49</v>
      </c>
      <c r="J1643" s="11">
        <v>16710.07</v>
      </c>
      <c r="K1643" s="11">
        <v>16710.07</v>
      </c>
      <c r="L1643" s="11"/>
      <c r="M1643" s="14">
        <v>16710.07</v>
      </c>
      <c r="N1643" s="11" t="s">
        <v>3106</v>
      </c>
      <c r="O1643" s="11" t="s">
        <v>50</v>
      </c>
    </row>
    <row r="1644" spans="1:15" s="13" customFormat="1" ht="19.5" customHeight="1" x14ac:dyDescent="0.25">
      <c r="A1644" s="11" t="s">
        <v>3105</v>
      </c>
      <c r="B1644" s="11" t="s">
        <v>3105</v>
      </c>
      <c r="C1644" s="12">
        <v>46112</v>
      </c>
      <c r="D1644" s="12">
        <v>46197</v>
      </c>
      <c r="E1644" s="11" t="s">
        <v>6</v>
      </c>
      <c r="F1644" s="11" t="s">
        <v>64</v>
      </c>
      <c r="G1644" s="11" t="s">
        <v>3105</v>
      </c>
      <c r="H1644" s="11"/>
      <c r="I1644" s="11" t="s">
        <v>49</v>
      </c>
      <c r="J1644" s="11">
        <v>16710.07</v>
      </c>
      <c r="K1644" s="11">
        <v>16710.07</v>
      </c>
      <c r="L1644" s="11"/>
      <c r="M1644" s="14">
        <v>16710.07</v>
      </c>
      <c r="N1644" s="11" t="s">
        <v>3106</v>
      </c>
      <c r="O1644" s="11" t="s">
        <v>50</v>
      </c>
    </row>
    <row r="1645" spans="1:15" s="13" customFormat="1" ht="19.5" customHeight="1" x14ac:dyDescent="0.25">
      <c r="A1645" s="11" t="s">
        <v>3105</v>
      </c>
      <c r="B1645" s="11" t="s">
        <v>3105</v>
      </c>
      <c r="C1645" s="12">
        <v>46112</v>
      </c>
      <c r="D1645" s="12">
        <v>46207</v>
      </c>
      <c r="E1645" s="11" t="s">
        <v>6</v>
      </c>
      <c r="F1645" s="11" t="s">
        <v>64</v>
      </c>
      <c r="G1645" s="11" t="s">
        <v>3105</v>
      </c>
      <c r="H1645" s="11"/>
      <c r="I1645" s="11" t="s">
        <v>49</v>
      </c>
      <c r="J1645" s="11">
        <v>16710.07</v>
      </c>
      <c r="K1645" s="11">
        <v>16710.07</v>
      </c>
      <c r="L1645" s="11"/>
      <c r="M1645" s="14">
        <v>16710.07</v>
      </c>
      <c r="N1645" s="11" t="s">
        <v>3106</v>
      </c>
      <c r="O1645" s="11" t="s">
        <v>50</v>
      </c>
    </row>
    <row r="1646" spans="1:15" s="13" customFormat="1" ht="19.5" customHeight="1" x14ac:dyDescent="0.25">
      <c r="A1646" s="11" t="s">
        <v>3105</v>
      </c>
      <c r="B1646" s="11" t="s">
        <v>3105</v>
      </c>
      <c r="C1646" s="12">
        <v>46112</v>
      </c>
      <c r="D1646" s="12">
        <v>46217</v>
      </c>
      <c r="E1646" s="11" t="s">
        <v>6</v>
      </c>
      <c r="F1646" s="11" t="s">
        <v>64</v>
      </c>
      <c r="G1646" s="11" t="s">
        <v>3105</v>
      </c>
      <c r="H1646" s="11"/>
      <c r="I1646" s="11" t="s">
        <v>49</v>
      </c>
      <c r="J1646" s="11">
        <v>16710.07</v>
      </c>
      <c r="K1646" s="11">
        <v>16710.07</v>
      </c>
      <c r="L1646" s="11"/>
      <c r="M1646" s="14">
        <v>16710.07</v>
      </c>
      <c r="N1646" s="11" t="s">
        <v>3106</v>
      </c>
      <c r="O1646" s="11" t="s">
        <v>50</v>
      </c>
    </row>
    <row r="1647" spans="1:15" s="13" customFormat="1" ht="19.5" customHeight="1" x14ac:dyDescent="0.25">
      <c r="A1647" s="11" t="s">
        <v>3105</v>
      </c>
      <c r="B1647" s="11" t="s">
        <v>3105</v>
      </c>
      <c r="C1647" s="12">
        <v>46112</v>
      </c>
      <c r="D1647" s="12">
        <v>46227</v>
      </c>
      <c r="E1647" s="11" t="s">
        <v>6</v>
      </c>
      <c r="F1647" s="11" t="s">
        <v>64</v>
      </c>
      <c r="G1647" s="11" t="s">
        <v>3105</v>
      </c>
      <c r="H1647" s="11"/>
      <c r="I1647" s="11" t="s">
        <v>49</v>
      </c>
      <c r="J1647" s="11">
        <v>16710.07</v>
      </c>
      <c r="K1647" s="11">
        <v>16710.07</v>
      </c>
      <c r="L1647" s="11"/>
      <c r="M1647" s="14">
        <v>16710.07</v>
      </c>
      <c r="N1647" s="11" t="s">
        <v>3106</v>
      </c>
      <c r="O1647" s="11" t="s">
        <v>50</v>
      </c>
    </row>
    <row r="1648" spans="1:15" s="13" customFormat="1" ht="19.5" customHeight="1" x14ac:dyDescent="0.25">
      <c r="A1648" s="11" t="s">
        <v>3105</v>
      </c>
      <c r="B1648" s="11" t="s">
        <v>3105</v>
      </c>
      <c r="C1648" s="12">
        <v>46112</v>
      </c>
      <c r="D1648" s="12">
        <v>46237</v>
      </c>
      <c r="E1648" s="11" t="s">
        <v>6</v>
      </c>
      <c r="F1648" s="11" t="s">
        <v>64</v>
      </c>
      <c r="G1648" s="11" t="s">
        <v>3105</v>
      </c>
      <c r="H1648" s="11"/>
      <c r="I1648" s="11" t="s">
        <v>49</v>
      </c>
      <c r="J1648" s="11">
        <v>16725.080000000002</v>
      </c>
      <c r="K1648" s="11">
        <v>16725.080000000002</v>
      </c>
      <c r="L1648" s="11"/>
      <c r="M1648" s="14">
        <v>16725.080000000002</v>
      </c>
      <c r="N1648" s="11" t="s">
        <v>3106</v>
      </c>
      <c r="O1648" s="11" t="s">
        <v>50</v>
      </c>
    </row>
    <row r="1649" spans="1:15" s="13" customFormat="1" ht="19.5" customHeight="1" x14ac:dyDescent="0.25">
      <c r="A1649" s="11" t="s">
        <v>3107</v>
      </c>
      <c r="B1649" s="11" t="s">
        <v>3107</v>
      </c>
      <c r="C1649" s="12">
        <v>46112</v>
      </c>
      <c r="D1649" s="12">
        <v>46157</v>
      </c>
      <c r="E1649" s="11" t="s">
        <v>6</v>
      </c>
      <c r="F1649" s="11" t="s">
        <v>64</v>
      </c>
      <c r="G1649" s="11" t="s">
        <v>3107</v>
      </c>
      <c r="H1649" s="11"/>
      <c r="I1649" s="11" t="s">
        <v>49</v>
      </c>
      <c r="J1649" s="11">
        <v>6659.05</v>
      </c>
      <c r="K1649" s="11">
        <v>6659.05</v>
      </c>
      <c r="L1649" s="11"/>
      <c r="M1649" s="14">
        <v>6659.05</v>
      </c>
      <c r="N1649" s="11" t="s">
        <v>3108</v>
      </c>
      <c r="O1649" s="11" t="s">
        <v>50</v>
      </c>
    </row>
    <row r="1650" spans="1:15" s="13" customFormat="1" ht="19.5" customHeight="1" x14ac:dyDescent="0.25">
      <c r="A1650" s="11" t="s">
        <v>3107</v>
      </c>
      <c r="B1650" s="11" t="s">
        <v>3107</v>
      </c>
      <c r="C1650" s="12">
        <v>46112</v>
      </c>
      <c r="D1650" s="12">
        <v>46166</v>
      </c>
      <c r="E1650" s="11" t="s">
        <v>6</v>
      </c>
      <c r="F1650" s="11" t="s">
        <v>64</v>
      </c>
      <c r="G1650" s="11" t="s">
        <v>3107</v>
      </c>
      <c r="H1650" s="11"/>
      <c r="I1650" s="11" t="s">
        <v>49</v>
      </c>
      <c r="J1650" s="11">
        <v>6647.09</v>
      </c>
      <c r="K1650" s="11">
        <v>6647.09</v>
      </c>
      <c r="L1650" s="11"/>
      <c r="M1650" s="14">
        <v>6647.09</v>
      </c>
      <c r="N1650" s="11" t="s">
        <v>3108</v>
      </c>
      <c r="O1650" s="11" t="s">
        <v>50</v>
      </c>
    </row>
    <row r="1651" spans="1:15" s="13" customFormat="1" ht="19.5" customHeight="1" x14ac:dyDescent="0.25">
      <c r="A1651" s="11" t="s">
        <v>3107</v>
      </c>
      <c r="B1651" s="11" t="s">
        <v>3107</v>
      </c>
      <c r="C1651" s="12">
        <v>46112</v>
      </c>
      <c r="D1651" s="12">
        <v>46175</v>
      </c>
      <c r="E1651" s="11" t="s">
        <v>6</v>
      </c>
      <c r="F1651" s="11" t="s">
        <v>64</v>
      </c>
      <c r="G1651" s="11" t="s">
        <v>3107</v>
      </c>
      <c r="H1651" s="11"/>
      <c r="I1651" s="11" t="s">
        <v>49</v>
      </c>
      <c r="J1651" s="11">
        <v>6647.09</v>
      </c>
      <c r="K1651" s="11">
        <v>6647.09</v>
      </c>
      <c r="L1651" s="11"/>
      <c r="M1651" s="14">
        <v>6647.09</v>
      </c>
      <c r="N1651" s="11" t="s">
        <v>3108</v>
      </c>
      <c r="O1651" s="11" t="s">
        <v>50</v>
      </c>
    </row>
    <row r="1652" spans="1:15" s="13" customFormat="1" ht="19.5" customHeight="1" x14ac:dyDescent="0.25">
      <c r="A1652" s="11" t="s">
        <v>3107</v>
      </c>
      <c r="B1652" s="11" t="s">
        <v>3107</v>
      </c>
      <c r="C1652" s="12">
        <v>46112</v>
      </c>
      <c r="D1652" s="12">
        <v>46184</v>
      </c>
      <c r="E1652" s="11" t="s">
        <v>6</v>
      </c>
      <c r="F1652" s="11" t="s">
        <v>64</v>
      </c>
      <c r="G1652" s="11" t="s">
        <v>3107</v>
      </c>
      <c r="H1652" s="11"/>
      <c r="I1652" s="11" t="s">
        <v>49</v>
      </c>
      <c r="J1652" s="11">
        <v>6647.09</v>
      </c>
      <c r="K1652" s="11">
        <v>6647.09</v>
      </c>
      <c r="L1652" s="11"/>
      <c r="M1652" s="14">
        <v>6647.09</v>
      </c>
      <c r="N1652" s="11" t="s">
        <v>3108</v>
      </c>
      <c r="O1652" s="11" t="s">
        <v>50</v>
      </c>
    </row>
    <row r="1653" spans="1:15" s="13" customFormat="1" ht="19.5" customHeight="1" x14ac:dyDescent="0.25">
      <c r="A1653" s="11" t="s">
        <v>3107</v>
      </c>
      <c r="B1653" s="11" t="s">
        <v>3107</v>
      </c>
      <c r="C1653" s="12">
        <v>46112</v>
      </c>
      <c r="D1653" s="12">
        <v>46193</v>
      </c>
      <c r="E1653" s="11" t="s">
        <v>6</v>
      </c>
      <c r="F1653" s="11" t="s">
        <v>64</v>
      </c>
      <c r="G1653" s="11" t="s">
        <v>3107</v>
      </c>
      <c r="H1653" s="11"/>
      <c r="I1653" s="11" t="s">
        <v>49</v>
      </c>
      <c r="J1653" s="11">
        <v>6647.09</v>
      </c>
      <c r="K1653" s="11">
        <v>6647.09</v>
      </c>
      <c r="L1653" s="11"/>
      <c r="M1653" s="14">
        <v>6647.09</v>
      </c>
      <c r="N1653" s="11" t="s">
        <v>3108</v>
      </c>
      <c r="O1653" s="11" t="s">
        <v>50</v>
      </c>
    </row>
    <row r="1654" spans="1:15" s="13" customFormat="1" ht="19.5" customHeight="1" x14ac:dyDescent="0.25">
      <c r="A1654" s="11" t="s">
        <v>3107</v>
      </c>
      <c r="B1654" s="11" t="s">
        <v>3107</v>
      </c>
      <c r="C1654" s="12">
        <v>46112</v>
      </c>
      <c r="D1654" s="12">
        <v>46202</v>
      </c>
      <c r="E1654" s="11" t="s">
        <v>6</v>
      </c>
      <c r="F1654" s="11" t="s">
        <v>64</v>
      </c>
      <c r="G1654" s="11" t="s">
        <v>3107</v>
      </c>
      <c r="H1654" s="11"/>
      <c r="I1654" s="11" t="s">
        <v>49</v>
      </c>
      <c r="J1654" s="11">
        <v>6627.14</v>
      </c>
      <c r="K1654" s="11">
        <v>6627.14</v>
      </c>
      <c r="L1654" s="11"/>
      <c r="M1654" s="14">
        <v>6627.14</v>
      </c>
      <c r="N1654" s="11" t="s">
        <v>3108</v>
      </c>
      <c r="O1654" s="11" t="s">
        <v>50</v>
      </c>
    </row>
    <row r="1655" spans="1:15" s="13" customFormat="1" ht="19.5" customHeight="1" x14ac:dyDescent="0.25">
      <c r="A1655" s="11" t="s">
        <v>3109</v>
      </c>
      <c r="B1655" s="11" t="s">
        <v>3109</v>
      </c>
      <c r="C1655" s="12">
        <v>46108</v>
      </c>
      <c r="D1655" s="11"/>
      <c r="E1655" s="11" t="s">
        <v>6</v>
      </c>
      <c r="F1655" s="11" t="s">
        <v>194</v>
      </c>
      <c r="G1655" s="11" t="s">
        <v>3110</v>
      </c>
      <c r="H1655" s="11"/>
      <c r="I1655" s="11" t="s">
        <v>49</v>
      </c>
      <c r="J1655" s="11">
        <v>-1206.99</v>
      </c>
      <c r="K1655" s="11"/>
      <c r="L1655" s="11">
        <v>1206.99</v>
      </c>
      <c r="M1655" s="14">
        <v>-1206.99</v>
      </c>
      <c r="N1655" s="11" t="s">
        <v>3111</v>
      </c>
      <c r="O1655" s="11" t="s">
        <v>2000</v>
      </c>
    </row>
    <row r="1656" spans="1:15" s="13" customFormat="1" ht="19.5" customHeight="1" x14ac:dyDescent="0.25">
      <c r="A1656" s="11" t="s">
        <v>3110</v>
      </c>
      <c r="B1656" s="11" t="s">
        <v>3110</v>
      </c>
      <c r="C1656" s="12">
        <v>46065</v>
      </c>
      <c r="D1656" s="12">
        <v>46110</v>
      </c>
      <c r="E1656" s="11" t="s">
        <v>6</v>
      </c>
      <c r="F1656" s="11" t="s">
        <v>194</v>
      </c>
      <c r="G1656" s="11" t="s">
        <v>3110</v>
      </c>
      <c r="H1656" s="11"/>
      <c r="I1656" s="11" t="s">
        <v>49</v>
      </c>
      <c r="J1656" s="11">
        <v>7469.05</v>
      </c>
      <c r="K1656" s="11">
        <v>7469.05</v>
      </c>
      <c r="L1656" s="11"/>
      <c r="M1656" s="14">
        <v>7469.05</v>
      </c>
      <c r="N1656" s="11" t="s">
        <v>3111</v>
      </c>
      <c r="O1656" s="11" t="s">
        <v>75</v>
      </c>
    </row>
    <row r="1657" spans="1:15" s="13" customFormat="1" ht="19.5" customHeight="1" x14ac:dyDescent="0.25">
      <c r="A1657" s="11" t="s">
        <v>3112</v>
      </c>
      <c r="B1657" s="11" t="s">
        <v>3112</v>
      </c>
      <c r="C1657" s="12">
        <v>46087</v>
      </c>
      <c r="D1657" s="11"/>
      <c r="E1657" s="11" t="s">
        <v>6</v>
      </c>
      <c r="F1657" s="11" t="s">
        <v>3113</v>
      </c>
      <c r="G1657" s="11" t="s">
        <v>3114</v>
      </c>
      <c r="H1657" s="11"/>
      <c r="I1657" s="11" t="s">
        <v>49</v>
      </c>
      <c r="J1657" s="11">
        <v>-2000</v>
      </c>
      <c r="K1657" s="11"/>
      <c r="L1657" s="11">
        <v>2000</v>
      </c>
      <c r="M1657" s="14">
        <v>-2000</v>
      </c>
      <c r="N1657" s="11" t="s">
        <v>3115</v>
      </c>
      <c r="O1657" s="11" t="s">
        <v>234</v>
      </c>
    </row>
    <row r="1658" spans="1:15" s="13" customFormat="1" ht="19.5" customHeight="1" x14ac:dyDescent="0.25">
      <c r="A1658" s="11" t="s">
        <v>3114</v>
      </c>
      <c r="B1658" s="11" t="s">
        <v>3114</v>
      </c>
      <c r="C1658" s="12">
        <v>46077</v>
      </c>
      <c r="D1658" s="12">
        <v>46107</v>
      </c>
      <c r="E1658" s="11" t="s">
        <v>6</v>
      </c>
      <c r="F1658" s="11" t="s">
        <v>3113</v>
      </c>
      <c r="G1658" s="11" t="s">
        <v>3114</v>
      </c>
      <c r="H1658" s="11"/>
      <c r="I1658" s="11" t="s">
        <v>49</v>
      </c>
      <c r="J1658" s="11">
        <v>2859.21</v>
      </c>
      <c r="K1658" s="11">
        <v>2859.21</v>
      </c>
      <c r="L1658" s="11"/>
      <c r="M1658" s="14">
        <v>2859.21</v>
      </c>
      <c r="N1658" s="11" t="s">
        <v>3115</v>
      </c>
      <c r="O1658" s="11" t="s">
        <v>50</v>
      </c>
    </row>
    <row r="1659" spans="1:15" s="13" customFormat="1" ht="19.5" customHeight="1" x14ac:dyDescent="0.25">
      <c r="A1659" s="11" t="s">
        <v>3116</v>
      </c>
      <c r="B1659" s="11" t="s">
        <v>3116</v>
      </c>
      <c r="C1659" s="12">
        <v>46112</v>
      </c>
      <c r="D1659" s="12">
        <v>46157</v>
      </c>
      <c r="E1659" s="11" t="s">
        <v>6</v>
      </c>
      <c r="F1659" s="11" t="s">
        <v>524</v>
      </c>
      <c r="G1659" s="11" t="s">
        <v>3116</v>
      </c>
      <c r="H1659" s="11"/>
      <c r="I1659" s="11" t="s">
        <v>49</v>
      </c>
      <c r="J1659" s="11">
        <v>9378.6200000000008</v>
      </c>
      <c r="K1659" s="11">
        <v>9378.6200000000008</v>
      </c>
      <c r="L1659" s="11"/>
      <c r="M1659" s="14">
        <v>9378.6200000000008</v>
      </c>
      <c r="N1659" s="11" t="s">
        <v>3117</v>
      </c>
      <c r="O1659" s="11" t="s">
        <v>50</v>
      </c>
    </row>
    <row r="1660" spans="1:15" s="13" customFormat="1" ht="19.5" customHeight="1" x14ac:dyDescent="0.25">
      <c r="A1660" s="11" t="s">
        <v>3116</v>
      </c>
      <c r="B1660" s="11" t="s">
        <v>3116</v>
      </c>
      <c r="C1660" s="12">
        <v>46112</v>
      </c>
      <c r="D1660" s="12">
        <v>46164</v>
      </c>
      <c r="E1660" s="11" t="s">
        <v>6</v>
      </c>
      <c r="F1660" s="11" t="s">
        <v>524</v>
      </c>
      <c r="G1660" s="11" t="s">
        <v>3116</v>
      </c>
      <c r="H1660" s="11"/>
      <c r="I1660" s="11" t="s">
        <v>49</v>
      </c>
      <c r="J1660" s="11">
        <v>9378.6200000000008</v>
      </c>
      <c r="K1660" s="11">
        <v>9378.6200000000008</v>
      </c>
      <c r="L1660" s="11"/>
      <c r="M1660" s="14">
        <v>9378.6200000000008</v>
      </c>
      <c r="N1660" s="11" t="s">
        <v>3117</v>
      </c>
      <c r="O1660" s="11" t="s">
        <v>50</v>
      </c>
    </row>
    <row r="1661" spans="1:15" s="13" customFormat="1" ht="19.5" customHeight="1" x14ac:dyDescent="0.25">
      <c r="A1661" s="11" t="s">
        <v>3116</v>
      </c>
      <c r="B1661" s="11" t="s">
        <v>3116</v>
      </c>
      <c r="C1661" s="12">
        <v>46112</v>
      </c>
      <c r="D1661" s="12">
        <v>46171</v>
      </c>
      <c r="E1661" s="11" t="s">
        <v>6</v>
      </c>
      <c r="F1661" s="11" t="s">
        <v>524</v>
      </c>
      <c r="G1661" s="11" t="s">
        <v>3116</v>
      </c>
      <c r="H1661" s="11"/>
      <c r="I1661" s="11" t="s">
        <v>49</v>
      </c>
      <c r="J1661" s="11">
        <v>9378.6200000000008</v>
      </c>
      <c r="K1661" s="11">
        <v>9378.6200000000008</v>
      </c>
      <c r="L1661" s="11"/>
      <c r="M1661" s="14">
        <v>9378.6200000000008</v>
      </c>
      <c r="N1661" s="11" t="s">
        <v>3117</v>
      </c>
      <c r="O1661" s="11" t="s">
        <v>50</v>
      </c>
    </row>
    <row r="1662" spans="1:15" s="13" customFormat="1" ht="19.5" customHeight="1" x14ac:dyDescent="0.25">
      <c r="A1662" s="11" t="s">
        <v>3116</v>
      </c>
      <c r="B1662" s="11" t="s">
        <v>3116</v>
      </c>
      <c r="C1662" s="12">
        <v>46112</v>
      </c>
      <c r="D1662" s="12">
        <v>46178</v>
      </c>
      <c r="E1662" s="11" t="s">
        <v>6</v>
      </c>
      <c r="F1662" s="11" t="s">
        <v>524</v>
      </c>
      <c r="G1662" s="11" t="s">
        <v>3116</v>
      </c>
      <c r="H1662" s="11"/>
      <c r="I1662" s="11" t="s">
        <v>49</v>
      </c>
      <c r="J1662" s="11">
        <v>9378.6200000000008</v>
      </c>
      <c r="K1662" s="11">
        <v>9378.6200000000008</v>
      </c>
      <c r="L1662" s="11"/>
      <c r="M1662" s="14">
        <v>9378.6200000000008</v>
      </c>
      <c r="N1662" s="11" t="s">
        <v>3117</v>
      </c>
      <c r="O1662" s="11" t="s">
        <v>50</v>
      </c>
    </row>
    <row r="1663" spans="1:15" s="13" customFormat="1" ht="19.5" customHeight="1" x14ac:dyDescent="0.25">
      <c r="A1663" s="11" t="s">
        <v>3116</v>
      </c>
      <c r="B1663" s="11" t="s">
        <v>3116</v>
      </c>
      <c r="C1663" s="12">
        <v>46112</v>
      </c>
      <c r="D1663" s="12">
        <v>46185</v>
      </c>
      <c r="E1663" s="11" t="s">
        <v>6</v>
      </c>
      <c r="F1663" s="11" t="s">
        <v>524</v>
      </c>
      <c r="G1663" s="11" t="s">
        <v>3116</v>
      </c>
      <c r="H1663" s="11"/>
      <c r="I1663" s="11" t="s">
        <v>49</v>
      </c>
      <c r="J1663" s="11">
        <v>9378.6200000000008</v>
      </c>
      <c r="K1663" s="11">
        <v>9378.6200000000008</v>
      </c>
      <c r="L1663" s="11"/>
      <c r="M1663" s="14">
        <v>9378.6200000000008</v>
      </c>
      <c r="N1663" s="11" t="s">
        <v>3117</v>
      </c>
      <c r="O1663" s="11" t="s">
        <v>50</v>
      </c>
    </row>
    <row r="1664" spans="1:15" s="13" customFormat="1" ht="19.5" customHeight="1" x14ac:dyDescent="0.25">
      <c r="A1664" s="11" t="s">
        <v>3116</v>
      </c>
      <c r="B1664" s="11" t="s">
        <v>3116</v>
      </c>
      <c r="C1664" s="12">
        <v>46112</v>
      </c>
      <c r="D1664" s="12">
        <v>46192</v>
      </c>
      <c r="E1664" s="11" t="s">
        <v>6</v>
      </c>
      <c r="F1664" s="11" t="s">
        <v>524</v>
      </c>
      <c r="G1664" s="11" t="s">
        <v>3116</v>
      </c>
      <c r="H1664" s="11"/>
      <c r="I1664" s="11" t="s">
        <v>49</v>
      </c>
      <c r="J1664" s="11">
        <v>9378.6200000000008</v>
      </c>
      <c r="K1664" s="11">
        <v>9378.6200000000008</v>
      </c>
      <c r="L1664" s="11"/>
      <c r="M1664" s="14">
        <v>9378.6200000000008</v>
      </c>
      <c r="N1664" s="11" t="s">
        <v>3117</v>
      </c>
      <c r="O1664" s="11" t="s">
        <v>50</v>
      </c>
    </row>
    <row r="1665" spans="1:15" s="13" customFormat="1" ht="19.5" customHeight="1" x14ac:dyDescent="0.25">
      <c r="A1665" s="11" t="s">
        <v>3116</v>
      </c>
      <c r="B1665" s="11" t="s">
        <v>3116</v>
      </c>
      <c r="C1665" s="12">
        <v>46112</v>
      </c>
      <c r="D1665" s="12">
        <v>46202</v>
      </c>
      <c r="E1665" s="11" t="s">
        <v>6</v>
      </c>
      <c r="F1665" s="11" t="s">
        <v>524</v>
      </c>
      <c r="G1665" s="11" t="s">
        <v>3116</v>
      </c>
      <c r="H1665" s="11"/>
      <c r="I1665" s="11" t="s">
        <v>49</v>
      </c>
      <c r="J1665" s="11">
        <v>9404.91</v>
      </c>
      <c r="K1665" s="11">
        <v>9404.91</v>
      </c>
      <c r="L1665" s="11"/>
      <c r="M1665" s="14">
        <v>9404.91</v>
      </c>
      <c r="N1665" s="11" t="s">
        <v>3117</v>
      </c>
      <c r="O1665" s="11" t="s">
        <v>50</v>
      </c>
    </row>
    <row r="1666" spans="1:15" s="13" customFormat="1" ht="19.5" customHeight="1" x14ac:dyDescent="0.25">
      <c r="A1666" s="11" t="s">
        <v>3118</v>
      </c>
      <c r="B1666" s="11" t="s">
        <v>3118</v>
      </c>
      <c r="C1666" s="12">
        <v>46092</v>
      </c>
      <c r="D1666" s="12">
        <v>46137</v>
      </c>
      <c r="E1666" s="11" t="s">
        <v>6</v>
      </c>
      <c r="F1666" s="11" t="s">
        <v>1929</v>
      </c>
      <c r="G1666" s="11" t="s">
        <v>3118</v>
      </c>
      <c r="H1666" s="11"/>
      <c r="I1666" s="11" t="s">
        <v>49</v>
      </c>
      <c r="J1666" s="11">
        <v>1968.49</v>
      </c>
      <c r="K1666" s="11">
        <v>1968.49</v>
      </c>
      <c r="L1666" s="11"/>
      <c r="M1666" s="14">
        <v>1968.49</v>
      </c>
      <c r="N1666" s="11" t="s">
        <v>3119</v>
      </c>
      <c r="O1666" s="11" t="s">
        <v>50</v>
      </c>
    </row>
    <row r="1667" spans="1:15" s="13" customFormat="1" ht="19.5" customHeight="1" x14ac:dyDescent="0.25">
      <c r="A1667" s="11" t="s">
        <v>3118</v>
      </c>
      <c r="B1667" s="11" t="s">
        <v>3118</v>
      </c>
      <c r="C1667" s="12">
        <v>46092</v>
      </c>
      <c r="D1667" s="12">
        <v>46144</v>
      </c>
      <c r="E1667" s="11" t="s">
        <v>6</v>
      </c>
      <c r="F1667" s="11" t="s">
        <v>1929</v>
      </c>
      <c r="G1667" s="11" t="s">
        <v>3118</v>
      </c>
      <c r="H1667" s="11"/>
      <c r="I1667" s="11" t="s">
        <v>49</v>
      </c>
      <c r="J1667" s="11">
        <v>1968.49</v>
      </c>
      <c r="K1667" s="11">
        <v>1968.49</v>
      </c>
      <c r="L1667" s="11"/>
      <c r="M1667" s="14">
        <v>1968.49</v>
      </c>
      <c r="N1667" s="11" t="s">
        <v>3119</v>
      </c>
      <c r="O1667" s="11" t="s">
        <v>50</v>
      </c>
    </row>
    <row r="1668" spans="1:15" s="13" customFormat="1" ht="19.5" customHeight="1" x14ac:dyDescent="0.25">
      <c r="A1668" s="11" t="s">
        <v>3118</v>
      </c>
      <c r="B1668" s="11" t="s">
        <v>3118</v>
      </c>
      <c r="C1668" s="12">
        <v>46092</v>
      </c>
      <c r="D1668" s="12">
        <v>46151</v>
      </c>
      <c r="E1668" s="11" t="s">
        <v>6</v>
      </c>
      <c r="F1668" s="11" t="s">
        <v>1929</v>
      </c>
      <c r="G1668" s="11" t="s">
        <v>3118</v>
      </c>
      <c r="H1668" s="11"/>
      <c r="I1668" s="11" t="s">
        <v>49</v>
      </c>
      <c r="J1668" s="11">
        <v>1968.49</v>
      </c>
      <c r="K1668" s="11">
        <v>1968.49</v>
      </c>
      <c r="L1668" s="11"/>
      <c r="M1668" s="14">
        <v>1968.49</v>
      </c>
      <c r="N1668" s="11" t="s">
        <v>3119</v>
      </c>
      <c r="O1668" s="11" t="s">
        <v>50</v>
      </c>
    </row>
    <row r="1669" spans="1:15" s="13" customFormat="1" ht="19.5" customHeight="1" x14ac:dyDescent="0.25">
      <c r="A1669" s="11" t="s">
        <v>3118</v>
      </c>
      <c r="B1669" s="11" t="s">
        <v>3118</v>
      </c>
      <c r="C1669" s="12">
        <v>46092</v>
      </c>
      <c r="D1669" s="12">
        <v>46158</v>
      </c>
      <c r="E1669" s="11" t="s">
        <v>6</v>
      </c>
      <c r="F1669" s="11" t="s">
        <v>1929</v>
      </c>
      <c r="G1669" s="11" t="s">
        <v>3118</v>
      </c>
      <c r="H1669" s="11"/>
      <c r="I1669" s="11" t="s">
        <v>49</v>
      </c>
      <c r="J1669" s="11">
        <v>1968.49</v>
      </c>
      <c r="K1669" s="11">
        <v>1968.49</v>
      </c>
      <c r="L1669" s="11"/>
      <c r="M1669" s="14">
        <v>1968.49</v>
      </c>
      <c r="N1669" s="11" t="s">
        <v>3119</v>
      </c>
      <c r="O1669" s="11" t="s">
        <v>50</v>
      </c>
    </row>
    <row r="1670" spans="1:15" s="13" customFormat="1" ht="19.5" customHeight="1" x14ac:dyDescent="0.25">
      <c r="A1670" s="11" t="s">
        <v>3118</v>
      </c>
      <c r="B1670" s="11" t="s">
        <v>3118</v>
      </c>
      <c r="C1670" s="12">
        <v>46092</v>
      </c>
      <c r="D1670" s="12">
        <v>46165</v>
      </c>
      <c r="E1670" s="11" t="s">
        <v>6</v>
      </c>
      <c r="F1670" s="11" t="s">
        <v>1929</v>
      </c>
      <c r="G1670" s="11" t="s">
        <v>3118</v>
      </c>
      <c r="H1670" s="11"/>
      <c r="I1670" s="11" t="s">
        <v>49</v>
      </c>
      <c r="J1670" s="11">
        <v>1968.49</v>
      </c>
      <c r="K1670" s="11">
        <v>1968.49</v>
      </c>
      <c r="L1670" s="11"/>
      <c r="M1670" s="14">
        <v>1968.49</v>
      </c>
      <c r="N1670" s="11" t="s">
        <v>3119</v>
      </c>
      <c r="O1670" s="11" t="s">
        <v>50</v>
      </c>
    </row>
    <row r="1671" spans="1:15" s="13" customFormat="1" ht="19.5" customHeight="1" x14ac:dyDescent="0.25">
      <c r="A1671" s="11" t="s">
        <v>3118</v>
      </c>
      <c r="B1671" s="11" t="s">
        <v>3118</v>
      </c>
      <c r="C1671" s="12">
        <v>46092</v>
      </c>
      <c r="D1671" s="12">
        <v>46182</v>
      </c>
      <c r="E1671" s="11" t="s">
        <v>6</v>
      </c>
      <c r="F1671" s="11" t="s">
        <v>1929</v>
      </c>
      <c r="G1671" s="11" t="s">
        <v>3118</v>
      </c>
      <c r="H1671" s="11"/>
      <c r="I1671" s="11" t="s">
        <v>49</v>
      </c>
      <c r="J1671" s="11">
        <v>1973.21</v>
      </c>
      <c r="K1671" s="11">
        <v>1973.21</v>
      </c>
      <c r="L1671" s="11"/>
      <c r="M1671" s="14">
        <v>1973.21</v>
      </c>
      <c r="N1671" s="11" t="s">
        <v>3119</v>
      </c>
      <c r="O1671" s="11" t="s">
        <v>50</v>
      </c>
    </row>
    <row r="1672" spans="1:15" s="13" customFormat="1" ht="19.5" customHeight="1" x14ac:dyDescent="0.25">
      <c r="A1672" s="11" t="s">
        <v>3120</v>
      </c>
      <c r="B1672" s="11" t="s">
        <v>3120</v>
      </c>
      <c r="C1672" s="12">
        <v>46105</v>
      </c>
      <c r="D1672" s="12">
        <v>46150</v>
      </c>
      <c r="E1672" s="11" t="s">
        <v>6</v>
      </c>
      <c r="F1672" s="11" t="s">
        <v>1929</v>
      </c>
      <c r="G1672" s="11" t="s">
        <v>3120</v>
      </c>
      <c r="H1672" s="11"/>
      <c r="I1672" s="11" t="s">
        <v>49</v>
      </c>
      <c r="J1672" s="11">
        <v>1966.16</v>
      </c>
      <c r="K1672" s="11">
        <v>1966.16</v>
      </c>
      <c r="L1672" s="11"/>
      <c r="M1672" s="14">
        <v>1966.16</v>
      </c>
      <c r="N1672" s="11" t="s">
        <v>3121</v>
      </c>
      <c r="O1672" s="11" t="s">
        <v>50</v>
      </c>
    </row>
    <row r="1673" spans="1:15" s="13" customFormat="1" ht="19.5" customHeight="1" x14ac:dyDescent="0.25">
      <c r="A1673" s="11" t="s">
        <v>3120</v>
      </c>
      <c r="B1673" s="11" t="s">
        <v>3120</v>
      </c>
      <c r="C1673" s="12">
        <v>46105</v>
      </c>
      <c r="D1673" s="12">
        <v>46157</v>
      </c>
      <c r="E1673" s="11" t="s">
        <v>6</v>
      </c>
      <c r="F1673" s="11" t="s">
        <v>1929</v>
      </c>
      <c r="G1673" s="11" t="s">
        <v>3120</v>
      </c>
      <c r="H1673" s="11"/>
      <c r="I1673" s="11" t="s">
        <v>49</v>
      </c>
      <c r="J1673" s="11">
        <v>1966.16</v>
      </c>
      <c r="K1673" s="11">
        <v>1966.16</v>
      </c>
      <c r="L1673" s="11"/>
      <c r="M1673" s="14">
        <v>1966.16</v>
      </c>
      <c r="N1673" s="11" t="s">
        <v>3121</v>
      </c>
      <c r="O1673" s="11" t="s">
        <v>50</v>
      </c>
    </row>
    <row r="1674" spans="1:15" s="13" customFormat="1" ht="19.5" customHeight="1" x14ac:dyDescent="0.25">
      <c r="A1674" s="11" t="s">
        <v>3120</v>
      </c>
      <c r="B1674" s="11" t="s">
        <v>3120</v>
      </c>
      <c r="C1674" s="12">
        <v>46105</v>
      </c>
      <c r="D1674" s="12">
        <v>46164</v>
      </c>
      <c r="E1674" s="11" t="s">
        <v>6</v>
      </c>
      <c r="F1674" s="11" t="s">
        <v>1929</v>
      </c>
      <c r="G1674" s="11" t="s">
        <v>3120</v>
      </c>
      <c r="H1674" s="11"/>
      <c r="I1674" s="11" t="s">
        <v>49</v>
      </c>
      <c r="J1674" s="11">
        <v>1966.16</v>
      </c>
      <c r="K1674" s="11">
        <v>1966.16</v>
      </c>
      <c r="L1674" s="11"/>
      <c r="M1674" s="14">
        <v>1966.16</v>
      </c>
      <c r="N1674" s="11" t="s">
        <v>3121</v>
      </c>
      <c r="O1674" s="11" t="s">
        <v>50</v>
      </c>
    </row>
    <row r="1675" spans="1:15" s="13" customFormat="1" ht="19.5" customHeight="1" x14ac:dyDescent="0.25">
      <c r="A1675" s="11" t="s">
        <v>3120</v>
      </c>
      <c r="B1675" s="11" t="s">
        <v>3120</v>
      </c>
      <c r="C1675" s="12">
        <v>46105</v>
      </c>
      <c r="D1675" s="12">
        <v>46171</v>
      </c>
      <c r="E1675" s="11" t="s">
        <v>6</v>
      </c>
      <c r="F1675" s="11" t="s">
        <v>1929</v>
      </c>
      <c r="G1675" s="11" t="s">
        <v>3120</v>
      </c>
      <c r="H1675" s="11"/>
      <c r="I1675" s="11" t="s">
        <v>49</v>
      </c>
      <c r="J1675" s="11">
        <v>1966.16</v>
      </c>
      <c r="K1675" s="11">
        <v>1966.16</v>
      </c>
      <c r="L1675" s="11"/>
      <c r="M1675" s="14">
        <v>1966.16</v>
      </c>
      <c r="N1675" s="11" t="s">
        <v>3121</v>
      </c>
      <c r="O1675" s="11" t="s">
        <v>50</v>
      </c>
    </row>
    <row r="1676" spans="1:15" s="13" customFormat="1" ht="19.5" customHeight="1" x14ac:dyDescent="0.25">
      <c r="A1676" s="11" t="s">
        <v>3120</v>
      </c>
      <c r="B1676" s="11" t="s">
        <v>3120</v>
      </c>
      <c r="C1676" s="12">
        <v>46105</v>
      </c>
      <c r="D1676" s="12">
        <v>46178</v>
      </c>
      <c r="E1676" s="11" t="s">
        <v>6</v>
      </c>
      <c r="F1676" s="11" t="s">
        <v>1929</v>
      </c>
      <c r="G1676" s="11" t="s">
        <v>3120</v>
      </c>
      <c r="H1676" s="11"/>
      <c r="I1676" s="11" t="s">
        <v>49</v>
      </c>
      <c r="J1676" s="11">
        <v>1966.16</v>
      </c>
      <c r="K1676" s="11">
        <v>1966.16</v>
      </c>
      <c r="L1676" s="11"/>
      <c r="M1676" s="14">
        <v>1966.16</v>
      </c>
      <c r="N1676" s="11" t="s">
        <v>3121</v>
      </c>
      <c r="O1676" s="11" t="s">
        <v>50</v>
      </c>
    </row>
    <row r="1677" spans="1:15" s="13" customFormat="1" ht="19.5" customHeight="1" x14ac:dyDescent="0.25">
      <c r="A1677" s="11" t="s">
        <v>3120</v>
      </c>
      <c r="B1677" s="11" t="s">
        <v>3120</v>
      </c>
      <c r="C1677" s="12">
        <v>46105</v>
      </c>
      <c r="D1677" s="12">
        <v>46195</v>
      </c>
      <c r="E1677" s="11" t="s">
        <v>6</v>
      </c>
      <c r="F1677" s="11" t="s">
        <v>1929</v>
      </c>
      <c r="G1677" s="11" t="s">
        <v>3120</v>
      </c>
      <c r="H1677" s="11"/>
      <c r="I1677" s="11" t="s">
        <v>49</v>
      </c>
      <c r="J1677" s="11">
        <v>1970.89</v>
      </c>
      <c r="K1677" s="11">
        <v>1970.89</v>
      </c>
      <c r="L1677" s="11"/>
      <c r="M1677" s="14">
        <v>1970.89</v>
      </c>
      <c r="N1677" s="11" t="s">
        <v>3121</v>
      </c>
      <c r="O1677" s="11" t="s">
        <v>50</v>
      </c>
    </row>
    <row r="1678" spans="1:15" s="13" customFormat="1" ht="19.5" customHeight="1" x14ac:dyDescent="0.25">
      <c r="A1678" s="11" t="s">
        <v>3122</v>
      </c>
      <c r="B1678" s="11" t="s">
        <v>3122</v>
      </c>
      <c r="C1678" s="12">
        <v>46111</v>
      </c>
      <c r="D1678" s="12">
        <v>46156</v>
      </c>
      <c r="E1678" s="11" t="s">
        <v>6</v>
      </c>
      <c r="F1678" s="11" t="s">
        <v>1929</v>
      </c>
      <c r="G1678" s="11" t="s">
        <v>3122</v>
      </c>
      <c r="H1678" s="11"/>
      <c r="I1678" s="11" t="s">
        <v>49</v>
      </c>
      <c r="J1678" s="11">
        <v>2016.15</v>
      </c>
      <c r="K1678" s="11">
        <v>2016.15</v>
      </c>
      <c r="L1678" s="11"/>
      <c r="M1678" s="14">
        <v>2016.15</v>
      </c>
      <c r="N1678" s="11" t="s">
        <v>3123</v>
      </c>
      <c r="O1678" s="11" t="s">
        <v>50</v>
      </c>
    </row>
    <row r="1679" spans="1:15" s="13" customFormat="1" ht="19.5" customHeight="1" x14ac:dyDescent="0.25">
      <c r="A1679" s="11" t="s">
        <v>3122</v>
      </c>
      <c r="B1679" s="11" t="s">
        <v>3122</v>
      </c>
      <c r="C1679" s="12">
        <v>46111</v>
      </c>
      <c r="D1679" s="12">
        <v>46163</v>
      </c>
      <c r="E1679" s="11" t="s">
        <v>6</v>
      </c>
      <c r="F1679" s="11" t="s">
        <v>1929</v>
      </c>
      <c r="G1679" s="11" t="s">
        <v>3122</v>
      </c>
      <c r="H1679" s="11"/>
      <c r="I1679" s="11" t="s">
        <v>49</v>
      </c>
      <c r="J1679" s="11">
        <v>2016.15</v>
      </c>
      <c r="K1679" s="11">
        <v>2016.15</v>
      </c>
      <c r="L1679" s="11"/>
      <c r="M1679" s="14">
        <v>2016.15</v>
      </c>
      <c r="N1679" s="11" t="s">
        <v>3123</v>
      </c>
      <c r="O1679" s="11" t="s">
        <v>50</v>
      </c>
    </row>
    <row r="1680" spans="1:15" s="13" customFormat="1" ht="19.5" customHeight="1" x14ac:dyDescent="0.25">
      <c r="A1680" s="11" t="s">
        <v>3122</v>
      </c>
      <c r="B1680" s="11" t="s">
        <v>3122</v>
      </c>
      <c r="C1680" s="12">
        <v>46111</v>
      </c>
      <c r="D1680" s="12">
        <v>46170</v>
      </c>
      <c r="E1680" s="11" t="s">
        <v>6</v>
      </c>
      <c r="F1680" s="11" t="s">
        <v>1929</v>
      </c>
      <c r="G1680" s="11" t="s">
        <v>3122</v>
      </c>
      <c r="H1680" s="11"/>
      <c r="I1680" s="11" t="s">
        <v>49</v>
      </c>
      <c r="J1680" s="11">
        <v>2016.15</v>
      </c>
      <c r="K1680" s="11">
        <v>2016.15</v>
      </c>
      <c r="L1680" s="11"/>
      <c r="M1680" s="14">
        <v>2016.15</v>
      </c>
      <c r="N1680" s="11" t="s">
        <v>3123</v>
      </c>
      <c r="O1680" s="11" t="s">
        <v>50</v>
      </c>
    </row>
    <row r="1681" spans="1:15" s="13" customFormat="1" ht="19.5" customHeight="1" x14ac:dyDescent="0.25">
      <c r="A1681" s="11" t="s">
        <v>3122</v>
      </c>
      <c r="B1681" s="11" t="s">
        <v>3122</v>
      </c>
      <c r="C1681" s="12">
        <v>46111</v>
      </c>
      <c r="D1681" s="12">
        <v>46177</v>
      </c>
      <c r="E1681" s="11" t="s">
        <v>6</v>
      </c>
      <c r="F1681" s="11" t="s">
        <v>1929</v>
      </c>
      <c r="G1681" s="11" t="s">
        <v>3122</v>
      </c>
      <c r="H1681" s="11"/>
      <c r="I1681" s="11" t="s">
        <v>49</v>
      </c>
      <c r="J1681" s="11">
        <v>2016.15</v>
      </c>
      <c r="K1681" s="11">
        <v>2016.15</v>
      </c>
      <c r="L1681" s="11"/>
      <c r="M1681" s="14">
        <v>2016.15</v>
      </c>
      <c r="N1681" s="11" t="s">
        <v>3123</v>
      </c>
      <c r="O1681" s="11" t="s">
        <v>50</v>
      </c>
    </row>
    <row r="1682" spans="1:15" s="13" customFormat="1" ht="19.5" customHeight="1" x14ac:dyDescent="0.25">
      <c r="A1682" s="11" t="s">
        <v>3122</v>
      </c>
      <c r="B1682" s="11" t="s">
        <v>3122</v>
      </c>
      <c r="C1682" s="12">
        <v>46111</v>
      </c>
      <c r="D1682" s="12">
        <v>46184</v>
      </c>
      <c r="E1682" s="11" t="s">
        <v>6</v>
      </c>
      <c r="F1682" s="11" t="s">
        <v>1929</v>
      </c>
      <c r="G1682" s="11" t="s">
        <v>3122</v>
      </c>
      <c r="H1682" s="11"/>
      <c r="I1682" s="11" t="s">
        <v>49</v>
      </c>
      <c r="J1682" s="11">
        <v>2016.15</v>
      </c>
      <c r="K1682" s="11">
        <v>2016.15</v>
      </c>
      <c r="L1682" s="11"/>
      <c r="M1682" s="14">
        <v>2016.15</v>
      </c>
      <c r="N1682" s="11" t="s">
        <v>3123</v>
      </c>
      <c r="O1682" s="11" t="s">
        <v>50</v>
      </c>
    </row>
    <row r="1683" spans="1:15" s="13" customFormat="1" ht="19.5" customHeight="1" x14ac:dyDescent="0.25">
      <c r="A1683" s="11" t="s">
        <v>3122</v>
      </c>
      <c r="B1683" s="11" t="s">
        <v>3122</v>
      </c>
      <c r="C1683" s="12">
        <v>46111</v>
      </c>
      <c r="D1683" s="12">
        <v>46201</v>
      </c>
      <c r="E1683" s="11" t="s">
        <v>6</v>
      </c>
      <c r="F1683" s="11" t="s">
        <v>1929</v>
      </c>
      <c r="G1683" s="11" t="s">
        <v>3122</v>
      </c>
      <c r="H1683" s="11"/>
      <c r="I1683" s="11" t="s">
        <v>49</v>
      </c>
      <c r="J1683" s="11">
        <v>2020.98</v>
      </c>
      <c r="K1683" s="11">
        <v>2020.98</v>
      </c>
      <c r="L1683" s="11"/>
      <c r="M1683" s="14">
        <v>2020.98</v>
      </c>
      <c r="N1683" s="11" t="s">
        <v>3123</v>
      </c>
      <c r="O1683" s="11" t="s">
        <v>50</v>
      </c>
    </row>
    <row r="1684" spans="1:15" s="13" customFormat="1" ht="19.5" customHeight="1" x14ac:dyDescent="0.25">
      <c r="A1684" s="11" t="s">
        <v>3124</v>
      </c>
      <c r="B1684" s="11" t="s">
        <v>3124</v>
      </c>
      <c r="C1684" s="12">
        <v>46107</v>
      </c>
      <c r="D1684" s="12">
        <v>46152</v>
      </c>
      <c r="E1684" s="11" t="s">
        <v>6</v>
      </c>
      <c r="F1684" s="11" t="s">
        <v>64</v>
      </c>
      <c r="G1684" s="11" t="s">
        <v>3124</v>
      </c>
      <c r="H1684" s="11"/>
      <c r="I1684" s="11" t="s">
        <v>49</v>
      </c>
      <c r="J1684" s="11">
        <v>2027.24</v>
      </c>
      <c r="K1684" s="11">
        <v>2027.24</v>
      </c>
      <c r="L1684" s="11"/>
      <c r="M1684" s="14">
        <v>2027.24</v>
      </c>
      <c r="N1684" s="11" t="s">
        <v>3125</v>
      </c>
      <c r="O1684" s="11" t="s">
        <v>50</v>
      </c>
    </row>
    <row r="1685" spans="1:15" s="13" customFormat="1" ht="19.5" customHeight="1" x14ac:dyDescent="0.25">
      <c r="A1685" s="11" t="s">
        <v>3124</v>
      </c>
      <c r="B1685" s="11" t="s">
        <v>3124</v>
      </c>
      <c r="C1685" s="12">
        <v>46107</v>
      </c>
      <c r="D1685" s="12">
        <v>46167</v>
      </c>
      <c r="E1685" s="11" t="s">
        <v>6</v>
      </c>
      <c r="F1685" s="11" t="s">
        <v>64</v>
      </c>
      <c r="G1685" s="11" t="s">
        <v>3124</v>
      </c>
      <c r="H1685" s="11"/>
      <c r="I1685" s="11" t="s">
        <v>49</v>
      </c>
      <c r="J1685" s="11">
        <v>2027.24</v>
      </c>
      <c r="K1685" s="11">
        <v>2027.24</v>
      </c>
      <c r="L1685" s="11"/>
      <c r="M1685" s="14">
        <v>2027.24</v>
      </c>
      <c r="N1685" s="11" t="s">
        <v>3125</v>
      </c>
      <c r="O1685" s="11" t="s">
        <v>50</v>
      </c>
    </row>
    <row r="1686" spans="1:15" s="13" customFormat="1" ht="19.5" customHeight="1" x14ac:dyDescent="0.25">
      <c r="A1686" s="11" t="s">
        <v>3126</v>
      </c>
      <c r="B1686" s="11" t="s">
        <v>3126</v>
      </c>
      <c r="C1686" s="12">
        <v>46112</v>
      </c>
      <c r="D1686" s="12">
        <v>46157</v>
      </c>
      <c r="E1686" s="11" t="s">
        <v>6</v>
      </c>
      <c r="F1686" s="11" t="s">
        <v>119</v>
      </c>
      <c r="G1686" s="11" t="s">
        <v>3126</v>
      </c>
      <c r="H1686" s="11"/>
      <c r="I1686" s="11" t="s">
        <v>49</v>
      </c>
      <c r="J1686" s="11">
        <v>15868.02</v>
      </c>
      <c r="K1686" s="11">
        <v>15868.02</v>
      </c>
      <c r="L1686" s="11"/>
      <c r="M1686" s="14">
        <v>15868.02</v>
      </c>
      <c r="N1686" s="11" t="s">
        <v>3127</v>
      </c>
      <c r="O1686" s="11" t="s">
        <v>50</v>
      </c>
    </row>
    <row r="1687" spans="1:15" s="13" customFormat="1" ht="19.5" customHeight="1" x14ac:dyDescent="0.25">
      <c r="A1687" s="11" t="s">
        <v>3126</v>
      </c>
      <c r="B1687" s="11" t="s">
        <v>3126</v>
      </c>
      <c r="C1687" s="12">
        <v>46112</v>
      </c>
      <c r="D1687" s="12">
        <v>46167</v>
      </c>
      <c r="E1687" s="11" t="s">
        <v>6</v>
      </c>
      <c r="F1687" s="11" t="s">
        <v>119</v>
      </c>
      <c r="G1687" s="11" t="s">
        <v>3126</v>
      </c>
      <c r="H1687" s="11"/>
      <c r="I1687" s="11" t="s">
        <v>49</v>
      </c>
      <c r="J1687" s="11">
        <v>15868.02</v>
      </c>
      <c r="K1687" s="11">
        <v>15868.02</v>
      </c>
      <c r="L1687" s="11"/>
      <c r="M1687" s="14">
        <v>15868.02</v>
      </c>
      <c r="N1687" s="11" t="s">
        <v>3127</v>
      </c>
      <c r="O1687" s="11" t="s">
        <v>50</v>
      </c>
    </row>
    <row r="1688" spans="1:15" s="13" customFormat="1" ht="19.5" customHeight="1" x14ac:dyDescent="0.25">
      <c r="A1688" s="11" t="s">
        <v>3126</v>
      </c>
      <c r="B1688" s="11" t="s">
        <v>3126</v>
      </c>
      <c r="C1688" s="12">
        <v>46112</v>
      </c>
      <c r="D1688" s="12">
        <v>46177</v>
      </c>
      <c r="E1688" s="11" t="s">
        <v>6</v>
      </c>
      <c r="F1688" s="11" t="s">
        <v>119</v>
      </c>
      <c r="G1688" s="11" t="s">
        <v>3126</v>
      </c>
      <c r="H1688" s="11"/>
      <c r="I1688" s="11" t="s">
        <v>49</v>
      </c>
      <c r="J1688" s="11">
        <v>15868.02</v>
      </c>
      <c r="K1688" s="11">
        <v>15868.02</v>
      </c>
      <c r="L1688" s="11"/>
      <c r="M1688" s="14">
        <v>15868.02</v>
      </c>
      <c r="N1688" s="11" t="s">
        <v>3127</v>
      </c>
      <c r="O1688" s="11" t="s">
        <v>50</v>
      </c>
    </row>
    <row r="1689" spans="1:15" s="13" customFormat="1" ht="19.5" customHeight="1" x14ac:dyDescent="0.25">
      <c r="A1689" s="11" t="s">
        <v>3126</v>
      </c>
      <c r="B1689" s="11" t="s">
        <v>3126</v>
      </c>
      <c r="C1689" s="12">
        <v>46112</v>
      </c>
      <c r="D1689" s="12">
        <v>46187</v>
      </c>
      <c r="E1689" s="11" t="s">
        <v>6</v>
      </c>
      <c r="F1689" s="11" t="s">
        <v>119</v>
      </c>
      <c r="G1689" s="11" t="s">
        <v>3126</v>
      </c>
      <c r="H1689" s="11"/>
      <c r="I1689" s="11" t="s">
        <v>49</v>
      </c>
      <c r="J1689" s="11">
        <v>15868.02</v>
      </c>
      <c r="K1689" s="11">
        <v>15868.02</v>
      </c>
      <c r="L1689" s="11"/>
      <c r="M1689" s="14">
        <v>15868.02</v>
      </c>
      <c r="N1689" s="11" t="s">
        <v>3127</v>
      </c>
      <c r="O1689" s="11" t="s">
        <v>50</v>
      </c>
    </row>
    <row r="1690" spans="1:15" s="13" customFormat="1" ht="19.5" customHeight="1" x14ac:dyDescent="0.25">
      <c r="A1690" s="11" t="s">
        <v>3126</v>
      </c>
      <c r="B1690" s="11" t="s">
        <v>3126</v>
      </c>
      <c r="C1690" s="12">
        <v>46112</v>
      </c>
      <c r="D1690" s="12">
        <v>46197</v>
      </c>
      <c r="E1690" s="11" t="s">
        <v>6</v>
      </c>
      <c r="F1690" s="11" t="s">
        <v>119</v>
      </c>
      <c r="G1690" s="11" t="s">
        <v>3126</v>
      </c>
      <c r="H1690" s="11"/>
      <c r="I1690" s="11" t="s">
        <v>49</v>
      </c>
      <c r="J1690" s="11">
        <v>15868.02</v>
      </c>
      <c r="K1690" s="11">
        <v>15868.02</v>
      </c>
      <c r="L1690" s="11"/>
      <c r="M1690" s="14">
        <v>15868.02</v>
      </c>
      <c r="N1690" s="11" t="s">
        <v>3127</v>
      </c>
      <c r="O1690" s="11" t="s">
        <v>50</v>
      </c>
    </row>
    <row r="1691" spans="1:15" s="13" customFormat="1" ht="19.5" customHeight="1" x14ac:dyDescent="0.25">
      <c r="A1691" s="11" t="s">
        <v>3128</v>
      </c>
      <c r="B1691" s="11" t="s">
        <v>3128</v>
      </c>
      <c r="C1691" s="12">
        <v>45974</v>
      </c>
      <c r="D1691" s="12">
        <v>45974</v>
      </c>
      <c r="E1691" s="11" t="s">
        <v>6</v>
      </c>
      <c r="F1691" s="11" t="s">
        <v>3129</v>
      </c>
      <c r="G1691" s="11" t="s">
        <v>3128</v>
      </c>
      <c r="H1691" s="11"/>
      <c r="I1691" s="11" t="s">
        <v>49</v>
      </c>
      <c r="J1691" s="11">
        <v>118.5</v>
      </c>
      <c r="K1691" s="11">
        <v>118.5</v>
      </c>
      <c r="L1691" s="11"/>
      <c r="M1691" s="11">
        <v>118.5</v>
      </c>
      <c r="N1691" s="11" t="s">
        <v>3130</v>
      </c>
      <c r="O1691" s="11" t="s">
        <v>50</v>
      </c>
    </row>
    <row r="1692" spans="1:15" s="13" customFormat="1" ht="19.5" customHeight="1" x14ac:dyDescent="0.25">
      <c r="A1692" s="11" t="s">
        <v>3126</v>
      </c>
      <c r="B1692" s="11" t="s">
        <v>3126</v>
      </c>
      <c r="C1692" s="12">
        <v>46112</v>
      </c>
      <c r="D1692" s="12">
        <v>46207</v>
      </c>
      <c r="E1692" s="11" t="s">
        <v>6</v>
      </c>
      <c r="F1692" s="11" t="s">
        <v>119</v>
      </c>
      <c r="G1692" s="11" t="s">
        <v>3126</v>
      </c>
      <c r="H1692" s="11"/>
      <c r="I1692" s="11" t="s">
        <v>49</v>
      </c>
      <c r="J1692" s="11">
        <v>15868.02</v>
      </c>
      <c r="K1692" s="11">
        <v>15868.02</v>
      </c>
      <c r="L1692" s="11"/>
      <c r="M1692" s="14">
        <v>15868.02</v>
      </c>
      <c r="N1692" s="11" t="s">
        <v>3127</v>
      </c>
      <c r="O1692" s="11" t="s">
        <v>50</v>
      </c>
    </row>
    <row r="1693" spans="1:15" s="13" customFormat="1" ht="19.5" customHeight="1" x14ac:dyDescent="0.25">
      <c r="A1693" s="11" t="s">
        <v>3126</v>
      </c>
      <c r="B1693" s="11" t="s">
        <v>3126</v>
      </c>
      <c r="C1693" s="12">
        <v>46112</v>
      </c>
      <c r="D1693" s="12">
        <v>46217</v>
      </c>
      <c r="E1693" s="11" t="s">
        <v>6</v>
      </c>
      <c r="F1693" s="11" t="s">
        <v>119</v>
      </c>
      <c r="G1693" s="11" t="s">
        <v>3126</v>
      </c>
      <c r="H1693" s="11"/>
      <c r="I1693" s="11" t="s">
        <v>49</v>
      </c>
      <c r="J1693" s="11">
        <v>15868.02</v>
      </c>
      <c r="K1693" s="11">
        <v>15868.02</v>
      </c>
      <c r="L1693" s="11"/>
      <c r="M1693" s="14">
        <v>15868.02</v>
      </c>
      <c r="N1693" s="11" t="s">
        <v>3127</v>
      </c>
      <c r="O1693" s="11" t="s">
        <v>50</v>
      </c>
    </row>
    <row r="1694" spans="1:15" s="13" customFormat="1" ht="19.5" customHeight="1" x14ac:dyDescent="0.25">
      <c r="A1694" s="11" t="s">
        <v>3126</v>
      </c>
      <c r="B1694" s="11" t="s">
        <v>3126</v>
      </c>
      <c r="C1694" s="12">
        <v>46112</v>
      </c>
      <c r="D1694" s="12">
        <v>46227</v>
      </c>
      <c r="E1694" s="11" t="s">
        <v>6</v>
      </c>
      <c r="F1694" s="11" t="s">
        <v>119</v>
      </c>
      <c r="G1694" s="11" t="s">
        <v>3126</v>
      </c>
      <c r="H1694" s="11"/>
      <c r="I1694" s="11" t="s">
        <v>49</v>
      </c>
      <c r="J1694" s="11">
        <v>15868.02</v>
      </c>
      <c r="K1694" s="11">
        <v>15868.02</v>
      </c>
      <c r="L1694" s="11"/>
      <c r="M1694" s="14">
        <v>15868.02</v>
      </c>
      <c r="N1694" s="11" t="s">
        <v>3127</v>
      </c>
      <c r="O1694" s="11" t="s">
        <v>50</v>
      </c>
    </row>
    <row r="1695" spans="1:15" s="13" customFormat="1" ht="19.5" customHeight="1" x14ac:dyDescent="0.25">
      <c r="A1695" s="11" t="s">
        <v>3126</v>
      </c>
      <c r="B1695" s="11" t="s">
        <v>3126</v>
      </c>
      <c r="C1695" s="12">
        <v>46112</v>
      </c>
      <c r="D1695" s="12">
        <v>46237</v>
      </c>
      <c r="E1695" s="11" t="s">
        <v>6</v>
      </c>
      <c r="F1695" s="11" t="s">
        <v>119</v>
      </c>
      <c r="G1695" s="11" t="s">
        <v>3126</v>
      </c>
      <c r="H1695" s="11"/>
      <c r="I1695" s="11" t="s">
        <v>49</v>
      </c>
      <c r="J1695" s="11">
        <v>15882.29</v>
      </c>
      <c r="K1695" s="11">
        <v>15882.29</v>
      </c>
      <c r="L1695" s="11"/>
      <c r="M1695" s="14">
        <v>15882.29</v>
      </c>
      <c r="N1695" s="11" t="s">
        <v>3127</v>
      </c>
      <c r="O1695" s="11" t="s">
        <v>50</v>
      </c>
    </row>
    <row r="1696" spans="1:15" s="13" customFormat="1" ht="19.5" customHeight="1" x14ac:dyDescent="0.25">
      <c r="A1696" s="11" t="s">
        <v>3131</v>
      </c>
      <c r="B1696" s="11" t="s">
        <v>3131</v>
      </c>
      <c r="C1696" s="12">
        <v>46112</v>
      </c>
      <c r="D1696" s="12">
        <v>46157</v>
      </c>
      <c r="E1696" s="11" t="s">
        <v>6</v>
      </c>
      <c r="F1696" s="11" t="s">
        <v>119</v>
      </c>
      <c r="G1696" s="11" t="s">
        <v>3131</v>
      </c>
      <c r="H1696" s="11"/>
      <c r="I1696" s="11" t="s">
        <v>49</v>
      </c>
      <c r="J1696" s="11">
        <v>28115.68</v>
      </c>
      <c r="K1696" s="11">
        <v>28115.68</v>
      </c>
      <c r="L1696" s="11"/>
      <c r="M1696" s="14">
        <v>28115.68</v>
      </c>
      <c r="N1696" s="11" t="s">
        <v>3132</v>
      </c>
      <c r="O1696" s="11" t="s">
        <v>50</v>
      </c>
    </row>
    <row r="1697" spans="1:15" s="13" customFormat="1" ht="19.5" customHeight="1" x14ac:dyDescent="0.25">
      <c r="A1697" s="11" t="s">
        <v>3131</v>
      </c>
      <c r="B1697" s="11" t="s">
        <v>3131</v>
      </c>
      <c r="C1697" s="12">
        <v>46112</v>
      </c>
      <c r="D1697" s="12">
        <v>46167</v>
      </c>
      <c r="E1697" s="11" t="s">
        <v>6</v>
      </c>
      <c r="F1697" s="11" t="s">
        <v>119</v>
      </c>
      <c r="G1697" s="11" t="s">
        <v>3131</v>
      </c>
      <c r="H1697" s="11"/>
      <c r="I1697" s="11" t="s">
        <v>49</v>
      </c>
      <c r="J1697" s="11">
        <v>28115.68</v>
      </c>
      <c r="K1697" s="11">
        <v>28115.68</v>
      </c>
      <c r="L1697" s="11"/>
      <c r="M1697" s="14">
        <v>28115.68</v>
      </c>
      <c r="N1697" s="11" t="s">
        <v>3132</v>
      </c>
      <c r="O1697" s="11" t="s">
        <v>50</v>
      </c>
    </row>
    <row r="1698" spans="1:15" s="13" customFormat="1" ht="19.5" customHeight="1" x14ac:dyDescent="0.25">
      <c r="A1698" s="11" t="s">
        <v>3131</v>
      </c>
      <c r="B1698" s="11" t="s">
        <v>3131</v>
      </c>
      <c r="C1698" s="12">
        <v>46112</v>
      </c>
      <c r="D1698" s="12">
        <v>46177</v>
      </c>
      <c r="E1698" s="11" t="s">
        <v>6</v>
      </c>
      <c r="F1698" s="11" t="s">
        <v>119</v>
      </c>
      <c r="G1698" s="11" t="s">
        <v>3131</v>
      </c>
      <c r="H1698" s="11"/>
      <c r="I1698" s="11" t="s">
        <v>49</v>
      </c>
      <c r="J1698" s="11">
        <v>28115.68</v>
      </c>
      <c r="K1698" s="11">
        <v>28115.68</v>
      </c>
      <c r="L1698" s="11"/>
      <c r="M1698" s="14">
        <v>28115.68</v>
      </c>
      <c r="N1698" s="11" t="s">
        <v>3132</v>
      </c>
      <c r="O1698" s="11" t="s">
        <v>50</v>
      </c>
    </row>
    <row r="1699" spans="1:15" s="13" customFormat="1" ht="19.5" customHeight="1" x14ac:dyDescent="0.25">
      <c r="A1699" s="11" t="s">
        <v>3131</v>
      </c>
      <c r="B1699" s="11" t="s">
        <v>3131</v>
      </c>
      <c r="C1699" s="12">
        <v>46112</v>
      </c>
      <c r="D1699" s="12">
        <v>46187</v>
      </c>
      <c r="E1699" s="11" t="s">
        <v>6</v>
      </c>
      <c r="F1699" s="11" t="s">
        <v>119</v>
      </c>
      <c r="G1699" s="11" t="s">
        <v>3131</v>
      </c>
      <c r="H1699" s="11"/>
      <c r="I1699" s="11" t="s">
        <v>49</v>
      </c>
      <c r="J1699" s="11">
        <v>28115.68</v>
      </c>
      <c r="K1699" s="11">
        <v>28115.68</v>
      </c>
      <c r="L1699" s="11"/>
      <c r="M1699" s="14">
        <v>28115.68</v>
      </c>
      <c r="N1699" s="11" t="s">
        <v>3132</v>
      </c>
      <c r="O1699" s="11" t="s">
        <v>50</v>
      </c>
    </row>
    <row r="1700" spans="1:15" s="13" customFormat="1" ht="19.5" customHeight="1" x14ac:dyDescent="0.25">
      <c r="A1700" s="11" t="s">
        <v>3131</v>
      </c>
      <c r="B1700" s="11" t="s">
        <v>3131</v>
      </c>
      <c r="C1700" s="12">
        <v>46112</v>
      </c>
      <c r="D1700" s="12">
        <v>46197</v>
      </c>
      <c r="E1700" s="11" t="s">
        <v>6</v>
      </c>
      <c r="F1700" s="11" t="s">
        <v>119</v>
      </c>
      <c r="G1700" s="11" t="s">
        <v>3131</v>
      </c>
      <c r="H1700" s="11"/>
      <c r="I1700" s="11" t="s">
        <v>49</v>
      </c>
      <c r="J1700" s="11">
        <v>28115.68</v>
      </c>
      <c r="K1700" s="11">
        <v>28115.68</v>
      </c>
      <c r="L1700" s="11"/>
      <c r="M1700" s="14">
        <v>28115.68</v>
      </c>
      <c r="N1700" s="11" t="s">
        <v>3132</v>
      </c>
      <c r="O1700" s="11" t="s">
        <v>50</v>
      </c>
    </row>
    <row r="1701" spans="1:15" s="13" customFormat="1" ht="19.5" customHeight="1" x14ac:dyDescent="0.25">
      <c r="A1701" s="11" t="s">
        <v>3131</v>
      </c>
      <c r="B1701" s="11" t="s">
        <v>3131</v>
      </c>
      <c r="C1701" s="12">
        <v>46112</v>
      </c>
      <c r="D1701" s="12">
        <v>46207</v>
      </c>
      <c r="E1701" s="11" t="s">
        <v>6</v>
      </c>
      <c r="F1701" s="11" t="s">
        <v>119</v>
      </c>
      <c r="G1701" s="11" t="s">
        <v>3131</v>
      </c>
      <c r="H1701" s="11"/>
      <c r="I1701" s="11" t="s">
        <v>49</v>
      </c>
      <c r="J1701" s="11">
        <v>28115.68</v>
      </c>
      <c r="K1701" s="11">
        <v>28115.68</v>
      </c>
      <c r="L1701" s="11"/>
      <c r="M1701" s="14">
        <v>28115.68</v>
      </c>
      <c r="N1701" s="11" t="s">
        <v>3132</v>
      </c>
      <c r="O1701" s="11" t="s">
        <v>50</v>
      </c>
    </row>
    <row r="1702" spans="1:15" s="13" customFormat="1" ht="19.5" customHeight="1" x14ac:dyDescent="0.25">
      <c r="A1702" s="11" t="s">
        <v>3131</v>
      </c>
      <c r="B1702" s="11" t="s">
        <v>3131</v>
      </c>
      <c r="C1702" s="12">
        <v>46112</v>
      </c>
      <c r="D1702" s="12">
        <v>46217</v>
      </c>
      <c r="E1702" s="11" t="s">
        <v>6</v>
      </c>
      <c r="F1702" s="11" t="s">
        <v>119</v>
      </c>
      <c r="G1702" s="11" t="s">
        <v>3131</v>
      </c>
      <c r="H1702" s="11"/>
      <c r="I1702" s="11" t="s">
        <v>49</v>
      </c>
      <c r="J1702" s="11">
        <v>28115.68</v>
      </c>
      <c r="K1702" s="11">
        <v>28115.68</v>
      </c>
      <c r="L1702" s="11"/>
      <c r="M1702" s="14">
        <v>28115.68</v>
      </c>
      <c r="N1702" s="11" t="s">
        <v>3132</v>
      </c>
      <c r="O1702" s="11" t="s">
        <v>50</v>
      </c>
    </row>
    <row r="1703" spans="1:15" s="13" customFormat="1" ht="19.5" customHeight="1" x14ac:dyDescent="0.25">
      <c r="A1703" s="11" t="s">
        <v>3131</v>
      </c>
      <c r="B1703" s="11" t="s">
        <v>3131</v>
      </c>
      <c r="C1703" s="12">
        <v>46112</v>
      </c>
      <c r="D1703" s="12">
        <v>46227</v>
      </c>
      <c r="E1703" s="11" t="s">
        <v>6</v>
      </c>
      <c r="F1703" s="11" t="s">
        <v>119</v>
      </c>
      <c r="G1703" s="11" t="s">
        <v>3131</v>
      </c>
      <c r="H1703" s="11"/>
      <c r="I1703" s="11" t="s">
        <v>49</v>
      </c>
      <c r="J1703" s="11">
        <v>28115.68</v>
      </c>
      <c r="K1703" s="11">
        <v>28115.68</v>
      </c>
      <c r="L1703" s="11"/>
      <c r="M1703" s="14">
        <v>28115.68</v>
      </c>
      <c r="N1703" s="11" t="s">
        <v>3132</v>
      </c>
      <c r="O1703" s="11" t="s">
        <v>50</v>
      </c>
    </row>
    <row r="1704" spans="1:15" s="13" customFormat="1" ht="19.5" customHeight="1" x14ac:dyDescent="0.25">
      <c r="A1704" s="11" t="s">
        <v>3131</v>
      </c>
      <c r="B1704" s="11" t="s">
        <v>3131</v>
      </c>
      <c r="C1704" s="12">
        <v>46112</v>
      </c>
      <c r="D1704" s="12">
        <v>46237</v>
      </c>
      <c r="E1704" s="11" t="s">
        <v>6</v>
      </c>
      <c r="F1704" s="11" t="s">
        <v>119</v>
      </c>
      <c r="G1704" s="11" t="s">
        <v>3131</v>
      </c>
      <c r="H1704" s="11"/>
      <c r="I1704" s="11" t="s">
        <v>49</v>
      </c>
      <c r="J1704" s="11">
        <v>28141.02</v>
      </c>
      <c r="K1704" s="11">
        <v>28141.02</v>
      </c>
      <c r="L1704" s="11"/>
      <c r="M1704" s="14">
        <v>28141.02</v>
      </c>
      <c r="N1704" s="11" t="s">
        <v>3132</v>
      </c>
      <c r="O1704" s="11" t="s">
        <v>50</v>
      </c>
    </row>
    <row r="1705" spans="1:15" s="13" customFormat="1" ht="19.5" customHeight="1" x14ac:dyDescent="0.25">
      <c r="A1705" s="11" t="s">
        <v>3133</v>
      </c>
      <c r="B1705" s="11" t="s">
        <v>3133</v>
      </c>
      <c r="C1705" s="12">
        <v>46112</v>
      </c>
      <c r="D1705" s="12">
        <v>46157</v>
      </c>
      <c r="E1705" s="11" t="s">
        <v>6</v>
      </c>
      <c r="F1705" s="11" t="s">
        <v>119</v>
      </c>
      <c r="G1705" s="11" t="s">
        <v>3133</v>
      </c>
      <c r="H1705" s="11"/>
      <c r="I1705" s="11" t="s">
        <v>49</v>
      </c>
      <c r="J1705" s="11">
        <v>21029.47</v>
      </c>
      <c r="K1705" s="11">
        <v>21029.47</v>
      </c>
      <c r="L1705" s="11"/>
      <c r="M1705" s="14">
        <v>21029.47</v>
      </c>
      <c r="N1705" s="11" t="s">
        <v>3134</v>
      </c>
      <c r="O1705" s="11" t="s">
        <v>50</v>
      </c>
    </row>
    <row r="1706" spans="1:15" s="13" customFormat="1" ht="19.5" customHeight="1" x14ac:dyDescent="0.25">
      <c r="A1706" s="11" t="s">
        <v>3133</v>
      </c>
      <c r="B1706" s="11" t="s">
        <v>3133</v>
      </c>
      <c r="C1706" s="12">
        <v>46112</v>
      </c>
      <c r="D1706" s="12">
        <v>46167</v>
      </c>
      <c r="E1706" s="11" t="s">
        <v>6</v>
      </c>
      <c r="F1706" s="11" t="s">
        <v>119</v>
      </c>
      <c r="G1706" s="11" t="s">
        <v>3133</v>
      </c>
      <c r="H1706" s="11"/>
      <c r="I1706" s="11" t="s">
        <v>49</v>
      </c>
      <c r="J1706" s="11">
        <v>21029.47</v>
      </c>
      <c r="K1706" s="11">
        <v>21029.47</v>
      </c>
      <c r="L1706" s="11"/>
      <c r="M1706" s="14">
        <v>21029.47</v>
      </c>
      <c r="N1706" s="11" t="s">
        <v>3134</v>
      </c>
      <c r="O1706" s="11" t="s">
        <v>50</v>
      </c>
    </row>
    <row r="1707" spans="1:15" s="13" customFormat="1" ht="19.5" customHeight="1" x14ac:dyDescent="0.25">
      <c r="A1707" s="11" t="s">
        <v>3133</v>
      </c>
      <c r="B1707" s="11" t="s">
        <v>3133</v>
      </c>
      <c r="C1707" s="12">
        <v>46112</v>
      </c>
      <c r="D1707" s="12">
        <v>46177</v>
      </c>
      <c r="E1707" s="11" t="s">
        <v>6</v>
      </c>
      <c r="F1707" s="11" t="s">
        <v>119</v>
      </c>
      <c r="G1707" s="11" t="s">
        <v>3133</v>
      </c>
      <c r="H1707" s="11"/>
      <c r="I1707" s="11" t="s">
        <v>49</v>
      </c>
      <c r="J1707" s="11">
        <v>21029.47</v>
      </c>
      <c r="K1707" s="11">
        <v>21029.47</v>
      </c>
      <c r="L1707" s="11"/>
      <c r="M1707" s="14">
        <v>21029.47</v>
      </c>
      <c r="N1707" s="11" t="s">
        <v>3134</v>
      </c>
      <c r="O1707" s="11" t="s">
        <v>50</v>
      </c>
    </row>
    <row r="1708" spans="1:15" s="13" customFormat="1" ht="19.5" customHeight="1" x14ac:dyDescent="0.25">
      <c r="A1708" s="11" t="s">
        <v>3133</v>
      </c>
      <c r="B1708" s="11" t="s">
        <v>3133</v>
      </c>
      <c r="C1708" s="12">
        <v>46112</v>
      </c>
      <c r="D1708" s="12">
        <v>46187</v>
      </c>
      <c r="E1708" s="11" t="s">
        <v>6</v>
      </c>
      <c r="F1708" s="11" t="s">
        <v>119</v>
      </c>
      <c r="G1708" s="11" t="s">
        <v>3133</v>
      </c>
      <c r="H1708" s="11"/>
      <c r="I1708" s="11" t="s">
        <v>49</v>
      </c>
      <c r="J1708" s="11">
        <v>21029.47</v>
      </c>
      <c r="K1708" s="11">
        <v>21029.47</v>
      </c>
      <c r="L1708" s="11"/>
      <c r="M1708" s="14">
        <v>21029.47</v>
      </c>
      <c r="N1708" s="11" t="s">
        <v>3134</v>
      </c>
      <c r="O1708" s="11" t="s">
        <v>50</v>
      </c>
    </row>
    <row r="1709" spans="1:15" s="13" customFormat="1" ht="19.5" customHeight="1" x14ac:dyDescent="0.25">
      <c r="A1709" s="11" t="s">
        <v>3133</v>
      </c>
      <c r="B1709" s="11" t="s">
        <v>3133</v>
      </c>
      <c r="C1709" s="12">
        <v>46112</v>
      </c>
      <c r="D1709" s="12">
        <v>46197</v>
      </c>
      <c r="E1709" s="11" t="s">
        <v>6</v>
      </c>
      <c r="F1709" s="11" t="s">
        <v>119</v>
      </c>
      <c r="G1709" s="11" t="s">
        <v>3133</v>
      </c>
      <c r="H1709" s="11"/>
      <c r="I1709" s="11" t="s">
        <v>49</v>
      </c>
      <c r="J1709" s="11">
        <v>21029.47</v>
      </c>
      <c r="K1709" s="11">
        <v>21029.47</v>
      </c>
      <c r="L1709" s="11"/>
      <c r="M1709" s="14">
        <v>21029.47</v>
      </c>
      <c r="N1709" s="11" t="s">
        <v>3134</v>
      </c>
      <c r="O1709" s="11" t="s">
        <v>50</v>
      </c>
    </row>
    <row r="1710" spans="1:15" s="13" customFormat="1" ht="19.5" customHeight="1" x14ac:dyDescent="0.25">
      <c r="A1710" s="11" t="s">
        <v>3133</v>
      </c>
      <c r="B1710" s="11" t="s">
        <v>3133</v>
      </c>
      <c r="C1710" s="12">
        <v>46112</v>
      </c>
      <c r="D1710" s="12">
        <v>46207</v>
      </c>
      <c r="E1710" s="11" t="s">
        <v>6</v>
      </c>
      <c r="F1710" s="11" t="s">
        <v>119</v>
      </c>
      <c r="G1710" s="11" t="s">
        <v>3133</v>
      </c>
      <c r="H1710" s="11"/>
      <c r="I1710" s="11" t="s">
        <v>49</v>
      </c>
      <c r="J1710" s="11">
        <v>21029.47</v>
      </c>
      <c r="K1710" s="11">
        <v>21029.47</v>
      </c>
      <c r="L1710" s="11"/>
      <c r="M1710" s="14">
        <v>21029.47</v>
      </c>
      <c r="N1710" s="11" t="s">
        <v>3134</v>
      </c>
      <c r="O1710" s="11" t="s">
        <v>50</v>
      </c>
    </row>
    <row r="1711" spans="1:15" s="13" customFormat="1" ht="19.5" customHeight="1" x14ac:dyDescent="0.25">
      <c r="A1711" s="11" t="s">
        <v>3133</v>
      </c>
      <c r="B1711" s="11" t="s">
        <v>3133</v>
      </c>
      <c r="C1711" s="12">
        <v>46112</v>
      </c>
      <c r="D1711" s="12">
        <v>46217</v>
      </c>
      <c r="E1711" s="11" t="s">
        <v>6</v>
      </c>
      <c r="F1711" s="11" t="s">
        <v>119</v>
      </c>
      <c r="G1711" s="11" t="s">
        <v>3133</v>
      </c>
      <c r="H1711" s="11"/>
      <c r="I1711" s="11" t="s">
        <v>49</v>
      </c>
      <c r="J1711" s="11">
        <v>21029.47</v>
      </c>
      <c r="K1711" s="11">
        <v>21029.47</v>
      </c>
      <c r="L1711" s="11"/>
      <c r="M1711" s="14">
        <v>21029.47</v>
      </c>
      <c r="N1711" s="11" t="s">
        <v>3134</v>
      </c>
      <c r="O1711" s="11" t="s">
        <v>50</v>
      </c>
    </row>
    <row r="1712" spans="1:15" s="13" customFormat="1" ht="19.5" customHeight="1" x14ac:dyDescent="0.25">
      <c r="A1712" s="11" t="s">
        <v>3133</v>
      </c>
      <c r="B1712" s="11" t="s">
        <v>3133</v>
      </c>
      <c r="C1712" s="12">
        <v>46112</v>
      </c>
      <c r="D1712" s="12">
        <v>46227</v>
      </c>
      <c r="E1712" s="11" t="s">
        <v>6</v>
      </c>
      <c r="F1712" s="11" t="s">
        <v>119</v>
      </c>
      <c r="G1712" s="11" t="s">
        <v>3133</v>
      </c>
      <c r="H1712" s="11"/>
      <c r="I1712" s="11" t="s">
        <v>49</v>
      </c>
      <c r="J1712" s="11">
        <v>21029.47</v>
      </c>
      <c r="K1712" s="11">
        <v>21029.47</v>
      </c>
      <c r="L1712" s="11"/>
      <c r="M1712" s="14">
        <v>21029.47</v>
      </c>
      <c r="N1712" s="11" t="s">
        <v>3134</v>
      </c>
      <c r="O1712" s="11" t="s">
        <v>50</v>
      </c>
    </row>
    <row r="1713" spans="1:15" s="13" customFormat="1" ht="19.5" customHeight="1" x14ac:dyDescent="0.25">
      <c r="A1713" s="11" t="s">
        <v>3133</v>
      </c>
      <c r="B1713" s="11" t="s">
        <v>3133</v>
      </c>
      <c r="C1713" s="12">
        <v>46112</v>
      </c>
      <c r="D1713" s="12">
        <v>46237</v>
      </c>
      <c r="E1713" s="11" t="s">
        <v>6</v>
      </c>
      <c r="F1713" s="11" t="s">
        <v>119</v>
      </c>
      <c r="G1713" s="11" t="s">
        <v>3133</v>
      </c>
      <c r="H1713" s="11"/>
      <c r="I1713" s="11" t="s">
        <v>49</v>
      </c>
      <c r="J1713" s="11">
        <v>21048.400000000001</v>
      </c>
      <c r="K1713" s="11">
        <v>21048.400000000001</v>
      </c>
      <c r="L1713" s="11"/>
      <c r="M1713" s="14">
        <v>21048.400000000001</v>
      </c>
      <c r="N1713" s="11" t="s">
        <v>3134</v>
      </c>
      <c r="O1713" s="11" t="s">
        <v>50</v>
      </c>
    </row>
    <row r="1714" spans="1:15" s="13" customFormat="1" ht="19.5" customHeight="1" x14ac:dyDescent="0.25">
      <c r="A1714" s="11" t="s">
        <v>3135</v>
      </c>
      <c r="B1714" s="11" t="s">
        <v>3135</v>
      </c>
      <c r="C1714" s="12">
        <v>46108</v>
      </c>
      <c r="D1714" s="11"/>
      <c r="E1714" s="11" t="s">
        <v>6</v>
      </c>
      <c r="F1714" s="11" t="s">
        <v>59</v>
      </c>
      <c r="G1714" s="11" t="s">
        <v>3136</v>
      </c>
      <c r="H1714" s="11"/>
      <c r="I1714" s="11" t="s">
        <v>49</v>
      </c>
      <c r="J1714" s="11">
        <v>-6732.69</v>
      </c>
      <c r="K1714" s="11"/>
      <c r="L1714" s="11">
        <v>6732.69</v>
      </c>
      <c r="M1714" s="14">
        <v>-6732.69</v>
      </c>
      <c r="N1714" s="11" t="s">
        <v>3137</v>
      </c>
      <c r="O1714" s="11" t="s">
        <v>234</v>
      </c>
    </row>
    <row r="1715" spans="1:15" s="13" customFormat="1" ht="19.5" customHeight="1" x14ac:dyDescent="0.25">
      <c r="A1715" s="11" t="s">
        <v>3136</v>
      </c>
      <c r="B1715" s="11" t="s">
        <v>3136</v>
      </c>
      <c r="C1715" s="12">
        <v>46013</v>
      </c>
      <c r="D1715" s="12">
        <v>46103</v>
      </c>
      <c r="E1715" s="11" t="s">
        <v>6</v>
      </c>
      <c r="F1715" s="11" t="s">
        <v>59</v>
      </c>
      <c r="G1715" s="11" t="s">
        <v>3136</v>
      </c>
      <c r="H1715" s="11"/>
      <c r="I1715" s="11" t="s">
        <v>49</v>
      </c>
      <c r="J1715" s="11">
        <v>6732.69</v>
      </c>
      <c r="K1715" s="11">
        <v>6732.69</v>
      </c>
      <c r="L1715" s="11"/>
      <c r="M1715" s="14">
        <v>6732.69</v>
      </c>
      <c r="N1715" s="11" t="s">
        <v>3137</v>
      </c>
      <c r="O1715" s="11" t="s">
        <v>50</v>
      </c>
    </row>
    <row r="1716" spans="1:15" s="13" customFormat="1" ht="19.5" customHeight="1" x14ac:dyDescent="0.25">
      <c r="A1716" s="11" t="s">
        <v>3135</v>
      </c>
      <c r="B1716" s="11" t="s">
        <v>3135</v>
      </c>
      <c r="C1716" s="12">
        <v>46108</v>
      </c>
      <c r="D1716" s="11"/>
      <c r="E1716" s="11" t="s">
        <v>6</v>
      </c>
      <c r="F1716" s="11" t="s">
        <v>59</v>
      </c>
      <c r="G1716" s="11" t="s">
        <v>3138</v>
      </c>
      <c r="H1716" s="11"/>
      <c r="I1716" s="11" t="s">
        <v>49</v>
      </c>
      <c r="J1716" s="11">
        <v>-7096.47</v>
      </c>
      <c r="K1716" s="11"/>
      <c r="L1716" s="11">
        <v>7096.47</v>
      </c>
      <c r="M1716" s="14">
        <v>-7096.47</v>
      </c>
      <c r="N1716" s="11" t="s">
        <v>3139</v>
      </c>
      <c r="O1716" s="11" t="s">
        <v>234</v>
      </c>
    </row>
    <row r="1717" spans="1:15" s="13" customFormat="1" ht="19.5" customHeight="1" x14ac:dyDescent="0.25">
      <c r="A1717" s="11" t="s">
        <v>3138</v>
      </c>
      <c r="B1717" s="11" t="s">
        <v>3138</v>
      </c>
      <c r="C1717" s="12">
        <v>46017</v>
      </c>
      <c r="D1717" s="12">
        <v>46107</v>
      </c>
      <c r="E1717" s="11" t="s">
        <v>6</v>
      </c>
      <c r="F1717" s="11" t="s">
        <v>59</v>
      </c>
      <c r="G1717" s="11" t="s">
        <v>3138</v>
      </c>
      <c r="H1717" s="11"/>
      <c r="I1717" s="11" t="s">
        <v>49</v>
      </c>
      <c r="J1717" s="11">
        <v>7096.47</v>
      </c>
      <c r="K1717" s="11">
        <v>7096.47</v>
      </c>
      <c r="L1717" s="11"/>
      <c r="M1717" s="14">
        <v>7096.47</v>
      </c>
      <c r="N1717" s="11" t="s">
        <v>3139</v>
      </c>
      <c r="O1717" s="11" t="s">
        <v>50</v>
      </c>
    </row>
    <row r="1718" spans="1:15" s="13" customFormat="1" ht="19.5" customHeight="1" x14ac:dyDescent="0.25">
      <c r="A1718" s="11" t="s">
        <v>3140</v>
      </c>
      <c r="B1718" s="11" t="s">
        <v>3140</v>
      </c>
      <c r="C1718" s="12">
        <v>46063</v>
      </c>
      <c r="D1718" s="12">
        <v>46063</v>
      </c>
      <c r="E1718" s="11" t="s">
        <v>6</v>
      </c>
      <c r="F1718" s="11" t="s">
        <v>59</v>
      </c>
      <c r="G1718" s="11"/>
      <c r="H1718" s="11"/>
      <c r="I1718" s="11" t="s">
        <v>49</v>
      </c>
      <c r="J1718" s="11">
        <v>-21579.25</v>
      </c>
      <c r="K1718" s="11"/>
      <c r="L1718" s="11">
        <v>21579.25</v>
      </c>
      <c r="M1718" s="14">
        <v>-21579.25</v>
      </c>
      <c r="N1718" s="11" t="s">
        <v>3141</v>
      </c>
      <c r="O1718" s="11" t="s">
        <v>75</v>
      </c>
    </row>
    <row r="1719" spans="1:15" s="13" customFormat="1" ht="19.5" customHeight="1" x14ac:dyDescent="0.25">
      <c r="A1719" s="11" t="s">
        <v>3142</v>
      </c>
      <c r="B1719" s="11" t="s">
        <v>3142</v>
      </c>
      <c r="C1719" s="12">
        <v>46044</v>
      </c>
      <c r="D1719" s="12">
        <v>46044</v>
      </c>
      <c r="E1719" s="11" t="s">
        <v>6</v>
      </c>
      <c r="F1719" s="11" t="s">
        <v>59</v>
      </c>
      <c r="G1719" s="11"/>
      <c r="H1719" s="11"/>
      <c r="I1719" s="11" t="s">
        <v>49</v>
      </c>
      <c r="J1719" s="11">
        <v>-4002.05</v>
      </c>
      <c r="K1719" s="11"/>
      <c r="L1719" s="11">
        <v>4002.05</v>
      </c>
      <c r="M1719" s="14">
        <v>-4002.05</v>
      </c>
      <c r="N1719" s="11" t="s">
        <v>3141</v>
      </c>
      <c r="O1719" s="11" t="s">
        <v>50</v>
      </c>
    </row>
    <row r="1720" spans="1:15" s="13" customFormat="1" ht="19.5" customHeight="1" x14ac:dyDescent="0.25">
      <c r="A1720" s="11" t="s">
        <v>3143</v>
      </c>
      <c r="B1720" s="11" t="s">
        <v>3143</v>
      </c>
      <c r="C1720" s="12">
        <v>46035</v>
      </c>
      <c r="D1720" s="12">
        <v>46125</v>
      </c>
      <c r="E1720" s="11" t="s">
        <v>6</v>
      </c>
      <c r="F1720" s="11" t="s">
        <v>59</v>
      </c>
      <c r="G1720" s="11" t="s">
        <v>3143</v>
      </c>
      <c r="H1720" s="11"/>
      <c r="I1720" s="11" t="s">
        <v>49</v>
      </c>
      <c r="J1720" s="11">
        <v>10203.950000000001</v>
      </c>
      <c r="K1720" s="11">
        <v>10203.950000000001</v>
      </c>
      <c r="L1720" s="11"/>
      <c r="M1720" s="14">
        <v>10203.950000000001</v>
      </c>
      <c r="N1720" s="11" t="s">
        <v>3141</v>
      </c>
      <c r="O1720" s="11" t="s">
        <v>50</v>
      </c>
    </row>
    <row r="1721" spans="1:15" s="13" customFormat="1" ht="19.5" customHeight="1" x14ac:dyDescent="0.25">
      <c r="A1721" s="11" t="s">
        <v>3144</v>
      </c>
      <c r="B1721" s="11" t="s">
        <v>3144</v>
      </c>
      <c r="C1721" s="12">
        <v>46035</v>
      </c>
      <c r="D1721" s="12">
        <v>46125</v>
      </c>
      <c r="E1721" s="11" t="s">
        <v>6</v>
      </c>
      <c r="F1721" s="11" t="s">
        <v>59</v>
      </c>
      <c r="G1721" s="11" t="s">
        <v>3144</v>
      </c>
      <c r="H1721" s="11"/>
      <c r="I1721" s="11" t="s">
        <v>49</v>
      </c>
      <c r="J1721" s="11">
        <v>11046.03</v>
      </c>
      <c r="K1721" s="11">
        <v>11046.03</v>
      </c>
      <c r="L1721" s="11"/>
      <c r="M1721" s="14">
        <v>11046.03</v>
      </c>
      <c r="N1721" s="11" t="s">
        <v>3141</v>
      </c>
      <c r="O1721" s="11" t="s">
        <v>50</v>
      </c>
    </row>
    <row r="1722" spans="1:15" s="13" customFormat="1" ht="19.5" customHeight="1" x14ac:dyDescent="0.25">
      <c r="A1722" s="11" t="s">
        <v>3145</v>
      </c>
      <c r="B1722" s="11" t="s">
        <v>3145</v>
      </c>
      <c r="C1722" s="12">
        <v>46022</v>
      </c>
      <c r="D1722" s="12">
        <v>46112</v>
      </c>
      <c r="E1722" s="11" t="s">
        <v>6</v>
      </c>
      <c r="F1722" s="11" t="s">
        <v>59</v>
      </c>
      <c r="G1722" s="11" t="s">
        <v>3145</v>
      </c>
      <c r="H1722" s="11"/>
      <c r="I1722" s="11" t="s">
        <v>49</v>
      </c>
      <c r="J1722" s="11">
        <v>5137.29</v>
      </c>
      <c r="K1722" s="11">
        <v>5137.29</v>
      </c>
      <c r="L1722" s="11"/>
      <c r="M1722" s="14">
        <v>5137.29</v>
      </c>
      <c r="N1722" s="11" t="s">
        <v>3141</v>
      </c>
      <c r="O1722" s="11" t="s">
        <v>50</v>
      </c>
    </row>
    <row r="1723" spans="1:15" s="13" customFormat="1" ht="19.5" customHeight="1" x14ac:dyDescent="0.25">
      <c r="A1723" s="11" t="s">
        <v>3146</v>
      </c>
      <c r="B1723" s="11" t="s">
        <v>3146</v>
      </c>
      <c r="C1723" s="12">
        <v>46066</v>
      </c>
      <c r="D1723" s="11"/>
      <c r="E1723" s="11" t="s">
        <v>6</v>
      </c>
      <c r="F1723" s="11" t="s">
        <v>59</v>
      </c>
      <c r="G1723" s="11" t="s">
        <v>3147</v>
      </c>
      <c r="H1723" s="11"/>
      <c r="I1723" s="11" t="s">
        <v>49</v>
      </c>
      <c r="J1723" s="11">
        <v>-11548.46</v>
      </c>
      <c r="K1723" s="11"/>
      <c r="L1723" s="11">
        <v>11548.46</v>
      </c>
      <c r="M1723" s="14">
        <v>-11548.46</v>
      </c>
      <c r="N1723" s="11" t="s">
        <v>3148</v>
      </c>
      <c r="O1723" s="11" t="s">
        <v>234</v>
      </c>
    </row>
    <row r="1724" spans="1:15" s="13" customFormat="1" ht="19.5" customHeight="1" x14ac:dyDescent="0.25">
      <c r="A1724" s="11" t="s">
        <v>3147</v>
      </c>
      <c r="B1724" s="11" t="s">
        <v>3147</v>
      </c>
      <c r="C1724" s="12">
        <v>45975</v>
      </c>
      <c r="D1724" s="12">
        <v>46065</v>
      </c>
      <c r="E1724" s="11" t="s">
        <v>6</v>
      </c>
      <c r="F1724" s="11" t="s">
        <v>59</v>
      </c>
      <c r="G1724" s="11" t="s">
        <v>3147</v>
      </c>
      <c r="H1724" s="11"/>
      <c r="I1724" s="11" t="s">
        <v>49</v>
      </c>
      <c r="J1724" s="11">
        <v>11548.46</v>
      </c>
      <c r="K1724" s="11">
        <v>11548.46</v>
      </c>
      <c r="L1724" s="11"/>
      <c r="M1724" s="14">
        <v>11548.46</v>
      </c>
      <c r="N1724" s="11" t="s">
        <v>3148</v>
      </c>
      <c r="O1724" s="11" t="s">
        <v>50</v>
      </c>
    </row>
    <row r="1725" spans="1:15" s="13" customFormat="1" ht="19.5" customHeight="1" x14ac:dyDescent="0.25">
      <c r="A1725" s="11" t="s">
        <v>3146</v>
      </c>
      <c r="B1725" s="11" t="s">
        <v>3146</v>
      </c>
      <c r="C1725" s="12">
        <v>46066</v>
      </c>
      <c r="D1725" s="11"/>
      <c r="E1725" s="11" t="s">
        <v>6</v>
      </c>
      <c r="F1725" s="11" t="s">
        <v>59</v>
      </c>
      <c r="G1725" s="11" t="s">
        <v>3149</v>
      </c>
      <c r="H1725" s="11"/>
      <c r="I1725" s="11" t="s">
        <v>49</v>
      </c>
      <c r="J1725" s="11">
        <v>-8701.51</v>
      </c>
      <c r="K1725" s="11"/>
      <c r="L1725" s="11">
        <v>8701.51</v>
      </c>
      <c r="M1725" s="14">
        <v>-8701.51</v>
      </c>
      <c r="N1725" s="11" t="s">
        <v>3150</v>
      </c>
      <c r="O1725" s="11" t="s">
        <v>234</v>
      </c>
    </row>
    <row r="1726" spans="1:15" s="13" customFormat="1" ht="19.5" customHeight="1" x14ac:dyDescent="0.25">
      <c r="A1726" s="11" t="s">
        <v>3149</v>
      </c>
      <c r="B1726" s="11" t="s">
        <v>3149</v>
      </c>
      <c r="C1726" s="12">
        <v>45971</v>
      </c>
      <c r="D1726" s="12">
        <v>46061</v>
      </c>
      <c r="E1726" s="11" t="s">
        <v>6</v>
      </c>
      <c r="F1726" s="11" t="s">
        <v>59</v>
      </c>
      <c r="G1726" s="11" t="s">
        <v>3149</v>
      </c>
      <c r="H1726" s="11"/>
      <c r="I1726" s="11" t="s">
        <v>49</v>
      </c>
      <c r="J1726" s="11">
        <v>8701.51</v>
      </c>
      <c r="K1726" s="11">
        <v>8701.51</v>
      </c>
      <c r="L1726" s="11"/>
      <c r="M1726" s="14">
        <v>8701.51</v>
      </c>
      <c r="N1726" s="11" t="s">
        <v>3150</v>
      </c>
      <c r="O1726" s="11" t="s">
        <v>50</v>
      </c>
    </row>
    <row r="1727" spans="1:15" s="13" customFormat="1" ht="19.5" customHeight="1" x14ac:dyDescent="0.25">
      <c r="A1727" s="11" t="s">
        <v>3151</v>
      </c>
      <c r="B1727" s="11" t="s">
        <v>3151</v>
      </c>
      <c r="C1727" s="12">
        <v>45747</v>
      </c>
      <c r="D1727" s="11"/>
      <c r="E1727" s="11" t="s">
        <v>6</v>
      </c>
      <c r="F1727" s="11" t="s">
        <v>3152</v>
      </c>
      <c r="G1727" s="11" t="s">
        <v>3153</v>
      </c>
      <c r="H1727" s="11"/>
      <c r="I1727" s="11" t="s">
        <v>49</v>
      </c>
      <c r="J1727" s="11">
        <v>-250.39</v>
      </c>
      <c r="K1727" s="11"/>
      <c r="L1727" s="11">
        <v>250.39</v>
      </c>
      <c r="M1727" s="14">
        <v>-250.39</v>
      </c>
      <c r="N1727" s="11" t="s">
        <v>3154</v>
      </c>
      <c r="O1727" s="11" t="s">
        <v>2000</v>
      </c>
    </row>
    <row r="1728" spans="1:15" s="13" customFormat="1" ht="19.5" customHeight="1" x14ac:dyDescent="0.25">
      <c r="A1728" s="11" t="s">
        <v>3153</v>
      </c>
      <c r="B1728" s="11" t="s">
        <v>3153</v>
      </c>
      <c r="C1728" s="12">
        <v>45736</v>
      </c>
      <c r="D1728" s="12">
        <v>45736</v>
      </c>
      <c r="E1728" s="11" t="s">
        <v>6</v>
      </c>
      <c r="F1728" s="11" t="s">
        <v>3152</v>
      </c>
      <c r="G1728" s="11" t="s">
        <v>3153</v>
      </c>
      <c r="H1728" s="11"/>
      <c r="I1728" s="11" t="s">
        <v>49</v>
      </c>
      <c r="J1728" s="11">
        <v>250.39</v>
      </c>
      <c r="K1728" s="11">
        <v>250.39</v>
      </c>
      <c r="L1728" s="11"/>
      <c r="M1728" s="14">
        <v>250.39</v>
      </c>
      <c r="N1728" s="11" t="s">
        <v>3154</v>
      </c>
      <c r="O1728" s="11" t="s">
        <v>75</v>
      </c>
    </row>
    <row r="1729" spans="1:15" s="13" customFormat="1" ht="19.5" customHeight="1" x14ac:dyDescent="0.25">
      <c r="A1729" s="11" t="s">
        <v>3151</v>
      </c>
      <c r="B1729" s="11" t="s">
        <v>3151</v>
      </c>
      <c r="C1729" s="12">
        <v>45747</v>
      </c>
      <c r="D1729" s="11"/>
      <c r="E1729" s="11" t="s">
        <v>6</v>
      </c>
      <c r="F1729" s="11" t="s">
        <v>3152</v>
      </c>
      <c r="G1729" s="11" t="s">
        <v>3155</v>
      </c>
      <c r="H1729" s="11"/>
      <c r="I1729" s="11" t="s">
        <v>49</v>
      </c>
      <c r="J1729" s="11">
        <v>-217.49</v>
      </c>
      <c r="K1729" s="11"/>
      <c r="L1729" s="11">
        <v>217.49</v>
      </c>
      <c r="M1729" s="14">
        <v>-217.49</v>
      </c>
      <c r="N1729" s="11" t="s">
        <v>3156</v>
      </c>
      <c r="O1729" s="11" t="s">
        <v>2000</v>
      </c>
    </row>
    <row r="1730" spans="1:15" s="13" customFormat="1" ht="19.5" customHeight="1" x14ac:dyDescent="0.25">
      <c r="A1730" s="11" t="s">
        <v>3155</v>
      </c>
      <c r="B1730" s="11" t="s">
        <v>3155</v>
      </c>
      <c r="C1730" s="12">
        <v>45736</v>
      </c>
      <c r="D1730" s="12">
        <v>45736</v>
      </c>
      <c r="E1730" s="11" t="s">
        <v>6</v>
      </c>
      <c r="F1730" s="11" t="s">
        <v>3152</v>
      </c>
      <c r="G1730" s="11" t="s">
        <v>3155</v>
      </c>
      <c r="H1730" s="11"/>
      <c r="I1730" s="11" t="s">
        <v>49</v>
      </c>
      <c r="J1730" s="11">
        <v>217.49</v>
      </c>
      <c r="K1730" s="11">
        <v>217.49</v>
      </c>
      <c r="L1730" s="11"/>
      <c r="M1730" s="14">
        <v>217.49</v>
      </c>
      <c r="N1730" s="11" t="s">
        <v>3156</v>
      </c>
      <c r="O1730" s="11" t="s">
        <v>75</v>
      </c>
    </row>
    <row r="1731" spans="1:15" s="13" customFormat="1" ht="19.5" customHeight="1" x14ac:dyDescent="0.25">
      <c r="A1731" s="11" t="s">
        <v>3151</v>
      </c>
      <c r="B1731" s="11" t="s">
        <v>3151</v>
      </c>
      <c r="C1731" s="12">
        <v>45747</v>
      </c>
      <c r="D1731" s="11"/>
      <c r="E1731" s="11" t="s">
        <v>6</v>
      </c>
      <c r="F1731" s="11" t="s">
        <v>3152</v>
      </c>
      <c r="G1731" s="11" t="s">
        <v>3157</v>
      </c>
      <c r="H1731" s="11"/>
      <c r="I1731" s="11" t="s">
        <v>49</v>
      </c>
      <c r="J1731" s="11">
        <v>-155.87</v>
      </c>
      <c r="K1731" s="11"/>
      <c r="L1731" s="11">
        <v>155.87</v>
      </c>
      <c r="M1731" s="14">
        <v>-155.87</v>
      </c>
      <c r="N1731" s="11" t="s">
        <v>3158</v>
      </c>
      <c r="O1731" s="11" t="s">
        <v>2000</v>
      </c>
    </row>
    <row r="1732" spans="1:15" s="13" customFormat="1" ht="19.5" customHeight="1" x14ac:dyDescent="0.25">
      <c r="A1732" s="11" t="s">
        <v>3157</v>
      </c>
      <c r="B1732" s="11" t="s">
        <v>3157</v>
      </c>
      <c r="C1732" s="12">
        <v>45736</v>
      </c>
      <c r="D1732" s="12">
        <v>45736</v>
      </c>
      <c r="E1732" s="11" t="s">
        <v>6</v>
      </c>
      <c r="F1732" s="11" t="s">
        <v>3152</v>
      </c>
      <c r="G1732" s="11" t="s">
        <v>3157</v>
      </c>
      <c r="H1732" s="11"/>
      <c r="I1732" s="11" t="s">
        <v>49</v>
      </c>
      <c r="J1732" s="11">
        <v>155.87</v>
      </c>
      <c r="K1732" s="11">
        <v>155.87</v>
      </c>
      <c r="L1732" s="11"/>
      <c r="M1732" s="14">
        <v>155.87</v>
      </c>
      <c r="N1732" s="11" t="s">
        <v>3158</v>
      </c>
      <c r="O1732" s="11" t="s">
        <v>75</v>
      </c>
    </row>
    <row r="1733" spans="1:15" s="13" customFormat="1" ht="19.5" customHeight="1" x14ac:dyDescent="0.25">
      <c r="A1733" s="11" t="s">
        <v>3151</v>
      </c>
      <c r="B1733" s="11" t="s">
        <v>3151</v>
      </c>
      <c r="C1733" s="12">
        <v>45747</v>
      </c>
      <c r="D1733" s="11"/>
      <c r="E1733" s="11" t="s">
        <v>6</v>
      </c>
      <c r="F1733" s="11" t="s">
        <v>3152</v>
      </c>
      <c r="G1733" s="11" t="s">
        <v>3159</v>
      </c>
      <c r="H1733" s="11"/>
      <c r="I1733" s="11" t="s">
        <v>49</v>
      </c>
      <c r="J1733" s="11">
        <v>-217.49</v>
      </c>
      <c r="K1733" s="11"/>
      <c r="L1733" s="11">
        <v>217.49</v>
      </c>
      <c r="M1733" s="14">
        <v>-217.49</v>
      </c>
      <c r="N1733" s="11" t="s">
        <v>3160</v>
      </c>
      <c r="O1733" s="11" t="s">
        <v>2000</v>
      </c>
    </row>
    <row r="1734" spans="1:15" s="13" customFormat="1" ht="19.5" customHeight="1" x14ac:dyDescent="0.25">
      <c r="A1734" s="11" t="s">
        <v>3159</v>
      </c>
      <c r="B1734" s="11" t="s">
        <v>3159</v>
      </c>
      <c r="C1734" s="12">
        <v>45742</v>
      </c>
      <c r="D1734" s="12">
        <v>45742</v>
      </c>
      <c r="E1734" s="11" t="s">
        <v>6</v>
      </c>
      <c r="F1734" s="11" t="s">
        <v>3152</v>
      </c>
      <c r="G1734" s="11" t="s">
        <v>3159</v>
      </c>
      <c r="H1734" s="11"/>
      <c r="I1734" s="11" t="s">
        <v>49</v>
      </c>
      <c r="J1734" s="11">
        <v>217.49</v>
      </c>
      <c r="K1734" s="11">
        <v>217.49</v>
      </c>
      <c r="L1734" s="11"/>
      <c r="M1734" s="14">
        <v>217.49</v>
      </c>
      <c r="N1734" s="11" t="s">
        <v>3160</v>
      </c>
      <c r="O1734" s="11" t="s">
        <v>75</v>
      </c>
    </row>
    <row r="1735" spans="1:15" s="13" customFormat="1" ht="19.5" customHeight="1" x14ac:dyDescent="0.25">
      <c r="A1735" s="11" t="s">
        <v>3151</v>
      </c>
      <c r="B1735" s="11" t="s">
        <v>3151</v>
      </c>
      <c r="C1735" s="12">
        <v>45747</v>
      </c>
      <c r="D1735" s="11"/>
      <c r="E1735" s="11" t="s">
        <v>6</v>
      </c>
      <c r="F1735" s="11" t="s">
        <v>3152</v>
      </c>
      <c r="G1735" s="11" t="s">
        <v>3161</v>
      </c>
      <c r="H1735" s="11"/>
      <c r="I1735" s="11" t="s">
        <v>49</v>
      </c>
      <c r="J1735" s="11">
        <v>-250.39</v>
      </c>
      <c r="K1735" s="11"/>
      <c r="L1735" s="11">
        <v>250.39</v>
      </c>
      <c r="M1735" s="14">
        <v>-250.39</v>
      </c>
      <c r="N1735" s="11" t="s">
        <v>3162</v>
      </c>
      <c r="O1735" s="11" t="s">
        <v>2000</v>
      </c>
    </row>
    <row r="1736" spans="1:15" s="13" customFormat="1" ht="19.5" customHeight="1" x14ac:dyDescent="0.25">
      <c r="A1736" s="11" t="s">
        <v>3161</v>
      </c>
      <c r="B1736" s="11" t="s">
        <v>3161</v>
      </c>
      <c r="C1736" s="12">
        <v>45728</v>
      </c>
      <c r="D1736" s="12">
        <v>45728</v>
      </c>
      <c r="E1736" s="11" t="s">
        <v>6</v>
      </c>
      <c r="F1736" s="11" t="s">
        <v>3152</v>
      </c>
      <c r="G1736" s="11" t="s">
        <v>3161</v>
      </c>
      <c r="H1736" s="11"/>
      <c r="I1736" s="11" t="s">
        <v>49</v>
      </c>
      <c r="J1736" s="11">
        <v>250.39</v>
      </c>
      <c r="K1736" s="11">
        <v>250.39</v>
      </c>
      <c r="L1736" s="11"/>
      <c r="M1736" s="14">
        <v>250.39</v>
      </c>
      <c r="N1736" s="11" t="s">
        <v>3162</v>
      </c>
      <c r="O1736" s="11" t="s">
        <v>75</v>
      </c>
    </row>
    <row r="1737" spans="1:15" s="13" customFormat="1" ht="19.5" customHeight="1" x14ac:dyDescent="0.25">
      <c r="A1737" s="11" t="s">
        <v>3163</v>
      </c>
      <c r="B1737" s="11" t="s">
        <v>3163</v>
      </c>
      <c r="C1737" s="12">
        <v>46098</v>
      </c>
      <c r="D1737" s="12">
        <v>46098</v>
      </c>
      <c r="E1737" s="11" t="s">
        <v>6</v>
      </c>
      <c r="F1737" s="11" t="s">
        <v>3164</v>
      </c>
      <c r="G1737" s="11" t="s">
        <v>3163</v>
      </c>
      <c r="H1737" s="11"/>
      <c r="I1737" s="11" t="s">
        <v>49</v>
      </c>
      <c r="J1737" s="11">
        <v>949.99</v>
      </c>
      <c r="K1737" s="11">
        <v>949.99</v>
      </c>
      <c r="L1737" s="11"/>
      <c r="M1737" s="14">
        <v>949.99</v>
      </c>
      <c r="N1737" s="11" t="s">
        <v>3165</v>
      </c>
      <c r="O1737" s="11" t="s">
        <v>50</v>
      </c>
    </row>
    <row r="1738" spans="1:15" s="13" customFormat="1" ht="19.5" customHeight="1" x14ac:dyDescent="0.25">
      <c r="A1738" s="11" t="s">
        <v>3166</v>
      </c>
      <c r="B1738" s="11" t="s">
        <v>3166</v>
      </c>
      <c r="C1738" s="12">
        <v>46098</v>
      </c>
      <c r="D1738" s="11"/>
      <c r="E1738" s="11" t="s">
        <v>6</v>
      </c>
      <c r="F1738" s="11" t="s">
        <v>3164</v>
      </c>
      <c r="G1738" s="11" t="s">
        <v>3163</v>
      </c>
      <c r="H1738" s="11"/>
      <c r="I1738" s="11" t="s">
        <v>49</v>
      </c>
      <c r="J1738" s="11">
        <v>-949.99</v>
      </c>
      <c r="K1738" s="11"/>
      <c r="L1738" s="11">
        <v>949.99</v>
      </c>
      <c r="M1738" s="14">
        <v>-949.99</v>
      </c>
      <c r="N1738" s="11" t="s">
        <v>3165</v>
      </c>
      <c r="O1738" s="11" t="s">
        <v>234</v>
      </c>
    </row>
    <row r="1739" spans="1:15" s="13" customFormat="1" ht="19.5" customHeight="1" x14ac:dyDescent="0.25">
      <c r="A1739" s="11" t="s">
        <v>3167</v>
      </c>
      <c r="B1739" s="11" t="s">
        <v>3167</v>
      </c>
      <c r="C1739" s="12">
        <v>45747</v>
      </c>
      <c r="D1739" s="11"/>
      <c r="E1739" s="11" t="s">
        <v>6</v>
      </c>
      <c r="F1739" s="11" t="s">
        <v>3152</v>
      </c>
      <c r="G1739" s="11" t="s">
        <v>3168</v>
      </c>
      <c r="H1739" s="11"/>
      <c r="I1739" s="11" t="s">
        <v>49</v>
      </c>
      <c r="J1739" s="11">
        <v>-155.87</v>
      </c>
      <c r="K1739" s="11"/>
      <c r="L1739" s="11">
        <v>155.87</v>
      </c>
      <c r="M1739" s="14">
        <v>-155.87</v>
      </c>
      <c r="N1739" s="11" t="s">
        <v>3169</v>
      </c>
      <c r="O1739" s="11" t="s">
        <v>2000</v>
      </c>
    </row>
    <row r="1740" spans="1:15" s="13" customFormat="1" ht="19.5" customHeight="1" x14ac:dyDescent="0.25">
      <c r="A1740" s="11" t="s">
        <v>3168</v>
      </c>
      <c r="B1740" s="11" t="s">
        <v>3168</v>
      </c>
      <c r="C1740" s="12">
        <v>45728</v>
      </c>
      <c r="D1740" s="12">
        <v>45728</v>
      </c>
      <c r="E1740" s="11" t="s">
        <v>6</v>
      </c>
      <c r="F1740" s="11" t="s">
        <v>3152</v>
      </c>
      <c r="G1740" s="11" t="s">
        <v>3168</v>
      </c>
      <c r="H1740" s="11"/>
      <c r="I1740" s="11" t="s">
        <v>49</v>
      </c>
      <c r="J1740" s="11">
        <v>155.87</v>
      </c>
      <c r="K1740" s="11">
        <v>155.87</v>
      </c>
      <c r="L1740" s="11"/>
      <c r="M1740" s="14">
        <v>155.87</v>
      </c>
      <c r="N1740" s="11" t="s">
        <v>3169</v>
      </c>
      <c r="O1740" s="11" t="s">
        <v>75</v>
      </c>
    </row>
    <row r="1741" spans="1:15" s="13" customFormat="1" ht="19.5" customHeight="1" x14ac:dyDescent="0.25">
      <c r="A1741" s="11" t="s">
        <v>3167</v>
      </c>
      <c r="B1741" s="11" t="s">
        <v>3167</v>
      </c>
      <c r="C1741" s="12">
        <v>45747</v>
      </c>
      <c r="D1741" s="11"/>
      <c r="E1741" s="11" t="s">
        <v>6</v>
      </c>
      <c r="F1741" s="11" t="s">
        <v>3152</v>
      </c>
      <c r="G1741" s="11" t="s">
        <v>3170</v>
      </c>
      <c r="H1741" s="11"/>
      <c r="I1741" s="11" t="s">
        <v>49</v>
      </c>
      <c r="J1741" s="11">
        <v>-273.98</v>
      </c>
      <c r="K1741" s="11"/>
      <c r="L1741" s="11">
        <v>273.98</v>
      </c>
      <c r="M1741" s="14">
        <v>-273.98</v>
      </c>
      <c r="N1741" s="11" t="s">
        <v>3171</v>
      </c>
      <c r="O1741" s="11" t="s">
        <v>2000</v>
      </c>
    </row>
    <row r="1742" spans="1:15" s="13" customFormat="1" ht="19.5" customHeight="1" x14ac:dyDescent="0.25">
      <c r="A1742" s="11" t="s">
        <v>3151</v>
      </c>
      <c r="B1742" s="11" t="s">
        <v>3151</v>
      </c>
      <c r="C1742" s="12">
        <v>45747</v>
      </c>
      <c r="D1742" s="11"/>
      <c r="E1742" s="11" t="s">
        <v>6</v>
      </c>
      <c r="F1742" s="11" t="s">
        <v>3152</v>
      </c>
      <c r="G1742" s="11" t="s">
        <v>3170</v>
      </c>
      <c r="H1742" s="11"/>
      <c r="I1742" s="11" t="s">
        <v>49</v>
      </c>
      <c r="J1742" s="11">
        <v>-13.07</v>
      </c>
      <c r="K1742" s="11"/>
      <c r="L1742" s="11">
        <v>13.07</v>
      </c>
      <c r="M1742" s="14">
        <v>-13.07</v>
      </c>
      <c r="N1742" s="11" t="s">
        <v>3171</v>
      </c>
      <c r="O1742" s="11" t="s">
        <v>2000</v>
      </c>
    </row>
    <row r="1743" spans="1:15" s="13" customFormat="1" ht="19.5" customHeight="1" x14ac:dyDescent="0.25">
      <c r="A1743" s="11" t="s">
        <v>3170</v>
      </c>
      <c r="B1743" s="11" t="s">
        <v>3170</v>
      </c>
      <c r="C1743" s="12">
        <v>45740</v>
      </c>
      <c r="D1743" s="12">
        <v>45740</v>
      </c>
      <c r="E1743" s="11" t="s">
        <v>6</v>
      </c>
      <c r="F1743" s="11" t="s">
        <v>3152</v>
      </c>
      <c r="G1743" s="11" t="s">
        <v>3170</v>
      </c>
      <c r="H1743" s="11"/>
      <c r="I1743" s="11" t="s">
        <v>49</v>
      </c>
      <c r="J1743" s="11">
        <v>287.05</v>
      </c>
      <c r="K1743" s="11">
        <v>287.05</v>
      </c>
      <c r="L1743" s="11"/>
      <c r="M1743" s="14">
        <v>287.05</v>
      </c>
      <c r="N1743" s="11" t="s">
        <v>3171</v>
      </c>
      <c r="O1743" s="11" t="s">
        <v>75</v>
      </c>
    </row>
    <row r="1744" spans="1:15" s="13" customFormat="1" ht="19.5" customHeight="1" x14ac:dyDescent="0.25">
      <c r="A1744" s="11" t="s">
        <v>3167</v>
      </c>
      <c r="B1744" s="11" t="s">
        <v>3167</v>
      </c>
      <c r="C1744" s="12">
        <v>45747</v>
      </c>
      <c r="D1744" s="11"/>
      <c r="E1744" s="11" t="s">
        <v>6</v>
      </c>
      <c r="F1744" s="11" t="s">
        <v>3152</v>
      </c>
      <c r="G1744" s="11" t="s">
        <v>3172</v>
      </c>
      <c r="H1744" s="11"/>
      <c r="I1744" s="11" t="s">
        <v>49</v>
      </c>
      <c r="J1744" s="11">
        <v>-180.71</v>
      </c>
      <c r="K1744" s="11"/>
      <c r="L1744" s="11">
        <v>180.71</v>
      </c>
      <c r="M1744" s="14">
        <v>-180.71</v>
      </c>
      <c r="N1744" s="11" t="s">
        <v>3173</v>
      </c>
      <c r="O1744" s="11" t="s">
        <v>2000</v>
      </c>
    </row>
    <row r="1745" spans="1:15" s="13" customFormat="1" ht="19.5" customHeight="1" x14ac:dyDescent="0.25">
      <c r="A1745" s="11" t="s">
        <v>3172</v>
      </c>
      <c r="B1745" s="11" t="s">
        <v>3172</v>
      </c>
      <c r="C1745" s="12">
        <v>45744</v>
      </c>
      <c r="D1745" s="12">
        <v>45744</v>
      </c>
      <c r="E1745" s="11" t="s">
        <v>6</v>
      </c>
      <c r="F1745" s="11" t="s">
        <v>3152</v>
      </c>
      <c r="G1745" s="11" t="s">
        <v>3172</v>
      </c>
      <c r="H1745" s="11"/>
      <c r="I1745" s="11" t="s">
        <v>49</v>
      </c>
      <c r="J1745" s="11">
        <v>180.71</v>
      </c>
      <c r="K1745" s="11">
        <v>180.71</v>
      </c>
      <c r="L1745" s="11"/>
      <c r="M1745" s="14">
        <v>180.71</v>
      </c>
      <c r="N1745" s="11" t="s">
        <v>3173</v>
      </c>
      <c r="O1745" s="11" t="s">
        <v>75</v>
      </c>
    </row>
    <row r="1746" spans="1:15" s="13" customFormat="1" ht="19.5" customHeight="1" x14ac:dyDescent="0.25">
      <c r="A1746" s="11" t="s">
        <v>3167</v>
      </c>
      <c r="B1746" s="11" t="s">
        <v>3167</v>
      </c>
      <c r="C1746" s="12">
        <v>45747</v>
      </c>
      <c r="D1746" s="11"/>
      <c r="E1746" s="11" t="s">
        <v>6</v>
      </c>
      <c r="F1746" s="11" t="s">
        <v>3152</v>
      </c>
      <c r="G1746" s="11" t="s">
        <v>3174</v>
      </c>
      <c r="H1746" s="11"/>
      <c r="I1746" s="11" t="s">
        <v>49</v>
      </c>
      <c r="J1746" s="11">
        <v>-217.49</v>
      </c>
      <c r="K1746" s="11"/>
      <c r="L1746" s="11">
        <v>217.49</v>
      </c>
      <c r="M1746" s="14">
        <v>-217.49</v>
      </c>
      <c r="N1746" s="11" t="s">
        <v>3175</v>
      </c>
      <c r="O1746" s="11" t="s">
        <v>2000</v>
      </c>
    </row>
    <row r="1747" spans="1:15" s="13" customFormat="1" ht="19.5" customHeight="1" x14ac:dyDescent="0.25">
      <c r="A1747" s="11" t="s">
        <v>3174</v>
      </c>
      <c r="B1747" s="11" t="s">
        <v>3174</v>
      </c>
      <c r="C1747" s="12">
        <v>45729</v>
      </c>
      <c r="D1747" s="12">
        <v>45729</v>
      </c>
      <c r="E1747" s="11" t="s">
        <v>6</v>
      </c>
      <c r="F1747" s="11" t="s">
        <v>3152</v>
      </c>
      <c r="G1747" s="11" t="s">
        <v>3174</v>
      </c>
      <c r="H1747" s="11"/>
      <c r="I1747" s="11" t="s">
        <v>49</v>
      </c>
      <c r="J1747" s="11">
        <v>217.49</v>
      </c>
      <c r="K1747" s="11">
        <v>217.49</v>
      </c>
      <c r="L1747" s="11"/>
      <c r="M1747" s="14">
        <v>217.49</v>
      </c>
      <c r="N1747" s="11" t="s">
        <v>3175</v>
      </c>
      <c r="O1747" s="11" t="s">
        <v>75</v>
      </c>
    </row>
    <row r="1748" spans="1:15" s="13" customFormat="1" ht="19.5" customHeight="1" x14ac:dyDescent="0.25">
      <c r="A1748" s="11" t="s">
        <v>3167</v>
      </c>
      <c r="B1748" s="11" t="s">
        <v>3167</v>
      </c>
      <c r="C1748" s="12">
        <v>45747</v>
      </c>
      <c r="D1748" s="11"/>
      <c r="E1748" s="11" t="s">
        <v>6</v>
      </c>
      <c r="F1748" s="11" t="s">
        <v>3152</v>
      </c>
      <c r="G1748" s="11" t="s">
        <v>3176</v>
      </c>
      <c r="H1748" s="11"/>
      <c r="I1748" s="11" t="s">
        <v>49</v>
      </c>
      <c r="J1748" s="11">
        <v>-180.71</v>
      </c>
      <c r="K1748" s="11"/>
      <c r="L1748" s="11">
        <v>180.71</v>
      </c>
      <c r="M1748" s="14">
        <v>-180.71</v>
      </c>
      <c r="N1748" s="11" t="s">
        <v>3177</v>
      </c>
      <c r="O1748" s="11" t="s">
        <v>2000</v>
      </c>
    </row>
    <row r="1749" spans="1:15" s="13" customFormat="1" ht="19.5" customHeight="1" x14ac:dyDescent="0.25">
      <c r="A1749" s="11" t="s">
        <v>3176</v>
      </c>
      <c r="B1749" s="11" t="s">
        <v>3176</v>
      </c>
      <c r="C1749" s="12">
        <v>45741</v>
      </c>
      <c r="D1749" s="12">
        <v>45741</v>
      </c>
      <c r="E1749" s="11" t="s">
        <v>6</v>
      </c>
      <c r="F1749" s="11" t="s">
        <v>3152</v>
      </c>
      <c r="G1749" s="11" t="s">
        <v>3176</v>
      </c>
      <c r="H1749" s="11"/>
      <c r="I1749" s="11" t="s">
        <v>49</v>
      </c>
      <c r="J1749" s="11">
        <v>180.71</v>
      </c>
      <c r="K1749" s="11">
        <v>180.71</v>
      </c>
      <c r="L1749" s="11"/>
      <c r="M1749" s="14">
        <v>180.71</v>
      </c>
      <c r="N1749" s="11" t="s">
        <v>3177</v>
      </c>
      <c r="O1749" s="11" t="s">
        <v>75</v>
      </c>
    </row>
    <row r="1750" spans="1:15" s="13" customFormat="1" ht="19.5" customHeight="1" x14ac:dyDescent="0.25">
      <c r="A1750" s="11" t="s">
        <v>3178</v>
      </c>
      <c r="B1750" s="11" t="s">
        <v>3178</v>
      </c>
      <c r="C1750" s="12">
        <v>46105</v>
      </c>
      <c r="D1750" s="12">
        <v>46105</v>
      </c>
      <c r="E1750" s="11" t="s">
        <v>6</v>
      </c>
      <c r="F1750" s="11" t="s">
        <v>3179</v>
      </c>
      <c r="G1750" s="11" t="s">
        <v>3178</v>
      </c>
      <c r="H1750" s="11"/>
      <c r="I1750" s="11" t="s">
        <v>49</v>
      </c>
      <c r="J1750" s="11">
        <v>969.3</v>
      </c>
      <c r="K1750" s="11">
        <v>969.3</v>
      </c>
      <c r="L1750" s="11"/>
      <c r="M1750" s="14">
        <v>969.3</v>
      </c>
      <c r="N1750" s="11" t="s">
        <v>3180</v>
      </c>
      <c r="O1750" s="11" t="s">
        <v>50</v>
      </c>
    </row>
    <row r="1751" spans="1:15" s="13" customFormat="1" ht="19.5" customHeight="1" x14ac:dyDescent="0.25">
      <c r="A1751" s="11" t="s">
        <v>3181</v>
      </c>
      <c r="B1751" s="11" t="s">
        <v>3181</v>
      </c>
      <c r="C1751" s="12">
        <v>46104</v>
      </c>
      <c r="D1751" s="11"/>
      <c r="E1751" s="11" t="s">
        <v>6</v>
      </c>
      <c r="F1751" s="11" t="s">
        <v>3179</v>
      </c>
      <c r="G1751" s="11" t="s">
        <v>3178</v>
      </c>
      <c r="H1751" s="11"/>
      <c r="I1751" s="11" t="s">
        <v>49</v>
      </c>
      <c r="J1751" s="11">
        <v>-969.3</v>
      </c>
      <c r="K1751" s="11"/>
      <c r="L1751" s="11">
        <v>969.3</v>
      </c>
      <c r="M1751" s="14">
        <v>-969.3</v>
      </c>
      <c r="N1751" s="11" t="s">
        <v>3180</v>
      </c>
      <c r="O1751" s="11" t="s">
        <v>234</v>
      </c>
    </row>
    <row r="1752" spans="1:15" s="13" customFormat="1" ht="19.5" customHeight="1" x14ac:dyDescent="0.25">
      <c r="A1752" s="11" t="s">
        <v>3182</v>
      </c>
      <c r="B1752" s="11" t="s">
        <v>3182</v>
      </c>
      <c r="C1752" s="12">
        <v>46090</v>
      </c>
      <c r="D1752" s="12">
        <v>46090</v>
      </c>
      <c r="E1752" s="11" t="s">
        <v>6</v>
      </c>
      <c r="F1752" s="11" t="s">
        <v>1645</v>
      </c>
      <c r="G1752" s="11" t="s">
        <v>3182</v>
      </c>
      <c r="H1752" s="11"/>
      <c r="I1752" s="11" t="s">
        <v>49</v>
      </c>
      <c r="J1752" s="11">
        <v>124.26</v>
      </c>
      <c r="K1752" s="11">
        <v>124.26</v>
      </c>
      <c r="L1752" s="11"/>
      <c r="M1752" s="14">
        <v>124.26</v>
      </c>
      <c r="N1752" s="11" t="s">
        <v>3183</v>
      </c>
      <c r="O1752" s="11" t="s">
        <v>50</v>
      </c>
    </row>
    <row r="1753" spans="1:15" s="13" customFormat="1" ht="19.5" customHeight="1" x14ac:dyDescent="0.25">
      <c r="A1753" s="11" t="s">
        <v>3184</v>
      </c>
      <c r="B1753" s="11" t="s">
        <v>3184</v>
      </c>
      <c r="C1753" s="12">
        <v>46089</v>
      </c>
      <c r="D1753" s="11"/>
      <c r="E1753" s="11" t="s">
        <v>6</v>
      </c>
      <c r="F1753" s="11" t="s">
        <v>1645</v>
      </c>
      <c r="G1753" s="11" t="s">
        <v>3182</v>
      </c>
      <c r="H1753" s="11"/>
      <c r="I1753" s="11" t="s">
        <v>49</v>
      </c>
      <c r="J1753" s="11">
        <v>-124.26</v>
      </c>
      <c r="K1753" s="11"/>
      <c r="L1753" s="11">
        <v>124.26</v>
      </c>
      <c r="M1753" s="14">
        <v>-124.26</v>
      </c>
      <c r="N1753" s="11" t="s">
        <v>3183</v>
      </c>
      <c r="O1753" s="11" t="s">
        <v>234</v>
      </c>
    </row>
    <row r="1754" spans="1:15" s="13" customFormat="1" ht="19.5" customHeight="1" x14ac:dyDescent="0.25">
      <c r="A1754" s="11" t="s">
        <v>3185</v>
      </c>
      <c r="B1754" s="11" t="s">
        <v>3185</v>
      </c>
      <c r="C1754" s="12">
        <v>46105</v>
      </c>
      <c r="D1754" s="12">
        <v>46150</v>
      </c>
      <c r="E1754" s="11" t="s">
        <v>6</v>
      </c>
      <c r="F1754" s="11" t="s">
        <v>588</v>
      </c>
      <c r="G1754" s="11" t="s">
        <v>3185</v>
      </c>
      <c r="H1754" s="11"/>
      <c r="I1754" s="11" t="s">
        <v>49</v>
      </c>
      <c r="J1754" s="11">
        <v>1842.73</v>
      </c>
      <c r="K1754" s="11">
        <v>1842.73</v>
      </c>
      <c r="L1754" s="11"/>
      <c r="M1754" s="14">
        <v>1842.73</v>
      </c>
      <c r="N1754" s="11" t="s">
        <v>3186</v>
      </c>
      <c r="O1754" s="11" t="s">
        <v>50</v>
      </c>
    </row>
    <row r="1755" spans="1:15" s="13" customFormat="1" ht="19.5" customHeight="1" x14ac:dyDescent="0.25">
      <c r="A1755" s="11" t="s">
        <v>3185</v>
      </c>
      <c r="B1755" s="11" t="s">
        <v>3185</v>
      </c>
      <c r="C1755" s="12">
        <v>46105</v>
      </c>
      <c r="D1755" s="12">
        <v>46165</v>
      </c>
      <c r="E1755" s="11" t="s">
        <v>6</v>
      </c>
      <c r="F1755" s="11" t="s">
        <v>588</v>
      </c>
      <c r="G1755" s="11" t="s">
        <v>3185</v>
      </c>
      <c r="H1755" s="11"/>
      <c r="I1755" s="11" t="s">
        <v>49</v>
      </c>
      <c r="J1755" s="11">
        <v>1842.72</v>
      </c>
      <c r="K1755" s="11">
        <v>1842.72</v>
      </c>
      <c r="L1755" s="11"/>
      <c r="M1755" s="14">
        <v>1842.72</v>
      </c>
      <c r="N1755" s="11" t="s">
        <v>3186</v>
      </c>
      <c r="O1755" s="11" t="s">
        <v>50</v>
      </c>
    </row>
    <row r="1756" spans="1:15" s="13" customFormat="1" ht="19.5" customHeight="1" x14ac:dyDescent="0.25">
      <c r="A1756" s="11" t="s">
        <v>3187</v>
      </c>
      <c r="B1756" s="11" t="s">
        <v>3187</v>
      </c>
      <c r="C1756" s="12">
        <v>45744</v>
      </c>
      <c r="D1756" s="11"/>
      <c r="E1756" s="11" t="s">
        <v>6</v>
      </c>
      <c r="F1756" s="11" t="s">
        <v>3188</v>
      </c>
      <c r="G1756" s="11" t="s">
        <v>3189</v>
      </c>
      <c r="H1756" s="11"/>
      <c r="I1756" s="11" t="s">
        <v>49</v>
      </c>
      <c r="J1756" s="11">
        <v>-110.96</v>
      </c>
      <c r="K1756" s="11"/>
      <c r="L1756" s="11">
        <v>110.96</v>
      </c>
      <c r="M1756" s="14">
        <v>-110.96</v>
      </c>
      <c r="N1756" s="11" t="s">
        <v>3190</v>
      </c>
      <c r="O1756" s="11" t="s">
        <v>2000</v>
      </c>
    </row>
    <row r="1757" spans="1:15" s="13" customFormat="1" ht="19.5" customHeight="1" x14ac:dyDescent="0.25">
      <c r="A1757" s="11" t="s">
        <v>3189</v>
      </c>
      <c r="B1757" s="11" t="s">
        <v>3189</v>
      </c>
      <c r="C1757" s="12">
        <v>45719</v>
      </c>
      <c r="D1757" s="12">
        <v>45719</v>
      </c>
      <c r="E1757" s="11" t="s">
        <v>6</v>
      </c>
      <c r="F1757" s="11" t="s">
        <v>3188</v>
      </c>
      <c r="G1757" s="11" t="s">
        <v>3189</v>
      </c>
      <c r="H1757" s="11"/>
      <c r="I1757" s="11" t="s">
        <v>49</v>
      </c>
      <c r="J1757" s="11">
        <v>110.96</v>
      </c>
      <c r="K1757" s="11">
        <v>110.96</v>
      </c>
      <c r="L1757" s="11"/>
      <c r="M1757" s="14">
        <v>110.96</v>
      </c>
      <c r="N1757" s="11" t="s">
        <v>3190</v>
      </c>
      <c r="O1757" s="11" t="s">
        <v>234</v>
      </c>
    </row>
    <row r="1758" spans="1:15" s="13" customFormat="1" ht="19.5" customHeight="1" x14ac:dyDescent="0.25">
      <c r="A1758" s="11" t="s">
        <v>3191</v>
      </c>
      <c r="B1758" s="11" t="s">
        <v>3191</v>
      </c>
      <c r="C1758" s="12">
        <v>46073</v>
      </c>
      <c r="D1758" s="12">
        <v>46073</v>
      </c>
      <c r="E1758" s="11" t="s">
        <v>6</v>
      </c>
      <c r="F1758" s="11" t="s">
        <v>1518</v>
      </c>
      <c r="G1758" s="11"/>
      <c r="H1758" s="11"/>
      <c r="I1758" s="11" t="s">
        <v>49</v>
      </c>
      <c r="J1758" s="11">
        <v>-344.56</v>
      </c>
      <c r="K1758" s="11"/>
      <c r="L1758" s="11">
        <v>344.56</v>
      </c>
      <c r="M1758" s="14">
        <v>-344.56</v>
      </c>
      <c r="N1758" s="11" t="s">
        <v>3192</v>
      </c>
      <c r="O1758" s="11" t="s">
        <v>50</v>
      </c>
    </row>
    <row r="1759" spans="1:15" s="13" customFormat="1" ht="19.5" customHeight="1" x14ac:dyDescent="0.25">
      <c r="A1759" s="11" t="s">
        <v>3193</v>
      </c>
      <c r="B1759" s="11" t="s">
        <v>3193</v>
      </c>
      <c r="C1759" s="12">
        <v>46071</v>
      </c>
      <c r="D1759" s="12">
        <v>46101</v>
      </c>
      <c r="E1759" s="11" t="s">
        <v>6</v>
      </c>
      <c r="F1759" s="11" t="s">
        <v>1518</v>
      </c>
      <c r="G1759" s="11" t="s">
        <v>3193</v>
      </c>
      <c r="H1759" s="11"/>
      <c r="I1759" s="11" t="s">
        <v>49</v>
      </c>
      <c r="J1759" s="11">
        <v>1593</v>
      </c>
      <c r="K1759" s="11">
        <v>1593</v>
      </c>
      <c r="L1759" s="11"/>
      <c r="M1759" s="14">
        <v>1593</v>
      </c>
      <c r="N1759" s="11" t="s">
        <v>3192</v>
      </c>
      <c r="O1759" s="11" t="s">
        <v>75</v>
      </c>
    </row>
    <row r="1760" spans="1:15" s="13" customFormat="1" ht="19.5" customHeight="1" x14ac:dyDescent="0.25">
      <c r="A1760" s="11" t="s">
        <v>3194</v>
      </c>
      <c r="B1760" s="11" t="s">
        <v>3194</v>
      </c>
      <c r="C1760" s="12">
        <v>46092</v>
      </c>
      <c r="D1760" s="12">
        <v>46137</v>
      </c>
      <c r="E1760" s="11" t="s">
        <v>6</v>
      </c>
      <c r="F1760" s="11" t="s">
        <v>2944</v>
      </c>
      <c r="G1760" s="11" t="s">
        <v>3194</v>
      </c>
      <c r="H1760" s="11"/>
      <c r="I1760" s="11" t="s">
        <v>49</v>
      </c>
      <c r="J1760" s="11">
        <v>2202.5300000000002</v>
      </c>
      <c r="K1760" s="11">
        <v>2202.5300000000002</v>
      </c>
      <c r="L1760" s="11"/>
      <c r="M1760" s="14">
        <v>2202.5300000000002</v>
      </c>
      <c r="N1760" s="11" t="s">
        <v>3195</v>
      </c>
      <c r="O1760" s="11" t="s">
        <v>50</v>
      </c>
    </row>
    <row r="1761" spans="1:15" s="13" customFormat="1" ht="19.5" customHeight="1" x14ac:dyDescent="0.25">
      <c r="A1761" s="11" t="s">
        <v>3194</v>
      </c>
      <c r="B1761" s="11" t="s">
        <v>3194</v>
      </c>
      <c r="C1761" s="12">
        <v>46092</v>
      </c>
      <c r="D1761" s="12">
        <v>46144</v>
      </c>
      <c r="E1761" s="11" t="s">
        <v>6</v>
      </c>
      <c r="F1761" s="11" t="s">
        <v>2944</v>
      </c>
      <c r="G1761" s="11" t="s">
        <v>3194</v>
      </c>
      <c r="H1761" s="11"/>
      <c r="I1761" s="11" t="s">
        <v>49</v>
      </c>
      <c r="J1761" s="11">
        <v>2202.5300000000002</v>
      </c>
      <c r="K1761" s="11">
        <v>2202.5300000000002</v>
      </c>
      <c r="L1761" s="11"/>
      <c r="M1761" s="14">
        <v>2202.5300000000002</v>
      </c>
      <c r="N1761" s="11" t="s">
        <v>3195</v>
      </c>
      <c r="O1761" s="11" t="s">
        <v>50</v>
      </c>
    </row>
    <row r="1762" spans="1:15" s="13" customFormat="1" ht="19.5" customHeight="1" x14ac:dyDescent="0.25">
      <c r="A1762" s="11" t="s">
        <v>3194</v>
      </c>
      <c r="B1762" s="11" t="s">
        <v>3194</v>
      </c>
      <c r="C1762" s="12">
        <v>46092</v>
      </c>
      <c r="D1762" s="12">
        <v>46151</v>
      </c>
      <c r="E1762" s="11" t="s">
        <v>6</v>
      </c>
      <c r="F1762" s="11" t="s">
        <v>2944</v>
      </c>
      <c r="G1762" s="11" t="s">
        <v>3194</v>
      </c>
      <c r="H1762" s="11"/>
      <c r="I1762" s="11" t="s">
        <v>49</v>
      </c>
      <c r="J1762" s="11">
        <v>2202.5300000000002</v>
      </c>
      <c r="K1762" s="11">
        <v>2202.5300000000002</v>
      </c>
      <c r="L1762" s="11"/>
      <c r="M1762" s="14">
        <v>2202.5300000000002</v>
      </c>
      <c r="N1762" s="11" t="s">
        <v>3195</v>
      </c>
      <c r="O1762" s="11" t="s">
        <v>50</v>
      </c>
    </row>
    <row r="1763" spans="1:15" s="13" customFormat="1" ht="19.5" customHeight="1" x14ac:dyDescent="0.25">
      <c r="A1763" s="11" t="s">
        <v>3194</v>
      </c>
      <c r="B1763" s="11" t="s">
        <v>3194</v>
      </c>
      <c r="C1763" s="12">
        <v>46092</v>
      </c>
      <c r="D1763" s="12">
        <v>46158</v>
      </c>
      <c r="E1763" s="11" t="s">
        <v>6</v>
      </c>
      <c r="F1763" s="11" t="s">
        <v>2944</v>
      </c>
      <c r="G1763" s="11" t="s">
        <v>3194</v>
      </c>
      <c r="H1763" s="11"/>
      <c r="I1763" s="11" t="s">
        <v>49</v>
      </c>
      <c r="J1763" s="11">
        <v>2202.5300000000002</v>
      </c>
      <c r="K1763" s="11">
        <v>2202.5300000000002</v>
      </c>
      <c r="L1763" s="11"/>
      <c r="M1763" s="14">
        <v>2202.5300000000002</v>
      </c>
      <c r="N1763" s="11" t="s">
        <v>3195</v>
      </c>
      <c r="O1763" s="11" t="s">
        <v>50</v>
      </c>
    </row>
    <row r="1764" spans="1:15" s="13" customFormat="1" ht="19.5" customHeight="1" x14ac:dyDescent="0.25">
      <c r="A1764" s="11" t="s">
        <v>3194</v>
      </c>
      <c r="B1764" s="11" t="s">
        <v>3194</v>
      </c>
      <c r="C1764" s="12">
        <v>46092</v>
      </c>
      <c r="D1764" s="12">
        <v>46165</v>
      </c>
      <c r="E1764" s="11" t="s">
        <v>6</v>
      </c>
      <c r="F1764" s="11" t="s">
        <v>2944</v>
      </c>
      <c r="G1764" s="11" t="s">
        <v>3194</v>
      </c>
      <c r="H1764" s="11"/>
      <c r="I1764" s="11" t="s">
        <v>49</v>
      </c>
      <c r="J1764" s="11">
        <v>2202.5300000000002</v>
      </c>
      <c r="K1764" s="11">
        <v>2202.5300000000002</v>
      </c>
      <c r="L1764" s="11"/>
      <c r="M1764" s="14">
        <v>2202.5300000000002</v>
      </c>
      <c r="N1764" s="11" t="s">
        <v>3195</v>
      </c>
      <c r="O1764" s="11" t="s">
        <v>50</v>
      </c>
    </row>
    <row r="1765" spans="1:15" s="13" customFormat="1" ht="19.5" customHeight="1" x14ac:dyDescent="0.25">
      <c r="A1765" s="11" t="s">
        <v>3194</v>
      </c>
      <c r="B1765" s="11" t="s">
        <v>3194</v>
      </c>
      <c r="C1765" s="12">
        <v>46092</v>
      </c>
      <c r="D1765" s="12">
        <v>46182</v>
      </c>
      <c r="E1765" s="11" t="s">
        <v>6</v>
      </c>
      <c r="F1765" s="11" t="s">
        <v>2944</v>
      </c>
      <c r="G1765" s="11" t="s">
        <v>3194</v>
      </c>
      <c r="H1765" s="11"/>
      <c r="I1765" s="11" t="s">
        <v>49</v>
      </c>
      <c r="J1765" s="11">
        <v>2207.81</v>
      </c>
      <c r="K1765" s="11">
        <v>2207.81</v>
      </c>
      <c r="L1765" s="11"/>
      <c r="M1765" s="14">
        <v>2207.81</v>
      </c>
      <c r="N1765" s="11" t="s">
        <v>3195</v>
      </c>
      <c r="O1765" s="11" t="s">
        <v>50</v>
      </c>
    </row>
    <row r="1766" spans="1:15" s="13" customFormat="1" ht="19.5" customHeight="1" x14ac:dyDescent="0.25">
      <c r="A1766" s="11" t="s">
        <v>3196</v>
      </c>
      <c r="B1766" s="11" t="s">
        <v>3196</v>
      </c>
      <c r="C1766" s="12">
        <v>46090</v>
      </c>
      <c r="D1766" s="12">
        <v>46090</v>
      </c>
      <c r="E1766" s="11" t="s">
        <v>6</v>
      </c>
      <c r="F1766" s="11" t="s">
        <v>3197</v>
      </c>
      <c r="G1766" s="11" t="s">
        <v>3196</v>
      </c>
      <c r="H1766" s="11"/>
      <c r="I1766" s="11" t="s">
        <v>49</v>
      </c>
      <c r="J1766" s="11">
        <v>494.65</v>
      </c>
      <c r="K1766" s="11">
        <v>494.65</v>
      </c>
      <c r="L1766" s="11"/>
      <c r="M1766" s="14">
        <v>494.65</v>
      </c>
      <c r="N1766" s="11" t="s">
        <v>3198</v>
      </c>
      <c r="O1766" s="11" t="s">
        <v>50</v>
      </c>
    </row>
    <row r="1767" spans="1:15" s="13" customFormat="1" ht="19.5" customHeight="1" x14ac:dyDescent="0.25">
      <c r="A1767" s="11" t="s">
        <v>3199</v>
      </c>
      <c r="B1767" s="11" t="s">
        <v>3199</v>
      </c>
      <c r="C1767" s="12">
        <v>46090</v>
      </c>
      <c r="D1767" s="11"/>
      <c r="E1767" s="11" t="s">
        <v>6</v>
      </c>
      <c r="F1767" s="11" t="s">
        <v>3197</v>
      </c>
      <c r="G1767" s="11" t="s">
        <v>3196</v>
      </c>
      <c r="H1767" s="11"/>
      <c r="I1767" s="11" t="s">
        <v>49</v>
      </c>
      <c r="J1767" s="11">
        <v>-494.65</v>
      </c>
      <c r="K1767" s="11"/>
      <c r="L1767" s="11">
        <v>494.65</v>
      </c>
      <c r="M1767" s="14">
        <v>-494.65</v>
      </c>
      <c r="N1767" s="11" t="s">
        <v>3198</v>
      </c>
      <c r="O1767" s="11" t="s">
        <v>234</v>
      </c>
    </row>
    <row r="1768" spans="1:15" s="13" customFormat="1" ht="19.5" customHeight="1" x14ac:dyDescent="0.25">
      <c r="A1768" s="11" t="s">
        <v>3200</v>
      </c>
      <c r="B1768" s="11" t="s">
        <v>3201</v>
      </c>
      <c r="C1768" s="12">
        <v>46112</v>
      </c>
      <c r="D1768" s="11"/>
      <c r="E1768" s="11" t="s">
        <v>6</v>
      </c>
      <c r="F1768" s="11"/>
      <c r="G1768" s="11"/>
      <c r="H1768" s="11" t="s">
        <v>3202</v>
      </c>
      <c r="I1768" s="11" t="s">
        <v>49</v>
      </c>
      <c r="J1768" s="11">
        <v>-60553.82</v>
      </c>
      <c r="K1768" s="11"/>
      <c r="L1768" s="11">
        <v>60553.82</v>
      </c>
      <c r="M1768" s="14">
        <v>-60553.82</v>
      </c>
      <c r="N1768" s="11" t="s">
        <v>3203</v>
      </c>
      <c r="O1768" s="11" t="s">
        <v>234</v>
      </c>
    </row>
    <row r="1769" spans="1:15" s="13" customFormat="1" ht="19.5" customHeight="1" x14ac:dyDescent="0.25">
      <c r="A1769" s="11" t="s">
        <v>3204</v>
      </c>
      <c r="B1769" s="11" t="s">
        <v>3204</v>
      </c>
      <c r="C1769" s="12">
        <v>46112</v>
      </c>
      <c r="D1769" s="12">
        <v>46112</v>
      </c>
      <c r="E1769" s="11" t="s">
        <v>6</v>
      </c>
      <c r="F1769" s="11" t="s">
        <v>3205</v>
      </c>
      <c r="G1769" s="11" t="s">
        <v>3204</v>
      </c>
      <c r="H1769" s="11"/>
      <c r="I1769" s="11" t="s">
        <v>49</v>
      </c>
      <c r="J1769" s="11">
        <v>3551.04</v>
      </c>
      <c r="K1769" s="11">
        <v>3551.04</v>
      </c>
      <c r="L1769" s="11"/>
      <c r="M1769" s="14">
        <v>3551.04</v>
      </c>
      <c r="N1769" s="11" t="s">
        <v>3203</v>
      </c>
      <c r="O1769" s="11" t="s">
        <v>50</v>
      </c>
    </row>
    <row r="1770" spans="1:15" s="13" customFormat="1" ht="19.5" customHeight="1" x14ac:dyDescent="0.25">
      <c r="A1770" s="11" t="s">
        <v>3206</v>
      </c>
      <c r="B1770" s="11" t="s">
        <v>3206</v>
      </c>
      <c r="C1770" s="12">
        <v>46112</v>
      </c>
      <c r="D1770" s="12">
        <v>46142</v>
      </c>
      <c r="E1770" s="11" t="s">
        <v>6</v>
      </c>
      <c r="F1770" s="11" t="s">
        <v>3063</v>
      </c>
      <c r="G1770" s="11" t="s">
        <v>3206</v>
      </c>
      <c r="H1770" s="11"/>
      <c r="I1770" s="11" t="s">
        <v>49</v>
      </c>
      <c r="J1770" s="11">
        <v>2285.25</v>
      </c>
      <c r="K1770" s="11">
        <v>2285.25</v>
      </c>
      <c r="L1770" s="11"/>
      <c r="M1770" s="14">
        <v>2285.25</v>
      </c>
      <c r="N1770" s="11" t="s">
        <v>3203</v>
      </c>
      <c r="O1770" s="11" t="s">
        <v>50</v>
      </c>
    </row>
    <row r="1771" spans="1:15" s="13" customFormat="1" ht="19.5" customHeight="1" x14ac:dyDescent="0.25">
      <c r="A1771" s="11" t="s">
        <v>3207</v>
      </c>
      <c r="B1771" s="11" t="s">
        <v>3207</v>
      </c>
      <c r="C1771" s="12">
        <v>46112</v>
      </c>
      <c r="D1771" s="12">
        <v>46112</v>
      </c>
      <c r="E1771" s="11" t="s">
        <v>6</v>
      </c>
      <c r="F1771" s="11" t="s">
        <v>104</v>
      </c>
      <c r="G1771" s="11" t="s">
        <v>3207</v>
      </c>
      <c r="H1771" s="11"/>
      <c r="I1771" s="11" t="s">
        <v>49</v>
      </c>
      <c r="J1771" s="11">
        <v>2285.25</v>
      </c>
      <c r="K1771" s="11">
        <v>2285.25</v>
      </c>
      <c r="L1771" s="11"/>
      <c r="M1771" s="14">
        <v>2285.25</v>
      </c>
      <c r="N1771" s="11" t="s">
        <v>3203</v>
      </c>
      <c r="O1771" s="11" t="s">
        <v>50</v>
      </c>
    </row>
    <row r="1772" spans="1:15" s="13" customFormat="1" ht="19.5" customHeight="1" x14ac:dyDescent="0.25">
      <c r="A1772" s="11" t="s">
        <v>3208</v>
      </c>
      <c r="B1772" s="11" t="s">
        <v>3208</v>
      </c>
      <c r="C1772" s="12">
        <v>46108</v>
      </c>
      <c r="D1772" s="12">
        <v>46108</v>
      </c>
      <c r="E1772" s="11" t="s">
        <v>6</v>
      </c>
      <c r="F1772" s="11" t="s">
        <v>295</v>
      </c>
      <c r="G1772" s="11" t="s">
        <v>3208</v>
      </c>
      <c r="H1772" s="11"/>
      <c r="I1772" s="11" t="s">
        <v>49</v>
      </c>
      <c r="J1772" s="11">
        <v>99.02</v>
      </c>
      <c r="K1772" s="11">
        <v>99.02</v>
      </c>
      <c r="L1772" s="11"/>
      <c r="M1772" s="14">
        <v>99.02</v>
      </c>
      <c r="N1772" s="11" t="s">
        <v>3203</v>
      </c>
      <c r="O1772" s="11" t="s">
        <v>50</v>
      </c>
    </row>
    <row r="1773" spans="1:15" s="13" customFormat="1" ht="19.5" customHeight="1" x14ac:dyDescent="0.25">
      <c r="A1773" s="11" t="s">
        <v>3209</v>
      </c>
      <c r="B1773" s="11" t="s">
        <v>3209</v>
      </c>
      <c r="C1773" s="12">
        <v>46108</v>
      </c>
      <c r="D1773" s="12">
        <v>46108</v>
      </c>
      <c r="E1773" s="11" t="s">
        <v>6</v>
      </c>
      <c r="F1773" s="11" t="s">
        <v>295</v>
      </c>
      <c r="G1773" s="11" t="s">
        <v>3209</v>
      </c>
      <c r="H1773" s="11"/>
      <c r="I1773" s="11" t="s">
        <v>49</v>
      </c>
      <c r="J1773" s="11">
        <v>655.12</v>
      </c>
      <c r="K1773" s="11">
        <v>655.12</v>
      </c>
      <c r="L1773" s="11"/>
      <c r="M1773" s="14">
        <v>655.12</v>
      </c>
      <c r="N1773" s="11" t="s">
        <v>3203</v>
      </c>
      <c r="O1773" s="11" t="s">
        <v>50</v>
      </c>
    </row>
    <row r="1774" spans="1:15" s="13" customFormat="1" ht="19.5" customHeight="1" x14ac:dyDescent="0.25">
      <c r="A1774" s="11" t="s">
        <v>3210</v>
      </c>
      <c r="B1774" s="11" t="s">
        <v>3210</v>
      </c>
      <c r="C1774" s="12">
        <v>46108</v>
      </c>
      <c r="D1774" s="12">
        <v>46108</v>
      </c>
      <c r="E1774" s="11" t="s">
        <v>6</v>
      </c>
      <c r="F1774" s="11" t="s">
        <v>295</v>
      </c>
      <c r="G1774" s="11" t="s">
        <v>3210</v>
      </c>
      <c r="H1774" s="11"/>
      <c r="I1774" s="11" t="s">
        <v>49</v>
      </c>
      <c r="J1774" s="11">
        <v>434.21</v>
      </c>
      <c r="K1774" s="11">
        <v>434.21</v>
      </c>
      <c r="L1774" s="11"/>
      <c r="M1774" s="14">
        <v>434.21</v>
      </c>
      <c r="N1774" s="11" t="s">
        <v>3203</v>
      </c>
      <c r="O1774" s="11" t="s">
        <v>50</v>
      </c>
    </row>
    <row r="1775" spans="1:15" s="13" customFormat="1" ht="19.5" customHeight="1" x14ac:dyDescent="0.25">
      <c r="A1775" s="11" t="s">
        <v>3211</v>
      </c>
      <c r="B1775" s="11" t="s">
        <v>3211</v>
      </c>
      <c r="C1775" s="12">
        <v>46108</v>
      </c>
      <c r="D1775" s="12">
        <v>46108</v>
      </c>
      <c r="E1775" s="11" t="s">
        <v>6</v>
      </c>
      <c r="F1775" s="11" t="s">
        <v>295</v>
      </c>
      <c r="G1775" s="11" t="s">
        <v>3211</v>
      </c>
      <c r="H1775" s="11"/>
      <c r="I1775" s="11" t="s">
        <v>49</v>
      </c>
      <c r="J1775" s="11">
        <v>146.6</v>
      </c>
      <c r="K1775" s="11">
        <v>146.6</v>
      </c>
      <c r="L1775" s="11"/>
      <c r="M1775" s="14">
        <v>146.6</v>
      </c>
      <c r="N1775" s="11" t="s">
        <v>3203</v>
      </c>
      <c r="O1775" s="11" t="s">
        <v>50</v>
      </c>
    </row>
    <row r="1776" spans="1:15" s="13" customFormat="1" ht="19.5" customHeight="1" x14ac:dyDescent="0.25">
      <c r="A1776" s="11" t="s">
        <v>3212</v>
      </c>
      <c r="B1776" s="11" t="s">
        <v>3212</v>
      </c>
      <c r="C1776" s="12">
        <v>46107</v>
      </c>
      <c r="D1776" s="12">
        <v>46107</v>
      </c>
      <c r="E1776" s="11" t="s">
        <v>6</v>
      </c>
      <c r="F1776" s="11" t="s">
        <v>295</v>
      </c>
      <c r="G1776" s="11" t="s">
        <v>3212</v>
      </c>
      <c r="H1776" s="11"/>
      <c r="I1776" s="11" t="s">
        <v>49</v>
      </c>
      <c r="J1776" s="11">
        <v>96.66</v>
      </c>
      <c r="K1776" s="11">
        <v>96.66</v>
      </c>
      <c r="L1776" s="11"/>
      <c r="M1776" s="14">
        <v>96.66</v>
      </c>
      <c r="N1776" s="11" t="s">
        <v>3203</v>
      </c>
      <c r="O1776" s="11" t="s">
        <v>50</v>
      </c>
    </row>
    <row r="1777" spans="1:15" s="13" customFormat="1" ht="19.5" customHeight="1" x14ac:dyDescent="0.25">
      <c r="A1777" s="11" t="s">
        <v>3213</v>
      </c>
      <c r="B1777" s="11" t="s">
        <v>3213</v>
      </c>
      <c r="C1777" s="12">
        <v>46106</v>
      </c>
      <c r="D1777" s="12">
        <v>46106</v>
      </c>
      <c r="E1777" s="11" t="s">
        <v>6</v>
      </c>
      <c r="F1777" s="11" t="s">
        <v>295</v>
      </c>
      <c r="G1777" s="11" t="s">
        <v>3213</v>
      </c>
      <c r="H1777" s="11"/>
      <c r="I1777" s="11" t="s">
        <v>49</v>
      </c>
      <c r="J1777" s="11">
        <v>198.06</v>
      </c>
      <c r="K1777" s="11">
        <v>198.06</v>
      </c>
      <c r="L1777" s="11"/>
      <c r="M1777" s="14">
        <v>198.06</v>
      </c>
      <c r="N1777" s="11" t="s">
        <v>3203</v>
      </c>
      <c r="O1777" s="11" t="s">
        <v>50</v>
      </c>
    </row>
    <row r="1778" spans="1:15" s="13" customFormat="1" ht="19.5" customHeight="1" x14ac:dyDescent="0.25">
      <c r="A1778" s="11" t="s">
        <v>3214</v>
      </c>
      <c r="B1778" s="11" t="s">
        <v>3214</v>
      </c>
      <c r="C1778" s="12">
        <v>46106</v>
      </c>
      <c r="D1778" s="12">
        <v>46106</v>
      </c>
      <c r="E1778" s="11" t="s">
        <v>6</v>
      </c>
      <c r="F1778" s="11" t="s">
        <v>3215</v>
      </c>
      <c r="G1778" s="11" t="s">
        <v>3214</v>
      </c>
      <c r="H1778" s="11"/>
      <c r="I1778" s="11" t="s">
        <v>49</v>
      </c>
      <c r="J1778" s="11">
        <v>677.44</v>
      </c>
      <c r="K1778" s="11">
        <v>677.44</v>
      </c>
      <c r="L1778" s="11"/>
      <c r="M1778" s="14">
        <v>677.44</v>
      </c>
      <c r="N1778" s="11" t="s">
        <v>3203</v>
      </c>
      <c r="O1778" s="11" t="s">
        <v>50</v>
      </c>
    </row>
    <row r="1779" spans="1:15" s="13" customFormat="1" ht="19.5" customHeight="1" x14ac:dyDescent="0.25">
      <c r="A1779" s="11" t="s">
        <v>3216</v>
      </c>
      <c r="B1779" s="11" t="s">
        <v>3216</v>
      </c>
      <c r="C1779" s="12">
        <v>46106</v>
      </c>
      <c r="D1779" s="12">
        <v>46106</v>
      </c>
      <c r="E1779" s="11" t="s">
        <v>6</v>
      </c>
      <c r="F1779" s="11" t="s">
        <v>2878</v>
      </c>
      <c r="G1779" s="11" t="s">
        <v>3216</v>
      </c>
      <c r="H1779" s="11"/>
      <c r="I1779" s="11" t="s">
        <v>49</v>
      </c>
      <c r="J1779" s="11">
        <v>2128.7199999999998</v>
      </c>
      <c r="K1779" s="11">
        <v>2128.7199999999998</v>
      </c>
      <c r="L1779" s="11"/>
      <c r="M1779" s="14">
        <v>2128.7199999999998</v>
      </c>
      <c r="N1779" s="11" t="s">
        <v>3203</v>
      </c>
      <c r="O1779" s="11" t="s">
        <v>50</v>
      </c>
    </row>
    <row r="1780" spans="1:15" s="13" customFormat="1" ht="19.5" customHeight="1" x14ac:dyDescent="0.25">
      <c r="A1780" s="11" t="s">
        <v>3217</v>
      </c>
      <c r="B1780" s="11" t="s">
        <v>3217</v>
      </c>
      <c r="C1780" s="12">
        <v>46106</v>
      </c>
      <c r="D1780" s="12">
        <v>46106</v>
      </c>
      <c r="E1780" s="11" t="s">
        <v>6</v>
      </c>
      <c r="F1780" s="11" t="s">
        <v>3218</v>
      </c>
      <c r="G1780" s="11" t="s">
        <v>3217</v>
      </c>
      <c r="H1780" s="11"/>
      <c r="I1780" s="11" t="s">
        <v>49</v>
      </c>
      <c r="J1780" s="11">
        <v>3198.98</v>
      </c>
      <c r="K1780" s="11">
        <v>3198.98</v>
      </c>
      <c r="L1780" s="11"/>
      <c r="M1780" s="14">
        <v>3198.98</v>
      </c>
      <c r="N1780" s="11" t="s">
        <v>3203</v>
      </c>
      <c r="O1780" s="11" t="s">
        <v>50</v>
      </c>
    </row>
    <row r="1781" spans="1:15" s="13" customFormat="1" ht="19.5" customHeight="1" x14ac:dyDescent="0.25">
      <c r="A1781" s="11" t="s">
        <v>3219</v>
      </c>
      <c r="B1781" s="11" t="s">
        <v>3219</v>
      </c>
      <c r="C1781" s="12">
        <v>46106</v>
      </c>
      <c r="D1781" s="12">
        <v>46106</v>
      </c>
      <c r="E1781" s="11" t="s">
        <v>6</v>
      </c>
      <c r="F1781" s="11" t="s">
        <v>295</v>
      </c>
      <c r="G1781" s="11" t="s">
        <v>3219</v>
      </c>
      <c r="H1781" s="11"/>
      <c r="I1781" s="11" t="s">
        <v>49</v>
      </c>
      <c r="J1781" s="11">
        <v>673.42</v>
      </c>
      <c r="K1781" s="11">
        <v>673.42</v>
      </c>
      <c r="L1781" s="11"/>
      <c r="M1781" s="14">
        <v>673.42</v>
      </c>
      <c r="N1781" s="11" t="s">
        <v>3203</v>
      </c>
      <c r="O1781" s="11" t="s">
        <v>50</v>
      </c>
    </row>
    <row r="1782" spans="1:15" s="13" customFormat="1" ht="19.5" customHeight="1" x14ac:dyDescent="0.25">
      <c r="A1782" s="11" t="s">
        <v>3220</v>
      </c>
      <c r="B1782" s="11" t="s">
        <v>3220</v>
      </c>
      <c r="C1782" s="12">
        <v>46106</v>
      </c>
      <c r="D1782" s="12">
        <v>46106</v>
      </c>
      <c r="E1782" s="11" t="s">
        <v>6</v>
      </c>
      <c r="F1782" s="11" t="s">
        <v>295</v>
      </c>
      <c r="G1782" s="11" t="s">
        <v>3220</v>
      </c>
      <c r="H1782" s="11"/>
      <c r="I1782" s="11" t="s">
        <v>49</v>
      </c>
      <c r="J1782" s="11">
        <v>673.42</v>
      </c>
      <c r="K1782" s="11">
        <v>673.42</v>
      </c>
      <c r="L1782" s="11"/>
      <c r="M1782" s="14">
        <v>673.42</v>
      </c>
      <c r="N1782" s="11" t="s">
        <v>3203</v>
      </c>
      <c r="O1782" s="11" t="s">
        <v>50</v>
      </c>
    </row>
    <row r="1783" spans="1:15" s="13" customFormat="1" ht="19.5" customHeight="1" x14ac:dyDescent="0.25">
      <c r="A1783" s="11" t="s">
        <v>3221</v>
      </c>
      <c r="B1783" s="11" t="s">
        <v>3221</v>
      </c>
      <c r="C1783" s="12">
        <v>46105</v>
      </c>
      <c r="D1783" s="12">
        <v>46105</v>
      </c>
      <c r="E1783" s="11" t="s">
        <v>6</v>
      </c>
      <c r="F1783" s="11" t="s">
        <v>2139</v>
      </c>
      <c r="G1783" s="11" t="s">
        <v>3221</v>
      </c>
      <c r="H1783" s="11"/>
      <c r="I1783" s="11" t="s">
        <v>49</v>
      </c>
      <c r="J1783" s="11">
        <v>5209.8500000000004</v>
      </c>
      <c r="K1783" s="11">
        <v>5209.8500000000004</v>
      </c>
      <c r="L1783" s="11"/>
      <c r="M1783" s="14">
        <v>5209.8500000000004</v>
      </c>
      <c r="N1783" s="11" t="s">
        <v>3203</v>
      </c>
      <c r="O1783" s="11" t="s">
        <v>50</v>
      </c>
    </row>
    <row r="1784" spans="1:15" s="13" customFormat="1" ht="19.5" customHeight="1" x14ac:dyDescent="0.25">
      <c r="A1784" s="11" t="s">
        <v>3222</v>
      </c>
      <c r="B1784" s="11" t="s">
        <v>3222</v>
      </c>
      <c r="C1784" s="12">
        <v>46105</v>
      </c>
      <c r="D1784" s="12">
        <v>46105</v>
      </c>
      <c r="E1784" s="11" t="s">
        <v>6</v>
      </c>
      <c r="F1784" s="11" t="s">
        <v>2139</v>
      </c>
      <c r="G1784" s="11" t="s">
        <v>3222</v>
      </c>
      <c r="H1784" s="11"/>
      <c r="I1784" s="11" t="s">
        <v>49</v>
      </c>
      <c r="J1784" s="11">
        <v>218.3</v>
      </c>
      <c r="K1784" s="11">
        <v>218.3</v>
      </c>
      <c r="L1784" s="11"/>
      <c r="M1784" s="14">
        <v>218.3</v>
      </c>
      <c r="N1784" s="11" t="s">
        <v>3203</v>
      </c>
      <c r="O1784" s="11" t="s">
        <v>50</v>
      </c>
    </row>
    <row r="1785" spans="1:15" s="13" customFormat="1" ht="19.5" customHeight="1" x14ac:dyDescent="0.25">
      <c r="A1785" s="11" t="s">
        <v>3223</v>
      </c>
      <c r="B1785" s="11" t="s">
        <v>3223</v>
      </c>
      <c r="C1785" s="12">
        <v>46105</v>
      </c>
      <c r="D1785" s="12">
        <v>46105</v>
      </c>
      <c r="E1785" s="11" t="s">
        <v>6</v>
      </c>
      <c r="F1785" s="11" t="s">
        <v>2139</v>
      </c>
      <c r="G1785" s="11" t="s">
        <v>3223</v>
      </c>
      <c r="H1785" s="11"/>
      <c r="I1785" s="11" t="s">
        <v>49</v>
      </c>
      <c r="J1785" s="11">
        <v>735.94</v>
      </c>
      <c r="K1785" s="11">
        <v>735.94</v>
      </c>
      <c r="L1785" s="11"/>
      <c r="M1785" s="14">
        <v>735.94</v>
      </c>
      <c r="N1785" s="11" t="s">
        <v>3203</v>
      </c>
      <c r="O1785" s="11" t="s">
        <v>50</v>
      </c>
    </row>
    <row r="1786" spans="1:15" s="13" customFormat="1" ht="19.5" customHeight="1" x14ac:dyDescent="0.25">
      <c r="A1786" s="11" t="s">
        <v>3224</v>
      </c>
      <c r="B1786" s="11" t="s">
        <v>3224</v>
      </c>
      <c r="C1786" s="12">
        <v>46105</v>
      </c>
      <c r="D1786" s="12">
        <v>46105</v>
      </c>
      <c r="E1786" s="11" t="s">
        <v>6</v>
      </c>
      <c r="F1786" s="11" t="s">
        <v>843</v>
      </c>
      <c r="G1786" s="11" t="s">
        <v>3224</v>
      </c>
      <c r="H1786" s="11"/>
      <c r="I1786" s="11" t="s">
        <v>49</v>
      </c>
      <c r="J1786" s="11">
        <v>7617.56</v>
      </c>
      <c r="K1786" s="11">
        <v>7617.56</v>
      </c>
      <c r="L1786" s="11"/>
      <c r="M1786" s="14">
        <v>7617.56</v>
      </c>
      <c r="N1786" s="11" t="s">
        <v>3203</v>
      </c>
      <c r="O1786" s="11" t="s">
        <v>50</v>
      </c>
    </row>
    <row r="1787" spans="1:15" s="13" customFormat="1" ht="19.5" customHeight="1" x14ac:dyDescent="0.25">
      <c r="A1787" s="11" t="s">
        <v>3225</v>
      </c>
      <c r="B1787" s="11" t="s">
        <v>3225</v>
      </c>
      <c r="C1787" s="12">
        <v>46101</v>
      </c>
      <c r="D1787" s="12">
        <v>46101</v>
      </c>
      <c r="E1787" s="11" t="s">
        <v>6</v>
      </c>
      <c r="F1787" s="11" t="s">
        <v>295</v>
      </c>
      <c r="G1787" s="11" t="s">
        <v>3225</v>
      </c>
      <c r="H1787" s="11"/>
      <c r="I1787" s="11" t="s">
        <v>49</v>
      </c>
      <c r="J1787" s="11">
        <v>319.93</v>
      </c>
      <c r="K1787" s="11">
        <v>319.93</v>
      </c>
      <c r="L1787" s="11"/>
      <c r="M1787" s="14">
        <v>319.93</v>
      </c>
      <c r="N1787" s="11" t="s">
        <v>3203</v>
      </c>
      <c r="O1787" s="11" t="s">
        <v>50</v>
      </c>
    </row>
    <row r="1788" spans="1:15" s="13" customFormat="1" ht="19.5" customHeight="1" x14ac:dyDescent="0.25">
      <c r="A1788" s="11" t="s">
        <v>3226</v>
      </c>
      <c r="B1788" s="11" t="s">
        <v>3226</v>
      </c>
      <c r="C1788" s="12">
        <v>46101</v>
      </c>
      <c r="D1788" s="12">
        <v>46101</v>
      </c>
      <c r="E1788" s="11" t="s">
        <v>6</v>
      </c>
      <c r="F1788" s="11" t="s">
        <v>295</v>
      </c>
      <c r="G1788" s="11" t="s">
        <v>3226</v>
      </c>
      <c r="H1788" s="11"/>
      <c r="I1788" s="11" t="s">
        <v>49</v>
      </c>
      <c r="J1788" s="11">
        <v>411.34</v>
      </c>
      <c r="K1788" s="11">
        <v>411.34</v>
      </c>
      <c r="L1788" s="11"/>
      <c r="M1788" s="14">
        <v>411.34</v>
      </c>
      <c r="N1788" s="11" t="s">
        <v>3203</v>
      </c>
      <c r="O1788" s="11" t="s">
        <v>50</v>
      </c>
    </row>
    <row r="1789" spans="1:15" s="13" customFormat="1" ht="19.5" customHeight="1" x14ac:dyDescent="0.25">
      <c r="A1789" s="11" t="s">
        <v>3227</v>
      </c>
      <c r="B1789" s="11" t="s">
        <v>3227</v>
      </c>
      <c r="C1789" s="12">
        <v>46101</v>
      </c>
      <c r="D1789" s="12">
        <v>46101</v>
      </c>
      <c r="E1789" s="11" t="s">
        <v>6</v>
      </c>
      <c r="F1789" s="11" t="s">
        <v>295</v>
      </c>
      <c r="G1789" s="11" t="s">
        <v>3227</v>
      </c>
      <c r="H1789" s="11"/>
      <c r="I1789" s="11" t="s">
        <v>49</v>
      </c>
      <c r="J1789" s="11">
        <v>118</v>
      </c>
      <c r="K1789" s="11">
        <v>118</v>
      </c>
      <c r="L1789" s="11"/>
      <c r="M1789" s="14">
        <v>118</v>
      </c>
      <c r="N1789" s="11" t="s">
        <v>3203</v>
      </c>
      <c r="O1789" s="11" t="s">
        <v>50</v>
      </c>
    </row>
    <row r="1790" spans="1:15" s="13" customFormat="1" ht="19.5" customHeight="1" x14ac:dyDescent="0.25">
      <c r="A1790" s="11" t="s">
        <v>3228</v>
      </c>
      <c r="B1790" s="11" t="s">
        <v>3228</v>
      </c>
      <c r="C1790" s="12">
        <v>46101</v>
      </c>
      <c r="D1790" s="12">
        <v>46101</v>
      </c>
      <c r="E1790" s="11" t="s">
        <v>6</v>
      </c>
      <c r="F1790" s="11" t="s">
        <v>295</v>
      </c>
      <c r="G1790" s="11" t="s">
        <v>3228</v>
      </c>
      <c r="H1790" s="11"/>
      <c r="I1790" s="11" t="s">
        <v>49</v>
      </c>
      <c r="J1790" s="11">
        <v>53.33</v>
      </c>
      <c r="K1790" s="11">
        <v>53.33</v>
      </c>
      <c r="L1790" s="11"/>
      <c r="M1790" s="14">
        <v>53.33</v>
      </c>
      <c r="N1790" s="11" t="s">
        <v>3203</v>
      </c>
      <c r="O1790" s="11" t="s">
        <v>50</v>
      </c>
    </row>
    <row r="1791" spans="1:15" s="13" customFormat="1" ht="19.5" customHeight="1" x14ac:dyDescent="0.25">
      <c r="A1791" s="11" t="s">
        <v>3229</v>
      </c>
      <c r="B1791" s="11" t="s">
        <v>3229</v>
      </c>
      <c r="C1791" s="12">
        <v>46099</v>
      </c>
      <c r="D1791" s="12">
        <v>46099</v>
      </c>
      <c r="E1791" s="11" t="s">
        <v>6</v>
      </c>
      <c r="F1791" s="11" t="s">
        <v>295</v>
      </c>
      <c r="G1791" s="11" t="s">
        <v>3229</v>
      </c>
      <c r="H1791" s="11"/>
      <c r="I1791" s="11" t="s">
        <v>49</v>
      </c>
      <c r="J1791" s="11">
        <v>78.95</v>
      </c>
      <c r="K1791" s="11">
        <v>78.95</v>
      </c>
      <c r="L1791" s="11"/>
      <c r="M1791" s="14">
        <v>78.95</v>
      </c>
      <c r="N1791" s="11" t="s">
        <v>3203</v>
      </c>
      <c r="O1791" s="11" t="s">
        <v>50</v>
      </c>
    </row>
    <row r="1792" spans="1:15" s="13" customFormat="1" ht="19.5" customHeight="1" x14ac:dyDescent="0.25">
      <c r="A1792" s="11" t="s">
        <v>3230</v>
      </c>
      <c r="B1792" s="11" t="s">
        <v>3230</v>
      </c>
      <c r="C1792" s="12">
        <v>46099</v>
      </c>
      <c r="D1792" s="12">
        <v>46099</v>
      </c>
      <c r="E1792" s="11" t="s">
        <v>6</v>
      </c>
      <c r="F1792" s="11" t="s">
        <v>295</v>
      </c>
      <c r="G1792" s="11" t="s">
        <v>3230</v>
      </c>
      <c r="H1792" s="11"/>
      <c r="I1792" s="11" t="s">
        <v>49</v>
      </c>
      <c r="J1792" s="11">
        <v>644.29999999999995</v>
      </c>
      <c r="K1792" s="11">
        <v>644.29999999999995</v>
      </c>
      <c r="L1792" s="11"/>
      <c r="M1792" s="14">
        <v>644.29999999999995</v>
      </c>
      <c r="N1792" s="11" t="s">
        <v>3203</v>
      </c>
      <c r="O1792" s="11" t="s">
        <v>50</v>
      </c>
    </row>
    <row r="1793" spans="1:15" s="13" customFormat="1" ht="19.5" customHeight="1" x14ac:dyDescent="0.25">
      <c r="A1793" s="11" t="s">
        <v>3231</v>
      </c>
      <c r="B1793" s="11" t="s">
        <v>3231</v>
      </c>
      <c r="C1793" s="12">
        <v>46099</v>
      </c>
      <c r="D1793" s="12">
        <v>46099</v>
      </c>
      <c r="E1793" s="11" t="s">
        <v>6</v>
      </c>
      <c r="F1793" s="11" t="s">
        <v>295</v>
      </c>
      <c r="G1793" s="11" t="s">
        <v>3231</v>
      </c>
      <c r="H1793" s="11"/>
      <c r="I1793" s="11" t="s">
        <v>49</v>
      </c>
      <c r="J1793" s="11">
        <v>662.02</v>
      </c>
      <c r="K1793" s="11">
        <v>662.02</v>
      </c>
      <c r="L1793" s="11"/>
      <c r="M1793" s="14">
        <v>662.02</v>
      </c>
      <c r="N1793" s="11" t="s">
        <v>3203</v>
      </c>
      <c r="O1793" s="11" t="s">
        <v>50</v>
      </c>
    </row>
    <row r="1794" spans="1:15" s="13" customFormat="1" ht="19.5" customHeight="1" x14ac:dyDescent="0.25">
      <c r="A1794" s="11" t="s">
        <v>3232</v>
      </c>
      <c r="B1794" s="11" t="s">
        <v>3232</v>
      </c>
      <c r="C1794" s="12">
        <v>46098</v>
      </c>
      <c r="D1794" s="12">
        <v>46098</v>
      </c>
      <c r="E1794" s="11" t="s">
        <v>6</v>
      </c>
      <c r="F1794" s="11" t="s">
        <v>2875</v>
      </c>
      <c r="G1794" s="11" t="s">
        <v>3232</v>
      </c>
      <c r="H1794" s="11"/>
      <c r="I1794" s="11" t="s">
        <v>49</v>
      </c>
      <c r="J1794" s="11">
        <v>1457.89</v>
      </c>
      <c r="K1794" s="11">
        <v>1457.89</v>
      </c>
      <c r="L1794" s="11"/>
      <c r="M1794" s="14">
        <v>1457.89</v>
      </c>
      <c r="N1794" s="11" t="s">
        <v>3203</v>
      </c>
      <c r="O1794" s="11" t="s">
        <v>50</v>
      </c>
    </row>
    <row r="1795" spans="1:15" s="13" customFormat="1" ht="19.5" customHeight="1" x14ac:dyDescent="0.25">
      <c r="A1795" s="11" t="s">
        <v>3233</v>
      </c>
      <c r="B1795" s="11" t="s">
        <v>3233</v>
      </c>
      <c r="C1795" s="12">
        <v>46098</v>
      </c>
      <c r="D1795" s="12">
        <v>46098</v>
      </c>
      <c r="E1795" s="11" t="s">
        <v>6</v>
      </c>
      <c r="F1795" s="11" t="s">
        <v>295</v>
      </c>
      <c r="G1795" s="11" t="s">
        <v>3233</v>
      </c>
      <c r="H1795" s="11"/>
      <c r="I1795" s="11" t="s">
        <v>49</v>
      </c>
      <c r="J1795" s="11">
        <v>391.17</v>
      </c>
      <c r="K1795" s="11">
        <v>391.17</v>
      </c>
      <c r="L1795" s="11"/>
      <c r="M1795" s="14">
        <v>391.17</v>
      </c>
      <c r="N1795" s="11" t="s">
        <v>3203</v>
      </c>
      <c r="O1795" s="11" t="s">
        <v>50</v>
      </c>
    </row>
    <row r="1796" spans="1:15" s="13" customFormat="1" ht="19.5" customHeight="1" x14ac:dyDescent="0.25">
      <c r="A1796" s="11" t="s">
        <v>3234</v>
      </c>
      <c r="B1796" s="11" t="s">
        <v>3234</v>
      </c>
      <c r="C1796" s="12">
        <v>46098</v>
      </c>
      <c r="D1796" s="12">
        <v>46098</v>
      </c>
      <c r="E1796" s="11" t="s">
        <v>6</v>
      </c>
      <c r="F1796" s="11" t="s">
        <v>295</v>
      </c>
      <c r="G1796" s="11" t="s">
        <v>3234</v>
      </c>
      <c r="H1796" s="11"/>
      <c r="I1796" s="11" t="s">
        <v>49</v>
      </c>
      <c r="J1796" s="11">
        <v>651.95000000000005</v>
      </c>
      <c r="K1796" s="11">
        <v>651.95000000000005</v>
      </c>
      <c r="L1796" s="11"/>
      <c r="M1796" s="14">
        <v>651.95000000000005</v>
      </c>
      <c r="N1796" s="11" t="s">
        <v>3203</v>
      </c>
      <c r="O1796" s="11" t="s">
        <v>50</v>
      </c>
    </row>
    <row r="1797" spans="1:15" s="13" customFormat="1" ht="19.5" customHeight="1" x14ac:dyDescent="0.25">
      <c r="A1797" s="11" t="s">
        <v>3235</v>
      </c>
      <c r="B1797" s="11" t="s">
        <v>3235</v>
      </c>
      <c r="C1797" s="12">
        <v>46098</v>
      </c>
      <c r="D1797" s="12">
        <v>46098</v>
      </c>
      <c r="E1797" s="11" t="s">
        <v>6</v>
      </c>
      <c r="F1797" s="11" t="s">
        <v>295</v>
      </c>
      <c r="G1797" s="11" t="s">
        <v>3235</v>
      </c>
      <c r="H1797" s="11"/>
      <c r="I1797" s="11" t="s">
        <v>49</v>
      </c>
      <c r="J1797" s="11">
        <v>651.95000000000005</v>
      </c>
      <c r="K1797" s="11">
        <v>651.95000000000005</v>
      </c>
      <c r="L1797" s="11"/>
      <c r="M1797" s="14">
        <v>651.95000000000005</v>
      </c>
      <c r="N1797" s="11" t="s">
        <v>3203</v>
      </c>
      <c r="O1797" s="11" t="s">
        <v>50</v>
      </c>
    </row>
    <row r="1798" spans="1:15" s="13" customFormat="1" ht="19.5" customHeight="1" x14ac:dyDescent="0.25">
      <c r="A1798" s="11" t="s">
        <v>3236</v>
      </c>
      <c r="B1798" s="11" t="s">
        <v>3236</v>
      </c>
      <c r="C1798" s="12">
        <v>46098</v>
      </c>
      <c r="D1798" s="12">
        <v>46098</v>
      </c>
      <c r="E1798" s="11" t="s">
        <v>6</v>
      </c>
      <c r="F1798" s="11" t="s">
        <v>295</v>
      </c>
      <c r="G1798" s="11" t="s">
        <v>3236</v>
      </c>
      <c r="H1798" s="11"/>
      <c r="I1798" s="11" t="s">
        <v>49</v>
      </c>
      <c r="J1798" s="11">
        <v>651.95000000000005</v>
      </c>
      <c r="K1798" s="11">
        <v>651.95000000000005</v>
      </c>
      <c r="L1798" s="11"/>
      <c r="M1798" s="14">
        <v>651.95000000000005</v>
      </c>
      <c r="N1798" s="11" t="s">
        <v>3203</v>
      </c>
      <c r="O1798" s="11" t="s">
        <v>50</v>
      </c>
    </row>
    <row r="1799" spans="1:15" s="13" customFormat="1" ht="19.5" customHeight="1" x14ac:dyDescent="0.25">
      <c r="A1799" s="11" t="s">
        <v>3237</v>
      </c>
      <c r="B1799" s="11" t="s">
        <v>3237</v>
      </c>
      <c r="C1799" s="12">
        <v>46098</v>
      </c>
      <c r="D1799" s="12">
        <v>46098</v>
      </c>
      <c r="E1799" s="11" t="s">
        <v>6</v>
      </c>
      <c r="F1799" s="11" t="s">
        <v>295</v>
      </c>
      <c r="G1799" s="11" t="s">
        <v>3237</v>
      </c>
      <c r="H1799" s="11"/>
      <c r="I1799" s="11" t="s">
        <v>49</v>
      </c>
      <c r="J1799" s="11">
        <v>651.95000000000005</v>
      </c>
      <c r="K1799" s="11">
        <v>651.95000000000005</v>
      </c>
      <c r="L1799" s="11"/>
      <c r="M1799" s="14">
        <v>651.95000000000005</v>
      </c>
      <c r="N1799" s="11" t="s">
        <v>3203</v>
      </c>
      <c r="O1799" s="11" t="s">
        <v>50</v>
      </c>
    </row>
    <row r="1800" spans="1:15" s="13" customFormat="1" ht="19.5" customHeight="1" x14ac:dyDescent="0.25">
      <c r="A1800" s="11" t="s">
        <v>3238</v>
      </c>
      <c r="B1800" s="11" t="s">
        <v>3238</v>
      </c>
      <c r="C1800" s="12">
        <v>46098</v>
      </c>
      <c r="D1800" s="12">
        <v>46098</v>
      </c>
      <c r="E1800" s="11" t="s">
        <v>6</v>
      </c>
      <c r="F1800" s="11" t="s">
        <v>295</v>
      </c>
      <c r="G1800" s="11" t="s">
        <v>3238</v>
      </c>
      <c r="H1800" s="11"/>
      <c r="I1800" s="11" t="s">
        <v>49</v>
      </c>
      <c r="J1800" s="11">
        <v>651.95000000000005</v>
      </c>
      <c r="K1800" s="11">
        <v>651.95000000000005</v>
      </c>
      <c r="L1800" s="11"/>
      <c r="M1800" s="14">
        <v>651.95000000000005</v>
      </c>
      <c r="N1800" s="11" t="s">
        <v>3203</v>
      </c>
      <c r="O1800" s="11" t="s">
        <v>50</v>
      </c>
    </row>
    <row r="1801" spans="1:15" s="13" customFormat="1" ht="19.5" customHeight="1" x14ac:dyDescent="0.25">
      <c r="A1801" s="11" t="s">
        <v>3239</v>
      </c>
      <c r="B1801" s="11" t="s">
        <v>3239</v>
      </c>
      <c r="C1801" s="12">
        <v>46098</v>
      </c>
      <c r="D1801" s="12">
        <v>46098</v>
      </c>
      <c r="E1801" s="11" t="s">
        <v>6</v>
      </c>
      <c r="F1801" s="11" t="s">
        <v>295</v>
      </c>
      <c r="G1801" s="11" t="s">
        <v>3239</v>
      </c>
      <c r="H1801" s="11"/>
      <c r="I1801" s="11" t="s">
        <v>49</v>
      </c>
      <c r="J1801" s="11">
        <v>651.95000000000005</v>
      </c>
      <c r="K1801" s="11">
        <v>651.95000000000005</v>
      </c>
      <c r="L1801" s="11"/>
      <c r="M1801" s="14">
        <v>651.95000000000005</v>
      </c>
      <c r="N1801" s="11" t="s">
        <v>3203</v>
      </c>
      <c r="O1801" s="11" t="s">
        <v>50</v>
      </c>
    </row>
    <row r="1802" spans="1:15" s="13" customFormat="1" ht="19.5" customHeight="1" x14ac:dyDescent="0.25">
      <c r="A1802" s="11" t="s">
        <v>3240</v>
      </c>
      <c r="B1802" s="11" t="s">
        <v>3240</v>
      </c>
      <c r="C1802" s="12">
        <v>46098</v>
      </c>
      <c r="D1802" s="12">
        <v>46098</v>
      </c>
      <c r="E1802" s="11" t="s">
        <v>6</v>
      </c>
      <c r="F1802" s="11" t="s">
        <v>295</v>
      </c>
      <c r="G1802" s="11" t="s">
        <v>3240</v>
      </c>
      <c r="H1802" s="11"/>
      <c r="I1802" s="11" t="s">
        <v>49</v>
      </c>
      <c r="J1802" s="11">
        <v>457.25</v>
      </c>
      <c r="K1802" s="11">
        <v>457.25</v>
      </c>
      <c r="L1802" s="11"/>
      <c r="M1802" s="14">
        <v>457.25</v>
      </c>
      <c r="N1802" s="11" t="s">
        <v>3203</v>
      </c>
      <c r="O1802" s="11" t="s">
        <v>50</v>
      </c>
    </row>
    <row r="1803" spans="1:15" s="13" customFormat="1" ht="19.5" customHeight="1" x14ac:dyDescent="0.25">
      <c r="A1803" s="11" t="s">
        <v>3241</v>
      </c>
      <c r="B1803" s="11" t="s">
        <v>3241</v>
      </c>
      <c r="C1803" s="12">
        <v>46098</v>
      </c>
      <c r="D1803" s="12">
        <v>46098</v>
      </c>
      <c r="E1803" s="11" t="s">
        <v>6</v>
      </c>
      <c r="F1803" s="11" t="s">
        <v>295</v>
      </c>
      <c r="G1803" s="11" t="s">
        <v>3241</v>
      </c>
      <c r="H1803" s="11"/>
      <c r="I1803" s="11" t="s">
        <v>49</v>
      </c>
      <c r="J1803" s="11">
        <v>640.15</v>
      </c>
      <c r="K1803" s="11">
        <v>640.15</v>
      </c>
      <c r="L1803" s="11"/>
      <c r="M1803" s="14">
        <v>640.15</v>
      </c>
      <c r="N1803" s="11" t="s">
        <v>3203</v>
      </c>
      <c r="O1803" s="11" t="s">
        <v>50</v>
      </c>
    </row>
    <row r="1804" spans="1:15" s="13" customFormat="1" ht="19.5" customHeight="1" x14ac:dyDescent="0.25">
      <c r="A1804" s="11" t="s">
        <v>3242</v>
      </c>
      <c r="B1804" s="11" t="s">
        <v>3242</v>
      </c>
      <c r="C1804" s="12">
        <v>46098</v>
      </c>
      <c r="D1804" s="12">
        <v>46098</v>
      </c>
      <c r="E1804" s="11" t="s">
        <v>6</v>
      </c>
      <c r="F1804" s="11" t="s">
        <v>295</v>
      </c>
      <c r="G1804" s="11" t="s">
        <v>3242</v>
      </c>
      <c r="H1804" s="11"/>
      <c r="I1804" s="11" t="s">
        <v>49</v>
      </c>
      <c r="J1804" s="11">
        <v>640.15</v>
      </c>
      <c r="K1804" s="11">
        <v>640.15</v>
      </c>
      <c r="L1804" s="11"/>
      <c r="M1804" s="14">
        <v>640.15</v>
      </c>
      <c r="N1804" s="11" t="s">
        <v>3203</v>
      </c>
      <c r="O1804" s="11" t="s">
        <v>50</v>
      </c>
    </row>
    <row r="1805" spans="1:15" s="13" customFormat="1" ht="19.5" customHeight="1" x14ac:dyDescent="0.25">
      <c r="A1805" s="11" t="s">
        <v>3243</v>
      </c>
      <c r="B1805" s="11" t="s">
        <v>3243</v>
      </c>
      <c r="C1805" s="12">
        <v>46098</v>
      </c>
      <c r="D1805" s="12">
        <v>46098</v>
      </c>
      <c r="E1805" s="11" t="s">
        <v>6</v>
      </c>
      <c r="F1805" s="11" t="s">
        <v>2139</v>
      </c>
      <c r="G1805" s="11" t="s">
        <v>3243</v>
      </c>
      <c r="H1805" s="11"/>
      <c r="I1805" s="11" t="s">
        <v>49</v>
      </c>
      <c r="J1805" s="11">
        <v>142.78</v>
      </c>
      <c r="K1805" s="11">
        <v>142.78</v>
      </c>
      <c r="L1805" s="11"/>
      <c r="M1805" s="14">
        <v>142.78</v>
      </c>
      <c r="N1805" s="11" t="s">
        <v>3203</v>
      </c>
      <c r="O1805" s="11" t="s">
        <v>50</v>
      </c>
    </row>
    <row r="1806" spans="1:15" s="13" customFormat="1" ht="19.5" customHeight="1" x14ac:dyDescent="0.25">
      <c r="A1806" s="11" t="s">
        <v>3244</v>
      </c>
      <c r="B1806" s="11" t="s">
        <v>3244</v>
      </c>
      <c r="C1806" s="12">
        <v>46098</v>
      </c>
      <c r="D1806" s="12">
        <v>46098</v>
      </c>
      <c r="E1806" s="11" t="s">
        <v>6</v>
      </c>
      <c r="F1806" s="11" t="s">
        <v>524</v>
      </c>
      <c r="G1806" s="11" t="s">
        <v>3244</v>
      </c>
      <c r="H1806" s="11"/>
      <c r="I1806" s="11" t="s">
        <v>49</v>
      </c>
      <c r="J1806" s="11">
        <v>319.58999999999997</v>
      </c>
      <c r="K1806" s="11">
        <v>319.58999999999997</v>
      </c>
      <c r="L1806" s="11"/>
      <c r="M1806" s="14">
        <v>319.58999999999997</v>
      </c>
      <c r="N1806" s="11" t="s">
        <v>3203</v>
      </c>
      <c r="O1806" s="11" t="s">
        <v>50</v>
      </c>
    </row>
    <row r="1807" spans="1:15" s="13" customFormat="1" ht="19.5" customHeight="1" x14ac:dyDescent="0.25">
      <c r="A1807" s="11" t="s">
        <v>3245</v>
      </c>
      <c r="B1807" s="11" t="s">
        <v>3245</v>
      </c>
      <c r="C1807" s="12">
        <v>46097</v>
      </c>
      <c r="D1807" s="12">
        <v>46097</v>
      </c>
      <c r="E1807" s="11" t="s">
        <v>6</v>
      </c>
      <c r="F1807" s="11" t="s">
        <v>2139</v>
      </c>
      <c r="G1807" s="11" t="s">
        <v>3245</v>
      </c>
      <c r="H1807" s="11"/>
      <c r="I1807" s="11" t="s">
        <v>49</v>
      </c>
      <c r="J1807" s="11">
        <v>241.9</v>
      </c>
      <c r="K1807" s="11">
        <v>241.9</v>
      </c>
      <c r="L1807" s="11"/>
      <c r="M1807" s="14">
        <v>241.9</v>
      </c>
      <c r="N1807" s="11" t="s">
        <v>3203</v>
      </c>
      <c r="O1807" s="11" t="s">
        <v>50</v>
      </c>
    </row>
    <row r="1808" spans="1:15" s="13" customFormat="1" ht="19.5" customHeight="1" x14ac:dyDescent="0.25">
      <c r="A1808" s="11" t="s">
        <v>3246</v>
      </c>
      <c r="B1808" s="11" t="s">
        <v>3246</v>
      </c>
      <c r="C1808" s="12">
        <v>46097</v>
      </c>
      <c r="D1808" s="12">
        <v>46097</v>
      </c>
      <c r="E1808" s="11" t="s">
        <v>6</v>
      </c>
      <c r="F1808" s="11" t="s">
        <v>295</v>
      </c>
      <c r="G1808" s="11" t="s">
        <v>3246</v>
      </c>
      <c r="H1808" s="11"/>
      <c r="I1808" s="11" t="s">
        <v>49</v>
      </c>
      <c r="J1808" s="11">
        <v>640.15</v>
      </c>
      <c r="K1808" s="11">
        <v>640.15</v>
      </c>
      <c r="L1808" s="11"/>
      <c r="M1808" s="14">
        <v>640.15</v>
      </c>
      <c r="N1808" s="11" t="s">
        <v>3203</v>
      </c>
      <c r="O1808" s="11" t="s">
        <v>50</v>
      </c>
    </row>
    <row r="1809" spans="1:15" s="13" customFormat="1" ht="19.5" customHeight="1" x14ac:dyDescent="0.25">
      <c r="A1809" s="11" t="s">
        <v>3247</v>
      </c>
      <c r="B1809" s="11" t="s">
        <v>3247</v>
      </c>
      <c r="C1809" s="12">
        <v>46097</v>
      </c>
      <c r="D1809" s="12">
        <v>46097</v>
      </c>
      <c r="E1809" s="11" t="s">
        <v>6</v>
      </c>
      <c r="F1809" s="11" t="s">
        <v>295</v>
      </c>
      <c r="G1809" s="11" t="s">
        <v>3247</v>
      </c>
      <c r="H1809" s="11"/>
      <c r="I1809" s="11" t="s">
        <v>49</v>
      </c>
      <c r="J1809" s="11">
        <v>640.15</v>
      </c>
      <c r="K1809" s="11">
        <v>640.15</v>
      </c>
      <c r="L1809" s="11"/>
      <c r="M1809" s="14">
        <v>640.15</v>
      </c>
      <c r="N1809" s="11" t="s">
        <v>3203</v>
      </c>
      <c r="O1809" s="11" t="s">
        <v>50</v>
      </c>
    </row>
    <row r="1810" spans="1:15" s="13" customFormat="1" ht="19.5" customHeight="1" x14ac:dyDescent="0.25">
      <c r="A1810" s="11" t="s">
        <v>3248</v>
      </c>
      <c r="B1810" s="11" t="s">
        <v>3248</v>
      </c>
      <c r="C1810" s="12">
        <v>46097</v>
      </c>
      <c r="D1810" s="12">
        <v>46097</v>
      </c>
      <c r="E1810" s="11" t="s">
        <v>6</v>
      </c>
      <c r="F1810" s="11" t="s">
        <v>295</v>
      </c>
      <c r="G1810" s="11" t="s">
        <v>3248</v>
      </c>
      <c r="H1810" s="11"/>
      <c r="I1810" s="11" t="s">
        <v>49</v>
      </c>
      <c r="J1810" s="11">
        <v>678.21</v>
      </c>
      <c r="K1810" s="11">
        <v>678.21</v>
      </c>
      <c r="L1810" s="11"/>
      <c r="M1810" s="14">
        <v>678.21</v>
      </c>
      <c r="N1810" s="11" t="s">
        <v>3203</v>
      </c>
      <c r="O1810" s="11" t="s">
        <v>50</v>
      </c>
    </row>
    <row r="1811" spans="1:15" s="13" customFormat="1" ht="19.5" customHeight="1" x14ac:dyDescent="0.25">
      <c r="A1811" s="11" t="s">
        <v>3249</v>
      </c>
      <c r="B1811" s="11" t="s">
        <v>3249</v>
      </c>
      <c r="C1811" s="12">
        <v>46094</v>
      </c>
      <c r="D1811" s="12">
        <v>46094</v>
      </c>
      <c r="E1811" s="11" t="s">
        <v>6</v>
      </c>
      <c r="F1811" s="11" t="s">
        <v>3250</v>
      </c>
      <c r="G1811" s="11" t="s">
        <v>3249</v>
      </c>
      <c r="H1811" s="11"/>
      <c r="I1811" s="11" t="s">
        <v>49</v>
      </c>
      <c r="J1811" s="11">
        <v>860.43</v>
      </c>
      <c r="K1811" s="11">
        <v>860.43</v>
      </c>
      <c r="L1811" s="11"/>
      <c r="M1811" s="14">
        <v>860.43</v>
      </c>
      <c r="N1811" s="11" t="s">
        <v>3203</v>
      </c>
      <c r="O1811" s="11" t="s">
        <v>50</v>
      </c>
    </row>
    <row r="1812" spans="1:15" s="13" customFormat="1" ht="19.5" customHeight="1" x14ac:dyDescent="0.25">
      <c r="A1812" s="11" t="s">
        <v>3251</v>
      </c>
      <c r="B1812" s="11" t="s">
        <v>3251</v>
      </c>
      <c r="C1812" s="12">
        <v>46094</v>
      </c>
      <c r="D1812" s="12">
        <v>46094</v>
      </c>
      <c r="E1812" s="11" t="s">
        <v>6</v>
      </c>
      <c r="F1812" s="11" t="s">
        <v>295</v>
      </c>
      <c r="G1812" s="11" t="s">
        <v>3251</v>
      </c>
      <c r="H1812" s="11"/>
      <c r="I1812" s="11" t="s">
        <v>49</v>
      </c>
      <c r="J1812" s="11">
        <v>204.54</v>
      </c>
      <c r="K1812" s="11">
        <v>204.54</v>
      </c>
      <c r="L1812" s="11"/>
      <c r="M1812" s="14">
        <v>204.54</v>
      </c>
      <c r="N1812" s="11" t="s">
        <v>3203</v>
      </c>
      <c r="O1812" s="11" t="s">
        <v>50</v>
      </c>
    </row>
    <row r="1813" spans="1:15" s="13" customFormat="1" ht="19.5" customHeight="1" x14ac:dyDescent="0.25">
      <c r="A1813" s="11" t="s">
        <v>3252</v>
      </c>
      <c r="B1813" s="11" t="s">
        <v>3252</v>
      </c>
      <c r="C1813" s="12">
        <v>46093</v>
      </c>
      <c r="D1813" s="12">
        <v>46093</v>
      </c>
      <c r="E1813" s="11" t="s">
        <v>6</v>
      </c>
      <c r="F1813" s="11" t="s">
        <v>295</v>
      </c>
      <c r="G1813" s="11" t="s">
        <v>3252</v>
      </c>
      <c r="H1813" s="11"/>
      <c r="I1813" s="11" t="s">
        <v>49</v>
      </c>
      <c r="J1813" s="11">
        <v>670.05</v>
      </c>
      <c r="K1813" s="11">
        <v>670.05</v>
      </c>
      <c r="L1813" s="11"/>
      <c r="M1813" s="14">
        <v>670.05</v>
      </c>
      <c r="N1813" s="11" t="s">
        <v>3203</v>
      </c>
      <c r="O1813" s="11" t="s">
        <v>50</v>
      </c>
    </row>
    <row r="1814" spans="1:15" s="13" customFormat="1" ht="19.5" customHeight="1" x14ac:dyDescent="0.25">
      <c r="A1814" s="11" t="s">
        <v>3253</v>
      </c>
      <c r="B1814" s="11" t="s">
        <v>3253</v>
      </c>
      <c r="C1814" s="12">
        <v>46093</v>
      </c>
      <c r="D1814" s="12">
        <v>46093</v>
      </c>
      <c r="E1814" s="11" t="s">
        <v>6</v>
      </c>
      <c r="F1814" s="11" t="s">
        <v>2139</v>
      </c>
      <c r="G1814" s="11" t="s">
        <v>3253</v>
      </c>
      <c r="H1814" s="11"/>
      <c r="I1814" s="11" t="s">
        <v>49</v>
      </c>
      <c r="J1814" s="11">
        <v>1731.17</v>
      </c>
      <c r="K1814" s="11">
        <v>1731.17</v>
      </c>
      <c r="L1814" s="11"/>
      <c r="M1814" s="14">
        <v>1731.17</v>
      </c>
      <c r="N1814" s="11" t="s">
        <v>3203</v>
      </c>
      <c r="O1814" s="11" t="s">
        <v>50</v>
      </c>
    </row>
    <row r="1815" spans="1:15" s="13" customFormat="1" ht="19.5" customHeight="1" x14ac:dyDescent="0.25">
      <c r="A1815" s="11" t="s">
        <v>3254</v>
      </c>
      <c r="B1815" s="11" t="s">
        <v>3254</v>
      </c>
      <c r="C1815" s="12">
        <v>46093</v>
      </c>
      <c r="D1815" s="12">
        <v>46093</v>
      </c>
      <c r="E1815" s="11" t="s">
        <v>6</v>
      </c>
      <c r="F1815" s="11" t="s">
        <v>295</v>
      </c>
      <c r="G1815" s="11" t="s">
        <v>3254</v>
      </c>
      <c r="H1815" s="11"/>
      <c r="I1815" s="11" t="s">
        <v>49</v>
      </c>
      <c r="J1815" s="11">
        <v>694.45</v>
      </c>
      <c r="K1815" s="11">
        <v>694.45</v>
      </c>
      <c r="L1815" s="11"/>
      <c r="M1815" s="14">
        <v>694.45</v>
      </c>
      <c r="N1815" s="11" t="s">
        <v>3203</v>
      </c>
      <c r="O1815" s="11" t="s">
        <v>50</v>
      </c>
    </row>
    <row r="1816" spans="1:15" s="13" customFormat="1" ht="19.5" customHeight="1" x14ac:dyDescent="0.25">
      <c r="A1816" s="11" t="s">
        <v>3255</v>
      </c>
      <c r="B1816" s="11" t="s">
        <v>3255</v>
      </c>
      <c r="C1816" s="12">
        <v>46093</v>
      </c>
      <c r="D1816" s="12">
        <v>46093</v>
      </c>
      <c r="E1816" s="11" t="s">
        <v>6</v>
      </c>
      <c r="F1816" s="11" t="s">
        <v>295</v>
      </c>
      <c r="G1816" s="11" t="s">
        <v>3255</v>
      </c>
      <c r="H1816" s="11"/>
      <c r="I1816" s="11" t="s">
        <v>49</v>
      </c>
      <c r="J1816" s="11">
        <v>694.45</v>
      </c>
      <c r="K1816" s="11">
        <v>694.45</v>
      </c>
      <c r="L1816" s="11"/>
      <c r="M1816" s="14">
        <v>694.45</v>
      </c>
      <c r="N1816" s="11" t="s">
        <v>3203</v>
      </c>
      <c r="O1816" s="11" t="s">
        <v>50</v>
      </c>
    </row>
    <row r="1817" spans="1:15" s="13" customFormat="1" ht="19.5" customHeight="1" x14ac:dyDescent="0.25">
      <c r="A1817" s="11" t="s">
        <v>3256</v>
      </c>
      <c r="B1817" s="11" t="s">
        <v>3256</v>
      </c>
      <c r="C1817" s="12">
        <v>46092</v>
      </c>
      <c r="D1817" s="12">
        <v>46092</v>
      </c>
      <c r="E1817" s="11" t="s">
        <v>6</v>
      </c>
      <c r="F1817" s="11" t="s">
        <v>295</v>
      </c>
      <c r="G1817" s="11" t="s">
        <v>3256</v>
      </c>
      <c r="H1817" s="11"/>
      <c r="I1817" s="11" t="s">
        <v>49</v>
      </c>
      <c r="J1817" s="11">
        <v>289.45999999999998</v>
      </c>
      <c r="K1817" s="11">
        <v>289.45999999999998</v>
      </c>
      <c r="L1817" s="11"/>
      <c r="M1817" s="14">
        <v>289.45999999999998</v>
      </c>
      <c r="N1817" s="11" t="s">
        <v>3203</v>
      </c>
      <c r="O1817" s="11" t="s">
        <v>50</v>
      </c>
    </row>
    <row r="1818" spans="1:15" s="13" customFormat="1" ht="19.5" customHeight="1" x14ac:dyDescent="0.25">
      <c r="A1818" s="11" t="s">
        <v>3257</v>
      </c>
      <c r="B1818" s="11" t="s">
        <v>3257</v>
      </c>
      <c r="C1818" s="12">
        <v>46092</v>
      </c>
      <c r="D1818" s="12">
        <v>46092</v>
      </c>
      <c r="E1818" s="11" t="s">
        <v>6</v>
      </c>
      <c r="F1818" s="11" t="s">
        <v>295</v>
      </c>
      <c r="G1818" s="11" t="s">
        <v>3257</v>
      </c>
      <c r="H1818" s="11"/>
      <c r="I1818" s="11" t="s">
        <v>49</v>
      </c>
      <c r="J1818" s="11">
        <v>487.53</v>
      </c>
      <c r="K1818" s="11">
        <v>487.53</v>
      </c>
      <c r="L1818" s="11"/>
      <c r="M1818" s="14">
        <v>487.53</v>
      </c>
      <c r="N1818" s="11" t="s">
        <v>3203</v>
      </c>
      <c r="O1818" s="11" t="s">
        <v>50</v>
      </c>
    </row>
    <row r="1819" spans="1:15" s="13" customFormat="1" ht="19.5" customHeight="1" x14ac:dyDescent="0.25">
      <c r="A1819" s="11" t="s">
        <v>3258</v>
      </c>
      <c r="B1819" s="11" t="s">
        <v>3258</v>
      </c>
      <c r="C1819" s="12">
        <v>46092</v>
      </c>
      <c r="D1819" s="12">
        <v>46092</v>
      </c>
      <c r="E1819" s="11" t="s">
        <v>6</v>
      </c>
      <c r="F1819" s="11" t="s">
        <v>1929</v>
      </c>
      <c r="G1819" s="11" t="s">
        <v>3258</v>
      </c>
      <c r="H1819" s="11"/>
      <c r="I1819" s="11" t="s">
        <v>49</v>
      </c>
      <c r="J1819" s="11">
        <v>469.05</v>
      </c>
      <c r="K1819" s="11">
        <v>469.05</v>
      </c>
      <c r="L1819" s="11"/>
      <c r="M1819" s="14">
        <v>469.05</v>
      </c>
      <c r="N1819" s="11" t="s">
        <v>3203</v>
      </c>
      <c r="O1819" s="11" t="s">
        <v>50</v>
      </c>
    </row>
    <row r="1820" spans="1:15" s="13" customFormat="1" ht="19.5" customHeight="1" x14ac:dyDescent="0.25">
      <c r="A1820" s="11" t="s">
        <v>3259</v>
      </c>
      <c r="B1820" s="11" t="s">
        <v>3259</v>
      </c>
      <c r="C1820" s="12">
        <v>46092</v>
      </c>
      <c r="D1820" s="12">
        <v>46092</v>
      </c>
      <c r="E1820" s="11" t="s">
        <v>6</v>
      </c>
      <c r="F1820" s="11" t="s">
        <v>295</v>
      </c>
      <c r="G1820" s="11" t="s">
        <v>3259</v>
      </c>
      <c r="H1820" s="11"/>
      <c r="I1820" s="11" t="s">
        <v>49</v>
      </c>
      <c r="J1820" s="11">
        <v>560.03</v>
      </c>
      <c r="K1820" s="11">
        <v>560.03</v>
      </c>
      <c r="L1820" s="11"/>
      <c r="M1820" s="14">
        <v>560.03</v>
      </c>
      <c r="N1820" s="11" t="s">
        <v>3203</v>
      </c>
      <c r="O1820" s="11" t="s">
        <v>50</v>
      </c>
    </row>
    <row r="1821" spans="1:15" s="13" customFormat="1" ht="19.5" customHeight="1" x14ac:dyDescent="0.25">
      <c r="A1821" s="11" t="s">
        <v>3260</v>
      </c>
      <c r="B1821" s="11" t="s">
        <v>3260</v>
      </c>
      <c r="C1821" s="12">
        <v>46091</v>
      </c>
      <c r="D1821" s="12">
        <v>46091</v>
      </c>
      <c r="E1821" s="11" t="s">
        <v>6</v>
      </c>
      <c r="F1821" s="11" t="s">
        <v>295</v>
      </c>
      <c r="G1821" s="11" t="s">
        <v>3261</v>
      </c>
      <c r="H1821" s="11"/>
      <c r="I1821" s="11" t="s">
        <v>49</v>
      </c>
      <c r="J1821" s="11">
        <v>571.30999999999995</v>
      </c>
      <c r="K1821" s="11">
        <v>571.30999999999995</v>
      </c>
      <c r="L1821" s="11"/>
      <c r="M1821" s="14">
        <v>571.30999999999995</v>
      </c>
      <c r="N1821" s="11" t="s">
        <v>3203</v>
      </c>
      <c r="O1821" s="11" t="s">
        <v>50</v>
      </c>
    </row>
    <row r="1822" spans="1:15" s="13" customFormat="1" ht="19.5" customHeight="1" x14ac:dyDescent="0.25">
      <c r="A1822" s="11" t="s">
        <v>3262</v>
      </c>
      <c r="B1822" s="11" t="s">
        <v>3262</v>
      </c>
      <c r="C1822" s="12">
        <v>46091</v>
      </c>
      <c r="D1822" s="12">
        <v>46091</v>
      </c>
      <c r="E1822" s="11" t="s">
        <v>6</v>
      </c>
      <c r="F1822" s="11" t="s">
        <v>295</v>
      </c>
      <c r="G1822" s="11" t="s">
        <v>3262</v>
      </c>
      <c r="H1822" s="11"/>
      <c r="I1822" s="11" t="s">
        <v>49</v>
      </c>
      <c r="J1822" s="11">
        <v>486.16</v>
      </c>
      <c r="K1822" s="11">
        <v>486.16</v>
      </c>
      <c r="L1822" s="11"/>
      <c r="M1822" s="14">
        <v>486.16</v>
      </c>
      <c r="N1822" s="11" t="s">
        <v>3203</v>
      </c>
      <c r="O1822" s="11" t="s">
        <v>50</v>
      </c>
    </row>
    <row r="1823" spans="1:15" s="13" customFormat="1" ht="19.5" customHeight="1" x14ac:dyDescent="0.25">
      <c r="A1823" s="11" t="s">
        <v>3263</v>
      </c>
      <c r="B1823" s="11" t="s">
        <v>3263</v>
      </c>
      <c r="C1823" s="12">
        <v>46091</v>
      </c>
      <c r="D1823" s="12">
        <v>46091</v>
      </c>
      <c r="E1823" s="11" t="s">
        <v>6</v>
      </c>
      <c r="F1823" s="11" t="s">
        <v>295</v>
      </c>
      <c r="G1823" s="11" t="s">
        <v>3263</v>
      </c>
      <c r="H1823" s="11"/>
      <c r="I1823" s="11" t="s">
        <v>49</v>
      </c>
      <c r="J1823" s="11">
        <v>287.10000000000002</v>
      </c>
      <c r="K1823" s="11">
        <v>287.10000000000002</v>
      </c>
      <c r="L1823" s="11"/>
      <c r="M1823" s="14">
        <v>287.10000000000002</v>
      </c>
      <c r="N1823" s="11" t="s">
        <v>3203</v>
      </c>
      <c r="O1823" s="11" t="s">
        <v>50</v>
      </c>
    </row>
    <row r="1824" spans="1:15" s="13" customFormat="1" ht="19.5" customHeight="1" x14ac:dyDescent="0.25">
      <c r="A1824" s="11" t="s">
        <v>3264</v>
      </c>
      <c r="B1824" s="11" t="s">
        <v>3264</v>
      </c>
      <c r="C1824" s="12">
        <v>46091</v>
      </c>
      <c r="D1824" s="12">
        <v>46091</v>
      </c>
      <c r="E1824" s="11" t="s">
        <v>6</v>
      </c>
      <c r="F1824" s="11" t="s">
        <v>295</v>
      </c>
      <c r="G1824" s="11" t="s">
        <v>3264</v>
      </c>
      <c r="H1824" s="11"/>
      <c r="I1824" s="11" t="s">
        <v>49</v>
      </c>
      <c r="J1824" s="11">
        <v>668.36</v>
      </c>
      <c r="K1824" s="11">
        <v>668.36</v>
      </c>
      <c r="L1824" s="11"/>
      <c r="M1824" s="14">
        <v>668.36</v>
      </c>
      <c r="N1824" s="11" t="s">
        <v>3203</v>
      </c>
      <c r="O1824" s="11" t="s">
        <v>50</v>
      </c>
    </row>
    <row r="1825" spans="1:15" s="13" customFormat="1" ht="19.5" customHeight="1" x14ac:dyDescent="0.25">
      <c r="A1825" s="11" t="s">
        <v>3265</v>
      </c>
      <c r="B1825" s="11" t="s">
        <v>3265</v>
      </c>
      <c r="C1825" s="12">
        <v>46090</v>
      </c>
      <c r="D1825" s="12">
        <v>46090</v>
      </c>
      <c r="E1825" s="11" t="s">
        <v>6</v>
      </c>
      <c r="F1825" s="11" t="s">
        <v>2875</v>
      </c>
      <c r="G1825" s="11" t="s">
        <v>3265</v>
      </c>
      <c r="H1825" s="11"/>
      <c r="I1825" s="11" t="s">
        <v>49</v>
      </c>
      <c r="J1825" s="11">
        <v>1057.33</v>
      </c>
      <c r="K1825" s="11">
        <v>1057.33</v>
      </c>
      <c r="L1825" s="11"/>
      <c r="M1825" s="14">
        <v>1057.33</v>
      </c>
      <c r="N1825" s="11" t="s">
        <v>3203</v>
      </c>
      <c r="O1825" s="11" t="s">
        <v>50</v>
      </c>
    </row>
    <row r="1826" spans="1:15" s="13" customFormat="1" ht="19.5" customHeight="1" x14ac:dyDescent="0.25">
      <c r="A1826" s="11" t="s">
        <v>3266</v>
      </c>
      <c r="B1826" s="11" t="s">
        <v>3266</v>
      </c>
      <c r="C1826" s="12">
        <v>46090</v>
      </c>
      <c r="D1826" s="12">
        <v>46090</v>
      </c>
      <c r="E1826" s="11" t="s">
        <v>6</v>
      </c>
      <c r="F1826" s="11" t="s">
        <v>295</v>
      </c>
      <c r="G1826" s="11" t="s">
        <v>3266</v>
      </c>
      <c r="H1826" s="11"/>
      <c r="I1826" s="11" t="s">
        <v>49</v>
      </c>
      <c r="J1826" s="11">
        <v>76.180000000000007</v>
      </c>
      <c r="K1826" s="11">
        <v>76.180000000000007</v>
      </c>
      <c r="L1826" s="11"/>
      <c r="M1826" s="14">
        <v>76.180000000000007</v>
      </c>
      <c r="N1826" s="11" t="s">
        <v>3203</v>
      </c>
      <c r="O1826" s="11" t="s">
        <v>50</v>
      </c>
    </row>
    <row r="1827" spans="1:15" s="13" customFormat="1" ht="19.5" customHeight="1" x14ac:dyDescent="0.25">
      <c r="A1827" s="11" t="s">
        <v>3267</v>
      </c>
      <c r="B1827" s="11" t="s">
        <v>3267</v>
      </c>
      <c r="C1827" s="12">
        <v>46090</v>
      </c>
      <c r="D1827" s="12">
        <v>46090</v>
      </c>
      <c r="E1827" s="11" t="s">
        <v>6</v>
      </c>
      <c r="F1827" s="11" t="s">
        <v>295</v>
      </c>
      <c r="G1827" s="11" t="s">
        <v>3267</v>
      </c>
      <c r="H1827" s="11"/>
      <c r="I1827" s="11" t="s">
        <v>49</v>
      </c>
      <c r="J1827" s="11">
        <v>685.58</v>
      </c>
      <c r="K1827" s="11">
        <v>685.58</v>
      </c>
      <c r="L1827" s="11"/>
      <c r="M1827" s="14">
        <v>685.58</v>
      </c>
      <c r="N1827" s="11" t="s">
        <v>3203</v>
      </c>
      <c r="O1827" s="11" t="s">
        <v>50</v>
      </c>
    </row>
    <row r="1828" spans="1:15" s="13" customFormat="1" ht="19.5" customHeight="1" x14ac:dyDescent="0.25">
      <c r="A1828" s="11" t="s">
        <v>3268</v>
      </c>
      <c r="B1828" s="11" t="s">
        <v>3268</v>
      </c>
      <c r="C1828" s="12">
        <v>46090</v>
      </c>
      <c r="D1828" s="12">
        <v>46090</v>
      </c>
      <c r="E1828" s="11" t="s">
        <v>6</v>
      </c>
      <c r="F1828" s="11" t="s">
        <v>1826</v>
      </c>
      <c r="G1828" s="11" t="s">
        <v>3268</v>
      </c>
      <c r="H1828" s="11"/>
      <c r="I1828" s="11" t="s">
        <v>49</v>
      </c>
      <c r="J1828" s="11">
        <v>159.80000000000001</v>
      </c>
      <c r="K1828" s="11">
        <v>159.80000000000001</v>
      </c>
      <c r="L1828" s="11"/>
      <c r="M1828" s="14">
        <v>159.80000000000001</v>
      </c>
      <c r="N1828" s="11" t="s">
        <v>3203</v>
      </c>
      <c r="O1828" s="11" t="s">
        <v>50</v>
      </c>
    </row>
    <row r="1829" spans="1:15" s="13" customFormat="1" ht="19.5" customHeight="1" x14ac:dyDescent="0.25">
      <c r="A1829" s="11" t="s">
        <v>3269</v>
      </c>
      <c r="B1829" s="11" t="s">
        <v>3269</v>
      </c>
      <c r="C1829" s="12">
        <v>46090</v>
      </c>
      <c r="D1829" s="12">
        <v>46090</v>
      </c>
      <c r="E1829" s="11" t="s">
        <v>6</v>
      </c>
      <c r="F1829" s="11" t="s">
        <v>119</v>
      </c>
      <c r="G1829" s="11" t="s">
        <v>3269</v>
      </c>
      <c r="H1829" s="11"/>
      <c r="I1829" s="11" t="s">
        <v>49</v>
      </c>
      <c r="J1829" s="11">
        <v>204.05</v>
      </c>
      <c r="K1829" s="11">
        <v>204.05</v>
      </c>
      <c r="L1829" s="11"/>
      <c r="M1829" s="14">
        <v>204.05</v>
      </c>
      <c r="N1829" s="11" t="s">
        <v>3203</v>
      </c>
      <c r="O1829" s="11" t="s">
        <v>50</v>
      </c>
    </row>
    <row r="1830" spans="1:15" s="13" customFormat="1" ht="19.5" customHeight="1" x14ac:dyDescent="0.25">
      <c r="A1830" s="11" t="s">
        <v>3270</v>
      </c>
      <c r="B1830" s="11" t="s">
        <v>3270</v>
      </c>
      <c r="C1830" s="12">
        <v>46086</v>
      </c>
      <c r="D1830" s="12">
        <v>46086</v>
      </c>
      <c r="E1830" s="11" t="s">
        <v>6</v>
      </c>
      <c r="F1830" s="11" t="s">
        <v>3250</v>
      </c>
      <c r="G1830" s="11" t="s">
        <v>3270</v>
      </c>
      <c r="H1830" s="11"/>
      <c r="I1830" s="11" t="s">
        <v>49</v>
      </c>
      <c r="J1830" s="11">
        <v>614.58000000000004</v>
      </c>
      <c r="K1830" s="11">
        <v>614.58000000000004</v>
      </c>
      <c r="L1830" s="11"/>
      <c r="M1830" s="14">
        <v>614.58000000000004</v>
      </c>
      <c r="N1830" s="11" t="s">
        <v>3203</v>
      </c>
      <c r="O1830" s="11" t="s">
        <v>50</v>
      </c>
    </row>
    <row r="1831" spans="1:15" s="13" customFormat="1" ht="19.5" customHeight="1" x14ac:dyDescent="0.25">
      <c r="A1831" s="11" t="s">
        <v>3271</v>
      </c>
      <c r="B1831" s="11" t="s">
        <v>3271</v>
      </c>
      <c r="C1831" s="12">
        <v>46085</v>
      </c>
      <c r="D1831" s="12">
        <v>46085</v>
      </c>
      <c r="E1831" s="11" t="s">
        <v>6</v>
      </c>
      <c r="F1831" s="11" t="s">
        <v>2878</v>
      </c>
      <c r="G1831" s="11" t="s">
        <v>3271</v>
      </c>
      <c r="H1831" s="11"/>
      <c r="I1831" s="11" t="s">
        <v>49</v>
      </c>
      <c r="J1831" s="11">
        <v>1769.69</v>
      </c>
      <c r="K1831" s="11">
        <v>1769.69</v>
      </c>
      <c r="L1831" s="11"/>
      <c r="M1831" s="14">
        <v>1769.69</v>
      </c>
      <c r="N1831" s="11" t="s">
        <v>3203</v>
      </c>
      <c r="O1831" s="11" t="s">
        <v>50</v>
      </c>
    </row>
    <row r="1832" spans="1:15" s="13" customFormat="1" ht="19.5" customHeight="1" x14ac:dyDescent="0.25">
      <c r="A1832" s="11" t="s">
        <v>3272</v>
      </c>
      <c r="B1832" s="11" t="s">
        <v>3272</v>
      </c>
      <c r="C1832" s="12">
        <v>46085</v>
      </c>
      <c r="D1832" s="12">
        <v>46085</v>
      </c>
      <c r="E1832" s="11" t="s">
        <v>6</v>
      </c>
      <c r="F1832" s="11" t="s">
        <v>104</v>
      </c>
      <c r="G1832" s="11" t="s">
        <v>3272</v>
      </c>
      <c r="H1832" s="11"/>
      <c r="I1832" s="11" t="s">
        <v>49</v>
      </c>
      <c r="J1832" s="11">
        <v>2285.2800000000002</v>
      </c>
      <c r="K1832" s="11">
        <v>2285.2800000000002</v>
      </c>
      <c r="L1832" s="11"/>
      <c r="M1832" s="14">
        <v>2285.2800000000002</v>
      </c>
      <c r="N1832" s="11" t="s">
        <v>3203</v>
      </c>
      <c r="O1832" s="11" t="s">
        <v>50</v>
      </c>
    </row>
    <row r="1833" spans="1:15" s="13" customFormat="1" ht="19.5" customHeight="1" x14ac:dyDescent="0.25">
      <c r="A1833" s="11" t="s">
        <v>3273</v>
      </c>
      <c r="B1833" s="11" t="s">
        <v>3273</v>
      </c>
      <c r="C1833" s="12">
        <v>46084</v>
      </c>
      <c r="D1833" s="12">
        <v>46084</v>
      </c>
      <c r="E1833" s="11" t="s">
        <v>6</v>
      </c>
      <c r="F1833" s="11" t="s">
        <v>3044</v>
      </c>
      <c r="G1833" s="11" t="s">
        <v>3273</v>
      </c>
      <c r="H1833" s="11"/>
      <c r="I1833" s="11" t="s">
        <v>49</v>
      </c>
      <c r="J1833" s="11">
        <v>747.08</v>
      </c>
      <c r="K1833" s="11">
        <v>747.08</v>
      </c>
      <c r="L1833" s="11"/>
      <c r="M1833" s="14">
        <v>747.08</v>
      </c>
      <c r="N1833" s="11" t="s">
        <v>3203</v>
      </c>
      <c r="O1833" s="11" t="s">
        <v>50</v>
      </c>
    </row>
    <row r="1834" spans="1:15" s="13" customFormat="1" ht="19.5" customHeight="1" x14ac:dyDescent="0.25">
      <c r="A1834" s="11" t="s">
        <v>3274</v>
      </c>
      <c r="B1834" s="11" t="s">
        <v>3274</v>
      </c>
      <c r="C1834" s="12">
        <v>46084</v>
      </c>
      <c r="D1834" s="12">
        <v>46084</v>
      </c>
      <c r="E1834" s="11" t="s">
        <v>6</v>
      </c>
      <c r="F1834" s="11" t="s">
        <v>295</v>
      </c>
      <c r="G1834" s="11" t="s">
        <v>3274</v>
      </c>
      <c r="H1834" s="11"/>
      <c r="I1834" s="11" t="s">
        <v>49</v>
      </c>
      <c r="J1834" s="11">
        <v>327.56</v>
      </c>
      <c r="K1834" s="11">
        <v>327.56</v>
      </c>
      <c r="L1834" s="11"/>
      <c r="M1834" s="14">
        <v>327.56</v>
      </c>
      <c r="N1834" s="11" t="s">
        <v>3203</v>
      </c>
      <c r="O1834" s="11" t="s">
        <v>50</v>
      </c>
    </row>
    <row r="1835" spans="1:15" s="13" customFormat="1" ht="19.5" customHeight="1" x14ac:dyDescent="0.25">
      <c r="A1835" s="11" t="s">
        <v>3275</v>
      </c>
      <c r="B1835" s="11" t="s">
        <v>3275</v>
      </c>
      <c r="C1835" s="12">
        <v>46084</v>
      </c>
      <c r="D1835" s="12">
        <v>46084</v>
      </c>
      <c r="E1835" s="11" t="s">
        <v>6</v>
      </c>
      <c r="F1835" s="11" t="s">
        <v>295</v>
      </c>
      <c r="G1835" s="11" t="s">
        <v>3275</v>
      </c>
      <c r="H1835" s="11"/>
      <c r="I1835" s="11" t="s">
        <v>49</v>
      </c>
      <c r="J1835" s="11">
        <v>274.24</v>
      </c>
      <c r="K1835" s="11">
        <v>274.24</v>
      </c>
      <c r="L1835" s="11"/>
      <c r="M1835" s="14">
        <v>274.24</v>
      </c>
      <c r="N1835" s="11" t="s">
        <v>3203</v>
      </c>
      <c r="O1835" s="11" t="s">
        <v>50</v>
      </c>
    </row>
    <row r="1836" spans="1:15" s="13" customFormat="1" ht="19.5" customHeight="1" x14ac:dyDescent="0.25">
      <c r="A1836" s="11" t="s">
        <v>3276</v>
      </c>
      <c r="B1836" s="11" t="s">
        <v>3276</v>
      </c>
      <c r="C1836" s="12">
        <v>46084</v>
      </c>
      <c r="D1836" s="12">
        <v>46084</v>
      </c>
      <c r="E1836" s="11" t="s">
        <v>6</v>
      </c>
      <c r="F1836" s="11" t="s">
        <v>2139</v>
      </c>
      <c r="G1836" s="11" t="s">
        <v>3276</v>
      </c>
      <c r="H1836" s="11"/>
      <c r="I1836" s="11" t="s">
        <v>49</v>
      </c>
      <c r="J1836" s="11">
        <v>105.02</v>
      </c>
      <c r="K1836" s="11">
        <v>105.02</v>
      </c>
      <c r="L1836" s="11"/>
      <c r="M1836" s="14">
        <v>105.02</v>
      </c>
      <c r="N1836" s="11" t="s">
        <v>3203</v>
      </c>
      <c r="O1836" s="11" t="s">
        <v>50</v>
      </c>
    </row>
    <row r="1837" spans="1:15" s="13" customFormat="1" ht="19.5" customHeight="1" x14ac:dyDescent="0.25">
      <c r="A1837" s="11" t="s">
        <v>3277</v>
      </c>
      <c r="B1837" s="11" t="s">
        <v>3277</v>
      </c>
      <c r="C1837" s="12">
        <v>46084</v>
      </c>
      <c r="D1837" s="12">
        <v>46084</v>
      </c>
      <c r="E1837" s="11" t="s">
        <v>6</v>
      </c>
      <c r="F1837" s="11" t="s">
        <v>3278</v>
      </c>
      <c r="G1837" s="11" t="s">
        <v>3277</v>
      </c>
      <c r="H1837" s="11"/>
      <c r="I1837" s="11" t="s">
        <v>49</v>
      </c>
      <c r="J1837" s="11">
        <v>239.54</v>
      </c>
      <c r="K1837" s="11">
        <v>239.54</v>
      </c>
      <c r="L1837" s="11"/>
      <c r="M1837" s="14">
        <v>239.54</v>
      </c>
      <c r="N1837" s="11" t="s">
        <v>3203</v>
      </c>
      <c r="O1837" s="11" t="s">
        <v>50</v>
      </c>
    </row>
    <row r="1838" spans="1:15" s="13" customFormat="1" ht="19.5" customHeight="1" x14ac:dyDescent="0.25">
      <c r="A1838" s="11" t="s">
        <v>3279</v>
      </c>
      <c r="B1838" s="11" t="s">
        <v>3279</v>
      </c>
      <c r="C1838" s="12">
        <v>46105</v>
      </c>
      <c r="D1838" s="11"/>
      <c r="E1838" s="11" t="s">
        <v>6</v>
      </c>
      <c r="F1838" s="11" t="s">
        <v>3280</v>
      </c>
      <c r="G1838" s="11" t="s">
        <v>3281</v>
      </c>
      <c r="H1838" s="11"/>
      <c r="I1838" s="11" t="s">
        <v>49</v>
      </c>
      <c r="J1838" s="11">
        <v>-290.61</v>
      </c>
      <c r="K1838" s="11"/>
      <c r="L1838" s="11">
        <v>290.61</v>
      </c>
      <c r="M1838" s="14">
        <v>-290.61</v>
      </c>
      <c r="N1838" s="11" t="s">
        <v>3282</v>
      </c>
      <c r="O1838" s="11" t="s">
        <v>234</v>
      </c>
    </row>
    <row r="1839" spans="1:15" s="13" customFormat="1" ht="19.5" customHeight="1" x14ac:dyDescent="0.25">
      <c r="A1839" s="11" t="s">
        <v>3281</v>
      </c>
      <c r="B1839" s="11" t="s">
        <v>3281</v>
      </c>
      <c r="C1839" s="12">
        <v>46105</v>
      </c>
      <c r="D1839" s="12">
        <v>46105</v>
      </c>
      <c r="E1839" s="11" t="s">
        <v>6</v>
      </c>
      <c r="F1839" s="11" t="s">
        <v>3280</v>
      </c>
      <c r="G1839" s="11" t="s">
        <v>3281</v>
      </c>
      <c r="H1839" s="11"/>
      <c r="I1839" s="11" t="s">
        <v>49</v>
      </c>
      <c r="J1839" s="11">
        <v>290.61</v>
      </c>
      <c r="K1839" s="11">
        <v>290.61</v>
      </c>
      <c r="L1839" s="11"/>
      <c r="M1839" s="14">
        <v>290.61</v>
      </c>
      <c r="N1839" s="11" t="s">
        <v>3282</v>
      </c>
      <c r="O1839" s="11" t="s">
        <v>50</v>
      </c>
    </row>
    <row r="1840" spans="1:15" s="13" customFormat="1" ht="19.5" customHeight="1" x14ac:dyDescent="0.25">
      <c r="A1840" s="11" t="s">
        <v>3283</v>
      </c>
      <c r="B1840" s="11" t="s">
        <v>3283</v>
      </c>
      <c r="C1840" s="12">
        <v>46106</v>
      </c>
      <c r="D1840" s="11"/>
      <c r="E1840" s="11" t="s">
        <v>6</v>
      </c>
      <c r="F1840" s="11" t="s">
        <v>3284</v>
      </c>
      <c r="G1840" s="11" t="s">
        <v>3285</v>
      </c>
      <c r="H1840" s="11"/>
      <c r="I1840" s="11" t="s">
        <v>49</v>
      </c>
      <c r="J1840" s="11">
        <v>-71.010000000000005</v>
      </c>
      <c r="K1840" s="11"/>
      <c r="L1840" s="11">
        <v>71.010000000000005</v>
      </c>
      <c r="M1840" s="14">
        <v>-71.010000000000005</v>
      </c>
      <c r="N1840" s="11" t="s">
        <v>3286</v>
      </c>
      <c r="O1840" s="11" t="s">
        <v>234</v>
      </c>
    </row>
    <row r="1841" spans="1:15" s="13" customFormat="1" ht="19.5" customHeight="1" x14ac:dyDescent="0.25">
      <c r="A1841" s="11" t="s">
        <v>3285</v>
      </c>
      <c r="B1841" s="11" t="s">
        <v>3285</v>
      </c>
      <c r="C1841" s="12">
        <v>46106</v>
      </c>
      <c r="D1841" s="12">
        <v>46106</v>
      </c>
      <c r="E1841" s="11" t="s">
        <v>6</v>
      </c>
      <c r="F1841" s="11" t="s">
        <v>3284</v>
      </c>
      <c r="G1841" s="11" t="s">
        <v>3285</v>
      </c>
      <c r="H1841" s="11"/>
      <c r="I1841" s="11" t="s">
        <v>49</v>
      </c>
      <c r="J1841" s="11">
        <v>71.010000000000005</v>
      </c>
      <c r="K1841" s="11">
        <v>71.010000000000005</v>
      </c>
      <c r="L1841" s="11"/>
      <c r="M1841" s="14">
        <v>71.010000000000005</v>
      </c>
      <c r="N1841" s="11" t="s">
        <v>3286</v>
      </c>
      <c r="O1841" s="11" t="s">
        <v>50</v>
      </c>
    </row>
    <row r="1842" spans="1:15" s="13" customFormat="1" ht="19.5" customHeight="1" x14ac:dyDescent="0.25">
      <c r="A1842" s="11" t="s">
        <v>3287</v>
      </c>
      <c r="B1842" s="11" t="s">
        <v>3287</v>
      </c>
      <c r="C1842" s="12">
        <v>46111</v>
      </c>
      <c r="D1842" s="12">
        <v>46111</v>
      </c>
      <c r="E1842" s="11" t="s">
        <v>6</v>
      </c>
      <c r="F1842" s="11" t="s">
        <v>3288</v>
      </c>
      <c r="G1842" s="11" t="s">
        <v>3287</v>
      </c>
      <c r="H1842" s="11"/>
      <c r="I1842" s="11" t="s">
        <v>49</v>
      </c>
      <c r="J1842" s="11">
        <v>79.19</v>
      </c>
      <c r="K1842" s="11">
        <v>79.19</v>
      </c>
      <c r="L1842" s="11"/>
      <c r="M1842" s="14">
        <v>79.19</v>
      </c>
      <c r="N1842" s="11" t="s">
        <v>3289</v>
      </c>
      <c r="O1842" s="11" t="s">
        <v>50</v>
      </c>
    </row>
    <row r="1843" spans="1:15" s="13" customFormat="1" ht="19.5" customHeight="1" x14ac:dyDescent="0.25">
      <c r="A1843" s="11" t="s">
        <v>3290</v>
      </c>
      <c r="B1843" s="11" t="s">
        <v>3290</v>
      </c>
      <c r="C1843" s="12">
        <v>46109</v>
      </c>
      <c r="D1843" s="11"/>
      <c r="E1843" s="11" t="s">
        <v>6</v>
      </c>
      <c r="F1843" s="11" t="s">
        <v>3288</v>
      </c>
      <c r="G1843" s="11" t="s">
        <v>3287</v>
      </c>
      <c r="H1843" s="11"/>
      <c r="I1843" s="11" t="s">
        <v>49</v>
      </c>
      <c r="J1843" s="11">
        <v>-79.19</v>
      </c>
      <c r="K1843" s="11"/>
      <c r="L1843" s="11">
        <v>79.19</v>
      </c>
      <c r="M1843" s="14">
        <v>-79.19</v>
      </c>
      <c r="N1843" s="11" t="s">
        <v>3289</v>
      </c>
      <c r="O1843" s="11" t="s">
        <v>234</v>
      </c>
    </row>
    <row r="1844" spans="1:15" s="13" customFormat="1" ht="19.5" customHeight="1" x14ac:dyDescent="0.25">
      <c r="A1844" s="11" t="s">
        <v>3291</v>
      </c>
      <c r="B1844" s="11" t="s">
        <v>3291</v>
      </c>
      <c r="C1844" s="12">
        <v>46112</v>
      </c>
      <c r="D1844" s="12">
        <v>46112</v>
      </c>
      <c r="E1844" s="11" t="s">
        <v>6</v>
      </c>
      <c r="F1844" s="11" t="s">
        <v>3292</v>
      </c>
      <c r="G1844" s="11" t="s">
        <v>3291</v>
      </c>
      <c r="H1844" s="11"/>
      <c r="I1844" s="11" t="s">
        <v>49</v>
      </c>
      <c r="J1844" s="11">
        <v>223.66</v>
      </c>
      <c r="K1844" s="11">
        <v>223.66</v>
      </c>
      <c r="L1844" s="11"/>
      <c r="M1844" s="14">
        <v>223.66</v>
      </c>
      <c r="N1844" s="11" t="s">
        <v>3293</v>
      </c>
      <c r="O1844" s="11" t="s">
        <v>50</v>
      </c>
    </row>
    <row r="1845" spans="1:15" s="13" customFormat="1" ht="19.5" customHeight="1" x14ac:dyDescent="0.25">
      <c r="A1845" s="11" t="s">
        <v>3294</v>
      </c>
      <c r="B1845" s="11" t="s">
        <v>3294</v>
      </c>
      <c r="C1845" s="12">
        <v>46109</v>
      </c>
      <c r="D1845" s="11"/>
      <c r="E1845" s="11" t="s">
        <v>6</v>
      </c>
      <c r="F1845" s="11" t="s">
        <v>3292</v>
      </c>
      <c r="G1845" s="11" t="s">
        <v>3291</v>
      </c>
      <c r="H1845" s="11"/>
      <c r="I1845" s="11" t="s">
        <v>49</v>
      </c>
      <c r="J1845" s="11">
        <v>-223.66</v>
      </c>
      <c r="K1845" s="11"/>
      <c r="L1845" s="11">
        <v>223.66</v>
      </c>
      <c r="M1845" s="14">
        <v>-223.66</v>
      </c>
      <c r="N1845" s="11" t="s">
        <v>3293</v>
      </c>
      <c r="O1845" s="11" t="s">
        <v>234</v>
      </c>
    </row>
    <row r="1846" spans="1:15" s="13" customFormat="1" ht="19.5" customHeight="1" x14ac:dyDescent="0.25">
      <c r="A1846" s="11" t="s">
        <v>3295</v>
      </c>
      <c r="B1846" s="11" t="s">
        <v>3295</v>
      </c>
      <c r="C1846" s="12">
        <v>45748</v>
      </c>
      <c r="D1846" s="11"/>
      <c r="E1846" s="11" t="s">
        <v>6</v>
      </c>
      <c r="F1846" s="11" t="s">
        <v>3296</v>
      </c>
      <c r="G1846" s="11" t="s">
        <v>3297</v>
      </c>
      <c r="H1846" s="11"/>
      <c r="I1846" s="11" t="s">
        <v>49</v>
      </c>
      <c r="J1846" s="11">
        <v>-873.2</v>
      </c>
      <c r="K1846" s="11"/>
      <c r="L1846" s="11">
        <v>873.2</v>
      </c>
      <c r="M1846" s="14">
        <v>-873.2</v>
      </c>
      <c r="N1846" s="11" t="s">
        <v>3298</v>
      </c>
      <c r="O1846" s="11" t="s">
        <v>2000</v>
      </c>
    </row>
    <row r="1847" spans="1:15" s="13" customFormat="1" ht="19.5" customHeight="1" x14ac:dyDescent="0.25">
      <c r="A1847" s="11" t="s">
        <v>3297</v>
      </c>
      <c r="B1847" s="11" t="s">
        <v>3297</v>
      </c>
      <c r="C1847" s="12">
        <v>45716</v>
      </c>
      <c r="D1847" s="12">
        <v>45746</v>
      </c>
      <c r="E1847" s="11" t="s">
        <v>6</v>
      </c>
      <c r="F1847" s="11" t="s">
        <v>3296</v>
      </c>
      <c r="G1847" s="11" t="s">
        <v>3297</v>
      </c>
      <c r="H1847" s="11"/>
      <c r="I1847" s="11" t="s">
        <v>49</v>
      </c>
      <c r="J1847" s="11">
        <v>873.2</v>
      </c>
      <c r="K1847" s="11">
        <v>873.2</v>
      </c>
      <c r="L1847" s="11"/>
      <c r="M1847" s="14">
        <v>873.2</v>
      </c>
      <c r="N1847" s="11" t="s">
        <v>3298</v>
      </c>
      <c r="O1847" s="11" t="s">
        <v>3299</v>
      </c>
    </row>
    <row r="1848" spans="1:15" s="13" customFormat="1" ht="19.5" customHeight="1" x14ac:dyDescent="0.25">
      <c r="A1848" s="11" t="s">
        <v>3300</v>
      </c>
      <c r="B1848" s="11" t="s">
        <v>3300</v>
      </c>
      <c r="C1848" s="12">
        <v>45740</v>
      </c>
      <c r="D1848" s="11"/>
      <c r="E1848" s="11" t="s">
        <v>6</v>
      </c>
      <c r="F1848" s="11" t="s">
        <v>3301</v>
      </c>
      <c r="G1848" s="11" t="s">
        <v>3302</v>
      </c>
      <c r="H1848" s="11"/>
      <c r="I1848" s="11" t="s">
        <v>49</v>
      </c>
      <c r="J1848" s="11">
        <v>-3780.72</v>
      </c>
      <c r="K1848" s="11"/>
      <c r="L1848" s="11">
        <v>3780.72</v>
      </c>
      <c r="M1848" s="14">
        <v>-3780.72</v>
      </c>
      <c r="N1848" s="11" t="s">
        <v>3303</v>
      </c>
      <c r="O1848" s="11" t="s">
        <v>2000</v>
      </c>
    </row>
    <row r="1849" spans="1:15" s="13" customFormat="1" ht="19.5" customHeight="1" x14ac:dyDescent="0.25">
      <c r="A1849" s="11" t="s">
        <v>3302</v>
      </c>
      <c r="B1849" s="11" t="s">
        <v>3302</v>
      </c>
      <c r="C1849" s="12">
        <v>45723</v>
      </c>
      <c r="D1849" s="12">
        <v>45753</v>
      </c>
      <c r="E1849" s="11" t="s">
        <v>6</v>
      </c>
      <c r="F1849" s="11" t="s">
        <v>3301</v>
      </c>
      <c r="G1849" s="11" t="s">
        <v>3302</v>
      </c>
      <c r="H1849" s="11"/>
      <c r="I1849" s="11" t="s">
        <v>49</v>
      </c>
      <c r="J1849" s="11">
        <v>3780.72</v>
      </c>
      <c r="K1849" s="11">
        <v>3780.72</v>
      </c>
      <c r="L1849" s="11"/>
      <c r="M1849" s="14">
        <v>3780.72</v>
      </c>
      <c r="N1849" s="11" t="s">
        <v>3303</v>
      </c>
      <c r="O1849" s="11" t="s">
        <v>50</v>
      </c>
    </row>
    <row r="1850" spans="1:15" s="13" customFormat="1" ht="19.5" customHeight="1" x14ac:dyDescent="0.25">
      <c r="A1850" s="11" t="s">
        <v>3304</v>
      </c>
      <c r="B1850" s="11" t="s">
        <v>3304</v>
      </c>
      <c r="C1850" s="12">
        <v>46090</v>
      </c>
      <c r="D1850" s="12">
        <v>46090</v>
      </c>
      <c r="E1850" s="11" t="s">
        <v>6</v>
      </c>
      <c r="F1850" s="11" t="s">
        <v>119</v>
      </c>
      <c r="G1850" s="11"/>
      <c r="H1850" s="11"/>
      <c r="I1850" s="11" t="s">
        <v>49</v>
      </c>
      <c r="J1850" s="11">
        <v>-60.18</v>
      </c>
      <c r="K1850" s="11"/>
      <c r="L1850" s="11">
        <v>60.18</v>
      </c>
      <c r="M1850" s="14">
        <v>-60.18</v>
      </c>
      <c r="N1850" s="11" t="s">
        <v>3305</v>
      </c>
      <c r="O1850" s="11" t="s">
        <v>50</v>
      </c>
    </row>
    <row r="1851" spans="1:15" s="13" customFormat="1" ht="19.5" customHeight="1" x14ac:dyDescent="0.25">
      <c r="A1851" s="11" t="s">
        <v>3306</v>
      </c>
      <c r="B1851" s="11" t="s">
        <v>3306</v>
      </c>
      <c r="C1851" s="12">
        <v>46090</v>
      </c>
      <c r="D1851" s="12">
        <v>46090</v>
      </c>
      <c r="E1851" s="11" t="s">
        <v>6</v>
      </c>
      <c r="F1851" s="11" t="s">
        <v>119</v>
      </c>
      <c r="G1851" s="11"/>
      <c r="H1851" s="11"/>
      <c r="I1851" s="11" t="s">
        <v>49</v>
      </c>
      <c r="J1851" s="11">
        <v>-13.25</v>
      </c>
      <c r="K1851" s="11"/>
      <c r="L1851" s="11">
        <v>13.25</v>
      </c>
      <c r="M1851" s="14">
        <v>-13.25</v>
      </c>
      <c r="N1851" s="11" t="s">
        <v>3305</v>
      </c>
      <c r="O1851" s="11" t="s">
        <v>50</v>
      </c>
    </row>
    <row r="1852" spans="1:15" s="13" customFormat="1" ht="19.5" customHeight="1" x14ac:dyDescent="0.25">
      <c r="A1852" s="11" t="s">
        <v>3307</v>
      </c>
      <c r="B1852" s="11" t="s">
        <v>3307</v>
      </c>
      <c r="C1852" s="12">
        <v>45713</v>
      </c>
      <c r="D1852" s="11"/>
      <c r="E1852" s="11" t="s">
        <v>6</v>
      </c>
      <c r="F1852" s="11" t="s">
        <v>216</v>
      </c>
      <c r="G1852" s="11" t="s">
        <v>3308</v>
      </c>
      <c r="H1852" s="11"/>
      <c r="I1852" s="11" t="s">
        <v>49</v>
      </c>
      <c r="J1852" s="11">
        <v>-3653.7</v>
      </c>
      <c r="K1852" s="11"/>
      <c r="L1852" s="11">
        <v>3653.7</v>
      </c>
      <c r="M1852" s="14">
        <v>-3653.7</v>
      </c>
      <c r="N1852" s="11" t="s">
        <v>3309</v>
      </c>
      <c r="O1852" s="11" t="s">
        <v>2000</v>
      </c>
    </row>
    <row r="1853" spans="1:15" s="13" customFormat="1" ht="19.5" customHeight="1" x14ac:dyDescent="0.25">
      <c r="A1853" s="11" t="s">
        <v>3310</v>
      </c>
      <c r="B1853" s="11" t="s">
        <v>3310</v>
      </c>
      <c r="C1853" s="12">
        <v>45673</v>
      </c>
      <c r="D1853" s="12">
        <v>45703</v>
      </c>
      <c r="E1853" s="11" t="s">
        <v>6</v>
      </c>
      <c r="F1853" s="11" t="s">
        <v>216</v>
      </c>
      <c r="G1853" s="11" t="s">
        <v>3308</v>
      </c>
      <c r="H1853" s="11"/>
      <c r="I1853" s="11" t="s">
        <v>49</v>
      </c>
      <c r="J1853" s="11">
        <v>3653.7</v>
      </c>
      <c r="K1853" s="11">
        <v>3653.7</v>
      </c>
      <c r="L1853" s="11"/>
      <c r="M1853" s="14">
        <v>3653.7</v>
      </c>
      <c r="N1853" s="11" t="s">
        <v>3309</v>
      </c>
      <c r="O1853" s="11" t="s">
        <v>75</v>
      </c>
    </row>
    <row r="1854" spans="1:15" s="13" customFormat="1" ht="19.5" customHeight="1" x14ac:dyDescent="0.25">
      <c r="A1854" s="11" t="s">
        <v>3311</v>
      </c>
      <c r="B1854" s="11" t="s">
        <v>3311</v>
      </c>
      <c r="C1854" s="12">
        <v>45747</v>
      </c>
      <c r="D1854" s="11"/>
      <c r="E1854" s="11" t="s">
        <v>6</v>
      </c>
      <c r="F1854" s="11" t="s">
        <v>555</v>
      </c>
      <c r="G1854" s="11" t="s">
        <v>3312</v>
      </c>
      <c r="H1854" s="11"/>
      <c r="I1854" s="11" t="s">
        <v>49</v>
      </c>
      <c r="J1854" s="11">
        <v>-6881.76</v>
      </c>
      <c r="K1854" s="11"/>
      <c r="L1854" s="11">
        <v>6881.76</v>
      </c>
      <c r="M1854" s="14">
        <v>-6881.76</v>
      </c>
      <c r="N1854" s="11" t="s">
        <v>3313</v>
      </c>
      <c r="O1854" s="11" t="s">
        <v>2000</v>
      </c>
    </row>
    <row r="1855" spans="1:15" s="13" customFormat="1" ht="19.5" customHeight="1" x14ac:dyDescent="0.25">
      <c r="A1855" s="11" t="s">
        <v>3312</v>
      </c>
      <c r="B1855" s="11" t="s">
        <v>3312</v>
      </c>
      <c r="C1855" s="12">
        <v>45674</v>
      </c>
      <c r="D1855" s="12">
        <v>45734</v>
      </c>
      <c r="E1855" s="11" t="s">
        <v>6</v>
      </c>
      <c r="F1855" s="11" t="s">
        <v>555</v>
      </c>
      <c r="G1855" s="11" t="s">
        <v>3312</v>
      </c>
      <c r="H1855" s="11"/>
      <c r="I1855" s="11" t="s">
        <v>49</v>
      </c>
      <c r="J1855" s="11">
        <v>6881.76</v>
      </c>
      <c r="K1855" s="11">
        <v>6881.76</v>
      </c>
      <c r="L1855" s="11"/>
      <c r="M1855" s="14">
        <v>6881.76</v>
      </c>
      <c r="N1855" s="11" t="s">
        <v>3313</v>
      </c>
      <c r="O1855" s="11" t="s">
        <v>75</v>
      </c>
    </row>
    <row r="1856" spans="1:15" s="13" customFormat="1" ht="19.5" customHeight="1" x14ac:dyDescent="0.25">
      <c r="A1856" s="11" t="s">
        <v>3314</v>
      </c>
      <c r="B1856" s="11" t="s">
        <v>3314</v>
      </c>
      <c r="C1856" s="12">
        <v>45735</v>
      </c>
      <c r="D1856" s="12">
        <v>45735</v>
      </c>
      <c r="E1856" s="11" t="s">
        <v>6</v>
      </c>
      <c r="F1856" s="11" t="s">
        <v>3315</v>
      </c>
      <c r="G1856" s="11" t="s">
        <v>3314</v>
      </c>
      <c r="H1856" s="11"/>
      <c r="I1856" s="11" t="s">
        <v>49</v>
      </c>
      <c r="J1856" s="11">
        <v>6586.74</v>
      </c>
      <c r="K1856" s="11">
        <v>6586.74</v>
      </c>
      <c r="L1856" s="11"/>
      <c r="M1856" s="14">
        <v>6586.74</v>
      </c>
      <c r="N1856" s="11" t="s">
        <v>3316</v>
      </c>
      <c r="O1856" s="11" t="s">
        <v>50</v>
      </c>
    </row>
    <row r="1857" spans="1:15" s="13" customFormat="1" ht="19.5" customHeight="1" x14ac:dyDescent="0.25">
      <c r="A1857" s="11" t="s">
        <v>3317</v>
      </c>
      <c r="B1857" s="11" t="s">
        <v>3317</v>
      </c>
      <c r="C1857" s="12">
        <v>45713</v>
      </c>
      <c r="D1857" s="11"/>
      <c r="E1857" s="11" t="s">
        <v>6</v>
      </c>
      <c r="F1857" s="11" t="s">
        <v>3315</v>
      </c>
      <c r="G1857" s="11" t="s">
        <v>3314</v>
      </c>
      <c r="H1857" s="11"/>
      <c r="I1857" s="11" t="s">
        <v>49</v>
      </c>
      <c r="J1857" s="11">
        <v>-6586.74</v>
      </c>
      <c r="K1857" s="11"/>
      <c r="L1857" s="11">
        <v>6586.74</v>
      </c>
      <c r="M1857" s="14">
        <v>-6586.74</v>
      </c>
      <c r="N1857" s="11" t="s">
        <v>3316</v>
      </c>
      <c r="O1857" s="11" t="s">
        <v>2706</v>
      </c>
    </row>
    <row r="1858" spans="1:15" s="13" customFormat="1" ht="19.5" customHeight="1" x14ac:dyDescent="0.25">
      <c r="A1858" s="11" t="s">
        <v>3318</v>
      </c>
      <c r="B1858" s="11" t="s">
        <v>3318</v>
      </c>
      <c r="C1858" s="12">
        <v>45735</v>
      </c>
      <c r="D1858" s="12">
        <v>45735</v>
      </c>
      <c r="E1858" s="11" t="s">
        <v>6</v>
      </c>
      <c r="F1858" s="11" t="s">
        <v>3319</v>
      </c>
      <c r="G1858" s="11" t="s">
        <v>3318</v>
      </c>
      <c r="H1858" s="11"/>
      <c r="I1858" s="11" t="s">
        <v>49</v>
      </c>
      <c r="J1858" s="11">
        <v>6374.13</v>
      </c>
      <c r="K1858" s="11">
        <v>6374.13</v>
      </c>
      <c r="L1858" s="11"/>
      <c r="M1858" s="14">
        <v>6374.13</v>
      </c>
      <c r="N1858" s="11" t="s">
        <v>3320</v>
      </c>
      <c r="O1858" s="11" t="s">
        <v>50</v>
      </c>
    </row>
    <row r="1859" spans="1:15" s="13" customFormat="1" ht="19.5" customHeight="1" x14ac:dyDescent="0.25">
      <c r="A1859" s="11" t="s">
        <v>3321</v>
      </c>
      <c r="B1859" s="11" t="s">
        <v>3321</v>
      </c>
      <c r="C1859" s="12">
        <v>45687</v>
      </c>
      <c r="D1859" s="11"/>
      <c r="E1859" s="11" t="s">
        <v>6</v>
      </c>
      <c r="F1859" s="11" t="s">
        <v>3319</v>
      </c>
      <c r="G1859" s="11" t="s">
        <v>3318</v>
      </c>
      <c r="H1859" s="11"/>
      <c r="I1859" s="11" t="s">
        <v>49</v>
      </c>
      <c r="J1859" s="11">
        <v>-6374.13</v>
      </c>
      <c r="K1859" s="11"/>
      <c r="L1859" s="11">
        <v>6374.13</v>
      </c>
      <c r="M1859" s="14">
        <v>-6374.13</v>
      </c>
      <c r="N1859" s="11" t="s">
        <v>3320</v>
      </c>
      <c r="O1859" s="11" t="s">
        <v>2706</v>
      </c>
    </row>
    <row r="1860" spans="1:15" s="13" customFormat="1" ht="19.5" customHeight="1" x14ac:dyDescent="0.25">
      <c r="A1860" s="11" t="s">
        <v>3322</v>
      </c>
      <c r="B1860" s="11" t="s">
        <v>3323</v>
      </c>
      <c r="C1860" s="12">
        <v>45749</v>
      </c>
      <c r="D1860" s="12">
        <v>45749</v>
      </c>
      <c r="E1860" s="11" t="s">
        <v>6</v>
      </c>
      <c r="F1860" s="11" t="s">
        <v>524</v>
      </c>
      <c r="G1860" s="11" t="s">
        <v>3324</v>
      </c>
      <c r="H1860" s="11" t="s">
        <v>3325</v>
      </c>
      <c r="I1860" s="11" t="s">
        <v>49</v>
      </c>
      <c r="J1860" s="11">
        <v>-79264.72</v>
      </c>
      <c r="K1860" s="11"/>
      <c r="L1860" s="11">
        <v>79264.72</v>
      </c>
      <c r="M1860" s="14">
        <v>-79264.72</v>
      </c>
      <c r="N1860" s="11" t="s">
        <v>3326</v>
      </c>
      <c r="O1860" s="11" t="s">
        <v>2706</v>
      </c>
    </row>
    <row r="1861" spans="1:15" s="13" customFormat="1" ht="19.5" customHeight="1" x14ac:dyDescent="0.25">
      <c r="A1861" s="11" t="s">
        <v>3327</v>
      </c>
      <c r="B1861" s="11" t="s">
        <v>3327</v>
      </c>
      <c r="C1861" s="12">
        <v>45721</v>
      </c>
      <c r="D1861" s="12">
        <v>45766</v>
      </c>
      <c r="E1861" s="11" t="s">
        <v>6</v>
      </c>
      <c r="F1861" s="11" t="s">
        <v>524</v>
      </c>
      <c r="G1861" s="11" t="s">
        <v>3327</v>
      </c>
      <c r="H1861" s="11"/>
      <c r="I1861" s="11" t="s">
        <v>49</v>
      </c>
      <c r="J1861" s="11">
        <v>11326.93</v>
      </c>
      <c r="K1861" s="11">
        <v>11326.93</v>
      </c>
      <c r="L1861" s="11"/>
      <c r="M1861" s="14">
        <v>11326.93</v>
      </c>
      <c r="N1861" s="11" t="s">
        <v>3326</v>
      </c>
      <c r="O1861" s="11" t="s">
        <v>50</v>
      </c>
    </row>
    <row r="1862" spans="1:15" s="13" customFormat="1" ht="19.5" customHeight="1" x14ac:dyDescent="0.25">
      <c r="A1862" s="11" t="s">
        <v>3327</v>
      </c>
      <c r="B1862" s="11" t="s">
        <v>3327</v>
      </c>
      <c r="C1862" s="12">
        <v>45721</v>
      </c>
      <c r="D1862" s="12">
        <v>45776</v>
      </c>
      <c r="E1862" s="11" t="s">
        <v>6</v>
      </c>
      <c r="F1862" s="11" t="s">
        <v>524</v>
      </c>
      <c r="G1862" s="11" t="s">
        <v>3327</v>
      </c>
      <c r="H1862" s="11"/>
      <c r="I1862" s="11" t="s">
        <v>49</v>
      </c>
      <c r="J1862" s="11">
        <v>11326.93</v>
      </c>
      <c r="K1862" s="11">
        <v>11326.93</v>
      </c>
      <c r="L1862" s="11"/>
      <c r="M1862" s="14">
        <v>11326.93</v>
      </c>
      <c r="N1862" s="11" t="s">
        <v>3326</v>
      </c>
      <c r="O1862" s="11" t="s">
        <v>50</v>
      </c>
    </row>
    <row r="1863" spans="1:15" s="13" customFormat="1" ht="19.5" customHeight="1" x14ac:dyDescent="0.25">
      <c r="A1863" s="11" t="s">
        <v>3327</v>
      </c>
      <c r="B1863" s="11" t="s">
        <v>3327</v>
      </c>
      <c r="C1863" s="12">
        <v>45721</v>
      </c>
      <c r="D1863" s="12">
        <v>45786</v>
      </c>
      <c r="E1863" s="11" t="s">
        <v>6</v>
      </c>
      <c r="F1863" s="11" t="s">
        <v>524</v>
      </c>
      <c r="G1863" s="11" t="s">
        <v>3327</v>
      </c>
      <c r="H1863" s="11"/>
      <c r="I1863" s="11" t="s">
        <v>49</v>
      </c>
      <c r="J1863" s="11">
        <v>11326.93</v>
      </c>
      <c r="K1863" s="11">
        <v>11326.93</v>
      </c>
      <c r="L1863" s="11"/>
      <c r="M1863" s="14">
        <v>11326.93</v>
      </c>
      <c r="N1863" s="11" t="s">
        <v>3326</v>
      </c>
      <c r="O1863" s="11" t="s">
        <v>50</v>
      </c>
    </row>
    <row r="1864" spans="1:15" s="13" customFormat="1" ht="19.5" customHeight="1" x14ac:dyDescent="0.25">
      <c r="A1864" s="11" t="s">
        <v>3327</v>
      </c>
      <c r="B1864" s="11" t="s">
        <v>3327</v>
      </c>
      <c r="C1864" s="12">
        <v>45721</v>
      </c>
      <c r="D1864" s="12">
        <v>45796</v>
      </c>
      <c r="E1864" s="11" t="s">
        <v>6</v>
      </c>
      <c r="F1864" s="11" t="s">
        <v>524</v>
      </c>
      <c r="G1864" s="11" t="s">
        <v>3327</v>
      </c>
      <c r="H1864" s="11"/>
      <c r="I1864" s="11" t="s">
        <v>49</v>
      </c>
      <c r="J1864" s="11">
        <v>11326.93</v>
      </c>
      <c r="K1864" s="11">
        <v>11326.93</v>
      </c>
      <c r="L1864" s="11"/>
      <c r="M1864" s="14">
        <v>11326.93</v>
      </c>
      <c r="N1864" s="11" t="s">
        <v>3326</v>
      </c>
      <c r="O1864" s="11" t="s">
        <v>50</v>
      </c>
    </row>
    <row r="1865" spans="1:15" s="13" customFormat="1" ht="19.5" customHeight="1" x14ac:dyDescent="0.25">
      <c r="A1865" s="11" t="s">
        <v>3327</v>
      </c>
      <c r="B1865" s="11" t="s">
        <v>3327</v>
      </c>
      <c r="C1865" s="12">
        <v>45721</v>
      </c>
      <c r="D1865" s="12">
        <v>45806</v>
      </c>
      <c r="E1865" s="11" t="s">
        <v>6</v>
      </c>
      <c r="F1865" s="11" t="s">
        <v>524</v>
      </c>
      <c r="G1865" s="11" t="s">
        <v>3327</v>
      </c>
      <c r="H1865" s="11"/>
      <c r="I1865" s="11" t="s">
        <v>49</v>
      </c>
      <c r="J1865" s="11">
        <v>11326.93</v>
      </c>
      <c r="K1865" s="11">
        <v>11326.93</v>
      </c>
      <c r="L1865" s="11"/>
      <c r="M1865" s="14">
        <v>11326.93</v>
      </c>
      <c r="N1865" s="11" t="s">
        <v>3326</v>
      </c>
      <c r="O1865" s="11" t="s">
        <v>50</v>
      </c>
    </row>
    <row r="1866" spans="1:15" s="13" customFormat="1" ht="19.5" customHeight="1" x14ac:dyDescent="0.25">
      <c r="A1866" s="11" t="s">
        <v>3327</v>
      </c>
      <c r="B1866" s="11" t="s">
        <v>3327</v>
      </c>
      <c r="C1866" s="12">
        <v>45721</v>
      </c>
      <c r="D1866" s="12">
        <v>45816</v>
      </c>
      <c r="E1866" s="11" t="s">
        <v>6</v>
      </c>
      <c r="F1866" s="11" t="s">
        <v>524</v>
      </c>
      <c r="G1866" s="11" t="s">
        <v>3327</v>
      </c>
      <c r="H1866" s="11"/>
      <c r="I1866" s="11" t="s">
        <v>49</v>
      </c>
      <c r="J1866" s="11">
        <v>11326.93</v>
      </c>
      <c r="K1866" s="11">
        <v>11326.93</v>
      </c>
      <c r="L1866" s="11"/>
      <c r="M1866" s="14">
        <v>11326.93</v>
      </c>
      <c r="N1866" s="11" t="s">
        <v>3326</v>
      </c>
      <c r="O1866" s="11" t="s">
        <v>50</v>
      </c>
    </row>
    <row r="1867" spans="1:15" s="13" customFormat="1" ht="19.5" customHeight="1" x14ac:dyDescent="0.25">
      <c r="A1867" s="11" t="s">
        <v>3327</v>
      </c>
      <c r="B1867" s="11" t="s">
        <v>3327</v>
      </c>
      <c r="C1867" s="12">
        <v>45721</v>
      </c>
      <c r="D1867" s="12">
        <v>45826</v>
      </c>
      <c r="E1867" s="11" t="s">
        <v>6</v>
      </c>
      <c r="F1867" s="11" t="s">
        <v>524</v>
      </c>
      <c r="G1867" s="11" t="s">
        <v>3327</v>
      </c>
      <c r="H1867" s="11"/>
      <c r="I1867" s="11" t="s">
        <v>49</v>
      </c>
      <c r="J1867" s="11">
        <v>11303.14</v>
      </c>
      <c r="K1867" s="11">
        <v>11303.14</v>
      </c>
      <c r="L1867" s="11"/>
      <c r="M1867" s="14">
        <v>11303.14</v>
      </c>
      <c r="N1867" s="11" t="s">
        <v>3326</v>
      </c>
      <c r="O1867" s="11" t="s">
        <v>50</v>
      </c>
    </row>
    <row r="1868" spans="1:15" s="13" customFormat="1" ht="19.5" customHeight="1" x14ac:dyDescent="0.25">
      <c r="A1868" s="11" t="s">
        <v>3328</v>
      </c>
      <c r="B1868" s="11" t="s">
        <v>3329</v>
      </c>
      <c r="C1868" s="12">
        <v>45749</v>
      </c>
      <c r="D1868" s="12">
        <v>45749</v>
      </c>
      <c r="E1868" s="11" t="s">
        <v>6</v>
      </c>
      <c r="F1868" s="11" t="s">
        <v>101</v>
      </c>
      <c r="G1868" s="11" t="s">
        <v>3330</v>
      </c>
      <c r="H1868" s="11" t="s">
        <v>3331</v>
      </c>
      <c r="I1868" s="11" t="s">
        <v>49</v>
      </c>
      <c r="J1868" s="11">
        <v>-43346.58</v>
      </c>
      <c r="K1868" s="11"/>
      <c r="L1868" s="11">
        <v>43346.58</v>
      </c>
      <c r="M1868" s="14">
        <v>-43346.58</v>
      </c>
      <c r="N1868" s="11" t="s">
        <v>3332</v>
      </c>
      <c r="O1868" s="11" t="s">
        <v>2706</v>
      </c>
    </row>
    <row r="1869" spans="1:15" s="13" customFormat="1" ht="19.5" customHeight="1" x14ac:dyDescent="0.25">
      <c r="A1869" s="11" t="s">
        <v>3333</v>
      </c>
      <c r="B1869" s="11" t="s">
        <v>3333</v>
      </c>
      <c r="C1869" s="12">
        <v>45720</v>
      </c>
      <c r="D1869" s="12">
        <v>45765</v>
      </c>
      <c r="E1869" s="11" t="s">
        <v>6</v>
      </c>
      <c r="F1869" s="11" t="s">
        <v>101</v>
      </c>
      <c r="G1869" s="11" t="s">
        <v>3333</v>
      </c>
      <c r="H1869" s="11"/>
      <c r="I1869" s="11" t="s">
        <v>49</v>
      </c>
      <c r="J1869" s="11">
        <v>6189.89</v>
      </c>
      <c r="K1869" s="11">
        <v>6189.89</v>
      </c>
      <c r="L1869" s="11"/>
      <c r="M1869" s="14">
        <v>6189.89</v>
      </c>
      <c r="N1869" s="11" t="s">
        <v>3332</v>
      </c>
      <c r="O1869" s="11" t="s">
        <v>50</v>
      </c>
    </row>
    <row r="1870" spans="1:15" s="13" customFormat="1" ht="19.5" customHeight="1" x14ac:dyDescent="0.25">
      <c r="A1870" s="11" t="s">
        <v>3333</v>
      </c>
      <c r="B1870" s="11" t="s">
        <v>3333</v>
      </c>
      <c r="C1870" s="12">
        <v>45720</v>
      </c>
      <c r="D1870" s="12">
        <v>45772</v>
      </c>
      <c r="E1870" s="11" t="s">
        <v>6</v>
      </c>
      <c r="F1870" s="11" t="s">
        <v>101</v>
      </c>
      <c r="G1870" s="11" t="s">
        <v>3333</v>
      </c>
      <c r="H1870" s="11"/>
      <c r="I1870" s="11" t="s">
        <v>49</v>
      </c>
      <c r="J1870" s="11">
        <v>6189.89</v>
      </c>
      <c r="K1870" s="11">
        <v>6189.89</v>
      </c>
      <c r="L1870" s="11"/>
      <c r="M1870" s="14">
        <v>6189.89</v>
      </c>
      <c r="N1870" s="11" t="s">
        <v>3332</v>
      </c>
      <c r="O1870" s="11" t="s">
        <v>50</v>
      </c>
    </row>
    <row r="1871" spans="1:15" s="13" customFormat="1" ht="19.5" customHeight="1" x14ac:dyDescent="0.25">
      <c r="A1871" s="11" t="s">
        <v>3333</v>
      </c>
      <c r="B1871" s="11" t="s">
        <v>3333</v>
      </c>
      <c r="C1871" s="12">
        <v>45720</v>
      </c>
      <c r="D1871" s="12">
        <v>45779</v>
      </c>
      <c r="E1871" s="11" t="s">
        <v>6</v>
      </c>
      <c r="F1871" s="11" t="s">
        <v>101</v>
      </c>
      <c r="G1871" s="11" t="s">
        <v>3333</v>
      </c>
      <c r="H1871" s="11"/>
      <c r="I1871" s="11" t="s">
        <v>49</v>
      </c>
      <c r="J1871" s="11">
        <v>6189.89</v>
      </c>
      <c r="K1871" s="11">
        <v>6189.89</v>
      </c>
      <c r="L1871" s="11"/>
      <c r="M1871" s="14">
        <v>6189.89</v>
      </c>
      <c r="N1871" s="11" t="s">
        <v>3332</v>
      </c>
      <c r="O1871" s="11" t="s">
        <v>50</v>
      </c>
    </row>
    <row r="1872" spans="1:15" s="13" customFormat="1" ht="19.5" customHeight="1" x14ac:dyDescent="0.25">
      <c r="A1872" s="11" t="s">
        <v>3333</v>
      </c>
      <c r="B1872" s="11" t="s">
        <v>3333</v>
      </c>
      <c r="C1872" s="12">
        <v>45720</v>
      </c>
      <c r="D1872" s="12">
        <v>45786</v>
      </c>
      <c r="E1872" s="11" t="s">
        <v>6</v>
      </c>
      <c r="F1872" s="11" t="s">
        <v>101</v>
      </c>
      <c r="G1872" s="11" t="s">
        <v>3333</v>
      </c>
      <c r="H1872" s="11"/>
      <c r="I1872" s="11" t="s">
        <v>49</v>
      </c>
      <c r="J1872" s="11">
        <v>6189.89</v>
      </c>
      <c r="K1872" s="11">
        <v>6189.89</v>
      </c>
      <c r="L1872" s="11"/>
      <c r="M1872" s="14">
        <v>6189.89</v>
      </c>
      <c r="N1872" s="11" t="s">
        <v>3332</v>
      </c>
      <c r="O1872" s="11" t="s">
        <v>50</v>
      </c>
    </row>
    <row r="1873" spans="1:15" s="13" customFormat="1" ht="19.5" customHeight="1" x14ac:dyDescent="0.25">
      <c r="A1873" s="11" t="s">
        <v>3333</v>
      </c>
      <c r="B1873" s="11" t="s">
        <v>3333</v>
      </c>
      <c r="C1873" s="12">
        <v>45720</v>
      </c>
      <c r="D1873" s="12">
        <v>45793</v>
      </c>
      <c r="E1873" s="11" t="s">
        <v>6</v>
      </c>
      <c r="F1873" s="11" t="s">
        <v>101</v>
      </c>
      <c r="G1873" s="11" t="s">
        <v>3333</v>
      </c>
      <c r="H1873" s="11"/>
      <c r="I1873" s="11" t="s">
        <v>49</v>
      </c>
      <c r="J1873" s="11">
        <v>6189.89</v>
      </c>
      <c r="K1873" s="11">
        <v>6189.89</v>
      </c>
      <c r="L1873" s="11"/>
      <c r="M1873" s="14">
        <v>6189.89</v>
      </c>
      <c r="N1873" s="11" t="s">
        <v>3332</v>
      </c>
      <c r="O1873" s="11" t="s">
        <v>50</v>
      </c>
    </row>
    <row r="1874" spans="1:15" s="13" customFormat="1" ht="19.5" customHeight="1" x14ac:dyDescent="0.25">
      <c r="A1874" s="11" t="s">
        <v>3333</v>
      </c>
      <c r="B1874" s="11" t="s">
        <v>3333</v>
      </c>
      <c r="C1874" s="12">
        <v>45720</v>
      </c>
      <c r="D1874" s="12">
        <v>45800</v>
      </c>
      <c r="E1874" s="11" t="s">
        <v>6</v>
      </c>
      <c r="F1874" s="11" t="s">
        <v>101</v>
      </c>
      <c r="G1874" s="11" t="s">
        <v>3333</v>
      </c>
      <c r="H1874" s="11"/>
      <c r="I1874" s="11" t="s">
        <v>49</v>
      </c>
      <c r="J1874" s="11">
        <v>6189.89</v>
      </c>
      <c r="K1874" s="11">
        <v>6189.89</v>
      </c>
      <c r="L1874" s="11"/>
      <c r="M1874" s="14">
        <v>6189.89</v>
      </c>
      <c r="N1874" s="11" t="s">
        <v>3332</v>
      </c>
      <c r="O1874" s="11" t="s">
        <v>50</v>
      </c>
    </row>
    <row r="1875" spans="1:15" s="13" customFormat="1" ht="19.5" customHeight="1" x14ac:dyDescent="0.25">
      <c r="A1875" s="11" t="s">
        <v>3333</v>
      </c>
      <c r="B1875" s="11" t="s">
        <v>3333</v>
      </c>
      <c r="C1875" s="12">
        <v>45720</v>
      </c>
      <c r="D1875" s="12">
        <v>45810</v>
      </c>
      <c r="E1875" s="11" t="s">
        <v>6</v>
      </c>
      <c r="F1875" s="11" t="s">
        <v>101</v>
      </c>
      <c r="G1875" s="11" t="s">
        <v>3333</v>
      </c>
      <c r="H1875" s="11"/>
      <c r="I1875" s="11" t="s">
        <v>49</v>
      </c>
      <c r="J1875" s="11">
        <v>6207.24</v>
      </c>
      <c r="K1875" s="11">
        <v>6207.24</v>
      </c>
      <c r="L1875" s="11"/>
      <c r="M1875" s="14">
        <v>6207.24</v>
      </c>
      <c r="N1875" s="11" t="s">
        <v>3332</v>
      </c>
      <c r="O1875" s="11" t="s">
        <v>50</v>
      </c>
    </row>
    <row r="1876" spans="1:15" s="13" customFormat="1" ht="19.5" customHeight="1" x14ac:dyDescent="0.25">
      <c r="A1876" s="11" t="s">
        <v>3334</v>
      </c>
      <c r="B1876" s="11" t="s">
        <v>3335</v>
      </c>
      <c r="C1876" s="12">
        <v>45749</v>
      </c>
      <c r="D1876" s="12">
        <v>45749</v>
      </c>
      <c r="E1876" s="11" t="s">
        <v>6</v>
      </c>
      <c r="F1876" s="11" t="s">
        <v>101</v>
      </c>
      <c r="G1876" s="11" t="s">
        <v>3336</v>
      </c>
      <c r="H1876" s="11" t="s">
        <v>3337</v>
      </c>
      <c r="I1876" s="11" t="s">
        <v>49</v>
      </c>
      <c r="J1876" s="11">
        <v>-11800.66</v>
      </c>
      <c r="K1876" s="11"/>
      <c r="L1876" s="11">
        <v>11800.66</v>
      </c>
      <c r="M1876" s="14">
        <v>-11800.66</v>
      </c>
      <c r="N1876" s="11" t="s">
        <v>3338</v>
      </c>
      <c r="O1876" s="11" t="s">
        <v>2706</v>
      </c>
    </row>
    <row r="1877" spans="1:15" s="13" customFormat="1" ht="19.5" customHeight="1" x14ac:dyDescent="0.25">
      <c r="A1877" s="11" t="s">
        <v>3339</v>
      </c>
      <c r="B1877" s="11" t="s">
        <v>3339</v>
      </c>
      <c r="C1877" s="12">
        <v>45733</v>
      </c>
      <c r="D1877" s="12">
        <v>45778</v>
      </c>
      <c r="E1877" s="11" t="s">
        <v>6</v>
      </c>
      <c r="F1877" s="11" t="s">
        <v>101</v>
      </c>
      <c r="G1877" s="11" t="s">
        <v>3339</v>
      </c>
      <c r="H1877" s="11"/>
      <c r="I1877" s="11" t="s">
        <v>49</v>
      </c>
      <c r="J1877" s="11">
        <v>2950.17</v>
      </c>
      <c r="K1877" s="11">
        <v>2950.17</v>
      </c>
      <c r="L1877" s="11"/>
      <c r="M1877" s="14">
        <v>2950.17</v>
      </c>
      <c r="N1877" s="11" t="s">
        <v>3338</v>
      </c>
      <c r="O1877" s="11" t="s">
        <v>50</v>
      </c>
    </row>
    <row r="1878" spans="1:15" s="13" customFormat="1" ht="19.5" customHeight="1" x14ac:dyDescent="0.25">
      <c r="A1878" s="11" t="s">
        <v>3339</v>
      </c>
      <c r="B1878" s="11" t="s">
        <v>3339</v>
      </c>
      <c r="C1878" s="12">
        <v>45733</v>
      </c>
      <c r="D1878" s="12">
        <v>45788</v>
      </c>
      <c r="E1878" s="11" t="s">
        <v>6</v>
      </c>
      <c r="F1878" s="11" t="s">
        <v>101</v>
      </c>
      <c r="G1878" s="11" t="s">
        <v>3339</v>
      </c>
      <c r="H1878" s="11"/>
      <c r="I1878" s="11" t="s">
        <v>49</v>
      </c>
      <c r="J1878" s="11">
        <v>2950.17</v>
      </c>
      <c r="K1878" s="11">
        <v>2950.17</v>
      </c>
      <c r="L1878" s="11"/>
      <c r="M1878" s="14">
        <v>2950.17</v>
      </c>
      <c r="N1878" s="11" t="s">
        <v>3338</v>
      </c>
      <c r="O1878" s="11" t="s">
        <v>50</v>
      </c>
    </row>
    <row r="1879" spans="1:15" s="13" customFormat="1" ht="19.5" customHeight="1" x14ac:dyDescent="0.25">
      <c r="A1879" s="11" t="s">
        <v>3339</v>
      </c>
      <c r="B1879" s="11" t="s">
        <v>3339</v>
      </c>
      <c r="C1879" s="12">
        <v>45733</v>
      </c>
      <c r="D1879" s="12">
        <v>45798</v>
      </c>
      <c r="E1879" s="11" t="s">
        <v>6</v>
      </c>
      <c r="F1879" s="11" t="s">
        <v>101</v>
      </c>
      <c r="G1879" s="11" t="s">
        <v>3339</v>
      </c>
      <c r="H1879" s="11"/>
      <c r="I1879" s="11" t="s">
        <v>49</v>
      </c>
      <c r="J1879" s="11">
        <v>2950.17</v>
      </c>
      <c r="K1879" s="11">
        <v>2950.17</v>
      </c>
      <c r="L1879" s="11"/>
      <c r="M1879" s="14">
        <v>2950.17</v>
      </c>
      <c r="N1879" s="11" t="s">
        <v>3338</v>
      </c>
      <c r="O1879" s="11" t="s">
        <v>50</v>
      </c>
    </row>
    <row r="1880" spans="1:15" s="13" customFormat="1" ht="19.5" customHeight="1" x14ac:dyDescent="0.25">
      <c r="A1880" s="11" t="s">
        <v>3339</v>
      </c>
      <c r="B1880" s="11" t="s">
        <v>3339</v>
      </c>
      <c r="C1880" s="12">
        <v>45733</v>
      </c>
      <c r="D1880" s="12">
        <v>45808</v>
      </c>
      <c r="E1880" s="11" t="s">
        <v>6</v>
      </c>
      <c r="F1880" s="11" t="s">
        <v>101</v>
      </c>
      <c r="G1880" s="11" t="s">
        <v>3339</v>
      </c>
      <c r="H1880" s="11"/>
      <c r="I1880" s="11" t="s">
        <v>49</v>
      </c>
      <c r="J1880" s="11">
        <v>2950.15</v>
      </c>
      <c r="K1880" s="11">
        <v>2950.15</v>
      </c>
      <c r="L1880" s="11"/>
      <c r="M1880" s="14">
        <v>2950.15</v>
      </c>
      <c r="N1880" s="11" t="s">
        <v>3338</v>
      </c>
      <c r="O1880" s="11" t="s">
        <v>50</v>
      </c>
    </row>
    <row r="1881" spans="1:15" s="13" customFormat="1" ht="19.5" customHeight="1" x14ac:dyDescent="0.25">
      <c r="A1881" s="11" t="s">
        <v>3340</v>
      </c>
      <c r="B1881" s="11" t="s">
        <v>3341</v>
      </c>
      <c r="C1881" s="12">
        <v>45749</v>
      </c>
      <c r="D1881" s="12">
        <v>45749</v>
      </c>
      <c r="E1881" s="11" t="s">
        <v>6</v>
      </c>
      <c r="F1881" s="11" t="s">
        <v>101</v>
      </c>
      <c r="G1881" s="11" t="s">
        <v>3342</v>
      </c>
      <c r="H1881" s="11" t="s">
        <v>3343</v>
      </c>
      <c r="I1881" s="11" t="s">
        <v>49</v>
      </c>
      <c r="J1881" s="11">
        <v>-34646.39</v>
      </c>
      <c r="K1881" s="11"/>
      <c r="L1881" s="11">
        <v>34646.39</v>
      </c>
      <c r="M1881" s="14">
        <v>-34646.39</v>
      </c>
      <c r="N1881" s="11" t="s">
        <v>3344</v>
      </c>
      <c r="O1881" s="11" t="s">
        <v>2706</v>
      </c>
    </row>
    <row r="1882" spans="1:15" s="13" customFormat="1" ht="19.5" customHeight="1" x14ac:dyDescent="0.25">
      <c r="A1882" s="11" t="s">
        <v>3345</v>
      </c>
      <c r="B1882" s="11" t="s">
        <v>3345</v>
      </c>
      <c r="C1882" s="12">
        <v>45733</v>
      </c>
      <c r="D1882" s="12">
        <v>45778</v>
      </c>
      <c r="E1882" s="11" t="s">
        <v>6</v>
      </c>
      <c r="F1882" s="11" t="s">
        <v>101</v>
      </c>
      <c r="G1882" s="11" t="s">
        <v>3345</v>
      </c>
      <c r="H1882" s="11"/>
      <c r="I1882" s="11" t="s">
        <v>49</v>
      </c>
      <c r="J1882" s="11">
        <v>5772.09</v>
      </c>
      <c r="K1882" s="11">
        <v>5772.09</v>
      </c>
      <c r="L1882" s="11"/>
      <c r="M1882" s="14">
        <v>5772.09</v>
      </c>
      <c r="N1882" s="11" t="s">
        <v>3344</v>
      </c>
      <c r="O1882" s="11" t="s">
        <v>50</v>
      </c>
    </row>
    <row r="1883" spans="1:15" s="13" customFormat="1" ht="19.5" customHeight="1" x14ac:dyDescent="0.25">
      <c r="A1883" s="11" t="s">
        <v>3345</v>
      </c>
      <c r="B1883" s="11" t="s">
        <v>3345</v>
      </c>
      <c r="C1883" s="12">
        <v>45733</v>
      </c>
      <c r="D1883" s="12">
        <v>45785</v>
      </c>
      <c r="E1883" s="11" t="s">
        <v>6</v>
      </c>
      <c r="F1883" s="11" t="s">
        <v>101</v>
      </c>
      <c r="G1883" s="11" t="s">
        <v>3345</v>
      </c>
      <c r="H1883" s="11"/>
      <c r="I1883" s="11" t="s">
        <v>49</v>
      </c>
      <c r="J1883" s="11">
        <v>5772.09</v>
      </c>
      <c r="K1883" s="11">
        <v>5772.09</v>
      </c>
      <c r="L1883" s="11"/>
      <c r="M1883" s="14">
        <v>5772.09</v>
      </c>
      <c r="N1883" s="11" t="s">
        <v>3344</v>
      </c>
      <c r="O1883" s="11" t="s">
        <v>50</v>
      </c>
    </row>
    <row r="1884" spans="1:15" s="13" customFormat="1" ht="19.5" customHeight="1" x14ac:dyDescent="0.25">
      <c r="A1884" s="11" t="s">
        <v>3345</v>
      </c>
      <c r="B1884" s="11" t="s">
        <v>3345</v>
      </c>
      <c r="C1884" s="12">
        <v>45733</v>
      </c>
      <c r="D1884" s="12">
        <v>45792</v>
      </c>
      <c r="E1884" s="11" t="s">
        <v>6</v>
      </c>
      <c r="F1884" s="11" t="s">
        <v>101</v>
      </c>
      <c r="G1884" s="11" t="s">
        <v>3345</v>
      </c>
      <c r="H1884" s="11"/>
      <c r="I1884" s="11" t="s">
        <v>49</v>
      </c>
      <c r="J1884" s="11">
        <v>5772.09</v>
      </c>
      <c r="K1884" s="11">
        <v>5772.09</v>
      </c>
      <c r="L1884" s="11"/>
      <c r="M1884" s="14">
        <v>5772.09</v>
      </c>
      <c r="N1884" s="11" t="s">
        <v>3344</v>
      </c>
      <c r="O1884" s="11" t="s">
        <v>50</v>
      </c>
    </row>
    <row r="1885" spans="1:15" s="13" customFormat="1" ht="19.5" customHeight="1" x14ac:dyDescent="0.25">
      <c r="A1885" s="11" t="s">
        <v>3345</v>
      </c>
      <c r="B1885" s="11" t="s">
        <v>3345</v>
      </c>
      <c r="C1885" s="12">
        <v>45733</v>
      </c>
      <c r="D1885" s="12">
        <v>45799</v>
      </c>
      <c r="E1885" s="11" t="s">
        <v>6</v>
      </c>
      <c r="F1885" s="11" t="s">
        <v>101</v>
      </c>
      <c r="G1885" s="11" t="s">
        <v>3345</v>
      </c>
      <c r="H1885" s="11"/>
      <c r="I1885" s="11" t="s">
        <v>49</v>
      </c>
      <c r="J1885" s="11">
        <v>5772.09</v>
      </c>
      <c r="K1885" s="11">
        <v>5772.09</v>
      </c>
      <c r="L1885" s="11"/>
      <c r="M1885" s="14">
        <v>5772.09</v>
      </c>
      <c r="N1885" s="11" t="s">
        <v>3344</v>
      </c>
      <c r="O1885" s="11" t="s">
        <v>50</v>
      </c>
    </row>
    <row r="1886" spans="1:15" s="13" customFormat="1" ht="19.5" customHeight="1" x14ac:dyDescent="0.25">
      <c r="A1886" s="11" t="s">
        <v>3345</v>
      </c>
      <c r="B1886" s="11" t="s">
        <v>3345</v>
      </c>
      <c r="C1886" s="12">
        <v>45733</v>
      </c>
      <c r="D1886" s="12">
        <v>45806</v>
      </c>
      <c r="E1886" s="11" t="s">
        <v>6</v>
      </c>
      <c r="F1886" s="11" t="s">
        <v>101</v>
      </c>
      <c r="G1886" s="11" t="s">
        <v>3345</v>
      </c>
      <c r="H1886" s="11"/>
      <c r="I1886" s="11" t="s">
        <v>49</v>
      </c>
      <c r="J1886" s="11">
        <v>5772.09</v>
      </c>
      <c r="K1886" s="11">
        <v>5772.09</v>
      </c>
      <c r="L1886" s="11"/>
      <c r="M1886" s="14">
        <v>5772.09</v>
      </c>
      <c r="N1886" s="11" t="s">
        <v>3344</v>
      </c>
      <c r="O1886" s="11" t="s">
        <v>50</v>
      </c>
    </row>
    <row r="1887" spans="1:15" s="13" customFormat="1" ht="19.5" customHeight="1" x14ac:dyDescent="0.25">
      <c r="A1887" s="11" t="s">
        <v>3345</v>
      </c>
      <c r="B1887" s="11" t="s">
        <v>3345</v>
      </c>
      <c r="C1887" s="12">
        <v>45733</v>
      </c>
      <c r="D1887" s="12">
        <v>45823</v>
      </c>
      <c r="E1887" s="11" t="s">
        <v>6</v>
      </c>
      <c r="F1887" s="11" t="s">
        <v>101</v>
      </c>
      <c r="G1887" s="11" t="s">
        <v>3345</v>
      </c>
      <c r="H1887" s="11"/>
      <c r="I1887" s="11" t="s">
        <v>49</v>
      </c>
      <c r="J1887" s="11">
        <v>5785.94</v>
      </c>
      <c r="K1887" s="11">
        <v>5785.94</v>
      </c>
      <c r="L1887" s="11"/>
      <c r="M1887" s="14">
        <v>5785.94</v>
      </c>
      <c r="N1887" s="11" t="s">
        <v>3344</v>
      </c>
      <c r="O1887" s="11" t="s">
        <v>50</v>
      </c>
    </row>
    <row r="1888" spans="1:15" s="13" customFormat="1" ht="19.5" customHeight="1" x14ac:dyDescent="0.25">
      <c r="A1888" s="11" t="s">
        <v>3346</v>
      </c>
      <c r="B1888" s="11" t="s">
        <v>3347</v>
      </c>
      <c r="C1888" s="12">
        <v>45749</v>
      </c>
      <c r="D1888" s="12">
        <v>45749</v>
      </c>
      <c r="E1888" s="11" t="s">
        <v>6</v>
      </c>
      <c r="F1888" s="11" t="s">
        <v>843</v>
      </c>
      <c r="G1888" s="11" t="s">
        <v>3348</v>
      </c>
      <c r="H1888" s="11" t="s">
        <v>3349</v>
      </c>
      <c r="I1888" s="11" t="s">
        <v>49</v>
      </c>
      <c r="J1888" s="11">
        <v>-12306.19</v>
      </c>
      <c r="K1888" s="11"/>
      <c r="L1888" s="11">
        <v>12306.19</v>
      </c>
      <c r="M1888" s="14">
        <v>-12306.19</v>
      </c>
      <c r="N1888" s="11" t="s">
        <v>3350</v>
      </c>
      <c r="O1888" s="11" t="s">
        <v>2706</v>
      </c>
    </row>
    <row r="1889" spans="1:15" s="13" customFormat="1" ht="19.5" customHeight="1" x14ac:dyDescent="0.25">
      <c r="A1889" s="11" t="s">
        <v>3351</v>
      </c>
      <c r="B1889" s="11" t="s">
        <v>3351</v>
      </c>
      <c r="C1889" s="12">
        <v>45729</v>
      </c>
      <c r="D1889" s="12">
        <v>45774</v>
      </c>
      <c r="E1889" s="11" t="s">
        <v>6</v>
      </c>
      <c r="F1889" s="11" t="s">
        <v>843</v>
      </c>
      <c r="G1889" s="11" t="s">
        <v>3351</v>
      </c>
      <c r="H1889" s="11"/>
      <c r="I1889" s="11" t="s">
        <v>49</v>
      </c>
      <c r="J1889" s="11">
        <v>2050.21</v>
      </c>
      <c r="K1889" s="11">
        <v>2050.21</v>
      </c>
      <c r="L1889" s="11"/>
      <c r="M1889" s="14">
        <v>2050.21</v>
      </c>
      <c r="N1889" s="11" t="s">
        <v>3350</v>
      </c>
      <c r="O1889" s="11" t="s">
        <v>50</v>
      </c>
    </row>
    <row r="1890" spans="1:15" s="13" customFormat="1" ht="19.5" customHeight="1" x14ac:dyDescent="0.25">
      <c r="A1890" s="11" t="s">
        <v>3351</v>
      </c>
      <c r="B1890" s="11" t="s">
        <v>3351</v>
      </c>
      <c r="C1890" s="12">
        <v>45729</v>
      </c>
      <c r="D1890" s="12">
        <v>45779</v>
      </c>
      <c r="E1890" s="11" t="s">
        <v>6</v>
      </c>
      <c r="F1890" s="11" t="s">
        <v>843</v>
      </c>
      <c r="G1890" s="11" t="s">
        <v>3351</v>
      </c>
      <c r="H1890" s="11"/>
      <c r="I1890" s="11" t="s">
        <v>49</v>
      </c>
      <c r="J1890" s="11">
        <v>2050.21</v>
      </c>
      <c r="K1890" s="11">
        <v>2050.21</v>
      </c>
      <c r="L1890" s="11"/>
      <c r="M1890" s="14">
        <v>2050.21</v>
      </c>
      <c r="N1890" s="11" t="s">
        <v>3350</v>
      </c>
      <c r="O1890" s="11" t="s">
        <v>50</v>
      </c>
    </row>
    <row r="1891" spans="1:15" s="13" customFormat="1" ht="19.5" customHeight="1" x14ac:dyDescent="0.25">
      <c r="A1891" s="11" t="s">
        <v>3351</v>
      </c>
      <c r="B1891" s="11" t="s">
        <v>3351</v>
      </c>
      <c r="C1891" s="12">
        <v>45729</v>
      </c>
      <c r="D1891" s="12">
        <v>45789</v>
      </c>
      <c r="E1891" s="11" t="s">
        <v>6</v>
      </c>
      <c r="F1891" s="11" t="s">
        <v>843</v>
      </c>
      <c r="G1891" s="11" t="s">
        <v>3351</v>
      </c>
      <c r="H1891" s="11"/>
      <c r="I1891" s="11" t="s">
        <v>49</v>
      </c>
      <c r="J1891" s="11">
        <v>2050.21</v>
      </c>
      <c r="K1891" s="11">
        <v>2050.21</v>
      </c>
      <c r="L1891" s="11"/>
      <c r="M1891" s="14">
        <v>2050.21</v>
      </c>
      <c r="N1891" s="11" t="s">
        <v>3350</v>
      </c>
      <c r="O1891" s="11" t="s">
        <v>50</v>
      </c>
    </row>
    <row r="1892" spans="1:15" s="13" customFormat="1" ht="19.5" customHeight="1" x14ac:dyDescent="0.25">
      <c r="A1892" s="11" t="s">
        <v>3351</v>
      </c>
      <c r="B1892" s="11" t="s">
        <v>3351</v>
      </c>
      <c r="C1892" s="12">
        <v>45729</v>
      </c>
      <c r="D1892" s="12">
        <v>45794</v>
      </c>
      <c r="E1892" s="11" t="s">
        <v>6</v>
      </c>
      <c r="F1892" s="11" t="s">
        <v>843</v>
      </c>
      <c r="G1892" s="11" t="s">
        <v>3351</v>
      </c>
      <c r="H1892" s="11"/>
      <c r="I1892" s="11" t="s">
        <v>49</v>
      </c>
      <c r="J1892" s="11">
        <v>2050.21</v>
      </c>
      <c r="K1892" s="11">
        <v>2050.21</v>
      </c>
      <c r="L1892" s="11"/>
      <c r="M1892" s="14">
        <v>2050.21</v>
      </c>
      <c r="N1892" s="11" t="s">
        <v>3350</v>
      </c>
      <c r="O1892" s="11" t="s">
        <v>50</v>
      </c>
    </row>
    <row r="1893" spans="1:15" s="13" customFormat="1" ht="19.5" customHeight="1" x14ac:dyDescent="0.25">
      <c r="A1893" s="11" t="s">
        <v>3351</v>
      </c>
      <c r="B1893" s="11" t="s">
        <v>3351</v>
      </c>
      <c r="C1893" s="12">
        <v>45729</v>
      </c>
      <c r="D1893" s="12">
        <v>45799</v>
      </c>
      <c r="E1893" s="11" t="s">
        <v>6</v>
      </c>
      <c r="F1893" s="11" t="s">
        <v>843</v>
      </c>
      <c r="G1893" s="11" t="s">
        <v>3351</v>
      </c>
      <c r="H1893" s="11"/>
      <c r="I1893" s="11" t="s">
        <v>49</v>
      </c>
      <c r="J1893" s="11">
        <v>2050.21</v>
      </c>
      <c r="K1893" s="11">
        <v>2050.21</v>
      </c>
      <c r="L1893" s="11"/>
      <c r="M1893" s="14">
        <v>2050.21</v>
      </c>
      <c r="N1893" s="11" t="s">
        <v>3350</v>
      </c>
      <c r="O1893" s="11" t="s">
        <v>50</v>
      </c>
    </row>
    <row r="1894" spans="1:15" s="13" customFormat="1" ht="19.5" customHeight="1" x14ac:dyDescent="0.25">
      <c r="A1894" s="11" t="s">
        <v>3351</v>
      </c>
      <c r="B1894" s="11" t="s">
        <v>3351</v>
      </c>
      <c r="C1894" s="12">
        <v>45729</v>
      </c>
      <c r="D1894" s="12">
        <v>45804</v>
      </c>
      <c r="E1894" s="11" t="s">
        <v>6</v>
      </c>
      <c r="F1894" s="11" t="s">
        <v>843</v>
      </c>
      <c r="G1894" s="11" t="s">
        <v>3351</v>
      </c>
      <c r="H1894" s="11"/>
      <c r="I1894" s="11" t="s">
        <v>49</v>
      </c>
      <c r="J1894" s="11">
        <v>2055.14</v>
      </c>
      <c r="K1894" s="11">
        <v>2055.14</v>
      </c>
      <c r="L1894" s="11"/>
      <c r="M1894" s="14">
        <v>2055.14</v>
      </c>
      <c r="N1894" s="11" t="s">
        <v>3350</v>
      </c>
      <c r="O1894" s="11" t="s">
        <v>50</v>
      </c>
    </row>
    <row r="1895" spans="1:15" s="13" customFormat="1" ht="19.5" customHeight="1" x14ac:dyDescent="0.25">
      <c r="A1895" s="11" t="s">
        <v>3352</v>
      </c>
      <c r="B1895" s="11" t="s">
        <v>3353</v>
      </c>
      <c r="C1895" s="12">
        <v>45749</v>
      </c>
      <c r="D1895" s="12">
        <v>45749</v>
      </c>
      <c r="E1895" s="11" t="s">
        <v>6</v>
      </c>
      <c r="F1895" s="11" t="s">
        <v>1920</v>
      </c>
      <c r="G1895" s="11" t="s">
        <v>3354</v>
      </c>
      <c r="H1895" s="11" t="s">
        <v>3355</v>
      </c>
      <c r="I1895" s="11" t="s">
        <v>49</v>
      </c>
      <c r="J1895" s="11">
        <v>-20506.36</v>
      </c>
      <c r="K1895" s="11"/>
      <c r="L1895" s="11">
        <v>20506.36</v>
      </c>
      <c r="M1895" s="15">
        <v>-20506.36</v>
      </c>
      <c r="N1895" s="11" t="s">
        <v>3356</v>
      </c>
      <c r="O1895" s="11" t="s">
        <v>2706</v>
      </c>
    </row>
    <row r="1896" spans="1:15" s="13" customFormat="1" ht="19.5" customHeight="1" x14ac:dyDescent="0.25">
      <c r="A1896" s="11" t="s">
        <v>3357</v>
      </c>
      <c r="B1896" s="11" t="s">
        <v>3357</v>
      </c>
      <c r="C1896" s="12">
        <v>45734</v>
      </c>
      <c r="D1896" s="12">
        <v>45779</v>
      </c>
      <c r="E1896" s="11" t="s">
        <v>6</v>
      </c>
      <c r="F1896" s="11" t="s">
        <v>1920</v>
      </c>
      <c r="G1896" s="11" t="s">
        <v>3357</v>
      </c>
      <c r="H1896" s="11"/>
      <c r="I1896" s="11" t="s">
        <v>49</v>
      </c>
      <c r="J1896" s="11">
        <v>3416.36</v>
      </c>
      <c r="K1896" s="11">
        <v>3416.36</v>
      </c>
      <c r="L1896" s="11"/>
      <c r="M1896" s="15">
        <v>3416.36</v>
      </c>
      <c r="N1896" s="11" t="s">
        <v>3356</v>
      </c>
      <c r="O1896" s="11" t="s">
        <v>50</v>
      </c>
    </row>
    <row r="1897" spans="1:15" s="13" customFormat="1" ht="19.5" customHeight="1" x14ac:dyDescent="0.25">
      <c r="A1897" s="11" t="s">
        <v>3357</v>
      </c>
      <c r="B1897" s="11" t="s">
        <v>3357</v>
      </c>
      <c r="C1897" s="12">
        <v>45734</v>
      </c>
      <c r="D1897" s="12">
        <v>45786</v>
      </c>
      <c r="E1897" s="11" t="s">
        <v>6</v>
      </c>
      <c r="F1897" s="11" t="s">
        <v>1920</v>
      </c>
      <c r="G1897" s="11" t="s">
        <v>3357</v>
      </c>
      <c r="H1897" s="11"/>
      <c r="I1897" s="11" t="s">
        <v>49</v>
      </c>
      <c r="J1897" s="11">
        <v>3416.36</v>
      </c>
      <c r="K1897" s="11">
        <v>3416.36</v>
      </c>
      <c r="L1897" s="11"/>
      <c r="M1897" s="15">
        <v>3416.36</v>
      </c>
      <c r="N1897" s="11" t="s">
        <v>3356</v>
      </c>
      <c r="O1897" s="11" t="s">
        <v>50</v>
      </c>
    </row>
    <row r="1898" spans="1:15" s="13" customFormat="1" ht="19.5" customHeight="1" x14ac:dyDescent="0.25">
      <c r="A1898" s="11" t="s">
        <v>3357</v>
      </c>
      <c r="B1898" s="11" t="s">
        <v>3357</v>
      </c>
      <c r="C1898" s="12">
        <v>45734</v>
      </c>
      <c r="D1898" s="12">
        <v>45793</v>
      </c>
      <c r="E1898" s="11" t="s">
        <v>6</v>
      </c>
      <c r="F1898" s="11" t="s">
        <v>1920</v>
      </c>
      <c r="G1898" s="11" t="s">
        <v>3357</v>
      </c>
      <c r="H1898" s="11"/>
      <c r="I1898" s="11" t="s">
        <v>49</v>
      </c>
      <c r="J1898" s="11">
        <v>3416.36</v>
      </c>
      <c r="K1898" s="11">
        <v>3416.36</v>
      </c>
      <c r="L1898" s="11"/>
      <c r="M1898" s="15">
        <v>3416.36</v>
      </c>
      <c r="N1898" s="11" t="s">
        <v>3356</v>
      </c>
      <c r="O1898" s="11" t="s">
        <v>50</v>
      </c>
    </row>
    <row r="1899" spans="1:15" s="13" customFormat="1" ht="19.5" customHeight="1" x14ac:dyDescent="0.25">
      <c r="A1899" s="11" t="s">
        <v>3357</v>
      </c>
      <c r="B1899" s="11" t="s">
        <v>3357</v>
      </c>
      <c r="C1899" s="12">
        <v>45734</v>
      </c>
      <c r="D1899" s="12">
        <v>45800</v>
      </c>
      <c r="E1899" s="11" t="s">
        <v>6</v>
      </c>
      <c r="F1899" s="11" t="s">
        <v>1920</v>
      </c>
      <c r="G1899" s="11" t="s">
        <v>3357</v>
      </c>
      <c r="H1899" s="11"/>
      <c r="I1899" s="11" t="s">
        <v>49</v>
      </c>
      <c r="J1899" s="11">
        <v>3416.36</v>
      </c>
      <c r="K1899" s="11">
        <v>3416.36</v>
      </c>
      <c r="L1899" s="11"/>
      <c r="M1899" s="15">
        <v>3416.36</v>
      </c>
      <c r="N1899" s="11" t="s">
        <v>3356</v>
      </c>
      <c r="O1899" s="11" t="s">
        <v>50</v>
      </c>
    </row>
    <row r="1900" spans="1:15" s="13" customFormat="1" ht="19.5" customHeight="1" x14ac:dyDescent="0.25">
      <c r="A1900" s="11" t="s">
        <v>3357</v>
      </c>
      <c r="B1900" s="11" t="s">
        <v>3357</v>
      </c>
      <c r="C1900" s="12">
        <v>45734</v>
      </c>
      <c r="D1900" s="12">
        <v>45807</v>
      </c>
      <c r="E1900" s="11" t="s">
        <v>6</v>
      </c>
      <c r="F1900" s="11" t="s">
        <v>1920</v>
      </c>
      <c r="G1900" s="11" t="s">
        <v>3357</v>
      </c>
      <c r="H1900" s="11"/>
      <c r="I1900" s="11" t="s">
        <v>49</v>
      </c>
      <c r="J1900" s="11">
        <v>3416.36</v>
      </c>
      <c r="K1900" s="11">
        <v>3416.36</v>
      </c>
      <c r="L1900" s="11"/>
      <c r="M1900" s="15">
        <v>3416.36</v>
      </c>
      <c r="N1900" s="11" t="s">
        <v>3356</v>
      </c>
      <c r="O1900" s="11" t="s">
        <v>50</v>
      </c>
    </row>
    <row r="1901" spans="1:15" s="13" customFormat="1" ht="19.5" customHeight="1" x14ac:dyDescent="0.25">
      <c r="A1901" s="11" t="s">
        <v>3357</v>
      </c>
      <c r="B1901" s="11" t="s">
        <v>3357</v>
      </c>
      <c r="C1901" s="12">
        <v>45734</v>
      </c>
      <c r="D1901" s="12">
        <v>45824</v>
      </c>
      <c r="E1901" s="11" t="s">
        <v>6</v>
      </c>
      <c r="F1901" s="11" t="s">
        <v>1920</v>
      </c>
      <c r="G1901" s="11" t="s">
        <v>3357</v>
      </c>
      <c r="H1901" s="11"/>
      <c r="I1901" s="11" t="s">
        <v>49</v>
      </c>
      <c r="J1901" s="11">
        <v>3424.56</v>
      </c>
      <c r="K1901" s="11">
        <v>3424.56</v>
      </c>
      <c r="L1901" s="11"/>
      <c r="M1901" s="15">
        <v>3424.56</v>
      </c>
      <c r="N1901" s="11" t="s">
        <v>3356</v>
      </c>
      <c r="O1901" s="11" t="s">
        <v>50</v>
      </c>
    </row>
    <row r="1902" spans="1:15" s="13" customFormat="1" ht="19.5" customHeight="1" x14ac:dyDescent="0.25">
      <c r="A1902" s="11" t="s">
        <v>3358</v>
      </c>
      <c r="B1902" s="11" t="s">
        <v>3359</v>
      </c>
      <c r="C1902" s="12">
        <v>45750</v>
      </c>
      <c r="D1902" s="12">
        <v>45750</v>
      </c>
      <c r="E1902" s="11" t="s">
        <v>6</v>
      </c>
      <c r="F1902" s="11" t="s">
        <v>104</v>
      </c>
      <c r="G1902" s="11" t="s">
        <v>3360</v>
      </c>
      <c r="H1902" s="11" t="s">
        <v>3361</v>
      </c>
      <c r="I1902" s="11" t="s">
        <v>49</v>
      </c>
      <c r="J1902" s="11">
        <v>-4924.96</v>
      </c>
      <c r="K1902" s="11"/>
      <c r="L1902" s="11">
        <v>4924.96</v>
      </c>
      <c r="M1902" s="15">
        <v>-4924.96</v>
      </c>
      <c r="N1902" s="11" t="s">
        <v>3362</v>
      </c>
      <c r="O1902" s="11" t="s">
        <v>2706</v>
      </c>
    </row>
    <row r="1903" spans="1:15" s="13" customFormat="1" ht="19.5" customHeight="1" x14ac:dyDescent="0.25">
      <c r="A1903" s="11" t="s">
        <v>3363</v>
      </c>
      <c r="B1903" s="11" t="s">
        <v>3363</v>
      </c>
      <c r="C1903" s="12">
        <v>45741</v>
      </c>
      <c r="D1903" s="12">
        <v>45801</v>
      </c>
      <c r="E1903" s="11" t="s">
        <v>6</v>
      </c>
      <c r="F1903" s="11" t="s">
        <v>104</v>
      </c>
      <c r="G1903" s="11" t="s">
        <v>3363</v>
      </c>
      <c r="H1903" s="11"/>
      <c r="I1903" s="11" t="s">
        <v>49</v>
      </c>
      <c r="J1903" s="11">
        <v>4924.96</v>
      </c>
      <c r="K1903" s="11">
        <v>4924.96</v>
      </c>
      <c r="L1903" s="11"/>
      <c r="M1903" s="15">
        <v>4924.96</v>
      </c>
      <c r="N1903" s="11" t="s">
        <v>3362</v>
      </c>
      <c r="O1903" s="11" t="s">
        <v>50</v>
      </c>
    </row>
    <row r="1904" spans="1:15" s="13" customFormat="1" ht="19.5" customHeight="1" x14ac:dyDescent="0.25">
      <c r="A1904" s="11" t="s">
        <v>3364</v>
      </c>
      <c r="B1904" s="11" t="s">
        <v>3365</v>
      </c>
      <c r="C1904" s="12">
        <v>45750</v>
      </c>
      <c r="D1904" s="12">
        <v>45750</v>
      </c>
      <c r="E1904" s="11" t="s">
        <v>6</v>
      </c>
      <c r="F1904" s="11" t="s">
        <v>104</v>
      </c>
      <c r="G1904" s="11" t="s">
        <v>3366</v>
      </c>
      <c r="H1904" s="11" t="s">
        <v>3367</v>
      </c>
      <c r="I1904" s="11" t="s">
        <v>49</v>
      </c>
      <c r="J1904" s="11">
        <v>-18456.14</v>
      </c>
      <c r="K1904" s="11"/>
      <c r="L1904" s="11">
        <v>18456.14</v>
      </c>
      <c r="M1904" s="15">
        <v>-18456.14</v>
      </c>
      <c r="N1904" s="11" t="s">
        <v>3368</v>
      </c>
      <c r="O1904" s="11" t="s">
        <v>2706</v>
      </c>
    </row>
    <row r="1905" spans="1:15" s="13" customFormat="1" ht="19.5" customHeight="1" x14ac:dyDescent="0.25">
      <c r="A1905" s="11" t="s">
        <v>3369</v>
      </c>
      <c r="B1905" s="11" t="s">
        <v>3369</v>
      </c>
      <c r="C1905" s="12">
        <v>45734</v>
      </c>
      <c r="D1905" s="12">
        <v>45824</v>
      </c>
      <c r="E1905" s="11" t="s">
        <v>6</v>
      </c>
      <c r="F1905" s="11" t="s">
        <v>104</v>
      </c>
      <c r="G1905" s="11" t="s">
        <v>3369</v>
      </c>
      <c r="H1905" s="11"/>
      <c r="I1905" s="11" t="s">
        <v>49</v>
      </c>
      <c r="J1905" s="11">
        <v>18456.14</v>
      </c>
      <c r="K1905" s="11">
        <v>18456.14</v>
      </c>
      <c r="L1905" s="11"/>
      <c r="M1905" s="15">
        <v>18456.14</v>
      </c>
      <c r="N1905" s="11" t="s">
        <v>3368</v>
      </c>
      <c r="O1905" s="11" t="s">
        <v>50</v>
      </c>
    </row>
    <row r="1906" spans="1:15" s="13" customFormat="1" ht="19.5" customHeight="1" x14ac:dyDescent="0.25">
      <c r="A1906" s="11" t="s">
        <v>3370</v>
      </c>
      <c r="B1906" s="11" t="s">
        <v>3371</v>
      </c>
      <c r="C1906" s="12">
        <v>45750</v>
      </c>
      <c r="D1906" s="12">
        <v>45750</v>
      </c>
      <c r="E1906" s="11" t="s">
        <v>6</v>
      </c>
      <c r="F1906" s="11" t="s">
        <v>104</v>
      </c>
      <c r="G1906" s="11" t="s">
        <v>3372</v>
      </c>
      <c r="H1906" s="11" t="s">
        <v>3373</v>
      </c>
      <c r="I1906" s="11" t="s">
        <v>49</v>
      </c>
      <c r="J1906" s="11">
        <v>-20450.14</v>
      </c>
      <c r="K1906" s="11"/>
      <c r="L1906" s="11">
        <v>20450.14</v>
      </c>
      <c r="M1906" s="15">
        <v>-20450.14</v>
      </c>
      <c r="N1906" s="11" t="s">
        <v>3374</v>
      </c>
      <c r="O1906" s="11" t="s">
        <v>2706</v>
      </c>
    </row>
    <row r="1907" spans="1:15" s="13" customFormat="1" ht="19.5" customHeight="1" x14ac:dyDescent="0.25">
      <c r="A1907" s="11" t="s">
        <v>3375</v>
      </c>
      <c r="B1907" s="11" t="s">
        <v>3375</v>
      </c>
      <c r="C1907" s="12">
        <v>45722</v>
      </c>
      <c r="D1907" s="12">
        <v>45812</v>
      </c>
      <c r="E1907" s="11" t="s">
        <v>6</v>
      </c>
      <c r="F1907" s="11" t="s">
        <v>104</v>
      </c>
      <c r="G1907" s="11" t="s">
        <v>3375</v>
      </c>
      <c r="H1907" s="11"/>
      <c r="I1907" s="11" t="s">
        <v>49</v>
      </c>
      <c r="J1907" s="11">
        <v>20450.14</v>
      </c>
      <c r="K1907" s="11">
        <v>20450.14</v>
      </c>
      <c r="L1907" s="11"/>
      <c r="M1907" s="15">
        <v>20450.14</v>
      </c>
      <c r="N1907" s="11" t="s">
        <v>3374</v>
      </c>
      <c r="O1907" s="11" t="s">
        <v>50</v>
      </c>
    </row>
    <row r="1908" spans="1:15" s="13" customFormat="1" ht="19.5" customHeight="1" x14ac:dyDescent="0.25">
      <c r="A1908" s="11" t="s">
        <v>3376</v>
      </c>
      <c r="B1908" s="11" t="s">
        <v>3377</v>
      </c>
      <c r="C1908" s="12">
        <v>45750</v>
      </c>
      <c r="D1908" s="12">
        <v>45750</v>
      </c>
      <c r="E1908" s="11" t="s">
        <v>6</v>
      </c>
      <c r="F1908" s="11" t="s">
        <v>104</v>
      </c>
      <c r="G1908" s="11" t="s">
        <v>3378</v>
      </c>
      <c r="H1908" s="11" t="s">
        <v>3379</v>
      </c>
      <c r="I1908" s="11" t="s">
        <v>49</v>
      </c>
      <c r="J1908" s="11">
        <v>-4951.3100000000004</v>
      </c>
      <c r="K1908" s="11"/>
      <c r="L1908" s="11">
        <v>4951.3100000000004</v>
      </c>
      <c r="M1908" s="15">
        <v>-4951.3100000000004</v>
      </c>
      <c r="N1908" s="11" t="s">
        <v>3380</v>
      </c>
      <c r="O1908" s="11" t="s">
        <v>2706</v>
      </c>
    </row>
    <row r="1909" spans="1:15" s="13" customFormat="1" ht="19.5" customHeight="1" x14ac:dyDescent="0.25">
      <c r="A1909" s="11" t="s">
        <v>3381</v>
      </c>
      <c r="B1909" s="11" t="s">
        <v>3381</v>
      </c>
      <c r="C1909" s="12">
        <v>45719</v>
      </c>
      <c r="D1909" s="12">
        <v>45779</v>
      </c>
      <c r="E1909" s="11" t="s">
        <v>6</v>
      </c>
      <c r="F1909" s="11" t="s">
        <v>104</v>
      </c>
      <c r="G1909" s="11" t="s">
        <v>3381</v>
      </c>
      <c r="H1909" s="11"/>
      <c r="I1909" s="11" t="s">
        <v>49</v>
      </c>
      <c r="J1909" s="11">
        <v>4951.3100000000004</v>
      </c>
      <c r="K1909" s="11">
        <v>4951.3100000000004</v>
      </c>
      <c r="L1909" s="11"/>
      <c r="M1909" s="15">
        <v>4951.3100000000004</v>
      </c>
      <c r="N1909" s="11" t="s">
        <v>3380</v>
      </c>
      <c r="O1909" s="11" t="s">
        <v>3299</v>
      </c>
    </row>
    <row r="1910" spans="1:15" s="13" customFormat="1" ht="19.5" customHeight="1" x14ac:dyDescent="0.25">
      <c r="A1910" s="11" t="s">
        <v>3382</v>
      </c>
      <c r="B1910" s="11" t="s">
        <v>3382</v>
      </c>
      <c r="C1910" s="12">
        <v>45747</v>
      </c>
      <c r="D1910" s="11"/>
      <c r="E1910" s="11" t="s">
        <v>6</v>
      </c>
      <c r="F1910" s="11" t="s">
        <v>216</v>
      </c>
      <c r="G1910" s="11" t="s">
        <v>3383</v>
      </c>
      <c r="H1910" s="11"/>
      <c r="I1910" s="11" t="s">
        <v>49</v>
      </c>
      <c r="J1910" s="11">
        <v>-374.65</v>
      </c>
      <c r="K1910" s="11"/>
      <c r="L1910" s="11">
        <v>374.65</v>
      </c>
      <c r="M1910" s="15">
        <v>-374.65</v>
      </c>
      <c r="N1910" s="11" t="s">
        <v>3384</v>
      </c>
      <c r="O1910" s="11" t="s">
        <v>2000</v>
      </c>
    </row>
    <row r="1911" spans="1:15" s="13" customFormat="1" ht="19.5" customHeight="1" x14ac:dyDescent="0.25">
      <c r="A1911" s="11" t="s">
        <v>3383</v>
      </c>
      <c r="B1911" s="11" t="s">
        <v>3383</v>
      </c>
      <c r="C1911" s="12">
        <v>45715</v>
      </c>
      <c r="D1911" s="12">
        <v>45745</v>
      </c>
      <c r="E1911" s="11" t="s">
        <v>6</v>
      </c>
      <c r="F1911" s="11" t="s">
        <v>216</v>
      </c>
      <c r="G1911" s="11" t="s">
        <v>3383</v>
      </c>
      <c r="H1911" s="11"/>
      <c r="I1911" s="11" t="s">
        <v>49</v>
      </c>
      <c r="J1911" s="11">
        <v>374.65</v>
      </c>
      <c r="K1911" s="11">
        <v>374.65</v>
      </c>
      <c r="L1911" s="11"/>
      <c r="M1911" s="15">
        <v>374.65</v>
      </c>
      <c r="N1911" s="11" t="s">
        <v>3384</v>
      </c>
      <c r="O1911" s="11" t="s">
        <v>3299</v>
      </c>
    </row>
    <row r="1912" spans="1:15" s="13" customFormat="1" ht="19.5" customHeight="1" x14ac:dyDescent="0.25">
      <c r="A1912" s="11" t="s">
        <v>3385</v>
      </c>
      <c r="B1912" s="11" t="s">
        <v>3386</v>
      </c>
      <c r="C1912" s="12">
        <v>46083</v>
      </c>
      <c r="D1912" s="12">
        <v>46083</v>
      </c>
      <c r="E1912" s="11" t="s">
        <v>6</v>
      </c>
      <c r="F1912" s="11" t="s">
        <v>3387</v>
      </c>
      <c r="G1912" s="11" t="s">
        <v>3388</v>
      </c>
      <c r="H1912" s="11" t="s">
        <v>3389</v>
      </c>
      <c r="I1912" s="11" t="s">
        <v>49</v>
      </c>
      <c r="J1912" s="11">
        <v>-173.44</v>
      </c>
      <c r="K1912" s="11"/>
      <c r="L1912" s="11">
        <v>173.44</v>
      </c>
      <c r="M1912" s="15">
        <v>-173.44</v>
      </c>
      <c r="N1912" s="11" t="s">
        <v>3390</v>
      </c>
      <c r="O1912" s="11" t="s">
        <v>82</v>
      </c>
    </row>
    <row r="1913" spans="1:15" s="13" customFormat="1" ht="19.5" customHeight="1" x14ac:dyDescent="0.25">
      <c r="A1913" s="11" t="s">
        <v>3389</v>
      </c>
      <c r="B1913" s="11" t="s">
        <v>3389</v>
      </c>
      <c r="C1913" s="12">
        <v>46083</v>
      </c>
      <c r="D1913" s="12">
        <v>46113</v>
      </c>
      <c r="E1913" s="11" t="s">
        <v>6</v>
      </c>
      <c r="F1913" s="11" t="s">
        <v>3387</v>
      </c>
      <c r="G1913" s="11" t="s">
        <v>3389</v>
      </c>
      <c r="H1913" s="11"/>
      <c r="I1913" s="11" t="s">
        <v>49</v>
      </c>
      <c r="J1913" s="11">
        <v>173.44</v>
      </c>
      <c r="K1913" s="11">
        <v>173.44</v>
      </c>
      <c r="L1913" s="11"/>
      <c r="M1913" s="15">
        <v>173.44</v>
      </c>
      <c r="N1913" s="11" t="s">
        <v>3390</v>
      </c>
      <c r="O1913" s="11" t="s">
        <v>50</v>
      </c>
    </row>
    <row r="1914" spans="1:15" s="13" customFormat="1" ht="19.5" customHeight="1" x14ac:dyDescent="0.25">
      <c r="A1914" s="11" t="s">
        <v>3391</v>
      </c>
      <c r="B1914" s="11" t="s">
        <v>3392</v>
      </c>
      <c r="C1914" s="12">
        <v>46084</v>
      </c>
      <c r="D1914" s="12">
        <v>46084</v>
      </c>
      <c r="E1914" s="11" t="s">
        <v>6</v>
      </c>
      <c r="F1914" s="11" t="s">
        <v>3393</v>
      </c>
      <c r="G1914" s="11" t="s">
        <v>3394</v>
      </c>
      <c r="H1914" s="11" t="s">
        <v>3395</v>
      </c>
      <c r="I1914" s="11" t="s">
        <v>49</v>
      </c>
      <c r="J1914" s="11">
        <v>-156.55000000000001</v>
      </c>
      <c r="K1914" s="11"/>
      <c r="L1914" s="11">
        <v>156.55000000000001</v>
      </c>
      <c r="M1914" s="15">
        <v>-156.55000000000001</v>
      </c>
      <c r="N1914" s="11" t="s">
        <v>3396</v>
      </c>
      <c r="O1914" s="11" t="s">
        <v>82</v>
      </c>
    </row>
    <row r="1915" spans="1:15" s="13" customFormat="1" ht="19.5" customHeight="1" x14ac:dyDescent="0.25">
      <c r="A1915" s="11" t="s">
        <v>3395</v>
      </c>
      <c r="B1915" s="11" t="s">
        <v>3395</v>
      </c>
      <c r="C1915" s="12">
        <v>46084</v>
      </c>
      <c r="D1915" s="12">
        <v>46114</v>
      </c>
      <c r="E1915" s="11" t="s">
        <v>6</v>
      </c>
      <c r="F1915" s="11" t="s">
        <v>3393</v>
      </c>
      <c r="G1915" s="11" t="s">
        <v>3395</v>
      </c>
      <c r="H1915" s="11"/>
      <c r="I1915" s="11" t="s">
        <v>49</v>
      </c>
      <c r="J1915" s="11">
        <v>156.55000000000001</v>
      </c>
      <c r="K1915" s="11">
        <v>156.55000000000001</v>
      </c>
      <c r="L1915" s="11"/>
      <c r="M1915" s="15">
        <v>156.55000000000001</v>
      </c>
      <c r="N1915" s="11" t="s">
        <v>3396</v>
      </c>
      <c r="O1915" s="11" t="s">
        <v>50</v>
      </c>
    </row>
    <row r="1916" spans="1:15" s="13" customFormat="1" ht="19.5" customHeight="1" x14ac:dyDescent="0.25">
      <c r="A1916" s="11" t="s">
        <v>3397</v>
      </c>
      <c r="B1916" s="11" t="s">
        <v>3398</v>
      </c>
      <c r="C1916" s="12">
        <v>46084</v>
      </c>
      <c r="D1916" s="12">
        <v>46084</v>
      </c>
      <c r="E1916" s="11" t="s">
        <v>6</v>
      </c>
      <c r="F1916" s="11" t="s">
        <v>1252</v>
      </c>
      <c r="G1916" s="11" t="s">
        <v>3399</v>
      </c>
      <c r="H1916" s="11" t="s">
        <v>3400</v>
      </c>
      <c r="I1916" s="11" t="s">
        <v>49</v>
      </c>
      <c r="J1916" s="11">
        <v>-133.97999999999999</v>
      </c>
      <c r="K1916" s="11"/>
      <c r="L1916" s="11">
        <v>133.97999999999999</v>
      </c>
      <c r="M1916" s="15">
        <v>-133.97999999999999</v>
      </c>
      <c r="N1916" s="11" t="s">
        <v>3401</v>
      </c>
      <c r="O1916" s="11" t="s">
        <v>82</v>
      </c>
    </row>
    <row r="1917" spans="1:15" s="13" customFormat="1" ht="19.5" customHeight="1" x14ac:dyDescent="0.25">
      <c r="A1917" s="11" t="s">
        <v>3400</v>
      </c>
      <c r="B1917" s="11" t="s">
        <v>3400</v>
      </c>
      <c r="C1917" s="12">
        <v>46084</v>
      </c>
      <c r="D1917" s="12">
        <v>46114</v>
      </c>
      <c r="E1917" s="11" t="s">
        <v>6</v>
      </c>
      <c r="F1917" s="11" t="s">
        <v>1252</v>
      </c>
      <c r="G1917" s="11" t="s">
        <v>3400</v>
      </c>
      <c r="H1917" s="11"/>
      <c r="I1917" s="11" t="s">
        <v>49</v>
      </c>
      <c r="J1917" s="11">
        <v>133.97999999999999</v>
      </c>
      <c r="K1917" s="11">
        <v>133.97999999999999</v>
      </c>
      <c r="L1917" s="11"/>
      <c r="M1917" s="15">
        <v>133.97999999999999</v>
      </c>
      <c r="N1917" s="11" t="s">
        <v>3401</v>
      </c>
      <c r="O1917" s="11" t="s">
        <v>50</v>
      </c>
    </row>
    <row r="1918" spans="1:15" s="13" customFormat="1" ht="19.5" customHeight="1" x14ac:dyDescent="0.25">
      <c r="A1918" s="11" t="s">
        <v>3402</v>
      </c>
      <c r="B1918" s="11" t="s">
        <v>3403</v>
      </c>
      <c r="C1918" s="12">
        <v>46084</v>
      </c>
      <c r="D1918" s="12">
        <v>46084</v>
      </c>
      <c r="E1918" s="11" t="s">
        <v>6</v>
      </c>
      <c r="F1918" s="11" t="s">
        <v>3404</v>
      </c>
      <c r="G1918" s="11" t="s">
        <v>3405</v>
      </c>
      <c r="H1918" s="11" t="s">
        <v>3406</v>
      </c>
      <c r="I1918" s="11" t="s">
        <v>49</v>
      </c>
      <c r="J1918" s="11">
        <v>-83.59</v>
      </c>
      <c r="K1918" s="11"/>
      <c r="L1918" s="11">
        <v>83.59</v>
      </c>
      <c r="M1918" s="15">
        <v>-83.59</v>
      </c>
      <c r="N1918" s="11" t="s">
        <v>3407</v>
      </c>
      <c r="O1918" s="11" t="s">
        <v>82</v>
      </c>
    </row>
    <row r="1919" spans="1:15" s="13" customFormat="1" ht="19.5" customHeight="1" x14ac:dyDescent="0.25">
      <c r="A1919" s="11" t="s">
        <v>3406</v>
      </c>
      <c r="B1919" s="11" t="s">
        <v>3406</v>
      </c>
      <c r="C1919" s="12">
        <v>46084</v>
      </c>
      <c r="D1919" s="12">
        <v>46114</v>
      </c>
      <c r="E1919" s="11" t="s">
        <v>6</v>
      </c>
      <c r="F1919" s="11" t="s">
        <v>3404</v>
      </c>
      <c r="G1919" s="11" t="s">
        <v>3406</v>
      </c>
      <c r="H1919" s="11"/>
      <c r="I1919" s="11" t="s">
        <v>49</v>
      </c>
      <c r="J1919" s="11">
        <v>83.59</v>
      </c>
      <c r="K1919" s="11">
        <v>83.59</v>
      </c>
      <c r="L1919" s="11"/>
      <c r="M1919" s="15">
        <v>83.59</v>
      </c>
      <c r="N1919" s="11" t="s">
        <v>3407</v>
      </c>
      <c r="O1919" s="11" t="s">
        <v>75</v>
      </c>
    </row>
    <row r="1920" spans="1:15" s="13" customFormat="1" ht="19.5" customHeight="1" x14ac:dyDescent="0.25">
      <c r="A1920" s="11" t="s">
        <v>3408</v>
      </c>
      <c r="B1920" s="11" t="s">
        <v>3409</v>
      </c>
      <c r="C1920" s="12">
        <v>46085</v>
      </c>
      <c r="D1920" s="12">
        <v>46085</v>
      </c>
      <c r="E1920" s="11" t="s">
        <v>6</v>
      </c>
      <c r="F1920" s="11" t="s">
        <v>3410</v>
      </c>
      <c r="G1920" s="11" t="s">
        <v>3411</v>
      </c>
      <c r="H1920" s="11" t="s">
        <v>3412</v>
      </c>
      <c r="I1920" s="11" t="s">
        <v>49</v>
      </c>
      <c r="J1920" s="11">
        <v>-154.88</v>
      </c>
      <c r="K1920" s="11"/>
      <c r="L1920" s="11">
        <v>154.88</v>
      </c>
      <c r="M1920" s="15">
        <v>-154.88</v>
      </c>
      <c r="N1920" s="11" t="s">
        <v>3413</v>
      </c>
      <c r="O1920" s="11" t="s">
        <v>82</v>
      </c>
    </row>
    <row r="1921" spans="1:15" s="13" customFormat="1" ht="19.5" customHeight="1" x14ac:dyDescent="0.25">
      <c r="A1921" s="11" t="s">
        <v>3412</v>
      </c>
      <c r="B1921" s="11" t="s">
        <v>3412</v>
      </c>
      <c r="C1921" s="12">
        <v>46085</v>
      </c>
      <c r="D1921" s="12">
        <v>46115</v>
      </c>
      <c r="E1921" s="11" t="s">
        <v>6</v>
      </c>
      <c r="F1921" s="11" t="s">
        <v>3410</v>
      </c>
      <c r="G1921" s="11" t="s">
        <v>3412</v>
      </c>
      <c r="H1921" s="11"/>
      <c r="I1921" s="11" t="s">
        <v>49</v>
      </c>
      <c r="J1921" s="11">
        <v>154.88</v>
      </c>
      <c r="K1921" s="11">
        <v>154.88</v>
      </c>
      <c r="L1921" s="11"/>
      <c r="M1921" s="15">
        <v>154.88</v>
      </c>
      <c r="N1921" s="11" t="s">
        <v>3413</v>
      </c>
      <c r="O1921" s="11" t="s">
        <v>50</v>
      </c>
    </row>
    <row r="1922" spans="1:15" s="13" customFormat="1" ht="19.5" customHeight="1" x14ac:dyDescent="0.25">
      <c r="A1922" s="11" t="s">
        <v>3414</v>
      </c>
      <c r="B1922" s="11" t="s">
        <v>3415</v>
      </c>
      <c r="C1922" s="12">
        <v>46085</v>
      </c>
      <c r="D1922" s="12">
        <v>46085</v>
      </c>
      <c r="E1922" s="11" t="s">
        <v>6</v>
      </c>
      <c r="F1922" s="11" t="s">
        <v>3416</v>
      </c>
      <c r="G1922" s="11" t="s">
        <v>3417</v>
      </c>
      <c r="H1922" s="11" t="s">
        <v>3418</v>
      </c>
      <c r="I1922" s="11" t="s">
        <v>49</v>
      </c>
      <c r="J1922" s="11">
        <v>-218.3</v>
      </c>
      <c r="K1922" s="11"/>
      <c r="L1922" s="11">
        <v>218.3</v>
      </c>
      <c r="M1922" s="15">
        <v>-218.3</v>
      </c>
      <c r="N1922" s="11" t="s">
        <v>3419</v>
      </c>
      <c r="O1922" s="11" t="s">
        <v>82</v>
      </c>
    </row>
    <row r="1923" spans="1:15" s="13" customFormat="1" ht="19.5" customHeight="1" x14ac:dyDescent="0.25">
      <c r="A1923" s="11" t="s">
        <v>3418</v>
      </c>
      <c r="B1923" s="11" t="s">
        <v>3418</v>
      </c>
      <c r="C1923" s="12">
        <v>46085</v>
      </c>
      <c r="D1923" s="12">
        <v>46115</v>
      </c>
      <c r="E1923" s="11" t="s">
        <v>6</v>
      </c>
      <c r="F1923" s="11" t="s">
        <v>3416</v>
      </c>
      <c r="G1923" s="11" t="s">
        <v>3418</v>
      </c>
      <c r="H1923" s="11"/>
      <c r="I1923" s="11" t="s">
        <v>49</v>
      </c>
      <c r="J1923" s="11">
        <v>218.3</v>
      </c>
      <c r="K1923" s="11">
        <v>218.3</v>
      </c>
      <c r="L1923" s="11"/>
      <c r="M1923" s="15">
        <v>218.3</v>
      </c>
      <c r="N1923" s="11" t="s">
        <v>3419</v>
      </c>
      <c r="O1923" s="11" t="s">
        <v>50</v>
      </c>
    </row>
    <row r="1924" spans="1:15" s="13" customFormat="1" ht="19.5" customHeight="1" x14ac:dyDescent="0.25">
      <c r="A1924" s="11" t="s">
        <v>3420</v>
      </c>
      <c r="B1924" s="11" t="s">
        <v>3421</v>
      </c>
      <c r="C1924" s="12">
        <v>46086</v>
      </c>
      <c r="D1924" s="12">
        <v>46086</v>
      </c>
      <c r="E1924" s="11" t="s">
        <v>6</v>
      </c>
      <c r="F1924" s="11" t="s">
        <v>3422</v>
      </c>
      <c r="G1924" s="11" t="s">
        <v>3423</v>
      </c>
      <c r="H1924" s="11" t="s">
        <v>3424</v>
      </c>
      <c r="I1924" s="11" t="s">
        <v>49</v>
      </c>
      <c r="J1924" s="11">
        <v>-109.15</v>
      </c>
      <c r="K1924" s="11"/>
      <c r="L1924" s="11">
        <v>109.15</v>
      </c>
      <c r="M1924" s="15">
        <v>-109.15</v>
      </c>
      <c r="N1924" s="11" t="s">
        <v>3425</v>
      </c>
      <c r="O1924" s="11" t="s">
        <v>82</v>
      </c>
    </row>
    <row r="1925" spans="1:15" s="13" customFormat="1" ht="19.5" customHeight="1" x14ac:dyDescent="0.25">
      <c r="A1925" s="11" t="s">
        <v>3424</v>
      </c>
      <c r="B1925" s="11" t="s">
        <v>3424</v>
      </c>
      <c r="C1925" s="12">
        <v>46086</v>
      </c>
      <c r="D1925" s="12">
        <v>46116</v>
      </c>
      <c r="E1925" s="11" t="s">
        <v>6</v>
      </c>
      <c r="F1925" s="11" t="s">
        <v>3422</v>
      </c>
      <c r="G1925" s="11" t="s">
        <v>3424</v>
      </c>
      <c r="H1925" s="11"/>
      <c r="I1925" s="11" t="s">
        <v>49</v>
      </c>
      <c r="J1925" s="11">
        <v>109.15</v>
      </c>
      <c r="K1925" s="11">
        <v>109.15</v>
      </c>
      <c r="L1925" s="11"/>
      <c r="M1925" s="15">
        <v>109.15</v>
      </c>
      <c r="N1925" s="11" t="s">
        <v>3425</v>
      </c>
      <c r="O1925" s="11" t="s">
        <v>50</v>
      </c>
    </row>
    <row r="1926" spans="1:15" s="13" customFormat="1" ht="19.5" customHeight="1" x14ac:dyDescent="0.25">
      <c r="A1926" s="11" t="s">
        <v>3426</v>
      </c>
      <c r="B1926" s="11" t="s">
        <v>3427</v>
      </c>
      <c r="C1926" s="12">
        <v>46086</v>
      </c>
      <c r="D1926" s="12">
        <v>46086</v>
      </c>
      <c r="E1926" s="11" t="s">
        <v>6</v>
      </c>
      <c r="F1926" s="11" t="s">
        <v>3428</v>
      </c>
      <c r="G1926" s="11" t="s">
        <v>3429</v>
      </c>
      <c r="H1926" s="11" t="s">
        <v>3430</v>
      </c>
      <c r="I1926" s="11" t="s">
        <v>49</v>
      </c>
      <c r="J1926" s="11">
        <v>-355.85</v>
      </c>
      <c r="K1926" s="11"/>
      <c r="L1926" s="11">
        <v>355.85</v>
      </c>
      <c r="M1926" s="15">
        <v>-355.85</v>
      </c>
      <c r="N1926" s="11" t="s">
        <v>3431</v>
      </c>
      <c r="O1926" s="11" t="s">
        <v>82</v>
      </c>
    </row>
    <row r="1927" spans="1:15" s="13" customFormat="1" ht="19.5" customHeight="1" x14ac:dyDescent="0.25">
      <c r="A1927" s="11" t="s">
        <v>3430</v>
      </c>
      <c r="B1927" s="11" t="s">
        <v>3430</v>
      </c>
      <c r="C1927" s="12">
        <v>46086</v>
      </c>
      <c r="D1927" s="12">
        <v>46116</v>
      </c>
      <c r="E1927" s="11" t="s">
        <v>6</v>
      </c>
      <c r="F1927" s="11" t="s">
        <v>3428</v>
      </c>
      <c r="G1927" s="11" t="s">
        <v>3430</v>
      </c>
      <c r="H1927" s="11"/>
      <c r="I1927" s="11" t="s">
        <v>49</v>
      </c>
      <c r="J1927" s="11">
        <v>355.85</v>
      </c>
      <c r="K1927" s="11">
        <v>355.85</v>
      </c>
      <c r="L1927" s="11"/>
      <c r="M1927" s="15">
        <v>355.85</v>
      </c>
      <c r="N1927" s="11" t="s">
        <v>3431</v>
      </c>
      <c r="O1927" s="11" t="s">
        <v>50</v>
      </c>
    </row>
    <row r="1928" spans="1:15" s="13" customFormat="1" ht="19.5" customHeight="1" x14ac:dyDescent="0.25">
      <c r="A1928" s="11" t="s">
        <v>3432</v>
      </c>
      <c r="B1928" s="11" t="s">
        <v>3433</v>
      </c>
      <c r="C1928" s="12">
        <v>46087</v>
      </c>
      <c r="D1928" s="12">
        <v>46087</v>
      </c>
      <c r="E1928" s="11" t="s">
        <v>6</v>
      </c>
      <c r="F1928" s="11" t="s">
        <v>3434</v>
      </c>
      <c r="G1928" s="11" t="s">
        <v>3435</v>
      </c>
      <c r="H1928" s="11" t="s">
        <v>3436</v>
      </c>
      <c r="I1928" s="11" t="s">
        <v>49</v>
      </c>
      <c r="J1928" s="11">
        <v>-108.78</v>
      </c>
      <c r="K1928" s="11"/>
      <c r="L1928" s="11">
        <v>108.78</v>
      </c>
      <c r="M1928" s="15">
        <v>-108.78</v>
      </c>
      <c r="N1928" s="11" t="s">
        <v>3437</v>
      </c>
      <c r="O1928" s="11" t="s">
        <v>82</v>
      </c>
    </row>
    <row r="1929" spans="1:15" s="13" customFormat="1" ht="19.5" customHeight="1" x14ac:dyDescent="0.25">
      <c r="A1929" s="11" t="s">
        <v>3436</v>
      </c>
      <c r="B1929" s="11" t="s">
        <v>3436</v>
      </c>
      <c r="C1929" s="12">
        <v>46087</v>
      </c>
      <c r="D1929" s="12">
        <v>46117</v>
      </c>
      <c r="E1929" s="11" t="s">
        <v>6</v>
      </c>
      <c r="F1929" s="11" t="s">
        <v>3434</v>
      </c>
      <c r="G1929" s="11" t="s">
        <v>3436</v>
      </c>
      <c r="H1929" s="11"/>
      <c r="I1929" s="11" t="s">
        <v>49</v>
      </c>
      <c r="J1929" s="11">
        <v>108.78</v>
      </c>
      <c r="K1929" s="11">
        <v>108.78</v>
      </c>
      <c r="L1929" s="11"/>
      <c r="M1929" s="15">
        <v>108.78</v>
      </c>
      <c r="N1929" s="11" t="s">
        <v>3437</v>
      </c>
      <c r="O1929" s="11" t="s">
        <v>50</v>
      </c>
    </row>
    <row r="1930" spans="1:15" s="13" customFormat="1" ht="19.5" customHeight="1" x14ac:dyDescent="0.25">
      <c r="A1930" s="11" t="s">
        <v>3438</v>
      </c>
      <c r="B1930" s="11" t="s">
        <v>3439</v>
      </c>
      <c r="C1930" s="12">
        <v>46087</v>
      </c>
      <c r="D1930" s="12">
        <v>46087</v>
      </c>
      <c r="E1930" s="11" t="s">
        <v>6</v>
      </c>
      <c r="F1930" s="11" t="s">
        <v>3440</v>
      </c>
      <c r="G1930" s="11" t="s">
        <v>3441</v>
      </c>
      <c r="H1930" s="11" t="s">
        <v>3442</v>
      </c>
      <c r="I1930" s="11" t="s">
        <v>49</v>
      </c>
      <c r="J1930" s="11">
        <v>-288.81</v>
      </c>
      <c r="K1930" s="11"/>
      <c r="L1930" s="11">
        <v>288.81</v>
      </c>
      <c r="M1930" s="15">
        <v>-288.81</v>
      </c>
      <c r="N1930" s="11" t="s">
        <v>3443</v>
      </c>
      <c r="O1930" s="11" t="s">
        <v>82</v>
      </c>
    </row>
    <row r="1931" spans="1:15" s="13" customFormat="1" ht="19.5" customHeight="1" x14ac:dyDescent="0.25">
      <c r="A1931" s="11" t="s">
        <v>3442</v>
      </c>
      <c r="B1931" s="11" t="s">
        <v>3442</v>
      </c>
      <c r="C1931" s="12">
        <v>46087</v>
      </c>
      <c r="D1931" s="12">
        <v>46117</v>
      </c>
      <c r="E1931" s="11" t="s">
        <v>6</v>
      </c>
      <c r="F1931" s="11" t="s">
        <v>3440</v>
      </c>
      <c r="G1931" s="11" t="s">
        <v>3442</v>
      </c>
      <c r="H1931" s="11"/>
      <c r="I1931" s="11" t="s">
        <v>49</v>
      </c>
      <c r="J1931" s="11">
        <v>288.81</v>
      </c>
      <c r="K1931" s="11">
        <v>288.81</v>
      </c>
      <c r="L1931" s="11"/>
      <c r="M1931" s="15">
        <v>288.81</v>
      </c>
      <c r="N1931" s="11" t="s">
        <v>3443</v>
      </c>
      <c r="O1931" s="11" t="s">
        <v>50</v>
      </c>
    </row>
    <row r="1932" spans="1:15" s="13" customFormat="1" ht="19.5" customHeight="1" x14ac:dyDescent="0.25">
      <c r="A1932" s="11" t="s">
        <v>3444</v>
      </c>
      <c r="B1932" s="11" t="s">
        <v>3445</v>
      </c>
      <c r="C1932" s="12">
        <v>46092</v>
      </c>
      <c r="D1932" s="12">
        <v>46092</v>
      </c>
      <c r="E1932" s="11" t="s">
        <v>6</v>
      </c>
      <c r="F1932" s="11" t="s">
        <v>50</v>
      </c>
      <c r="G1932" s="11" t="s">
        <v>3446</v>
      </c>
      <c r="H1932" s="11" t="s">
        <v>3447</v>
      </c>
      <c r="I1932" s="11" t="s">
        <v>49</v>
      </c>
      <c r="J1932" s="11">
        <v>-176.79</v>
      </c>
      <c r="K1932" s="11"/>
      <c r="L1932" s="11">
        <v>176.79</v>
      </c>
      <c r="M1932" s="15">
        <v>-176.79</v>
      </c>
      <c r="N1932" s="11" t="s">
        <v>3448</v>
      </c>
      <c r="O1932" s="11" t="s">
        <v>82</v>
      </c>
    </row>
    <row r="1933" spans="1:15" s="13" customFormat="1" ht="19.5" customHeight="1" x14ac:dyDescent="0.25">
      <c r="A1933" s="11" t="s">
        <v>3447</v>
      </c>
      <c r="B1933" s="11" t="s">
        <v>3447</v>
      </c>
      <c r="C1933" s="12">
        <v>46092</v>
      </c>
      <c r="D1933" s="12">
        <v>46122</v>
      </c>
      <c r="E1933" s="11" t="s">
        <v>6</v>
      </c>
      <c r="F1933" s="11" t="s">
        <v>50</v>
      </c>
      <c r="G1933" s="11" t="s">
        <v>3447</v>
      </c>
      <c r="H1933" s="11"/>
      <c r="I1933" s="11" t="s">
        <v>49</v>
      </c>
      <c r="J1933" s="11">
        <v>176.79</v>
      </c>
      <c r="K1933" s="11">
        <v>176.79</v>
      </c>
      <c r="L1933" s="11"/>
      <c r="M1933" s="15">
        <v>176.79</v>
      </c>
      <c r="N1933" s="11" t="s">
        <v>3448</v>
      </c>
      <c r="O1933" s="11" t="s">
        <v>50</v>
      </c>
    </row>
    <row r="1934" spans="1:15" s="13" customFormat="1" ht="19.5" customHeight="1" x14ac:dyDescent="0.25">
      <c r="A1934" s="11" t="s">
        <v>3449</v>
      </c>
      <c r="B1934" s="11" t="s">
        <v>3450</v>
      </c>
      <c r="C1934" s="12">
        <v>46094</v>
      </c>
      <c r="D1934" s="12">
        <v>46094</v>
      </c>
      <c r="E1934" s="11" t="s">
        <v>6</v>
      </c>
      <c r="F1934" s="11" t="s">
        <v>3451</v>
      </c>
      <c r="G1934" s="11" t="s">
        <v>3452</v>
      </c>
      <c r="H1934" s="11" t="s">
        <v>3453</v>
      </c>
      <c r="I1934" s="11" t="s">
        <v>49</v>
      </c>
      <c r="J1934" s="11">
        <v>-168.5</v>
      </c>
      <c r="K1934" s="11"/>
      <c r="L1934" s="11">
        <v>168.5</v>
      </c>
      <c r="M1934" s="14">
        <v>-168.5</v>
      </c>
      <c r="N1934" s="11" t="s">
        <v>3454</v>
      </c>
      <c r="O1934" s="11" t="s">
        <v>82</v>
      </c>
    </row>
    <row r="1935" spans="1:15" s="13" customFormat="1" ht="19.5" customHeight="1" x14ac:dyDescent="0.25">
      <c r="A1935" s="11" t="s">
        <v>3453</v>
      </c>
      <c r="B1935" s="11" t="s">
        <v>3453</v>
      </c>
      <c r="C1935" s="12">
        <v>46094</v>
      </c>
      <c r="D1935" s="12">
        <v>46124</v>
      </c>
      <c r="E1935" s="11" t="s">
        <v>6</v>
      </c>
      <c r="F1935" s="11" t="s">
        <v>3451</v>
      </c>
      <c r="G1935" s="11" t="s">
        <v>3453</v>
      </c>
      <c r="H1935" s="11"/>
      <c r="I1935" s="11" t="s">
        <v>49</v>
      </c>
      <c r="J1935" s="11">
        <v>168.5</v>
      </c>
      <c r="K1935" s="11">
        <v>168.5</v>
      </c>
      <c r="L1935" s="11"/>
      <c r="M1935" s="14">
        <v>168.5</v>
      </c>
      <c r="N1935" s="11" t="s">
        <v>3454</v>
      </c>
      <c r="O1935" s="11" t="s">
        <v>50</v>
      </c>
    </row>
    <row r="1936" spans="1:15" s="13" customFormat="1" ht="19.5" customHeight="1" x14ac:dyDescent="0.25">
      <c r="A1936" s="11" t="s">
        <v>3455</v>
      </c>
      <c r="B1936" s="11" t="s">
        <v>3456</v>
      </c>
      <c r="C1936" s="12">
        <v>46097</v>
      </c>
      <c r="D1936" s="12">
        <v>46097</v>
      </c>
      <c r="E1936" s="11" t="s">
        <v>6</v>
      </c>
      <c r="F1936" s="11" t="s">
        <v>3457</v>
      </c>
      <c r="G1936" s="11" t="s">
        <v>3458</v>
      </c>
      <c r="H1936" s="11" t="s">
        <v>3459</v>
      </c>
      <c r="I1936" s="11" t="s">
        <v>49</v>
      </c>
      <c r="J1936" s="11">
        <v>-453.12</v>
      </c>
      <c r="K1936" s="11"/>
      <c r="L1936" s="11">
        <v>453.12</v>
      </c>
      <c r="M1936" s="14">
        <v>-453.12</v>
      </c>
      <c r="N1936" s="11" t="s">
        <v>3460</v>
      </c>
      <c r="O1936" s="11" t="s">
        <v>82</v>
      </c>
    </row>
    <row r="1937" spans="1:15" s="13" customFormat="1" ht="19.5" customHeight="1" x14ac:dyDescent="0.25">
      <c r="A1937" s="11" t="s">
        <v>3459</v>
      </c>
      <c r="B1937" s="11" t="s">
        <v>3459</v>
      </c>
      <c r="C1937" s="12">
        <v>46097</v>
      </c>
      <c r="D1937" s="12">
        <v>46127</v>
      </c>
      <c r="E1937" s="11" t="s">
        <v>6</v>
      </c>
      <c r="F1937" s="11" t="s">
        <v>3457</v>
      </c>
      <c r="G1937" s="11" t="s">
        <v>3459</v>
      </c>
      <c r="H1937" s="11"/>
      <c r="I1937" s="11" t="s">
        <v>49</v>
      </c>
      <c r="J1937" s="11">
        <v>453.12</v>
      </c>
      <c r="K1937" s="11">
        <v>453.12</v>
      </c>
      <c r="L1937" s="11"/>
      <c r="M1937" s="14">
        <v>453.12</v>
      </c>
      <c r="N1937" s="11" t="s">
        <v>3460</v>
      </c>
      <c r="O1937" s="11" t="s">
        <v>50</v>
      </c>
    </row>
    <row r="1938" spans="1:15" s="13" customFormat="1" ht="19.5" customHeight="1" x14ac:dyDescent="0.25">
      <c r="A1938" s="11" t="s">
        <v>3461</v>
      </c>
      <c r="B1938" s="11" t="s">
        <v>3462</v>
      </c>
      <c r="C1938" s="12">
        <v>46097</v>
      </c>
      <c r="D1938" s="12">
        <v>46097</v>
      </c>
      <c r="E1938" s="11" t="s">
        <v>6</v>
      </c>
      <c r="F1938" s="11" t="s">
        <v>3463</v>
      </c>
      <c r="G1938" s="11" t="s">
        <v>3464</v>
      </c>
      <c r="H1938" s="11" t="s">
        <v>3465</v>
      </c>
      <c r="I1938" s="11" t="s">
        <v>49</v>
      </c>
      <c r="J1938" s="11">
        <v>-97.35</v>
      </c>
      <c r="K1938" s="11"/>
      <c r="L1938" s="11">
        <v>97.35</v>
      </c>
      <c r="M1938" s="14">
        <v>-97.35</v>
      </c>
      <c r="N1938" s="11" t="s">
        <v>3466</v>
      </c>
      <c r="O1938" s="11" t="s">
        <v>82</v>
      </c>
    </row>
    <row r="1939" spans="1:15" s="13" customFormat="1" ht="19.5" customHeight="1" x14ac:dyDescent="0.25">
      <c r="A1939" s="11" t="s">
        <v>3465</v>
      </c>
      <c r="B1939" s="11" t="s">
        <v>3465</v>
      </c>
      <c r="C1939" s="12">
        <v>46097</v>
      </c>
      <c r="D1939" s="12">
        <v>46127</v>
      </c>
      <c r="E1939" s="11" t="s">
        <v>6</v>
      </c>
      <c r="F1939" s="11" t="s">
        <v>3463</v>
      </c>
      <c r="G1939" s="11" t="s">
        <v>3465</v>
      </c>
      <c r="H1939" s="11"/>
      <c r="I1939" s="11" t="s">
        <v>49</v>
      </c>
      <c r="J1939" s="11">
        <v>97.35</v>
      </c>
      <c r="K1939" s="11">
        <v>97.35</v>
      </c>
      <c r="L1939" s="11"/>
      <c r="M1939" s="14">
        <v>97.35</v>
      </c>
      <c r="N1939" s="11" t="s">
        <v>3466</v>
      </c>
      <c r="O1939" s="11" t="s">
        <v>50</v>
      </c>
    </row>
    <row r="1940" spans="1:15" s="13" customFormat="1" ht="19.5" customHeight="1" x14ac:dyDescent="0.25">
      <c r="A1940" s="11" t="s">
        <v>3467</v>
      </c>
      <c r="B1940" s="11" t="s">
        <v>3468</v>
      </c>
      <c r="C1940" s="12">
        <v>46097</v>
      </c>
      <c r="D1940" s="12">
        <v>46097</v>
      </c>
      <c r="E1940" s="11" t="s">
        <v>6</v>
      </c>
      <c r="F1940" s="11" t="s">
        <v>3469</v>
      </c>
      <c r="G1940" s="11" t="s">
        <v>3470</v>
      </c>
      <c r="H1940" s="11" t="s">
        <v>3471</v>
      </c>
      <c r="I1940" s="11" t="s">
        <v>49</v>
      </c>
      <c r="J1940" s="11">
        <v>-217.57</v>
      </c>
      <c r="K1940" s="11"/>
      <c r="L1940" s="11">
        <v>217.57</v>
      </c>
      <c r="M1940" s="14">
        <v>-217.57</v>
      </c>
      <c r="N1940" s="11" t="s">
        <v>3472</v>
      </c>
      <c r="O1940" s="11" t="s">
        <v>82</v>
      </c>
    </row>
    <row r="1941" spans="1:15" s="13" customFormat="1" ht="19.5" customHeight="1" x14ac:dyDescent="0.25">
      <c r="A1941" s="11" t="s">
        <v>3471</v>
      </c>
      <c r="B1941" s="11" t="s">
        <v>3471</v>
      </c>
      <c r="C1941" s="12">
        <v>46097</v>
      </c>
      <c r="D1941" s="12">
        <v>46127</v>
      </c>
      <c r="E1941" s="11" t="s">
        <v>6</v>
      </c>
      <c r="F1941" s="11" t="s">
        <v>3469</v>
      </c>
      <c r="G1941" s="11" t="s">
        <v>3471</v>
      </c>
      <c r="H1941" s="11"/>
      <c r="I1941" s="11" t="s">
        <v>49</v>
      </c>
      <c r="J1941" s="11">
        <v>217.57</v>
      </c>
      <c r="K1941" s="11">
        <v>217.57</v>
      </c>
      <c r="L1941" s="11"/>
      <c r="M1941" s="14">
        <v>217.57</v>
      </c>
      <c r="N1941" s="11" t="s">
        <v>3472</v>
      </c>
      <c r="O1941" s="11" t="s">
        <v>50</v>
      </c>
    </row>
    <row r="1942" spans="1:15" s="13" customFormat="1" ht="19.5" customHeight="1" x14ac:dyDescent="0.25">
      <c r="A1942" s="11" t="s">
        <v>3473</v>
      </c>
      <c r="B1942" s="11" t="s">
        <v>3474</v>
      </c>
      <c r="C1942" s="12">
        <v>46099</v>
      </c>
      <c r="D1942" s="12">
        <v>46099</v>
      </c>
      <c r="E1942" s="11" t="s">
        <v>6</v>
      </c>
      <c r="F1942" s="11" t="s">
        <v>3475</v>
      </c>
      <c r="G1942" s="11" t="s">
        <v>3476</v>
      </c>
      <c r="H1942" s="11" t="s">
        <v>3477</v>
      </c>
      <c r="I1942" s="11" t="s">
        <v>49</v>
      </c>
      <c r="J1942" s="11">
        <v>-108.78</v>
      </c>
      <c r="K1942" s="11"/>
      <c r="L1942" s="11">
        <v>108.78</v>
      </c>
      <c r="M1942" s="14">
        <v>-108.78</v>
      </c>
      <c r="N1942" s="11" t="s">
        <v>3478</v>
      </c>
      <c r="O1942" s="11" t="s">
        <v>82</v>
      </c>
    </row>
    <row r="1943" spans="1:15" s="13" customFormat="1" ht="19.5" customHeight="1" x14ac:dyDescent="0.25">
      <c r="A1943" s="11" t="s">
        <v>3477</v>
      </c>
      <c r="B1943" s="11" t="s">
        <v>3477</v>
      </c>
      <c r="C1943" s="12">
        <v>46099</v>
      </c>
      <c r="D1943" s="12">
        <v>46129</v>
      </c>
      <c r="E1943" s="11" t="s">
        <v>6</v>
      </c>
      <c r="F1943" s="11" t="s">
        <v>3475</v>
      </c>
      <c r="G1943" s="11" t="s">
        <v>3477</v>
      </c>
      <c r="H1943" s="11"/>
      <c r="I1943" s="11" t="s">
        <v>49</v>
      </c>
      <c r="J1943" s="11">
        <v>108.78</v>
      </c>
      <c r="K1943" s="11">
        <v>108.78</v>
      </c>
      <c r="L1943" s="11"/>
      <c r="M1943" s="14">
        <v>108.78</v>
      </c>
      <c r="N1943" s="11" t="s">
        <v>3478</v>
      </c>
      <c r="O1943" s="11" t="s">
        <v>50</v>
      </c>
    </row>
    <row r="1944" spans="1:15" s="13" customFormat="1" ht="19.5" customHeight="1" x14ac:dyDescent="0.25">
      <c r="A1944" s="11" t="s">
        <v>3479</v>
      </c>
      <c r="B1944" s="11" t="s">
        <v>3480</v>
      </c>
      <c r="C1944" s="12">
        <v>46100</v>
      </c>
      <c r="D1944" s="12">
        <v>46100</v>
      </c>
      <c r="E1944" s="11" t="s">
        <v>6</v>
      </c>
      <c r="F1944" s="11" t="s">
        <v>3410</v>
      </c>
      <c r="G1944" s="11" t="s">
        <v>3481</v>
      </c>
      <c r="H1944" s="11" t="s">
        <v>3482</v>
      </c>
      <c r="I1944" s="11" t="s">
        <v>49</v>
      </c>
      <c r="J1944" s="11">
        <v>-136.88</v>
      </c>
      <c r="K1944" s="11"/>
      <c r="L1944" s="11">
        <v>136.88</v>
      </c>
      <c r="M1944" s="14">
        <v>-136.88</v>
      </c>
      <c r="N1944" s="11" t="s">
        <v>3483</v>
      </c>
      <c r="O1944" s="11" t="s">
        <v>82</v>
      </c>
    </row>
    <row r="1945" spans="1:15" s="13" customFormat="1" ht="19.5" customHeight="1" x14ac:dyDescent="0.25">
      <c r="A1945" s="11" t="s">
        <v>3482</v>
      </c>
      <c r="B1945" s="11" t="s">
        <v>3482</v>
      </c>
      <c r="C1945" s="12">
        <v>46100</v>
      </c>
      <c r="D1945" s="12">
        <v>46130</v>
      </c>
      <c r="E1945" s="11" t="s">
        <v>6</v>
      </c>
      <c r="F1945" s="11" t="s">
        <v>3410</v>
      </c>
      <c r="G1945" s="11" t="s">
        <v>3482</v>
      </c>
      <c r="H1945" s="11"/>
      <c r="I1945" s="11" t="s">
        <v>49</v>
      </c>
      <c r="J1945" s="11">
        <v>136.88</v>
      </c>
      <c r="K1945" s="11">
        <v>136.88</v>
      </c>
      <c r="L1945" s="11"/>
      <c r="M1945" s="14">
        <v>136.88</v>
      </c>
      <c r="N1945" s="11" t="s">
        <v>3483</v>
      </c>
      <c r="O1945" s="11" t="s">
        <v>50</v>
      </c>
    </row>
    <row r="1946" spans="1:15" s="13" customFormat="1" ht="19.5" customHeight="1" x14ac:dyDescent="0.25">
      <c r="A1946" s="11" t="s">
        <v>3484</v>
      </c>
      <c r="B1946" s="11" t="s">
        <v>3485</v>
      </c>
      <c r="C1946" s="12">
        <v>46101</v>
      </c>
      <c r="D1946" s="12">
        <v>46101</v>
      </c>
      <c r="E1946" s="11" t="s">
        <v>6</v>
      </c>
      <c r="F1946" s="11" t="s">
        <v>3486</v>
      </c>
      <c r="G1946" s="11" t="s">
        <v>3487</v>
      </c>
      <c r="H1946" s="11" t="s">
        <v>3488</v>
      </c>
      <c r="I1946" s="11" t="s">
        <v>49</v>
      </c>
      <c r="J1946" s="11">
        <v>-162.49</v>
      </c>
      <c r="K1946" s="11"/>
      <c r="L1946" s="11">
        <v>162.49</v>
      </c>
      <c r="M1946" s="14">
        <v>-162.49</v>
      </c>
      <c r="N1946" s="11" t="s">
        <v>3489</v>
      </c>
      <c r="O1946" s="11" t="s">
        <v>82</v>
      </c>
    </row>
    <row r="1947" spans="1:15" s="13" customFormat="1" ht="19.5" customHeight="1" x14ac:dyDescent="0.25">
      <c r="A1947" s="11" t="s">
        <v>3488</v>
      </c>
      <c r="B1947" s="11" t="s">
        <v>3488</v>
      </c>
      <c r="C1947" s="12">
        <v>46101</v>
      </c>
      <c r="D1947" s="12">
        <v>46131</v>
      </c>
      <c r="E1947" s="11" t="s">
        <v>6</v>
      </c>
      <c r="F1947" s="11" t="s">
        <v>3486</v>
      </c>
      <c r="G1947" s="11" t="s">
        <v>3488</v>
      </c>
      <c r="H1947" s="11"/>
      <c r="I1947" s="11" t="s">
        <v>49</v>
      </c>
      <c r="J1947" s="11">
        <v>162.49</v>
      </c>
      <c r="K1947" s="11">
        <v>162.49</v>
      </c>
      <c r="L1947" s="11"/>
      <c r="M1947" s="14">
        <v>162.49</v>
      </c>
      <c r="N1947" s="11" t="s">
        <v>3489</v>
      </c>
      <c r="O1947" s="11" t="s">
        <v>50</v>
      </c>
    </row>
    <row r="1948" spans="1:15" s="13" customFormat="1" ht="19.5" customHeight="1" x14ac:dyDescent="0.25">
      <c r="A1948" s="11" t="s">
        <v>3490</v>
      </c>
      <c r="B1948" s="11" t="s">
        <v>3491</v>
      </c>
      <c r="C1948" s="12">
        <v>46101</v>
      </c>
      <c r="D1948" s="12">
        <v>46101</v>
      </c>
      <c r="E1948" s="11" t="s">
        <v>6</v>
      </c>
      <c r="F1948" s="11" t="s">
        <v>3492</v>
      </c>
      <c r="G1948" s="11" t="s">
        <v>3493</v>
      </c>
      <c r="H1948" s="11" t="s">
        <v>3494</v>
      </c>
      <c r="I1948" s="11" t="s">
        <v>49</v>
      </c>
      <c r="J1948" s="11">
        <v>-457.87</v>
      </c>
      <c r="K1948" s="11"/>
      <c r="L1948" s="11">
        <v>457.87</v>
      </c>
      <c r="M1948" s="14">
        <v>-457.87</v>
      </c>
      <c r="N1948" s="11" t="s">
        <v>3495</v>
      </c>
      <c r="O1948" s="11" t="s">
        <v>82</v>
      </c>
    </row>
    <row r="1949" spans="1:15" s="13" customFormat="1" ht="19.5" customHeight="1" x14ac:dyDescent="0.25">
      <c r="A1949" s="11" t="s">
        <v>3494</v>
      </c>
      <c r="B1949" s="11" t="s">
        <v>3494</v>
      </c>
      <c r="C1949" s="12">
        <v>46101</v>
      </c>
      <c r="D1949" s="12">
        <v>46131</v>
      </c>
      <c r="E1949" s="11" t="s">
        <v>6</v>
      </c>
      <c r="F1949" s="11" t="s">
        <v>3492</v>
      </c>
      <c r="G1949" s="11" t="s">
        <v>3494</v>
      </c>
      <c r="H1949" s="11"/>
      <c r="I1949" s="11" t="s">
        <v>49</v>
      </c>
      <c r="J1949" s="11">
        <v>457.87</v>
      </c>
      <c r="K1949" s="11">
        <v>457.87</v>
      </c>
      <c r="L1949" s="11"/>
      <c r="M1949" s="14">
        <v>457.87</v>
      </c>
      <c r="N1949" s="11" t="s">
        <v>3495</v>
      </c>
      <c r="O1949" s="11" t="s">
        <v>50</v>
      </c>
    </row>
    <row r="1950" spans="1:15" s="13" customFormat="1" ht="19.5" customHeight="1" x14ac:dyDescent="0.25">
      <c r="A1950" s="11" t="s">
        <v>3496</v>
      </c>
      <c r="B1950" s="11" t="s">
        <v>3497</v>
      </c>
      <c r="C1950" s="12">
        <v>46101</v>
      </c>
      <c r="D1950" s="12">
        <v>46101</v>
      </c>
      <c r="E1950" s="11" t="s">
        <v>6</v>
      </c>
      <c r="F1950" s="11" t="s">
        <v>3498</v>
      </c>
      <c r="G1950" s="11" t="s">
        <v>3499</v>
      </c>
      <c r="H1950" s="11" t="s">
        <v>3500</v>
      </c>
      <c r="I1950" s="11" t="s">
        <v>49</v>
      </c>
      <c r="J1950" s="11">
        <v>-177.43</v>
      </c>
      <c r="K1950" s="11"/>
      <c r="L1950" s="11">
        <v>177.43</v>
      </c>
      <c r="M1950" s="14">
        <v>-177.43</v>
      </c>
      <c r="N1950" s="11" t="s">
        <v>3501</v>
      </c>
      <c r="O1950" s="11" t="s">
        <v>82</v>
      </c>
    </row>
    <row r="1951" spans="1:15" s="13" customFormat="1" ht="19.5" customHeight="1" x14ac:dyDescent="0.25">
      <c r="A1951" s="11" t="s">
        <v>3500</v>
      </c>
      <c r="B1951" s="11" t="s">
        <v>3500</v>
      </c>
      <c r="C1951" s="12">
        <v>46101</v>
      </c>
      <c r="D1951" s="12">
        <v>46131</v>
      </c>
      <c r="E1951" s="11" t="s">
        <v>6</v>
      </c>
      <c r="F1951" s="11" t="s">
        <v>3498</v>
      </c>
      <c r="G1951" s="11" t="s">
        <v>3500</v>
      </c>
      <c r="H1951" s="11"/>
      <c r="I1951" s="11" t="s">
        <v>49</v>
      </c>
      <c r="J1951" s="11">
        <v>177.43</v>
      </c>
      <c r="K1951" s="11">
        <v>177.43</v>
      </c>
      <c r="L1951" s="11"/>
      <c r="M1951" s="14">
        <v>177.43</v>
      </c>
      <c r="N1951" s="11" t="s">
        <v>3501</v>
      </c>
      <c r="O1951" s="11" t="s">
        <v>50</v>
      </c>
    </row>
    <row r="1952" spans="1:15" s="13" customFormat="1" ht="19.5" customHeight="1" x14ac:dyDescent="0.25">
      <c r="A1952" s="11" t="s">
        <v>3502</v>
      </c>
      <c r="B1952" s="11" t="s">
        <v>3503</v>
      </c>
      <c r="C1952" s="12">
        <v>46104</v>
      </c>
      <c r="D1952" s="12">
        <v>46104</v>
      </c>
      <c r="E1952" s="11" t="s">
        <v>6</v>
      </c>
      <c r="F1952" s="11" t="s">
        <v>3504</v>
      </c>
      <c r="G1952" s="11" t="s">
        <v>3505</v>
      </c>
      <c r="H1952" s="11" t="s">
        <v>3506</v>
      </c>
      <c r="I1952" s="11" t="s">
        <v>49</v>
      </c>
      <c r="J1952" s="11">
        <v>-130.38999999999999</v>
      </c>
      <c r="K1952" s="11"/>
      <c r="L1952" s="11">
        <v>130.38999999999999</v>
      </c>
      <c r="M1952" s="14">
        <v>-130.38999999999999</v>
      </c>
      <c r="N1952" s="11" t="s">
        <v>3507</v>
      </c>
      <c r="O1952" s="11" t="s">
        <v>82</v>
      </c>
    </row>
    <row r="1953" spans="1:15" s="13" customFormat="1" ht="19.5" customHeight="1" x14ac:dyDescent="0.25">
      <c r="A1953" s="11" t="s">
        <v>3506</v>
      </c>
      <c r="B1953" s="11" t="s">
        <v>3506</v>
      </c>
      <c r="C1953" s="12">
        <v>46104</v>
      </c>
      <c r="D1953" s="12">
        <v>46134</v>
      </c>
      <c r="E1953" s="11" t="s">
        <v>6</v>
      </c>
      <c r="F1953" s="11" t="s">
        <v>3504</v>
      </c>
      <c r="G1953" s="11" t="s">
        <v>3506</v>
      </c>
      <c r="H1953" s="11"/>
      <c r="I1953" s="11" t="s">
        <v>49</v>
      </c>
      <c r="J1953" s="11">
        <v>130.38999999999999</v>
      </c>
      <c r="K1953" s="11">
        <v>130.38999999999999</v>
      </c>
      <c r="L1953" s="11"/>
      <c r="M1953" s="14">
        <v>130.38999999999999</v>
      </c>
      <c r="N1953" s="11" t="s">
        <v>3507</v>
      </c>
      <c r="O1953" s="11" t="s">
        <v>50</v>
      </c>
    </row>
    <row r="1954" spans="1:15" s="13" customFormat="1" ht="19.5" customHeight="1" x14ac:dyDescent="0.25">
      <c r="A1954" s="11" t="s">
        <v>3508</v>
      </c>
      <c r="B1954" s="11" t="s">
        <v>3509</v>
      </c>
      <c r="C1954" s="12">
        <v>46106</v>
      </c>
      <c r="D1954" s="12">
        <v>46106</v>
      </c>
      <c r="E1954" s="11" t="s">
        <v>6</v>
      </c>
      <c r="F1954" s="11" t="s">
        <v>3422</v>
      </c>
      <c r="G1954" s="11" t="s">
        <v>3510</v>
      </c>
      <c r="H1954" s="11" t="s">
        <v>3511</v>
      </c>
      <c r="I1954" s="11" t="s">
        <v>49</v>
      </c>
      <c r="J1954" s="11">
        <v>-109.15</v>
      </c>
      <c r="K1954" s="11"/>
      <c r="L1954" s="11">
        <v>109.15</v>
      </c>
      <c r="M1954" s="14">
        <v>-109.15</v>
      </c>
      <c r="N1954" s="11" t="s">
        <v>3512</v>
      </c>
      <c r="O1954" s="11" t="s">
        <v>82</v>
      </c>
    </row>
    <row r="1955" spans="1:15" s="13" customFormat="1" ht="19.5" customHeight="1" x14ac:dyDescent="0.25">
      <c r="A1955" s="11" t="s">
        <v>3511</v>
      </c>
      <c r="B1955" s="11" t="s">
        <v>3511</v>
      </c>
      <c r="C1955" s="12">
        <v>46106</v>
      </c>
      <c r="D1955" s="12">
        <v>46136</v>
      </c>
      <c r="E1955" s="11" t="s">
        <v>6</v>
      </c>
      <c r="F1955" s="11" t="s">
        <v>3422</v>
      </c>
      <c r="G1955" s="11" t="s">
        <v>3511</v>
      </c>
      <c r="H1955" s="11"/>
      <c r="I1955" s="11" t="s">
        <v>49</v>
      </c>
      <c r="J1955" s="11">
        <v>109.15</v>
      </c>
      <c r="K1955" s="11">
        <v>109.15</v>
      </c>
      <c r="L1955" s="11"/>
      <c r="M1955" s="14">
        <v>109.15</v>
      </c>
      <c r="N1955" s="11" t="s">
        <v>3512</v>
      </c>
      <c r="O1955" s="11" t="s">
        <v>50</v>
      </c>
    </row>
    <row r="1956" spans="1:15" s="13" customFormat="1" ht="19.5" customHeight="1" x14ac:dyDescent="0.25">
      <c r="A1956" s="11" t="s">
        <v>3513</v>
      </c>
      <c r="B1956" s="11" t="s">
        <v>3514</v>
      </c>
      <c r="C1956" s="12">
        <v>46107</v>
      </c>
      <c r="D1956" s="12">
        <v>46107</v>
      </c>
      <c r="E1956" s="11" t="s">
        <v>6</v>
      </c>
      <c r="F1956" s="11" t="s">
        <v>3410</v>
      </c>
      <c r="G1956" s="11" t="s">
        <v>3515</v>
      </c>
      <c r="H1956" s="11" t="s">
        <v>3516</v>
      </c>
      <c r="I1956" s="11" t="s">
        <v>49</v>
      </c>
      <c r="J1956" s="11">
        <v>-37.17</v>
      </c>
      <c r="K1956" s="11"/>
      <c r="L1956" s="11">
        <v>37.17</v>
      </c>
      <c r="M1956" s="14">
        <v>-37.17</v>
      </c>
      <c r="N1956" s="11" t="s">
        <v>3517</v>
      </c>
      <c r="O1956" s="11" t="s">
        <v>82</v>
      </c>
    </row>
    <row r="1957" spans="1:15" s="13" customFormat="1" ht="19.5" customHeight="1" x14ac:dyDescent="0.25">
      <c r="A1957" s="11" t="s">
        <v>3516</v>
      </c>
      <c r="B1957" s="11" t="s">
        <v>3516</v>
      </c>
      <c r="C1957" s="12">
        <v>46107</v>
      </c>
      <c r="D1957" s="12">
        <v>46137</v>
      </c>
      <c r="E1957" s="11" t="s">
        <v>6</v>
      </c>
      <c r="F1957" s="11" t="s">
        <v>3410</v>
      </c>
      <c r="G1957" s="11" t="s">
        <v>3516</v>
      </c>
      <c r="H1957" s="11"/>
      <c r="I1957" s="11" t="s">
        <v>49</v>
      </c>
      <c r="J1957" s="11">
        <v>37.17</v>
      </c>
      <c r="K1957" s="11">
        <v>37.17</v>
      </c>
      <c r="L1957" s="11"/>
      <c r="M1957" s="14">
        <v>37.17</v>
      </c>
      <c r="N1957" s="11" t="s">
        <v>3517</v>
      </c>
      <c r="O1957" s="11" t="s">
        <v>50</v>
      </c>
    </row>
    <row r="1958" spans="1:15" s="13" customFormat="1" ht="19.5" customHeight="1" x14ac:dyDescent="0.25">
      <c r="A1958" s="11" t="s">
        <v>3518</v>
      </c>
      <c r="B1958" s="11" t="s">
        <v>3519</v>
      </c>
      <c r="C1958" s="12">
        <v>46107</v>
      </c>
      <c r="D1958" s="12">
        <v>46107</v>
      </c>
      <c r="E1958" s="11" t="s">
        <v>6</v>
      </c>
      <c r="F1958" s="11" t="s">
        <v>3520</v>
      </c>
      <c r="G1958" s="11" t="s">
        <v>3521</v>
      </c>
      <c r="H1958" s="11" t="s">
        <v>3522</v>
      </c>
      <c r="I1958" s="11" t="s">
        <v>49</v>
      </c>
      <c r="J1958" s="11">
        <v>-193.11</v>
      </c>
      <c r="K1958" s="11"/>
      <c r="L1958" s="11">
        <v>193.11</v>
      </c>
      <c r="M1958" s="14">
        <v>-193.11</v>
      </c>
      <c r="N1958" s="11" t="s">
        <v>3523</v>
      </c>
      <c r="O1958" s="11" t="s">
        <v>82</v>
      </c>
    </row>
    <row r="1959" spans="1:15" s="13" customFormat="1" ht="19.5" customHeight="1" x14ac:dyDescent="0.25">
      <c r="A1959" s="11" t="s">
        <v>3522</v>
      </c>
      <c r="B1959" s="11" t="s">
        <v>3522</v>
      </c>
      <c r="C1959" s="12">
        <v>46107</v>
      </c>
      <c r="D1959" s="12">
        <v>46137</v>
      </c>
      <c r="E1959" s="11" t="s">
        <v>6</v>
      </c>
      <c r="F1959" s="11" t="s">
        <v>3520</v>
      </c>
      <c r="G1959" s="11" t="s">
        <v>3522</v>
      </c>
      <c r="H1959" s="11"/>
      <c r="I1959" s="11" t="s">
        <v>49</v>
      </c>
      <c r="J1959" s="11">
        <v>193.11</v>
      </c>
      <c r="K1959" s="11">
        <v>193.11</v>
      </c>
      <c r="L1959" s="11"/>
      <c r="M1959" s="14">
        <v>193.11</v>
      </c>
      <c r="N1959" s="11" t="s">
        <v>3523</v>
      </c>
      <c r="O1959" s="11" t="s">
        <v>50</v>
      </c>
    </row>
    <row r="1960" spans="1:15" s="13" customFormat="1" ht="19.5" customHeight="1" x14ac:dyDescent="0.25">
      <c r="A1960" s="11" t="s">
        <v>3524</v>
      </c>
      <c r="B1960" s="11" t="s">
        <v>3525</v>
      </c>
      <c r="C1960" s="12">
        <v>46108</v>
      </c>
      <c r="D1960" s="12">
        <v>46108</v>
      </c>
      <c r="E1960" s="11" t="s">
        <v>6</v>
      </c>
      <c r="F1960" s="11" t="s">
        <v>3526</v>
      </c>
      <c r="G1960" s="11" t="s">
        <v>3527</v>
      </c>
      <c r="H1960" s="11" t="s">
        <v>3528</v>
      </c>
      <c r="I1960" s="11" t="s">
        <v>49</v>
      </c>
      <c r="J1960" s="11">
        <v>-247.25</v>
      </c>
      <c r="K1960" s="11"/>
      <c r="L1960" s="11">
        <v>247.25</v>
      </c>
      <c r="M1960" s="14">
        <v>-247.25</v>
      </c>
      <c r="N1960" s="11" t="s">
        <v>3529</v>
      </c>
      <c r="O1960" s="11" t="s">
        <v>82</v>
      </c>
    </row>
    <row r="1961" spans="1:15" s="13" customFormat="1" ht="19.5" customHeight="1" x14ac:dyDescent="0.25">
      <c r="A1961" s="11" t="s">
        <v>3528</v>
      </c>
      <c r="B1961" s="11" t="s">
        <v>3528</v>
      </c>
      <c r="C1961" s="12">
        <v>46108</v>
      </c>
      <c r="D1961" s="12">
        <v>46138</v>
      </c>
      <c r="E1961" s="11" t="s">
        <v>6</v>
      </c>
      <c r="F1961" s="11" t="s">
        <v>3526</v>
      </c>
      <c r="G1961" s="11" t="s">
        <v>3528</v>
      </c>
      <c r="H1961" s="11"/>
      <c r="I1961" s="11" t="s">
        <v>49</v>
      </c>
      <c r="J1961" s="11">
        <v>247.25</v>
      </c>
      <c r="K1961" s="11">
        <v>247.25</v>
      </c>
      <c r="L1961" s="11"/>
      <c r="M1961" s="14">
        <v>247.25</v>
      </c>
      <c r="N1961" s="11" t="s">
        <v>3529</v>
      </c>
      <c r="O1961" s="11" t="s">
        <v>50</v>
      </c>
    </row>
    <row r="1962" spans="1:15" s="13" customFormat="1" ht="19.5" customHeight="1" x14ac:dyDescent="0.25">
      <c r="A1962" s="11" t="s">
        <v>3530</v>
      </c>
      <c r="B1962" s="11" t="s">
        <v>3530</v>
      </c>
      <c r="C1962" s="12">
        <v>45971</v>
      </c>
      <c r="D1962" s="12">
        <v>45971</v>
      </c>
      <c r="E1962" s="11" t="s">
        <v>6</v>
      </c>
      <c r="F1962" s="11" t="s">
        <v>3531</v>
      </c>
      <c r="G1962" s="11" t="s">
        <v>3530</v>
      </c>
      <c r="H1962" s="11"/>
      <c r="I1962" s="11" t="s">
        <v>49</v>
      </c>
      <c r="J1962" s="11">
        <v>112.01</v>
      </c>
      <c r="K1962" s="11">
        <v>112.01</v>
      </c>
      <c r="L1962" s="11"/>
      <c r="M1962" s="11">
        <v>112.01</v>
      </c>
      <c r="N1962" s="11" t="s">
        <v>3532</v>
      </c>
      <c r="O1962" s="11" t="s">
        <v>50</v>
      </c>
    </row>
    <row r="1963" spans="1:15" s="13" customFormat="1" ht="19.5" customHeight="1" x14ac:dyDescent="0.25">
      <c r="A1963" s="11" t="s">
        <v>3533</v>
      </c>
      <c r="B1963" s="11" t="s">
        <v>3534</v>
      </c>
      <c r="C1963" s="12">
        <v>46111</v>
      </c>
      <c r="D1963" s="12">
        <v>46111</v>
      </c>
      <c r="E1963" s="11" t="s">
        <v>6</v>
      </c>
      <c r="F1963" s="11" t="s">
        <v>50</v>
      </c>
      <c r="G1963" s="11" t="s">
        <v>3535</v>
      </c>
      <c r="H1963" s="11" t="s">
        <v>3536</v>
      </c>
      <c r="I1963" s="11" t="s">
        <v>49</v>
      </c>
      <c r="J1963" s="11">
        <v>-32.56</v>
      </c>
      <c r="K1963" s="11"/>
      <c r="L1963" s="11">
        <v>32.56</v>
      </c>
      <c r="M1963" s="14">
        <v>-32.56</v>
      </c>
      <c r="N1963" s="11" t="s">
        <v>3537</v>
      </c>
      <c r="O1963" s="11" t="s">
        <v>82</v>
      </c>
    </row>
    <row r="1964" spans="1:15" s="13" customFormat="1" ht="19.5" customHeight="1" x14ac:dyDescent="0.25">
      <c r="A1964" s="11" t="s">
        <v>3538</v>
      </c>
      <c r="B1964" s="11" t="s">
        <v>3538</v>
      </c>
      <c r="C1964" s="12">
        <v>45971</v>
      </c>
      <c r="D1964" s="12">
        <v>45971</v>
      </c>
      <c r="E1964" s="11" t="s">
        <v>6</v>
      </c>
      <c r="F1964" s="11" t="s">
        <v>3539</v>
      </c>
      <c r="G1964" s="11" t="s">
        <v>3538</v>
      </c>
      <c r="H1964" s="11"/>
      <c r="I1964" s="11" t="s">
        <v>49</v>
      </c>
      <c r="J1964" s="11">
        <v>100.9</v>
      </c>
      <c r="K1964" s="11">
        <v>100.9</v>
      </c>
      <c r="L1964" s="11"/>
      <c r="M1964" s="11">
        <v>100.9</v>
      </c>
      <c r="N1964" s="11" t="s">
        <v>3540</v>
      </c>
      <c r="O1964" s="11" t="s">
        <v>50</v>
      </c>
    </row>
    <row r="1965" spans="1:15" s="13" customFormat="1" ht="19.5" customHeight="1" x14ac:dyDescent="0.25">
      <c r="A1965" s="11" t="s">
        <v>3536</v>
      </c>
      <c r="B1965" s="11" t="s">
        <v>3536</v>
      </c>
      <c r="C1965" s="12">
        <v>46111</v>
      </c>
      <c r="D1965" s="12">
        <v>46141</v>
      </c>
      <c r="E1965" s="11" t="s">
        <v>6</v>
      </c>
      <c r="F1965" s="11" t="s">
        <v>50</v>
      </c>
      <c r="G1965" s="11" t="s">
        <v>3536</v>
      </c>
      <c r="H1965" s="11"/>
      <c r="I1965" s="11" t="s">
        <v>49</v>
      </c>
      <c r="J1965" s="11">
        <v>32.56</v>
      </c>
      <c r="K1965" s="11">
        <v>32.56</v>
      </c>
      <c r="L1965" s="11"/>
      <c r="M1965" s="14">
        <v>32.56</v>
      </c>
      <c r="N1965" s="11" t="s">
        <v>3537</v>
      </c>
      <c r="O1965" s="11" t="s">
        <v>50</v>
      </c>
    </row>
    <row r="1966" spans="1:15" s="13" customFormat="1" ht="19.5" customHeight="1" x14ac:dyDescent="0.25">
      <c r="A1966" s="11" t="s">
        <v>3541</v>
      </c>
      <c r="B1966" s="11" t="s">
        <v>3541</v>
      </c>
      <c r="C1966" s="12">
        <v>46112</v>
      </c>
      <c r="D1966" s="12">
        <v>46112</v>
      </c>
      <c r="E1966" s="11" t="s">
        <v>6</v>
      </c>
      <c r="F1966" s="11" t="s">
        <v>3542</v>
      </c>
      <c r="G1966" s="11" t="s">
        <v>3541</v>
      </c>
      <c r="H1966" s="11"/>
      <c r="I1966" s="11" t="s">
        <v>49</v>
      </c>
      <c r="J1966" s="11">
        <v>201.87</v>
      </c>
      <c r="K1966" s="11">
        <v>201.87</v>
      </c>
      <c r="L1966" s="11"/>
      <c r="M1966" s="14">
        <v>201.87</v>
      </c>
      <c r="N1966" s="11" t="s">
        <v>3543</v>
      </c>
      <c r="O1966" s="11" t="s">
        <v>50</v>
      </c>
    </row>
    <row r="1967" spans="1:15" s="13" customFormat="1" ht="19.5" customHeight="1" x14ac:dyDescent="0.25">
      <c r="A1967" s="11" t="s">
        <v>3544</v>
      </c>
      <c r="B1967" s="11" t="s">
        <v>3545</v>
      </c>
      <c r="C1967" s="12">
        <v>46111</v>
      </c>
      <c r="D1967" s="12">
        <v>46111</v>
      </c>
      <c r="E1967" s="11" t="s">
        <v>6</v>
      </c>
      <c r="F1967" s="11" t="s">
        <v>3542</v>
      </c>
      <c r="G1967" s="11" t="s">
        <v>3546</v>
      </c>
      <c r="H1967" s="11" t="s">
        <v>3541</v>
      </c>
      <c r="I1967" s="11" t="s">
        <v>49</v>
      </c>
      <c r="J1967" s="11">
        <v>-201.87</v>
      </c>
      <c r="K1967" s="11"/>
      <c r="L1967" s="11">
        <v>201.87</v>
      </c>
      <c r="M1967" s="14">
        <v>-201.87</v>
      </c>
      <c r="N1967" s="11" t="s">
        <v>3543</v>
      </c>
      <c r="O1967" s="11" t="s">
        <v>82</v>
      </c>
    </row>
    <row r="1968" spans="1:15" s="13" customFormat="1" ht="19.5" customHeight="1" x14ac:dyDescent="0.25">
      <c r="A1968" s="11" t="s">
        <v>3547</v>
      </c>
      <c r="B1968" s="11" t="s">
        <v>3547</v>
      </c>
      <c r="C1968" s="12">
        <v>46112</v>
      </c>
      <c r="D1968" s="12">
        <v>46112</v>
      </c>
      <c r="E1968" s="11" t="s">
        <v>6</v>
      </c>
      <c r="F1968" s="11" t="s">
        <v>3548</v>
      </c>
      <c r="G1968" s="11" t="s">
        <v>3547</v>
      </c>
      <c r="H1968" s="11"/>
      <c r="I1968" s="11" t="s">
        <v>49</v>
      </c>
      <c r="J1968" s="11">
        <v>674.5</v>
      </c>
      <c r="K1968" s="11">
        <v>674.5</v>
      </c>
      <c r="L1968" s="11"/>
      <c r="M1968" s="14">
        <v>674.5</v>
      </c>
      <c r="N1968" s="11" t="s">
        <v>3549</v>
      </c>
      <c r="O1968" s="11" t="s">
        <v>50</v>
      </c>
    </row>
    <row r="1969" spans="1:15" s="13" customFormat="1" ht="19.5" customHeight="1" x14ac:dyDescent="0.25">
      <c r="A1969" s="11" t="s">
        <v>3550</v>
      </c>
      <c r="B1969" s="11" t="s">
        <v>3551</v>
      </c>
      <c r="C1969" s="12">
        <v>46111</v>
      </c>
      <c r="D1969" s="12">
        <v>46111</v>
      </c>
      <c r="E1969" s="11" t="s">
        <v>6</v>
      </c>
      <c r="F1969" s="11" t="s">
        <v>3548</v>
      </c>
      <c r="G1969" s="11" t="s">
        <v>3552</v>
      </c>
      <c r="H1969" s="11" t="s">
        <v>3547</v>
      </c>
      <c r="I1969" s="11" t="s">
        <v>49</v>
      </c>
      <c r="J1969" s="11">
        <v>-674.5</v>
      </c>
      <c r="K1969" s="11"/>
      <c r="L1969" s="11">
        <v>674.5</v>
      </c>
      <c r="M1969" s="14">
        <v>-674.5</v>
      </c>
      <c r="N1969" s="11" t="s">
        <v>3549</v>
      </c>
      <c r="O1969" s="11" t="s">
        <v>82</v>
      </c>
    </row>
    <row r="1970" spans="1:15" s="13" customFormat="1" ht="19.5" customHeight="1" x14ac:dyDescent="0.25">
      <c r="A1970" s="11" t="s">
        <v>3553</v>
      </c>
      <c r="B1970" s="11" t="s">
        <v>3553</v>
      </c>
      <c r="C1970" s="12">
        <v>45971</v>
      </c>
      <c r="D1970" s="12">
        <v>45971</v>
      </c>
      <c r="E1970" s="11" t="s">
        <v>6</v>
      </c>
      <c r="F1970" s="11" t="s">
        <v>3554</v>
      </c>
      <c r="G1970" s="11" t="s">
        <v>3553</v>
      </c>
      <c r="H1970" s="11"/>
      <c r="I1970" s="11" t="s">
        <v>49</v>
      </c>
      <c r="J1970" s="11">
        <v>75.5</v>
      </c>
      <c r="K1970" s="11">
        <v>75.5</v>
      </c>
      <c r="L1970" s="11"/>
      <c r="M1970" s="11">
        <v>75.5</v>
      </c>
      <c r="N1970" s="11" t="s">
        <v>3555</v>
      </c>
      <c r="O1970" s="11" t="s">
        <v>50</v>
      </c>
    </row>
    <row r="1971" spans="1:15" s="13" customFormat="1" ht="19.5" customHeight="1" x14ac:dyDescent="0.25">
      <c r="A1971" s="11" t="s">
        <v>3556</v>
      </c>
      <c r="B1971" s="11" t="s">
        <v>3556</v>
      </c>
      <c r="C1971" s="12">
        <v>46112</v>
      </c>
      <c r="D1971" s="12">
        <v>46112</v>
      </c>
      <c r="E1971" s="11" t="s">
        <v>6</v>
      </c>
      <c r="F1971" s="11" t="s">
        <v>3557</v>
      </c>
      <c r="G1971" s="11" t="s">
        <v>3556</v>
      </c>
      <c r="H1971" s="11"/>
      <c r="I1971" s="11" t="s">
        <v>49</v>
      </c>
      <c r="J1971" s="11">
        <v>612.5</v>
      </c>
      <c r="K1971" s="11">
        <v>612.5</v>
      </c>
      <c r="L1971" s="11"/>
      <c r="M1971" s="14">
        <v>612.5</v>
      </c>
      <c r="N1971" s="11" t="s">
        <v>3558</v>
      </c>
      <c r="O1971" s="11" t="s">
        <v>50</v>
      </c>
    </row>
    <row r="1972" spans="1:15" s="13" customFormat="1" ht="19.5" customHeight="1" x14ac:dyDescent="0.25">
      <c r="A1972" s="11" t="s">
        <v>3559</v>
      </c>
      <c r="B1972" s="11" t="s">
        <v>3560</v>
      </c>
      <c r="C1972" s="12">
        <v>46111</v>
      </c>
      <c r="D1972" s="12">
        <v>46111</v>
      </c>
      <c r="E1972" s="11" t="s">
        <v>6</v>
      </c>
      <c r="F1972" s="11" t="s">
        <v>3557</v>
      </c>
      <c r="G1972" s="11" t="s">
        <v>3561</v>
      </c>
      <c r="H1972" s="11" t="s">
        <v>3556</v>
      </c>
      <c r="I1972" s="11" t="s">
        <v>49</v>
      </c>
      <c r="J1972" s="11">
        <v>-612.5</v>
      </c>
      <c r="K1972" s="11"/>
      <c r="L1972" s="11">
        <v>612.5</v>
      </c>
      <c r="M1972" s="14">
        <v>-612.5</v>
      </c>
      <c r="N1972" s="11" t="s">
        <v>3558</v>
      </c>
      <c r="O1972" s="11" t="s">
        <v>82</v>
      </c>
    </row>
    <row r="1973" spans="1:15" s="13" customFormat="1" ht="19.5" customHeight="1" x14ac:dyDescent="0.25">
      <c r="A1973" s="11" t="s">
        <v>3562</v>
      </c>
      <c r="B1973" s="11" t="s">
        <v>3562</v>
      </c>
      <c r="C1973" s="12">
        <v>46112</v>
      </c>
      <c r="D1973" s="12">
        <v>46112</v>
      </c>
      <c r="E1973" s="11" t="s">
        <v>6</v>
      </c>
      <c r="F1973" s="11" t="s">
        <v>1282</v>
      </c>
      <c r="G1973" s="11" t="s">
        <v>3562</v>
      </c>
      <c r="H1973" s="11"/>
      <c r="I1973" s="11" t="s">
        <v>49</v>
      </c>
      <c r="J1973" s="11">
        <v>295</v>
      </c>
      <c r="K1973" s="11">
        <v>295</v>
      </c>
      <c r="L1973" s="11"/>
      <c r="M1973" s="14">
        <v>295</v>
      </c>
      <c r="N1973" s="11" t="s">
        <v>3563</v>
      </c>
      <c r="O1973" s="11" t="s">
        <v>50</v>
      </c>
    </row>
    <row r="1974" spans="1:15" s="13" customFormat="1" ht="19.5" customHeight="1" x14ac:dyDescent="0.25">
      <c r="A1974" s="11" t="s">
        <v>3564</v>
      </c>
      <c r="B1974" s="11" t="s">
        <v>3565</v>
      </c>
      <c r="C1974" s="12">
        <v>46111</v>
      </c>
      <c r="D1974" s="12">
        <v>46111</v>
      </c>
      <c r="E1974" s="11" t="s">
        <v>6</v>
      </c>
      <c r="F1974" s="11" t="s">
        <v>1282</v>
      </c>
      <c r="G1974" s="11" t="s">
        <v>3566</v>
      </c>
      <c r="H1974" s="11" t="s">
        <v>3562</v>
      </c>
      <c r="I1974" s="11" t="s">
        <v>49</v>
      </c>
      <c r="J1974" s="11">
        <v>-295</v>
      </c>
      <c r="K1974" s="11"/>
      <c r="L1974" s="11">
        <v>295</v>
      </c>
      <c r="M1974" s="14">
        <v>-295</v>
      </c>
      <c r="N1974" s="11" t="s">
        <v>3563</v>
      </c>
      <c r="O1974" s="11" t="s">
        <v>82</v>
      </c>
    </row>
    <row r="1975" spans="1:15" s="13" customFormat="1" ht="19.5" customHeight="1" x14ac:dyDescent="0.25">
      <c r="A1975" s="11" t="s">
        <v>3567</v>
      </c>
      <c r="B1975" s="11" t="s">
        <v>3567</v>
      </c>
      <c r="C1975" s="12">
        <v>46112</v>
      </c>
      <c r="D1975" s="12">
        <v>46112</v>
      </c>
      <c r="E1975" s="11" t="s">
        <v>6</v>
      </c>
      <c r="F1975" s="11" t="s">
        <v>2086</v>
      </c>
      <c r="G1975" s="11" t="s">
        <v>3567</v>
      </c>
      <c r="H1975" s="11"/>
      <c r="I1975" s="11" t="s">
        <v>49</v>
      </c>
      <c r="J1975" s="11">
        <v>24</v>
      </c>
      <c r="K1975" s="11">
        <v>24</v>
      </c>
      <c r="L1975" s="11"/>
      <c r="M1975" s="14">
        <v>24</v>
      </c>
      <c r="N1975" s="11" t="s">
        <v>3568</v>
      </c>
      <c r="O1975" s="11" t="s">
        <v>50</v>
      </c>
    </row>
    <row r="1976" spans="1:15" s="13" customFormat="1" ht="19.5" customHeight="1" x14ac:dyDescent="0.25">
      <c r="A1976" s="11" t="s">
        <v>3569</v>
      </c>
      <c r="B1976" s="11" t="s">
        <v>3570</v>
      </c>
      <c r="C1976" s="12">
        <v>46111</v>
      </c>
      <c r="D1976" s="12">
        <v>46111</v>
      </c>
      <c r="E1976" s="11" t="s">
        <v>6</v>
      </c>
      <c r="F1976" s="11" t="s">
        <v>2086</v>
      </c>
      <c r="G1976" s="11" t="s">
        <v>3571</v>
      </c>
      <c r="H1976" s="11" t="s">
        <v>3567</v>
      </c>
      <c r="I1976" s="11" t="s">
        <v>49</v>
      </c>
      <c r="J1976" s="11">
        <v>-24</v>
      </c>
      <c r="K1976" s="11"/>
      <c r="L1976" s="11">
        <v>24</v>
      </c>
      <c r="M1976" s="14">
        <v>-24</v>
      </c>
      <c r="N1976" s="11" t="s">
        <v>3568</v>
      </c>
      <c r="O1976" s="11" t="s">
        <v>82</v>
      </c>
    </row>
    <row r="1977" spans="1:15" s="13" customFormat="1" ht="19.5" customHeight="1" x14ac:dyDescent="0.25">
      <c r="A1977" s="11" t="s">
        <v>3572</v>
      </c>
      <c r="B1977" s="11" t="s">
        <v>3572</v>
      </c>
      <c r="C1977" s="12">
        <v>45699</v>
      </c>
      <c r="D1977" s="11"/>
      <c r="E1977" s="11" t="s">
        <v>6</v>
      </c>
      <c r="F1977" s="11" t="s">
        <v>3573</v>
      </c>
      <c r="G1977" s="11" t="s">
        <v>3574</v>
      </c>
      <c r="H1977" s="11"/>
      <c r="I1977" s="11" t="s">
        <v>49</v>
      </c>
      <c r="J1977" s="11">
        <v>-0.01</v>
      </c>
      <c r="K1977" s="11"/>
      <c r="L1977" s="11">
        <v>0.01</v>
      </c>
      <c r="M1977" s="14">
        <v>-0.01</v>
      </c>
      <c r="N1977" s="11" t="s">
        <v>3575</v>
      </c>
      <c r="O1977" s="11" t="s">
        <v>2000</v>
      </c>
    </row>
    <row r="1978" spans="1:15" s="13" customFormat="1" ht="19.5" customHeight="1" x14ac:dyDescent="0.25">
      <c r="A1978" s="11" t="s">
        <v>3576</v>
      </c>
      <c r="B1978" s="11" t="s">
        <v>3576</v>
      </c>
      <c r="C1978" s="12">
        <v>45699</v>
      </c>
      <c r="D1978" s="12">
        <v>45699</v>
      </c>
      <c r="E1978" s="11" t="s">
        <v>6</v>
      </c>
      <c r="F1978" s="11" t="s">
        <v>3573</v>
      </c>
      <c r="G1978" s="11" t="s">
        <v>3576</v>
      </c>
      <c r="H1978" s="11"/>
      <c r="I1978" s="11" t="s">
        <v>49</v>
      </c>
      <c r="J1978" s="11">
        <v>146.97</v>
      </c>
      <c r="K1978" s="11">
        <v>146.97</v>
      </c>
      <c r="L1978" s="11"/>
      <c r="M1978" s="14">
        <v>146.97</v>
      </c>
      <c r="N1978" s="11" t="s">
        <v>3575</v>
      </c>
      <c r="O1978" s="11" t="s">
        <v>3299</v>
      </c>
    </row>
    <row r="1979" spans="1:15" s="13" customFormat="1" ht="19.5" customHeight="1" x14ac:dyDescent="0.25">
      <c r="A1979" s="11" t="s">
        <v>3577</v>
      </c>
      <c r="B1979" s="11" t="s">
        <v>3577</v>
      </c>
      <c r="C1979" s="12">
        <v>45658</v>
      </c>
      <c r="D1979" s="12">
        <v>45625</v>
      </c>
      <c r="E1979" s="11" t="s">
        <v>6</v>
      </c>
      <c r="F1979" s="11" t="s">
        <v>3573</v>
      </c>
      <c r="G1979" s="11" t="s">
        <v>3577</v>
      </c>
      <c r="H1979" s="11"/>
      <c r="I1979" s="11" t="s">
        <v>49</v>
      </c>
      <c r="J1979" s="11">
        <v>-146.96</v>
      </c>
      <c r="K1979" s="11"/>
      <c r="L1979" s="11">
        <v>146.96</v>
      </c>
      <c r="M1979" s="14">
        <v>-146.96</v>
      </c>
      <c r="N1979" s="11" t="s">
        <v>3575</v>
      </c>
      <c r="O1979" s="11" t="s">
        <v>234</v>
      </c>
    </row>
    <row r="1980" spans="1:15" s="13" customFormat="1" ht="19.5" customHeight="1" x14ac:dyDescent="0.25">
      <c r="A1980" s="11" t="s">
        <v>3578</v>
      </c>
      <c r="B1980" s="11" t="s">
        <v>3578</v>
      </c>
      <c r="C1980" s="12">
        <v>46071</v>
      </c>
      <c r="D1980" s="12">
        <v>46071</v>
      </c>
      <c r="E1980" s="11" t="s">
        <v>6</v>
      </c>
      <c r="F1980" s="11" t="s">
        <v>3579</v>
      </c>
      <c r="G1980" s="11" t="s">
        <v>3578</v>
      </c>
      <c r="H1980" s="11"/>
      <c r="I1980" s="11" t="s">
        <v>49</v>
      </c>
      <c r="J1980" s="11">
        <v>198.24</v>
      </c>
      <c r="K1980" s="11">
        <v>198.24</v>
      </c>
      <c r="L1980" s="11"/>
      <c r="M1980" s="14">
        <v>198.24</v>
      </c>
      <c r="N1980" s="11" t="s">
        <v>3580</v>
      </c>
      <c r="O1980" s="11" t="s">
        <v>50</v>
      </c>
    </row>
    <row r="1981" spans="1:15" s="13" customFormat="1" ht="19.5" customHeight="1" x14ac:dyDescent="0.25">
      <c r="A1981" s="11" t="s">
        <v>3581</v>
      </c>
      <c r="B1981" s="11" t="s">
        <v>3581</v>
      </c>
      <c r="C1981" s="12">
        <v>46058</v>
      </c>
      <c r="D1981" s="11"/>
      <c r="E1981" s="11" t="s">
        <v>6</v>
      </c>
      <c r="F1981" s="11" t="s">
        <v>3579</v>
      </c>
      <c r="G1981" s="11" t="s">
        <v>3578</v>
      </c>
      <c r="H1981" s="11"/>
      <c r="I1981" s="11" t="s">
        <v>49</v>
      </c>
      <c r="J1981" s="11">
        <v>-3.54</v>
      </c>
      <c r="K1981" s="11"/>
      <c r="L1981" s="11">
        <v>3.54</v>
      </c>
      <c r="M1981" s="14">
        <v>-3.54</v>
      </c>
      <c r="N1981" s="11" t="s">
        <v>3580</v>
      </c>
      <c r="O1981" s="11" t="s">
        <v>234</v>
      </c>
    </row>
    <row r="1982" spans="1:15" s="13" customFormat="1" ht="19.5" customHeight="1" x14ac:dyDescent="0.25">
      <c r="A1982" s="11" t="s">
        <v>3582</v>
      </c>
      <c r="B1982" s="11" t="s">
        <v>3582</v>
      </c>
      <c r="C1982" s="12">
        <v>46057</v>
      </c>
      <c r="D1982" s="11"/>
      <c r="E1982" s="11" t="s">
        <v>6</v>
      </c>
      <c r="F1982" s="11" t="s">
        <v>3579</v>
      </c>
      <c r="G1982" s="11" t="s">
        <v>3578</v>
      </c>
      <c r="H1982" s="11"/>
      <c r="I1982" s="11" t="s">
        <v>49</v>
      </c>
      <c r="J1982" s="11">
        <v>-194.7</v>
      </c>
      <c r="K1982" s="11"/>
      <c r="L1982" s="11">
        <v>194.7</v>
      </c>
      <c r="M1982" s="14">
        <v>-194.7</v>
      </c>
      <c r="N1982" s="11" t="s">
        <v>3580</v>
      </c>
      <c r="O1982" s="11" t="s">
        <v>234</v>
      </c>
    </row>
    <row r="1983" spans="1:15" s="13" customFormat="1" ht="19.5" customHeight="1" x14ac:dyDescent="0.25">
      <c r="A1983" s="11" t="s">
        <v>3583</v>
      </c>
      <c r="B1983" s="11" t="s">
        <v>3583</v>
      </c>
      <c r="C1983" s="12">
        <v>45698</v>
      </c>
      <c r="D1983" s="12">
        <v>45698</v>
      </c>
      <c r="E1983" s="11" t="s">
        <v>6</v>
      </c>
      <c r="F1983" s="11" t="s">
        <v>2620</v>
      </c>
      <c r="G1983" s="11" t="s">
        <v>3583</v>
      </c>
      <c r="H1983" s="11"/>
      <c r="I1983" s="11" t="s">
        <v>49</v>
      </c>
      <c r="J1983" s="11">
        <v>35.9</v>
      </c>
      <c r="K1983" s="11">
        <v>35.9</v>
      </c>
      <c r="L1983" s="11"/>
      <c r="M1983" s="14">
        <v>35.9</v>
      </c>
      <c r="N1983" s="11" t="s">
        <v>3584</v>
      </c>
      <c r="O1983" s="11" t="s">
        <v>3299</v>
      </c>
    </row>
    <row r="1984" spans="1:15" s="13" customFormat="1" ht="19.5" customHeight="1" x14ac:dyDescent="0.25">
      <c r="A1984" s="11" t="s">
        <v>3585</v>
      </c>
      <c r="B1984" s="11" t="s">
        <v>3585</v>
      </c>
      <c r="C1984" s="12">
        <v>45658</v>
      </c>
      <c r="D1984" s="12">
        <v>45625</v>
      </c>
      <c r="E1984" s="11" t="s">
        <v>6</v>
      </c>
      <c r="F1984" s="11" t="s">
        <v>2620</v>
      </c>
      <c r="G1984" s="11" t="s">
        <v>3585</v>
      </c>
      <c r="H1984" s="11"/>
      <c r="I1984" s="11" t="s">
        <v>49</v>
      </c>
      <c r="J1984" s="11">
        <v>-35.9</v>
      </c>
      <c r="K1984" s="11"/>
      <c r="L1984" s="11">
        <v>35.9</v>
      </c>
      <c r="M1984" s="14">
        <v>-35.9</v>
      </c>
      <c r="N1984" s="11" t="s">
        <v>3584</v>
      </c>
      <c r="O1984" s="11" t="s">
        <v>234</v>
      </c>
    </row>
    <row r="1985" spans="1:15" s="13" customFormat="1" ht="19.5" customHeight="1" x14ac:dyDescent="0.25">
      <c r="A1985" s="11" t="s">
        <v>3586</v>
      </c>
      <c r="B1985" s="11" t="s">
        <v>3587</v>
      </c>
      <c r="C1985" s="12">
        <v>45754</v>
      </c>
      <c r="D1985" s="12">
        <v>45754</v>
      </c>
      <c r="E1985" s="11" t="s">
        <v>6</v>
      </c>
      <c r="F1985" s="11" t="s">
        <v>2681</v>
      </c>
      <c r="G1985" s="11" t="s">
        <v>3588</v>
      </c>
      <c r="H1985" s="11" t="s">
        <v>3589</v>
      </c>
      <c r="I1985" s="11" t="s">
        <v>49</v>
      </c>
      <c r="J1985" s="11">
        <v>-4705.0600000000004</v>
      </c>
      <c r="K1985" s="11"/>
      <c r="L1985" s="11">
        <v>4705.0600000000004</v>
      </c>
      <c r="M1985" s="14">
        <v>-4705.0600000000004</v>
      </c>
      <c r="N1985" s="11" t="s">
        <v>3590</v>
      </c>
      <c r="O1985" s="11" t="s">
        <v>2706</v>
      </c>
    </row>
    <row r="1986" spans="1:15" s="13" customFormat="1" ht="19.5" customHeight="1" x14ac:dyDescent="0.25">
      <c r="A1986" s="11" t="s">
        <v>3591</v>
      </c>
      <c r="B1986" s="11" t="s">
        <v>3591</v>
      </c>
      <c r="C1986" s="12">
        <v>45658</v>
      </c>
      <c r="D1986" s="12">
        <v>45694</v>
      </c>
      <c r="E1986" s="11" t="s">
        <v>6</v>
      </c>
      <c r="F1986" s="11" t="s">
        <v>2681</v>
      </c>
      <c r="G1986" s="11" t="s">
        <v>3591</v>
      </c>
      <c r="H1986" s="11"/>
      <c r="I1986" s="11" t="s">
        <v>49</v>
      </c>
      <c r="J1986" s="11">
        <v>4705.0600000000004</v>
      </c>
      <c r="K1986" s="11">
        <v>4705.0600000000004</v>
      </c>
      <c r="L1986" s="11"/>
      <c r="M1986" s="14">
        <v>4705.0600000000004</v>
      </c>
      <c r="N1986" s="11" t="s">
        <v>3590</v>
      </c>
      <c r="O1986" s="11" t="s">
        <v>234</v>
      </c>
    </row>
    <row r="1987" spans="1:15" s="13" customFormat="1" ht="19.5" customHeight="1" x14ac:dyDescent="0.25">
      <c r="A1987" s="11" t="s">
        <v>3592</v>
      </c>
      <c r="B1987" s="11" t="s">
        <v>3593</v>
      </c>
      <c r="C1987" s="12">
        <v>46093</v>
      </c>
      <c r="D1987" s="12">
        <v>46093</v>
      </c>
      <c r="E1987" s="11" t="s">
        <v>6</v>
      </c>
      <c r="F1987" s="11" t="s">
        <v>3594</v>
      </c>
      <c r="G1987" s="11" t="s">
        <v>3595</v>
      </c>
      <c r="H1987" s="11" t="s">
        <v>3596</v>
      </c>
      <c r="I1987" s="11" t="s">
        <v>49</v>
      </c>
      <c r="J1987" s="11">
        <v>-29.09</v>
      </c>
      <c r="K1987" s="11"/>
      <c r="L1987" s="11">
        <v>29.09</v>
      </c>
      <c r="M1987" s="14">
        <v>-29.09</v>
      </c>
      <c r="N1987" s="11" t="s">
        <v>3597</v>
      </c>
      <c r="O1987" s="11" t="s">
        <v>82</v>
      </c>
    </row>
    <row r="1988" spans="1:15" s="13" customFormat="1" ht="19.5" customHeight="1" x14ac:dyDescent="0.25">
      <c r="A1988" s="11" t="s">
        <v>3596</v>
      </c>
      <c r="B1988" s="11" t="s">
        <v>3596</v>
      </c>
      <c r="C1988" s="12">
        <v>46093</v>
      </c>
      <c r="D1988" s="12">
        <v>46123</v>
      </c>
      <c r="E1988" s="11" t="s">
        <v>6</v>
      </c>
      <c r="F1988" s="11" t="s">
        <v>3594</v>
      </c>
      <c r="G1988" s="11" t="s">
        <v>3596</v>
      </c>
      <c r="H1988" s="11"/>
      <c r="I1988" s="11" t="s">
        <v>49</v>
      </c>
      <c r="J1988" s="11">
        <v>29.09</v>
      </c>
      <c r="K1988" s="11">
        <v>29.09</v>
      </c>
      <c r="L1988" s="11"/>
      <c r="M1988" s="14">
        <v>29.09</v>
      </c>
      <c r="N1988" s="11" t="s">
        <v>3597</v>
      </c>
      <c r="O1988" s="11" t="s">
        <v>50</v>
      </c>
    </row>
    <row r="1989" spans="1:15" s="13" customFormat="1" ht="19.5" customHeight="1" x14ac:dyDescent="0.25">
      <c r="A1989" s="11" t="s">
        <v>3598</v>
      </c>
      <c r="B1989" s="11" t="s">
        <v>3599</v>
      </c>
      <c r="C1989" s="12">
        <v>46094</v>
      </c>
      <c r="D1989" s="12">
        <v>46094</v>
      </c>
      <c r="E1989" s="11" t="s">
        <v>6</v>
      </c>
      <c r="F1989" s="11" t="s">
        <v>2086</v>
      </c>
      <c r="G1989" s="11" t="s">
        <v>3600</v>
      </c>
      <c r="H1989" s="11" t="s">
        <v>3601</v>
      </c>
      <c r="I1989" s="11" t="s">
        <v>49</v>
      </c>
      <c r="J1989" s="11">
        <v>-147.5</v>
      </c>
      <c r="K1989" s="11"/>
      <c r="L1989" s="11">
        <v>147.5</v>
      </c>
      <c r="M1989" s="14">
        <v>-147.5</v>
      </c>
      <c r="N1989" s="11" t="s">
        <v>3602</v>
      </c>
      <c r="O1989" s="11" t="s">
        <v>82</v>
      </c>
    </row>
    <row r="1990" spans="1:15" s="13" customFormat="1" ht="19.5" customHeight="1" x14ac:dyDescent="0.25">
      <c r="A1990" s="11" t="s">
        <v>3601</v>
      </c>
      <c r="B1990" s="11" t="s">
        <v>3601</v>
      </c>
      <c r="C1990" s="12">
        <v>46094</v>
      </c>
      <c r="D1990" s="12">
        <v>46124</v>
      </c>
      <c r="E1990" s="11" t="s">
        <v>6</v>
      </c>
      <c r="F1990" s="11" t="s">
        <v>2086</v>
      </c>
      <c r="G1990" s="11" t="s">
        <v>3601</v>
      </c>
      <c r="H1990" s="11"/>
      <c r="I1990" s="11" t="s">
        <v>49</v>
      </c>
      <c r="J1990" s="11">
        <v>147.5</v>
      </c>
      <c r="K1990" s="11">
        <v>147.5</v>
      </c>
      <c r="L1990" s="11"/>
      <c r="M1990" s="14">
        <v>147.5</v>
      </c>
      <c r="N1990" s="11" t="s">
        <v>3602</v>
      </c>
      <c r="O1990" s="11" t="s">
        <v>50</v>
      </c>
    </row>
    <row r="1991" spans="1:15" s="13" customFormat="1" ht="19.5" customHeight="1" x14ac:dyDescent="0.25">
      <c r="A1991" s="11" t="s">
        <v>3603</v>
      </c>
      <c r="B1991" s="11" t="s">
        <v>3603</v>
      </c>
      <c r="C1991" s="12">
        <v>45937</v>
      </c>
      <c r="D1991" s="12">
        <v>45937</v>
      </c>
      <c r="E1991" s="11" t="s">
        <v>6</v>
      </c>
      <c r="F1991" s="11" t="s">
        <v>1247</v>
      </c>
      <c r="G1991" s="11"/>
      <c r="H1991" s="11"/>
      <c r="I1991" s="11" t="s">
        <v>49</v>
      </c>
      <c r="J1991" s="11">
        <v>-2684.5</v>
      </c>
      <c r="K1991" s="11"/>
      <c r="L1991" s="11">
        <v>2684.5</v>
      </c>
      <c r="M1991" s="14">
        <v>-2684.5</v>
      </c>
      <c r="N1991" s="11" t="s">
        <v>3604</v>
      </c>
      <c r="O1991" s="11" t="s">
        <v>50</v>
      </c>
    </row>
    <row r="1992" spans="1:15" s="13" customFormat="1" ht="19.5" customHeight="1" x14ac:dyDescent="0.25">
      <c r="A1992" s="11" t="s">
        <v>3605</v>
      </c>
      <c r="B1992" s="11" t="s">
        <v>3605</v>
      </c>
      <c r="C1992" s="12">
        <v>45937</v>
      </c>
      <c r="D1992" s="12">
        <v>45937</v>
      </c>
      <c r="E1992" s="11" t="s">
        <v>6</v>
      </c>
      <c r="F1992" s="11" t="s">
        <v>1247</v>
      </c>
      <c r="G1992" s="11"/>
      <c r="H1992" s="11"/>
      <c r="I1992" s="11" t="s">
        <v>49</v>
      </c>
      <c r="J1992" s="11">
        <v>-3270.96</v>
      </c>
      <c r="K1992" s="11"/>
      <c r="L1992" s="11">
        <v>3270.96</v>
      </c>
      <c r="M1992" s="14">
        <v>-3270.96</v>
      </c>
      <c r="N1992" s="11" t="s">
        <v>3604</v>
      </c>
      <c r="O1992" s="11" t="s">
        <v>50</v>
      </c>
    </row>
    <row r="1993" spans="1:15" s="13" customFormat="1" ht="19.5" customHeight="1" x14ac:dyDescent="0.25">
      <c r="A1993" s="11" t="s">
        <v>3606</v>
      </c>
      <c r="B1993" s="11" t="s">
        <v>3606</v>
      </c>
      <c r="C1993" s="12">
        <v>45855</v>
      </c>
      <c r="D1993" s="12">
        <v>45855</v>
      </c>
      <c r="E1993" s="11" t="s">
        <v>6</v>
      </c>
      <c r="F1993" s="11" t="s">
        <v>1247</v>
      </c>
      <c r="G1993" s="11"/>
      <c r="H1993" s="11"/>
      <c r="I1993" s="11" t="s">
        <v>49</v>
      </c>
      <c r="J1993" s="11">
        <v>-3452.68</v>
      </c>
      <c r="K1993" s="11"/>
      <c r="L1993" s="11">
        <v>3452.68</v>
      </c>
      <c r="M1993" s="14">
        <v>-3452.68</v>
      </c>
      <c r="N1993" s="11" t="s">
        <v>3604</v>
      </c>
      <c r="O1993" s="11" t="s">
        <v>50</v>
      </c>
    </row>
    <row r="1994" spans="1:15" s="13" customFormat="1" ht="19.5" customHeight="1" x14ac:dyDescent="0.25">
      <c r="A1994" s="11" t="s">
        <v>3607</v>
      </c>
      <c r="B1994" s="11" t="s">
        <v>3607</v>
      </c>
      <c r="C1994" s="12">
        <v>45855</v>
      </c>
      <c r="D1994" s="12">
        <v>45855</v>
      </c>
      <c r="E1994" s="11" t="s">
        <v>6</v>
      </c>
      <c r="F1994" s="11" t="s">
        <v>1247</v>
      </c>
      <c r="G1994" s="11"/>
      <c r="H1994" s="11"/>
      <c r="I1994" s="11" t="s">
        <v>49</v>
      </c>
      <c r="J1994" s="11">
        <v>-5909.44</v>
      </c>
      <c r="K1994" s="11"/>
      <c r="L1994" s="11">
        <v>5909.44</v>
      </c>
      <c r="M1994" s="14">
        <v>-5909.44</v>
      </c>
      <c r="N1994" s="11" t="s">
        <v>3604</v>
      </c>
      <c r="O1994" s="11" t="s">
        <v>50</v>
      </c>
    </row>
    <row r="1995" spans="1:15" s="13" customFormat="1" ht="19.5" customHeight="1" x14ac:dyDescent="0.25">
      <c r="A1995" s="11" t="s">
        <v>3608</v>
      </c>
      <c r="B1995" s="11" t="s">
        <v>3608</v>
      </c>
      <c r="C1995" s="12">
        <v>45712</v>
      </c>
      <c r="D1995" s="12">
        <v>45802</v>
      </c>
      <c r="E1995" s="11" t="s">
        <v>6</v>
      </c>
      <c r="F1995" s="11" t="s">
        <v>1247</v>
      </c>
      <c r="G1995" s="11" t="s">
        <v>3608</v>
      </c>
      <c r="H1995" s="11"/>
      <c r="I1995" s="11" t="s">
        <v>49</v>
      </c>
      <c r="J1995" s="11">
        <v>18402.740000000002</v>
      </c>
      <c r="K1995" s="11">
        <v>18402.740000000002</v>
      </c>
      <c r="L1995" s="11"/>
      <c r="M1995" s="14">
        <v>18402.740000000002</v>
      </c>
      <c r="N1995" s="11" t="s">
        <v>3604</v>
      </c>
      <c r="O1995" s="11" t="s">
        <v>3299</v>
      </c>
    </row>
    <row r="1996" spans="1:15" s="13" customFormat="1" ht="19.5" customHeight="1" x14ac:dyDescent="0.25">
      <c r="A1996" s="11" t="s">
        <v>3609</v>
      </c>
      <c r="B1996" s="11" t="s">
        <v>3609</v>
      </c>
      <c r="C1996" s="12">
        <v>45658</v>
      </c>
      <c r="D1996" s="12">
        <v>45747</v>
      </c>
      <c r="E1996" s="11" t="s">
        <v>6</v>
      </c>
      <c r="F1996" s="11" t="s">
        <v>1247</v>
      </c>
      <c r="G1996" s="11" t="s">
        <v>3609</v>
      </c>
      <c r="H1996" s="11"/>
      <c r="I1996" s="11" t="s">
        <v>49</v>
      </c>
      <c r="J1996" s="11">
        <v>21549.16</v>
      </c>
      <c r="K1996" s="11">
        <v>21549.16</v>
      </c>
      <c r="L1996" s="11"/>
      <c r="M1996" s="14">
        <v>21549.16</v>
      </c>
      <c r="N1996" s="11" t="s">
        <v>3604</v>
      </c>
      <c r="O1996" s="11" t="s">
        <v>234</v>
      </c>
    </row>
    <row r="1997" spans="1:15" s="13" customFormat="1" ht="19.5" customHeight="1" x14ac:dyDescent="0.25">
      <c r="A1997" s="11" t="s">
        <v>3610</v>
      </c>
      <c r="B1997" s="11" t="s">
        <v>3611</v>
      </c>
      <c r="C1997" s="12">
        <v>46107</v>
      </c>
      <c r="D1997" s="12">
        <v>46107</v>
      </c>
      <c r="E1997" s="11" t="s">
        <v>6</v>
      </c>
      <c r="F1997" s="11" t="s">
        <v>3594</v>
      </c>
      <c r="G1997" s="11" t="s">
        <v>3612</v>
      </c>
      <c r="H1997" s="11" t="s">
        <v>3613</v>
      </c>
      <c r="I1997" s="11" t="s">
        <v>49</v>
      </c>
      <c r="J1997" s="11">
        <v>-306.07</v>
      </c>
      <c r="K1997" s="11"/>
      <c r="L1997" s="11">
        <v>306.07</v>
      </c>
      <c r="M1997" s="14">
        <v>-306.07</v>
      </c>
      <c r="N1997" s="11" t="s">
        <v>3614</v>
      </c>
      <c r="O1997" s="11" t="s">
        <v>82</v>
      </c>
    </row>
    <row r="1998" spans="1:15" s="13" customFormat="1" ht="19.5" customHeight="1" x14ac:dyDescent="0.25">
      <c r="A1998" s="11" t="s">
        <v>3613</v>
      </c>
      <c r="B1998" s="11" t="s">
        <v>3613</v>
      </c>
      <c r="C1998" s="12">
        <v>46107</v>
      </c>
      <c r="D1998" s="12">
        <v>46137</v>
      </c>
      <c r="E1998" s="11" t="s">
        <v>6</v>
      </c>
      <c r="F1998" s="11" t="s">
        <v>3594</v>
      </c>
      <c r="G1998" s="11" t="s">
        <v>3613</v>
      </c>
      <c r="H1998" s="11"/>
      <c r="I1998" s="11" t="s">
        <v>49</v>
      </c>
      <c r="J1998" s="11">
        <v>306.07</v>
      </c>
      <c r="K1998" s="11">
        <v>306.07</v>
      </c>
      <c r="L1998" s="11"/>
      <c r="M1998" s="14">
        <v>306.07</v>
      </c>
      <c r="N1998" s="11" t="s">
        <v>3614</v>
      </c>
      <c r="O1998" s="11" t="s">
        <v>50</v>
      </c>
    </row>
    <row r="1999" spans="1:15" s="13" customFormat="1" ht="19.5" customHeight="1" x14ac:dyDescent="0.25">
      <c r="A1999" s="11" t="s">
        <v>3615</v>
      </c>
      <c r="B1999" s="11" t="s">
        <v>3615</v>
      </c>
      <c r="C1999" s="12">
        <v>46099</v>
      </c>
      <c r="D1999" s="12">
        <v>46099</v>
      </c>
      <c r="E1999" s="11" t="s">
        <v>6</v>
      </c>
      <c r="F1999" s="11" t="s">
        <v>59</v>
      </c>
      <c r="G1999" s="11"/>
      <c r="H1999" s="11"/>
      <c r="I1999" s="11" t="s">
        <v>49</v>
      </c>
      <c r="J1999" s="11">
        <v>-182.67</v>
      </c>
      <c r="K1999" s="11"/>
      <c r="L1999" s="11">
        <v>182.67</v>
      </c>
      <c r="M1999" s="14">
        <v>-182.67</v>
      </c>
      <c r="N1999" s="11" t="s">
        <v>3616</v>
      </c>
      <c r="O1999" s="11" t="s">
        <v>50</v>
      </c>
    </row>
    <row r="2000" spans="1:15" s="13" customFormat="1" ht="19.5" customHeight="1" x14ac:dyDescent="0.25">
      <c r="A2000" s="11" t="s">
        <v>3617</v>
      </c>
      <c r="B2000" s="11" t="s">
        <v>3617</v>
      </c>
      <c r="C2000" s="12">
        <v>46072</v>
      </c>
      <c r="D2000" s="12">
        <v>46162</v>
      </c>
      <c r="E2000" s="11" t="s">
        <v>6</v>
      </c>
      <c r="F2000" s="11" t="s">
        <v>59</v>
      </c>
      <c r="G2000" s="11" t="s">
        <v>3617</v>
      </c>
      <c r="H2000" s="11"/>
      <c r="I2000" s="11" t="s">
        <v>49</v>
      </c>
      <c r="J2000" s="11">
        <v>19063.73</v>
      </c>
      <c r="K2000" s="11">
        <v>19063.73</v>
      </c>
      <c r="L2000" s="11"/>
      <c r="M2000" s="14">
        <v>19063.73</v>
      </c>
      <c r="N2000" s="11" t="s">
        <v>3616</v>
      </c>
      <c r="O2000" s="11" t="s">
        <v>50</v>
      </c>
    </row>
    <row r="2001" spans="1:15" s="13" customFormat="1" ht="19.5" customHeight="1" x14ac:dyDescent="0.25">
      <c r="A2001" s="11" t="s">
        <v>3618</v>
      </c>
      <c r="B2001" s="11" t="s">
        <v>3618</v>
      </c>
      <c r="C2001" s="12">
        <v>45749</v>
      </c>
      <c r="D2001" s="12">
        <v>45749</v>
      </c>
      <c r="E2001" s="11" t="s">
        <v>6</v>
      </c>
      <c r="F2001" s="11" t="s">
        <v>3619</v>
      </c>
      <c r="G2001" s="11" t="s">
        <v>3618</v>
      </c>
      <c r="H2001" s="11"/>
      <c r="I2001" s="11" t="s">
        <v>49</v>
      </c>
      <c r="J2001" s="11">
        <v>10777.1</v>
      </c>
      <c r="K2001" s="11">
        <v>10777.1</v>
      </c>
      <c r="L2001" s="11"/>
      <c r="M2001" s="14">
        <v>10777.1</v>
      </c>
      <c r="N2001" s="11" t="s">
        <v>3620</v>
      </c>
      <c r="O2001" s="11" t="s">
        <v>50</v>
      </c>
    </row>
    <row r="2002" spans="1:15" s="13" customFormat="1" ht="19.5" customHeight="1" x14ac:dyDescent="0.25">
      <c r="A2002" s="11" t="s">
        <v>3621</v>
      </c>
      <c r="B2002" s="11" t="s">
        <v>3621</v>
      </c>
      <c r="C2002" s="12">
        <v>45747</v>
      </c>
      <c r="D2002" s="11"/>
      <c r="E2002" s="11" t="s">
        <v>6</v>
      </c>
      <c r="F2002" s="11" t="s">
        <v>3619</v>
      </c>
      <c r="G2002" s="11" t="s">
        <v>3618</v>
      </c>
      <c r="H2002" s="11"/>
      <c r="I2002" s="11" t="s">
        <v>49</v>
      </c>
      <c r="J2002" s="11">
        <v>-10777.1</v>
      </c>
      <c r="K2002" s="11"/>
      <c r="L2002" s="11">
        <v>10777.1</v>
      </c>
      <c r="M2002" s="14">
        <v>-10777.1</v>
      </c>
      <c r="N2002" s="11" t="s">
        <v>3620</v>
      </c>
      <c r="O2002" s="11" t="s">
        <v>2000</v>
      </c>
    </row>
    <row r="2003" spans="1:15" s="13" customFormat="1" ht="19.5" customHeight="1" x14ac:dyDescent="0.25">
      <c r="A2003" s="11" t="s">
        <v>3622</v>
      </c>
      <c r="B2003" s="11" t="s">
        <v>3622</v>
      </c>
      <c r="C2003" s="12">
        <v>45747</v>
      </c>
      <c r="D2003" s="12">
        <v>45747</v>
      </c>
      <c r="E2003" s="11" t="s">
        <v>6</v>
      </c>
      <c r="F2003" s="11" t="s">
        <v>3623</v>
      </c>
      <c r="G2003" s="11" t="s">
        <v>3622</v>
      </c>
      <c r="H2003" s="11"/>
      <c r="I2003" s="11" t="s">
        <v>49</v>
      </c>
      <c r="J2003" s="11">
        <v>3488.83</v>
      </c>
      <c r="K2003" s="11">
        <v>3488.83</v>
      </c>
      <c r="L2003" s="11"/>
      <c r="M2003" s="14">
        <v>3488.83</v>
      </c>
      <c r="N2003" s="11" t="s">
        <v>3624</v>
      </c>
      <c r="O2003" s="11" t="s">
        <v>50</v>
      </c>
    </row>
    <row r="2004" spans="1:15" s="13" customFormat="1" ht="19.5" customHeight="1" x14ac:dyDescent="0.25">
      <c r="A2004" s="11" t="s">
        <v>3625</v>
      </c>
      <c r="B2004" s="11" t="s">
        <v>3625</v>
      </c>
      <c r="C2004" s="12">
        <v>45747</v>
      </c>
      <c r="D2004" s="11"/>
      <c r="E2004" s="11" t="s">
        <v>6</v>
      </c>
      <c r="F2004" s="11" t="s">
        <v>3623</v>
      </c>
      <c r="G2004" s="11" t="s">
        <v>3622</v>
      </c>
      <c r="H2004" s="11"/>
      <c r="I2004" s="11" t="s">
        <v>49</v>
      </c>
      <c r="J2004" s="11">
        <v>-3488.83</v>
      </c>
      <c r="K2004" s="11"/>
      <c r="L2004" s="11">
        <v>3488.83</v>
      </c>
      <c r="M2004" s="14">
        <v>-3488.83</v>
      </c>
      <c r="N2004" s="11" t="s">
        <v>3624</v>
      </c>
      <c r="O2004" s="11" t="s">
        <v>2000</v>
      </c>
    </row>
    <row r="2005" spans="1:15" s="13" customFormat="1" ht="19.5" customHeight="1" x14ac:dyDescent="0.25">
      <c r="A2005" s="11" t="s">
        <v>3626</v>
      </c>
      <c r="B2005" s="11" t="s">
        <v>3626</v>
      </c>
      <c r="C2005" s="12">
        <v>45747</v>
      </c>
      <c r="D2005" s="12">
        <v>45747</v>
      </c>
      <c r="E2005" s="11" t="s">
        <v>6</v>
      </c>
      <c r="F2005" s="11" t="s">
        <v>3319</v>
      </c>
      <c r="G2005" s="11" t="s">
        <v>3626</v>
      </c>
      <c r="H2005" s="11"/>
      <c r="I2005" s="11" t="s">
        <v>49</v>
      </c>
      <c r="J2005" s="11">
        <v>15775.88</v>
      </c>
      <c r="K2005" s="11">
        <v>15775.88</v>
      </c>
      <c r="L2005" s="11"/>
      <c r="M2005" s="14">
        <v>15775.88</v>
      </c>
      <c r="N2005" s="11" t="s">
        <v>3627</v>
      </c>
      <c r="O2005" s="11" t="s">
        <v>50</v>
      </c>
    </row>
    <row r="2006" spans="1:15" s="13" customFormat="1" ht="19.5" customHeight="1" x14ac:dyDescent="0.25">
      <c r="A2006" s="11" t="s">
        <v>3628</v>
      </c>
      <c r="B2006" s="11" t="s">
        <v>3628</v>
      </c>
      <c r="C2006" s="12">
        <v>45747</v>
      </c>
      <c r="D2006" s="11"/>
      <c r="E2006" s="11" t="s">
        <v>6</v>
      </c>
      <c r="F2006" s="11" t="s">
        <v>3319</v>
      </c>
      <c r="G2006" s="11" t="s">
        <v>3626</v>
      </c>
      <c r="H2006" s="11"/>
      <c r="I2006" s="11" t="s">
        <v>49</v>
      </c>
      <c r="J2006" s="11">
        <v>-15775.88</v>
      </c>
      <c r="K2006" s="11"/>
      <c r="L2006" s="11">
        <v>15775.88</v>
      </c>
      <c r="M2006" s="14">
        <v>-15775.88</v>
      </c>
      <c r="N2006" s="11" t="s">
        <v>3627</v>
      </c>
      <c r="O2006" s="11" t="s">
        <v>2000</v>
      </c>
    </row>
    <row r="2007" spans="1:15" s="13" customFormat="1" ht="19.5" customHeight="1" x14ac:dyDescent="0.25">
      <c r="A2007" s="11" t="s">
        <v>3629</v>
      </c>
      <c r="B2007" s="11" t="s">
        <v>3630</v>
      </c>
      <c r="C2007" s="12">
        <v>45754</v>
      </c>
      <c r="D2007" s="12">
        <v>45754</v>
      </c>
      <c r="E2007" s="11" t="s">
        <v>6</v>
      </c>
      <c r="F2007" s="11" t="s">
        <v>1654</v>
      </c>
      <c r="G2007" s="11" t="s">
        <v>3631</v>
      </c>
      <c r="H2007" s="11" t="s">
        <v>3632</v>
      </c>
      <c r="I2007" s="11" t="s">
        <v>49</v>
      </c>
      <c r="J2007" s="11">
        <v>-4362.8</v>
      </c>
      <c r="K2007" s="11"/>
      <c r="L2007" s="11">
        <v>4362.8</v>
      </c>
      <c r="M2007" s="14">
        <v>-4362.8</v>
      </c>
      <c r="N2007" s="11" t="s">
        <v>3633</v>
      </c>
      <c r="O2007" s="11" t="s">
        <v>2706</v>
      </c>
    </row>
    <row r="2008" spans="1:15" s="13" customFormat="1" ht="19.5" customHeight="1" x14ac:dyDescent="0.25">
      <c r="A2008" s="11" t="s">
        <v>3634</v>
      </c>
      <c r="B2008" s="11" t="s">
        <v>3634</v>
      </c>
      <c r="C2008" s="12">
        <v>45716</v>
      </c>
      <c r="D2008" s="12">
        <v>45761</v>
      </c>
      <c r="E2008" s="11" t="s">
        <v>6</v>
      </c>
      <c r="F2008" s="11" t="s">
        <v>1654</v>
      </c>
      <c r="G2008" s="11" t="s">
        <v>3634</v>
      </c>
      <c r="H2008" s="11"/>
      <c r="I2008" s="11" t="s">
        <v>49</v>
      </c>
      <c r="J2008" s="11">
        <v>4362.8</v>
      </c>
      <c r="K2008" s="11">
        <v>4362.8</v>
      </c>
      <c r="L2008" s="11"/>
      <c r="M2008" s="14">
        <v>4362.8</v>
      </c>
      <c r="N2008" s="11" t="s">
        <v>3633</v>
      </c>
      <c r="O2008" s="11" t="s">
        <v>3299</v>
      </c>
    </row>
    <row r="2009" spans="1:15" s="13" customFormat="1" ht="19.5" customHeight="1" x14ac:dyDescent="0.25">
      <c r="A2009" s="11" t="s">
        <v>3635</v>
      </c>
      <c r="B2009" s="11" t="s">
        <v>3635</v>
      </c>
      <c r="C2009" s="12">
        <v>45749</v>
      </c>
      <c r="D2009" s="12">
        <v>45749</v>
      </c>
      <c r="E2009" s="11" t="s">
        <v>6</v>
      </c>
      <c r="F2009" s="11" t="s">
        <v>3636</v>
      </c>
      <c r="G2009" s="11" t="s">
        <v>3635</v>
      </c>
      <c r="H2009" s="11"/>
      <c r="I2009" s="11" t="s">
        <v>49</v>
      </c>
      <c r="J2009" s="11">
        <v>217.57</v>
      </c>
      <c r="K2009" s="11">
        <v>217.57</v>
      </c>
      <c r="L2009" s="11"/>
      <c r="M2009" s="14">
        <v>217.57</v>
      </c>
      <c r="N2009" s="11" t="s">
        <v>3637</v>
      </c>
      <c r="O2009" s="11" t="s">
        <v>50</v>
      </c>
    </row>
    <row r="2010" spans="1:15" s="13" customFormat="1" ht="19.5" customHeight="1" x14ac:dyDescent="0.25">
      <c r="A2010" s="11" t="s">
        <v>3638</v>
      </c>
      <c r="B2010" s="11" t="s">
        <v>3638</v>
      </c>
      <c r="C2010" s="12">
        <v>45747</v>
      </c>
      <c r="D2010" s="11"/>
      <c r="E2010" s="11" t="s">
        <v>6</v>
      </c>
      <c r="F2010" s="11" t="s">
        <v>3636</v>
      </c>
      <c r="G2010" s="11" t="s">
        <v>3635</v>
      </c>
      <c r="H2010" s="11"/>
      <c r="I2010" s="11" t="s">
        <v>49</v>
      </c>
      <c r="J2010" s="11">
        <v>-217.57</v>
      </c>
      <c r="K2010" s="11"/>
      <c r="L2010" s="11">
        <v>217.57</v>
      </c>
      <c r="M2010" s="14">
        <v>-217.57</v>
      </c>
      <c r="N2010" s="11" t="s">
        <v>3637</v>
      </c>
      <c r="O2010" s="11" t="s">
        <v>2000</v>
      </c>
    </row>
    <row r="2011" spans="1:15" s="13" customFormat="1" ht="19.5" customHeight="1" x14ac:dyDescent="0.25">
      <c r="A2011" s="11" t="s">
        <v>3639</v>
      </c>
      <c r="B2011" s="11" t="s">
        <v>3639</v>
      </c>
      <c r="C2011" s="12">
        <v>45749</v>
      </c>
      <c r="D2011" s="12">
        <v>45749</v>
      </c>
      <c r="E2011" s="11" t="s">
        <v>6</v>
      </c>
      <c r="F2011" s="11" t="s">
        <v>3640</v>
      </c>
      <c r="G2011" s="11" t="s">
        <v>3639</v>
      </c>
      <c r="H2011" s="11"/>
      <c r="I2011" s="11" t="s">
        <v>49</v>
      </c>
      <c r="J2011" s="11">
        <v>3695.02</v>
      </c>
      <c r="K2011" s="11">
        <v>3695.02</v>
      </c>
      <c r="L2011" s="11"/>
      <c r="M2011" s="14">
        <v>3695.02</v>
      </c>
      <c r="N2011" s="11" t="s">
        <v>3641</v>
      </c>
      <c r="O2011" s="11" t="s">
        <v>50</v>
      </c>
    </row>
    <row r="2012" spans="1:15" s="13" customFormat="1" ht="19.5" customHeight="1" x14ac:dyDescent="0.25">
      <c r="A2012" s="11" t="s">
        <v>3642</v>
      </c>
      <c r="B2012" s="11" t="s">
        <v>3642</v>
      </c>
      <c r="C2012" s="12">
        <v>45747</v>
      </c>
      <c r="D2012" s="11"/>
      <c r="E2012" s="11" t="s">
        <v>6</v>
      </c>
      <c r="F2012" s="11" t="s">
        <v>3640</v>
      </c>
      <c r="G2012" s="11" t="s">
        <v>3639</v>
      </c>
      <c r="H2012" s="11"/>
      <c r="I2012" s="11" t="s">
        <v>49</v>
      </c>
      <c r="J2012" s="11">
        <v>-3695.02</v>
      </c>
      <c r="K2012" s="11"/>
      <c r="L2012" s="11">
        <v>3695.02</v>
      </c>
      <c r="M2012" s="14">
        <v>-3695.02</v>
      </c>
      <c r="N2012" s="11" t="s">
        <v>3641</v>
      </c>
      <c r="O2012" s="11" t="s">
        <v>2000</v>
      </c>
    </row>
    <row r="2013" spans="1:15" s="13" customFormat="1" ht="19.5" customHeight="1" x14ac:dyDescent="0.25">
      <c r="A2013" s="11" t="s">
        <v>3643</v>
      </c>
      <c r="B2013" s="11" t="s">
        <v>3643</v>
      </c>
      <c r="C2013" s="12">
        <v>45747</v>
      </c>
      <c r="D2013" s="11"/>
      <c r="E2013" s="11" t="s">
        <v>6</v>
      </c>
      <c r="F2013" s="11" t="s">
        <v>3644</v>
      </c>
      <c r="G2013" s="11" t="s">
        <v>3645</v>
      </c>
      <c r="H2013" s="11"/>
      <c r="I2013" s="11" t="s">
        <v>49</v>
      </c>
      <c r="J2013" s="11">
        <v>-1571</v>
      </c>
      <c r="K2013" s="11"/>
      <c r="L2013" s="11">
        <v>1571</v>
      </c>
      <c r="M2013" s="14">
        <v>-1571</v>
      </c>
      <c r="N2013" s="11" t="s">
        <v>3646</v>
      </c>
      <c r="O2013" s="11" t="s">
        <v>2000</v>
      </c>
    </row>
    <row r="2014" spans="1:15" s="13" customFormat="1" ht="19.5" customHeight="1" x14ac:dyDescent="0.25">
      <c r="A2014" s="11" t="s">
        <v>3645</v>
      </c>
      <c r="B2014" s="11" t="s">
        <v>3645</v>
      </c>
      <c r="C2014" s="12">
        <v>45747</v>
      </c>
      <c r="D2014" s="12">
        <v>45747</v>
      </c>
      <c r="E2014" s="11" t="s">
        <v>6</v>
      </c>
      <c r="F2014" s="11" t="s">
        <v>3644</v>
      </c>
      <c r="G2014" s="11" t="s">
        <v>3645</v>
      </c>
      <c r="H2014" s="11"/>
      <c r="I2014" s="11" t="s">
        <v>49</v>
      </c>
      <c r="J2014" s="11">
        <v>1571</v>
      </c>
      <c r="K2014" s="11">
        <v>1571</v>
      </c>
      <c r="L2014" s="11"/>
      <c r="M2014" s="14">
        <v>1571</v>
      </c>
      <c r="N2014" s="11" t="s">
        <v>3646</v>
      </c>
      <c r="O2014" s="11" t="s">
        <v>50</v>
      </c>
    </row>
    <row r="2015" spans="1:15" s="13" customFormat="1" ht="19.5" customHeight="1" x14ac:dyDescent="0.25">
      <c r="A2015" s="11" t="s">
        <v>3647</v>
      </c>
      <c r="B2015" s="11" t="s">
        <v>3647</v>
      </c>
      <c r="C2015" s="12">
        <v>45747</v>
      </c>
      <c r="D2015" s="12">
        <v>45747</v>
      </c>
      <c r="E2015" s="11" t="s">
        <v>6</v>
      </c>
      <c r="F2015" s="11" t="s">
        <v>3648</v>
      </c>
      <c r="G2015" s="11" t="s">
        <v>3647</v>
      </c>
      <c r="H2015" s="11"/>
      <c r="I2015" s="11" t="s">
        <v>49</v>
      </c>
      <c r="J2015" s="11">
        <v>119</v>
      </c>
      <c r="K2015" s="11">
        <v>119</v>
      </c>
      <c r="L2015" s="11"/>
      <c r="M2015" s="14">
        <v>119</v>
      </c>
      <c r="N2015" s="11" t="s">
        <v>3649</v>
      </c>
      <c r="O2015" s="11" t="s">
        <v>50</v>
      </c>
    </row>
    <row r="2016" spans="1:15" s="13" customFormat="1" ht="19.5" customHeight="1" x14ac:dyDescent="0.25">
      <c r="A2016" s="11" t="s">
        <v>3650</v>
      </c>
      <c r="B2016" s="11" t="s">
        <v>3650</v>
      </c>
      <c r="C2016" s="12">
        <v>45968</v>
      </c>
      <c r="D2016" s="12">
        <v>45968</v>
      </c>
      <c r="E2016" s="11" t="s">
        <v>6</v>
      </c>
      <c r="F2016" s="11" t="s">
        <v>3651</v>
      </c>
      <c r="G2016" s="11" t="s">
        <v>3650</v>
      </c>
      <c r="H2016" s="11"/>
      <c r="I2016" s="11" t="s">
        <v>49</v>
      </c>
      <c r="J2016" s="11">
        <v>134</v>
      </c>
      <c r="K2016" s="11">
        <v>134</v>
      </c>
      <c r="L2016" s="11"/>
      <c r="M2016" s="11">
        <v>134</v>
      </c>
      <c r="N2016" s="11" t="s">
        <v>3652</v>
      </c>
      <c r="O2016" s="11" t="s">
        <v>50</v>
      </c>
    </row>
    <row r="2017" spans="1:15" s="13" customFormat="1" ht="19.5" customHeight="1" x14ac:dyDescent="0.25">
      <c r="A2017" s="11" t="s">
        <v>3653</v>
      </c>
      <c r="B2017" s="11" t="s">
        <v>3653</v>
      </c>
      <c r="C2017" s="12">
        <v>45744</v>
      </c>
      <c r="D2017" s="11"/>
      <c r="E2017" s="11" t="s">
        <v>6</v>
      </c>
      <c r="F2017" s="11" t="s">
        <v>3648</v>
      </c>
      <c r="G2017" s="11" t="s">
        <v>3647</v>
      </c>
      <c r="H2017" s="11"/>
      <c r="I2017" s="11" t="s">
        <v>49</v>
      </c>
      <c r="J2017" s="11">
        <v>-119</v>
      </c>
      <c r="K2017" s="11"/>
      <c r="L2017" s="11">
        <v>119</v>
      </c>
      <c r="M2017" s="14">
        <v>-119</v>
      </c>
      <c r="N2017" s="11" t="s">
        <v>3649</v>
      </c>
      <c r="O2017" s="11" t="s">
        <v>2000</v>
      </c>
    </row>
    <row r="2018" spans="1:15" s="13" customFormat="1" ht="19.5" customHeight="1" x14ac:dyDescent="0.25">
      <c r="A2018" s="11" t="s">
        <v>3654</v>
      </c>
      <c r="B2018" s="11" t="s">
        <v>3654</v>
      </c>
      <c r="C2018" s="12">
        <v>45749</v>
      </c>
      <c r="D2018" s="12">
        <v>45749</v>
      </c>
      <c r="E2018" s="11" t="s">
        <v>6</v>
      </c>
      <c r="F2018" s="11" t="s">
        <v>3655</v>
      </c>
      <c r="G2018" s="11" t="s">
        <v>3654</v>
      </c>
      <c r="H2018" s="11"/>
      <c r="I2018" s="11" t="s">
        <v>49</v>
      </c>
      <c r="J2018" s="11">
        <v>90.55</v>
      </c>
      <c r="K2018" s="11">
        <v>90.55</v>
      </c>
      <c r="L2018" s="11"/>
      <c r="M2018" s="14">
        <v>90.55</v>
      </c>
      <c r="N2018" s="11" t="s">
        <v>3656</v>
      </c>
      <c r="O2018" s="11" t="s">
        <v>50</v>
      </c>
    </row>
    <row r="2019" spans="1:15" s="13" customFormat="1" ht="19.5" customHeight="1" x14ac:dyDescent="0.25">
      <c r="A2019" s="11" t="s">
        <v>3657</v>
      </c>
      <c r="B2019" s="11" t="s">
        <v>3657</v>
      </c>
      <c r="C2019" s="12">
        <v>45745</v>
      </c>
      <c r="D2019" s="11"/>
      <c r="E2019" s="11" t="s">
        <v>6</v>
      </c>
      <c r="F2019" s="11" t="s">
        <v>3655</v>
      </c>
      <c r="G2019" s="11" t="s">
        <v>3654</v>
      </c>
      <c r="H2019" s="11"/>
      <c r="I2019" s="11" t="s">
        <v>49</v>
      </c>
      <c r="J2019" s="11">
        <v>-90.55</v>
      </c>
      <c r="K2019" s="11"/>
      <c r="L2019" s="11">
        <v>90.55</v>
      </c>
      <c r="M2019" s="14">
        <v>-90.55</v>
      </c>
      <c r="N2019" s="11" t="s">
        <v>3656</v>
      </c>
      <c r="O2019" s="11" t="s">
        <v>2000</v>
      </c>
    </row>
    <row r="2020" spans="1:15" s="13" customFormat="1" ht="19.5" customHeight="1" x14ac:dyDescent="0.25">
      <c r="A2020" s="11" t="s">
        <v>3658</v>
      </c>
      <c r="B2020" s="11" t="s">
        <v>3658</v>
      </c>
      <c r="C2020" s="12">
        <v>45749</v>
      </c>
      <c r="D2020" s="12">
        <v>45749</v>
      </c>
      <c r="E2020" s="11" t="s">
        <v>6</v>
      </c>
      <c r="F2020" s="11" t="s">
        <v>3659</v>
      </c>
      <c r="G2020" s="11" t="s">
        <v>3658</v>
      </c>
      <c r="H2020" s="11"/>
      <c r="I2020" s="11" t="s">
        <v>49</v>
      </c>
      <c r="J2020" s="11">
        <v>186</v>
      </c>
      <c r="K2020" s="11">
        <v>186</v>
      </c>
      <c r="L2020" s="11"/>
      <c r="M2020" s="14">
        <v>186</v>
      </c>
      <c r="N2020" s="11" t="s">
        <v>3660</v>
      </c>
      <c r="O2020" s="11" t="s">
        <v>50</v>
      </c>
    </row>
    <row r="2021" spans="1:15" s="13" customFormat="1" ht="19.5" customHeight="1" x14ac:dyDescent="0.25">
      <c r="A2021" s="11" t="s">
        <v>3661</v>
      </c>
      <c r="B2021" s="11" t="s">
        <v>3661</v>
      </c>
      <c r="C2021" s="12">
        <v>45747</v>
      </c>
      <c r="D2021" s="11"/>
      <c r="E2021" s="11" t="s">
        <v>6</v>
      </c>
      <c r="F2021" s="11" t="s">
        <v>3659</v>
      </c>
      <c r="G2021" s="11" t="s">
        <v>3658</v>
      </c>
      <c r="H2021" s="11"/>
      <c r="I2021" s="11" t="s">
        <v>49</v>
      </c>
      <c r="J2021" s="11">
        <v>-186</v>
      </c>
      <c r="K2021" s="11"/>
      <c r="L2021" s="11">
        <v>186</v>
      </c>
      <c r="M2021" s="14">
        <v>-186</v>
      </c>
      <c r="N2021" s="11" t="s">
        <v>3660</v>
      </c>
      <c r="O2021" s="11" t="s">
        <v>2000</v>
      </c>
    </row>
    <row r="2022" spans="1:15" s="13" customFormat="1" ht="19.5" customHeight="1" x14ac:dyDescent="0.25">
      <c r="A2022" s="11" t="s">
        <v>3662</v>
      </c>
      <c r="B2022" s="11" t="s">
        <v>3662</v>
      </c>
      <c r="C2022" s="12">
        <v>45749</v>
      </c>
      <c r="D2022" s="12">
        <v>45749</v>
      </c>
      <c r="E2022" s="11" t="s">
        <v>6</v>
      </c>
      <c r="F2022" s="11" t="s">
        <v>3663</v>
      </c>
      <c r="G2022" s="11" t="s">
        <v>3662</v>
      </c>
      <c r="H2022" s="11"/>
      <c r="I2022" s="11" t="s">
        <v>49</v>
      </c>
      <c r="J2022" s="11">
        <v>29.7</v>
      </c>
      <c r="K2022" s="11">
        <v>29.7</v>
      </c>
      <c r="L2022" s="11"/>
      <c r="M2022" s="14">
        <v>29.7</v>
      </c>
      <c r="N2022" s="11" t="s">
        <v>3664</v>
      </c>
      <c r="O2022" s="11" t="s">
        <v>50</v>
      </c>
    </row>
    <row r="2023" spans="1:15" s="13" customFormat="1" ht="19.5" customHeight="1" x14ac:dyDescent="0.25">
      <c r="A2023" s="11" t="s">
        <v>3665</v>
      </c>
      <c r="B2023" s="11" t="s">
        <v>3665</v>
      </c>
      <c r="C2023" s="12">
        <v>45747</v>
      </c>
      <c r="D2023" s="11"/>
      <c r="E2023" s="11" t="s">
        <v>6</v>
      </c>
      <c r="F2023" s="11" t="s">
        <v>3663</v>
      </c>
      <c r="G2023" s="11" t="s">
        <v>3662</v>
      </c>
      <c r="H2023" s="11"/>
      <c r="I2023" s="11" t="s">
        <v>49</v>
      </c>
      <c r="J2023" s="11">
        <v>-29.7</v>
      </c>
      <c r="K2023" s="11"/>
      <c r="L2023" s="11">
        <v>29.7</v>
      </c>
      <c r="M2023" s="14">
        <v>-29.7</v>
      </c>
      <c r="N2023" s="11" t="s">
        <v>3664</v>
      </c>
      <c r="O2023" s="11" t="s">
        <v>2000</v>
      </c>
    </row>
    <row r="2024" spans="1:15" s="13" customFormat="1" ht="19.5" customHeight="1" x14ac:dyDescent="0.25">
      <c r="A2024" s="11" t="s">
        <v>3666</v>
      </c>
      <c r="B2024" s="11" t="s">
        <v>3666</v>
      </c>
      <c r="C2024" s="12">
        <v>45749</v>
      </c>
      <c r="D2024" s="12">
        <v>45749</v>
      </c>
      <c r="E2024" s="11" t="s">
        <v>6</v>
      </c>
      <c r="F2024" s="11" t="s">
        <v>3667</v>
      </c>
      <c r="G2024" s="11" t="s">
        <v>3666</v>
      </c>
      <c r="H2024" s="11"/>
      <c r="I2024" s="11" t="s">
        <v>49</v>
      </c>
      <c r="J2024" s="11">
        <v>98</v>
      </c>
      <c r="K2024" s="11">
        <v>98</v>
      </c>
      <c r="L2024" s="11"/>
      <c r="M2024" s="14">
        <v>98</v>
      </c>
      <c r="N2024" s="11" t="s">
        <v>3668</v>
      </c>
      <c r="O2024" s="11" t="s">
        <v>50</v>
      </c>
    </row>
    <row r="2025" spans="1:15" s="13" customFormat="1" ht="19.5" customHeight="1" x14ac:dyDescent="0.25">
      <c r="A2025" s="11" t="s">
        <v>3669</v>
      </c>
      <c r="B2025" s="11" t="s">
        <v>3669</v>
      </c>
      <c r="C2025" s="12">
        <v>45748</v>
      </c>
      <c r="D2025" s="11"/>
      <c r="E2025" s="11" t="s">
        <v>6</v>
      </c>
      <c r="F2025" s="11" t="s">
        <v>3667</v>
      </c>
      <c r="G2025" s="11" t="s">
        <v>3666</v>
      </c>
      <c r="H2025" s="11"/>
      <c r="I2025" s="11" t="s">
        <v>49</v>
      </c>
      <c r="J2025" s="11">
        <v>-98</v>
      </c>
      <c r="K2025" s="11"/>
      <c r="L2025" s="11">
        <v>98</v>
      </c>
      <c r="M2025" s="14">
        <v>-98</v>
      </c>
      <c r="N2025" s="11" t="s">
        <v>3668</v>
      </c>
      <c r="O2025" s="11" t="s">
        <v>2000</v>
      </c>
    </row>
    <row r="2026" spans="1:15" s="13" customFormat="1" ht="19.5" customHeight="1" x14ac:dyDescent="0.25">
      <c r="A2026" s="11" t="s">
        <v>3670</v>
      </c>
      <c r="B2026" s="11" t="s">
        <v>3671</v>
      </c>
      <c r="C2026" s="12">
        <v>45754</v>
      </c>
      <c r="D2026" s="12">
        <v>45754</v>
      </c>
      <c r="E2026" s="11" t="s">
        <v>6</v>
      </c>
      <c r="F2026" s="11" t="s">
        <v>74</v>
      </c>
      <c r="G2026" s="11" t="s">
        <v>3672</v>
      </c>
      <c r="H2026" s="11" t="s">
        <v>3673</v>
      </c>
      <c r="I2026" s="11" t="s">
        <v>49</v>
      </c>
      <c r="J2026" s="11">
        <v>-11974.58</v>
      </c>
      <c r="K2026" s="11"/>
      <c r="L2026" s="11">
        <v>11974.58</v>
      </c>
      <c r="M2026" s="14">
        <v>-11974.58</v>
      </c>
      <c r="N2026" s="11" t="s">
        <v>3674</v>
      </c>
      <c r="O2026" s="11" t="s">
        <v>2706</v>
      </c>
    </row>
    <row r="2027" spans="1:15" s="13" customFormat="1" ht="19.5" customHeight="1" x14ac:dyDescent="0.25">
      <c r="A2027" s="11" t="s">
        <v>3675</v>
      </c>
      <c r="B2027" s="11" t="s">
        <v>3675</v>
      </c>
      <c r="C2027" s="12">
        <v>45740</v>
      </c>
      <c r="D2027" s="12">
        <v>45785</v>
      </c>
      <c r="E2027" s="11" t="s">
        <v>6</v>
      </c>
      <c r="F2027" s="11" t="s">
        <v>74</v>
      </c>
      <c r="G2027" s="11" t="s">
        <v>3675</v>
      </c>
      <c r="H2027" s="11"/>
      <c r="I2027" s="11" t="s">
        <v>49</v>
      </c>
      <c r="J2027" s="11">
        <v>1994.97</v>
      </c>
      <c r="K2027" s="11">
        <v>1994.97</v>
      </c>
      <c r="L2027" s="11"/>
      <c r="M2027" s="14">
        <v>1994.97</v>
      </c>
      <c r="N2027" s="11" t="s">
        <v>3674</v>
      </c>
      <c r="O2027" s="11" t="s">
        <v>50</v>
      </c>
    </row>
    <row r="2028" spans="1:15" s="13" customFormat="1" ht="19.5" customHeight="1" x14ac:dyDescent="0.25">
      <c r="A2028" s="11" t="s">
        <v>3675</v>
      </c>
      <c r="B2028" s="11" t="s">
        <v>3675</v>
      </c>
      <c r="C2028" s="12">
        <v>45740</v>
      </c>
      <c r="D2028" s="12">
        <v>45792</v>
      </c>
      <c r="E2028" s="11" t="s">
        <v>6</v>
      </c>
      <c r="F2028" s="11" t="s">
        <v>74</v>
      </c>
      <c r="G2028" s="11" t="s">
        <v>3675</v>
      </c>
      <c r="H2028" s="11"/>
      <c r="I2028" s="11" t="s">
        <v>49</v>
      </c>
      <c r="J2028" s="11">
        <v>1994.97</v>
      </c>
      <c r="K2028" s="11">
        <v>1994.97</v>
      </c>
      <c r="L2028" s="11"/>
      <c r="M2028" s="14">
        <v>1994.97</v>
      </c>
      <c r="N2028" s="11" t="s">
        <v>3674</v>
      </c>
      <c r="O2028" s="11" t="s">
        <v>50</v>
      </c>
    </row>
    <row r="2029" spans="1:15" s="13" customFormat="1" ht="19.5" customHeight="1" x14ac:dyDescent="0.25">
      <c r="A2029" s="11" t="s">
        <v>3675</v>
      </c>
      <c r="B2029" s="11" t="s">
        <v>3675</v>
      </c>
      <c r="C2029" s="12">
        <v>45740</v>
      </c>
      <c r="D2029" s="12">
        <v>45799</v>
      </c>
      <c r="E2029" s="11" t="s">
        <v>6</v>
      </c>
      <c r="F2029" s="11" t="s">
        <v>74</v>
      </c>
      <c r="G2029" s="11" t="s">
        <v>3675</v>
      </c>
      <c r="H2029" s="11"/>
      <c r="I2029" s="11" t="s">
        <v>49</v>
      </c>
      <c r="J2029" s="11">
        <v>1994.97</v>
      </c>
      <c r="K2029" s="11">
        <v>1994.97</v>
      </c>
      <c r="L2029" s="11"/>
      <c r="M2029" s="14">
        <v>1994.97</v>
      </c>
      <c r="N2029" s="11" t="s">
        <v>3674</v>
      </c>
      <c r="O2029" s="11" t="s">
        <v>50</v>
      </c>
    </row>
    <row r="2030" spans="1:15" s="13" customFormat="1" ht="19.5" customHeight="1" x14ac:dyDescent="0.25">
      <c r="A2030" s="11" t="s">
        <v>3675</v>
      </c>
      <c r="B2030" s="11" t="s">
        <v>3675</v>
      </c>
      <c r="C2030" s="12">
        <v>45740</v>
      </c>
      <c r="D2030" s="12">
        <v>45806</v>
      </c>
      <c r="E2030" s="11" t="s">
        <v>6</v>
      </c>
      <c r="F2030" s="11" t="s">
        <v>74</v>
      </c>
      <c r="G2030" s="11" t="s">
        <v>3675</v>
      </c>
      <c r="H2030" s="11"/>
      <c r="I2030" s="11" t="s">
        <v>49</v>
      </c>
      <c r="J2030" s="11">
        <v>1994.97</v>
      </c>
      <c r="K2030" s="11">
        <v>1994.97</v>
      </c>
      <c r="L2030" s="11"/>
      <c r="M2030" s="14">
        <v>1994.97</v>
      </c>
      <c r="N2030" s="11" t="s">
        <v>3674</v>
      </c>
      <c r="O2030" s="11" t="s">
        <v>50</v>
      </c>
    </row>
    <row r="2031" spans="1:15" s="13" customFormat="1" ht="19.5" customHeight="1" x14ac:dyDescent="0.25">
      <c r="A2031" s="11" t="s">
        <v>3675</v>
      </c>
      <c r="B2031" s="11" t="s">
        <v>3675</v>
      </c>
      <c r="C2031" s="12">
        <v>45740</v>
      </c>
      <c r="D2031" s="12">
        <v>45813</v>
      </c>
      <c r="E2031" s="11" t="s">
        <v>6</v>
      </c>
      <c r="F2031" s="11" t="s">
        <v>74</v>
      </c>
      <c r="G2031" s="11" t="s">
        <v>3675</v>
      </c>
      <c r="H2031" s="11"/>
      <c r="I2031" s="11" t="s">
        <v>49</v>
      </c>
      <c r="J2031" s="11">
        <v>1994.97</v>
      </c>
      <c r="K2031" s="11">
        <v>1994.97</v>
      </c>
      <c r="L2031" s="11"/>
      <c r="M2031" s="14">
        <v>1994.97</v>
      </c>
      <c r="N2031" s="11" t="s">
        <v>3674</v>
      </c>
      <c r="O2031" s="11" t="s">
        <v>50</v>
      </c>
    </row>
    <row r="2032" spans="1:15" s="13" customFormat="1" ht="19.5" customHeight="1" x14ac:dyDescent="0.25">
      <c r="A2032" s="11" t="s">
        <v>3675</v>
      </c>
      <c r="B2032" s="11" t="s">
        <v>3675</v>
      </c>
      <c r="C2032" s="12">
        <v>45740</v>
      </c>
      <c r="D2032" s="12">
        <v>45830</v>
      </c>
      <c r="E2032" s="11" t="s">
        <v>6</v>
      </c>
      <c r="F2032" s="11" t="s">
        <v>74</v>
      </c>
      <c r="G2032" s="11" t="s">
        <v>3675</v>
      </c>
      <c r="H2032" s="11"/>
      <c r="I2032" s="11" t="s">
        <v>49</v>
      </c>
      <c r="J2032" s="11">
        <v>1999.73</v>
      </c>
      <c r="K2032" s="11">
        <v>1999.73</v>
      </c>
      <c r="L2032" s="11"/>
      <c r="M2032" s="14">
        <v>1999.73</v>
      </c>
      <c r="N2032" s="11" t="s">
        <v>3674</v>
      </c>
      <c r="O2032" s="11" t="s">
        <v>50</v>
      </c>
    </row>
    <row r="2033" spans="1:15" s="13" customFormat="1" ht="19.5" customHeight="1" x14ac:dyDescent="0.25">
      <c r="A2033" s="11" t="s">
        <v>3676</v>
      </c>
      <c r="B2033" s="11" t="s">
        <v>3677</v>
      </c>
      <c r="C2033" s="12">
        <v>45754</v>
      </c>
      <c r="D2033" s="12">
        <v>45754</v>
      </c>
      <c r="E2033" s="11" t="s">
        <v>6</v>
      </c>
      <c r="F2033" s="11" t="s">
        <v>74</v>
      </c>
      <c r="G2033" s="11" t="s">
        <v>3678</v>
      </c>
      <c r="H2033" s="11" t="s">
        <v>3679</v>
      </c>
      <c r="I2033" s="11" t="s">
        <v>49</v>
      </c>
      <c r="J2033" s="11">
        <v>-11839.59</v>
      </c>
      <c r="K2033" s="11"/>
      <c r="L2033" s="11">
        <v>11839.59</v>
      </c>
      <c r="M2033" s="14">
        <v>-11839.59</v>
      </c>
      <c r="N2033" s="11" t="s">
        <v>3680</v>
      </c>
      <c r="O2033" s="11" t="s">
        <v>2706</v>
      </c>
    </row>
    <row r="2034" spans="1:15" s="13" customFormat="1" ht="19.5" customHeight="1" x14ac:dyDescent="0.25">
      <c r="A2034" s="11" t="s">
        <v>3681</v>
      </c>
      <c r="B2034" s="11" t="s">
        <v>3681</v>
      </c>
      <c r="C2034" s="12">
        <v>45740</v>
      </c>
      <c r="D2034" s="12">
        <v>45785</v>
      </c>
      <c r="E2034" s="11" t="s">
        <v>6</v>
      </c>
      <c r="F2034" s="11" t="s">
        <v>74</v>
      </c>
      <c r="G2034" s="11" t="s">
        <v>3681</v>
      </c>
      <c r="H2034" s="11"/>
      <c r="I2034" s="11" t="s">
        <v>49</v>
      </c>
      <c r="J2034" s="11">
        <v>1972.48</v>
      </c>
      <c r="K2034" s="11">
        <v>1972.48</v>
      </c>
      <c r="L2034" s="11"/>
      <c r="M2034" s="14">
        <v>1972.48</v>
      </c>
      <c r="N2034" s="11" t="s">
        <v>3680</v>
      </c>
      <c r="O2034" s="11" t="s">
        <v>50</v>
      </c>
    </row>
    <row r="2035" spans="1:15" s="13" customFormat="1" ht="19.5" customHeight="1" x14ac:dyDescent="0.25">
      <c r="A2035" s="11" t="s">
        <v>3681</v>
      </c>
      <c r="B2035" s="11" t="s">
        <v>3681</v>
      </c>
      <c r="C2035" s="12">
        <v>45740</v>
      </c>
      <c r="D2035" s="12">
        <v>45790</v>
      </c>
      <c r="E2035" s="11" t="s">
        <v>6</v>
      </c>
      <c r="F2035" s="11" t="s">
        <v>74</v>
      </c>
      <c r="G2035" s="11" t="s">
        <v>3681</v>
      </c>
      <c r="H2035" s="11"/>
      <c r="I2035" s="11" t="s">
        <v>49</v>
      </c>
      <c r="J2035" s="11">
        <v>1972.48</v>
      </c>
      <c r="K2035" s="11">
        <v>1972.48</v>
      </c>
      <c r="L2035" s="11"/>
      <c r="M2035" s="14">
        <v>1972.48</v>
      </c>
      <c r="N2035" s="11" t="s">
        <v>3680</v>
      </c>
      <c r="O2035" s="11" t="s">
        <v>50</v>
      </c>
    </row>
    <row r="2036" spans="1:15" s="13" customFormat="1" ht="19.5" customHeight="1" x14ac:dyDescent="0.25">
      <c r="A2036" s="11" t="s">
        <v>3681</v>
      </c>
      <c r="B2036" s="11" t="s">
        <v>3681</v>
      </c>
      <c r="C2036" s="12">
        <v>45740</v>
      </c>
      <c r="D2036" s="12">
        <v>45800</v>
      </c>
      <c r="E2036" s="11" t="s">
        <v>6</v>
      </c>
      <c r="F2036" s="11" t="s">
        <v>74</v>
      </c>
      <c r="G2036" s="11" t="s">
        <v>3681</v>
      </c>
      <c r="H2036" s="11"/>
      <c r="I2036" s="11" t="s">
        <v>49</v>
      </c>
      <c r="J2036" s="11">
        <v>1972.48</v>
      </c>
      <c r="K2036" s="11">
        <v>1972.48</v>
      </c>
      <c r="L2036" s="11"/>
      <c r="M2036" s="14">
        <v>1972.48</v>
      </c>
      <c r="N2036" s="11" t="s">
        <v>3680</v>
      </c>
      <c r="O2036" s="11" t="s">
        <v>50</v>
      </c>
    </row>
    <row r="2037" spans="1:15" s="13" customFormat="1" ht="19.5" customHeight="1" x14ac:dyDescent="0.25">
      <c r="A2037" s="11" t="s">
        <v>3681</v>
      </c>
      <c r="B2037" s="11" t="s">
        <v>3681</v>
      </c>
      <c r="C2037" s="12">
        <v>45740</v>
      </c>
      <c r="D2037" s="12">
        <v>45805</v>
      </c>
      <c r="E2037" s="11" t="s">
        <v>6</v>
      </c>
      <c r="F2037" s="11" t="s">
        <v>74</v>
      </c>
      <c r="G2037" s="11" t="s">
        <v>3681</v>
      </c>
      <c r="H2037" s="11"/>
      <c r="I2037" s="11" t="s">
        <v>49</v>
      </c>
      <c r="J2037" s="11">
        <v>1972.48</v>
      </c>
      <c r="K2037" s="11">
        <v>1972.48</v>
      </c>
      <c r="L2037" s="11"/>
      <c r="M2037" s="14">
        <v>1972.48</v>
      </c>
      <c r="N2037" s="11" t="s">
        <v>3680</v>
      </c>
      <c r="O2037" s="11" t="s">
        <v>50</v>
      </c>
    </row>
    <row r="2038" spans="1:15" s="13" customFormat="1" ht="19.5" customHeight="1" x14ac:dyDescent="0.25">
      <c r="A2038" s="11" t="s">
        <v>3681</v>
      </c>
      <c r="B2038" s="11" t="s">
        <v>3681</v>
      </c>
      <c r="C2038" s="12">
        <v>45740</v>
      </c>
      <c r="D2038" s="12">
        <v>45810</v>
      </c>
      <c r="E2038" s="11" t="s">
        <v>6</v>
      </c>
      <c r="F2038" s="11" t="s">
        <v>74</v>
      </c>
      <c r="G2038" s="11" t="s">
        <v>3681</v>
      </c>
      <c r="H2038" s="11"/>
      <c r="I2038" s="11" t="s">
        <v>49</v>
      </c>
      <c r="J2038" s="11">
        <v>1972.48</v>
      </c>
      <c r="K2038" s="11">
        <v>1972.48</v>
      </c>
      <c r="L2038" s="11"/>
      <c r="M2038" s="14">
        <v>1972.48</v>
      </c>
      <c r="N2038" s="11" t="s">
        <v>3680</v>
      </c>
      <c r="O2038" s="11" t="s">
        <v>50</v>
      </c>
    </row>
    <row r="2039" spans="1:15" s="13" customFormat="1" ht="19.5" customHeight="1" x14ac:dyDescent="0.25">
      <c r="A2039" s="11" t="s">
        <v>3681</v>
      </c>
      <c r="B2039" s="11" t="s">
        <v>3681</v>
      </c>
      <c r="C2039" s="12">
        <v>45740</v>
      </c>
      <c r="D2039" s="12">
        <v>45815</v>
      </c>
      <c r="E2039" s="11" t="s">
        <v>6</v>
      </c>
      <c r="F2039" s="11" t="s">
        <v>74</v>
      </c>
      <c r="G2039" s="11" t="s">
        <v>3681</v>
      </c>
      <c r="H2039" s="11"/>
      <c r="I2039" s="11" t="s">
        <v>49</v>
      </c>
      <c r="J2039" s="11">
        <v>1977.19</v>
      </c>
      <c r="K2039" s="11">
        <v>1977.19</v>
      </c>
      <c r="L2039" s="11"/>
      <c r="M2039" s="14">
        <v>1977.19</v>
      </c>
      <c r="N2039" s="11" t="s">
        <v>3680</v>
      </c>
      <c r="O2039" s="11" t="s">
        <v>50</v>
      </c>
    </row>
    <row r="2040" spans="1:15" s="13" customFormat="1" ht="19.5" customHeight="1" x14ac:dyDescent="0.25">
      <c r="A2040" s="11" t="s">
        <v>3682</v>
      </c>
      <c r="B2040" s="11" t="s">
        <v>3683</v>
      </c>
      <c r="C2040" s="12">
        <v>45754</v>
      </c>
      <c r="D2040" s="12">
        <v>45754</v>
      </c>
      <c r="E2040" s="11" t="s">
        <v>6</v>
      </c>
      <c r="F2040" s="11" t="s">
        <v>74</v>
      </c>
      <c r="G2040" s="11" t="s">
        <v>3684</v>
      </c>
      <c r="H2040" s="11" t="s">
        <v>3685</v>
      </c>
      <c r="I2040" s="11" t="s">
        <v>49</v>
      </c>
      <c r="J2040" s="11">
        <v>-11998.24</v>
      </c>
      <c r="K2040" s="11"/>
      <c r="L2040" s="11">
        <v>11998.24</v>
      </c>
      <c r="M2040" s="14">
        <v>-11998.24</v>
      </c>
      <c r="N2040" s="11" t="s">
        <v>3686</v>
      </c>
      <c r="O2040" s="11" t="s">
        <v>2706</v>
      </c>
    </row>
    <row r="2041" spans="1:15" s="13" customFormat="1" ht="19.5" customHeight="1" x14ac:dyDescent="0.25">
      <c r="A2041" s="11" t="s">
        <v>3687</v>
      </c>
      <c r="B2041" s="11" t="s">
        <v>3687</v>
      </c>
      <c r="C2041" s="12">
        <v>45742</v>
      </c>
      <c r="D2041" s="12">
        <v>45787</v>
      </c>
      <c r="E2041" s="11" t="s">
        <v>6</v>
      </c>
      <c r="F2041" s="11" t="s">
        <v>74</v>
      </c>
      <c r="G2041" s="11" t="s">
        <v>3687</v>
      </c>
      <c r="H2041" s="11"/>
      <c r="I2041" s="11" t="s">
        <v>49</v>
      </c>
      <c r="J2041" s="11">
        <v>1998.91</v>
      </c>
      <c r="K2041" s="11">
        <v>1998.91</v>
      </c>
      <c r="L2041" s="11"/>
      <c r="M2041" s="14">
        <v>1998.91</v>
      </c>
      <c r="N2041" s="11" t="s">
        <v>3686</v>
      </c>
      <c r="O2041" s="11" t="s">
        <v>50</v>
      </c>
    </row>
    <row r="2042" spans="1:15" s="13" customFormat="1" ht="19.5" customHeight="1" x14ac:dyDescent="0.25">
      <c r="A2042" s="11" t="s">
        <v>3687</v>
      </c>
      <c r="B2042" s="11" t="s">
        <v>3687</v>
      </c>
      <c r="C2042" s="12">
        <v>45742</v>
      </c>
      <c r="D2042" s="12">
        <v>45794</v>
      </c>
      <c r="E2042" s="11" t="s">
        <v>6</v>
      </c>
      <c r="F2042" s="11" t="s">
        <v>74</v>
      </c>
      <c r="G2042" s="11" t="s">
        <v>3687</v>
      </c>
      <c r="H2042" s="11"/>
      <c r="I2042" s="11" t="s">
        <v>49</v>
      </c>
      <c r="J2042" s="11">
        <v>1998.91</v>
      </c>
      <c r="K2042" s="11">
        <v>1998.91</v>
      </c>
      <c r="L2042" s="11"/>
      <c r="M2042" s="14">
        <v>1998.91</v>
      </c>
      <c r="N2042" s="11" t="s">
        <v>3686</v>
      </c>
      <c r="O2042" s="11" t="s">
        <v>50</v>
      </c>
    </row>
    <row r="2043" spans="1:15" s="13" customFormat="1" ht="19.5" customHeight="1" x14ac:dyDescent="0.25">
      <c r="A2043" s="11" t="s">
        <v>3687</v>
      </c>
      <c r="B2043" s="11" t="s">
        <v>3687</v>
      </c>
      <c r="C2043" s="12">
        <v>45742</v>
      </c>
      <c r="D2043" s="12">
        <v>45801</v>
      </c>
      <c r="E2043" s="11" t="s">
        <v>6</v>
      </c>
      <c r="F2043" s="11" t="s">
        <v>74</v>
      </c>
      <c r="G2043" s="11" t="s">
        <v>3687</v>
      </c>
      <c r="H2043" s="11"/>
      <c r="I2043" s="11" t="s">
        <v>49</v>
      </c>
      <c r="J2043" s="11">
        <v>1998.91</v>
      </c>
      <c r="K2043" s="11">
        <v>1998.91</v>
      </c>
      <c r="L2043" s="11"/>
      <c r="M2043" s="14">
        <v>1998.91</v>
      </c>
      <c r="N2043" s="11" t="s">
        <v>3686</v>
      </c>
      <c r="O2043" s="11" t="s">
        <v>50</v>
      </c>
    </row>
    <row r="2044" spans="1:15" s="13" customFormat="1" ht="19.5" customHeight="1" x14ac:dyDescent="0.25">
      <c r="A2044" s="11" t="s">
        <v>3687</v>
      </c>
      <c r="B2044" s="11" t="s">
        <v>3687</v>
      </c>
      <c r="C2044" s="12">
        <v>45742</v>
      </c>
      <c r="D2044" s="12">
        <v>45808</v>
      </c>
      <c r="E2044" s="11" t="s">
        <v>6</v>
      </c>
      <c r="F2044" s="11" t="s">
        <v>74</v>
      </c>
      <c r="G2044" s="11" t="s">
        <v>3687</v>
      </c>
      <c r="H2044" s="11"/>
      <c r="I2044" s="11" t="s">
        <v>49</v>
      </c>
      <c r="J2044" s="11">
        <v>1998.91</v>
      </c>
      <c r="K2044" s="11">
        <v>1998.91</v>
      </c>
      <c r="L2044" s="11"/>
      <c r="M2044" s="14">
        <v>1998.91</v>
      </c>
      <c r="N2044" s="11" t="s">
        <v>3686</v>
      </c>
      <c r="O2044" s="11" t="s">
        <v>50</v>
      </c>
    </row>
    <row r="2045" spans="1:15" s="13" customFormat="1" ht="19.5" customHeight="1" x14ac:dyDescent="0.25">
      <c r="A2045" s="11" t="s">
        <v>3687</v>
      </c>
      <c r="B2045" s="11" t="s">
        <v>3687</v>
      </c>
      <c r="C2045" s="12">
        <v>45742</v>
      </c>
      <c r="D2045" s="12">
        <v>45815</v>
      </c>
      <c r="E2045" s="11" t="s">
        <v>6</v>
      </c>
      <c r="F2045" s="11" t="s">
        <v>74</v>
      </c>
      <c r="G2045" s="11" t="s">
        <v>3687</v>
      </c>
      <c r="H2045" s="11"/>
      <c r="I2045" s="11" t="s">
        <v>49</v>
      </c>
      <c r="J2045" s="11">
        <v>1998.91</v>
      </c>
      <c r="K2045" s="11">
        <v>1998.91</v>
      </c>
      <c r="L2045" s="11"/>
      <c r="M2045" s="14">
        <v>1998.91</v>
      </c>
      <c r="N2045" s="11" t="s">
        <v>3686</v>
      </c>
      <c r="O2045" s="11" t="s">
        <v>50</v>
      </c>
    </row>
    <row r="2046" spans="1:15" s="13" customFormat="1" ht="19.5" customHeight="1" x14ac:dyDescent="0.25">
      <c r="A2046" s="11" t="s">
        <v>3687</v>
      </c>
      <c r="B2046" s="11" t="s">
        <v>3687</v>
      </c>
      <c r="C2046" s="12">
        <v>45742</v>
      </c>
      <c r="D2046" s="12">
        <v>45832</v>
      </c>
      <c r="E2046" s="11" t="s">
        <v>6</v>
      </c>
      <c r="F2046" s="11" t="s">
        <v>74</v>
      </c>
      <c r="G2046" s="11" t="s">
        <v>3687</v>
      </c>
      <c r="H2046" s="11"/>
      <c r="I2046" s="11" t="s">
        <v>49</v>
      </c>
      <c r="J2046" s="11">
        <v>2003.69</v>
      </c>
      <c r="K2046" s="11">
        <v>2003.69</v>
      </c>
      <c r="L2046" s="11"/>
      <c r="M2046" s="14">
        <v>2003.69</v>
      </c>
      <c r="N2046" s="11" t="s">
        <v>3686</v>
      </c>
      <c r="O2046" s="11" t="s">
        <v>50</v>
      </c>
    </row>
    <row r="2047" spans="1:15" s="13" customFormat="1" ht="19.5" customHeight="1" x14ac:dyDescent="0.25">
      <c r="A2047" s="11" t="s">
        <v>3688</v>
      </c>
      <c r="B2047" s="11" t="s">
        <v>3689</v>
      </c>
      <c r="C2047" s="12">
        <v>45754</v>
      </c>
      <c r="D2047" s="12">
        <v>45754</v>
      </c>
      <c r="E2047" s="11" t="s">
        <v>6</v>
      </c>
      <c r="F2047" s="11" t="s">
        <v>74</v>
      </c>
      <c r="G2047" s="11" t="s">
        <v>3690</v>
      </c>
      <c r="H2047" s="11" t="s">
        <v>3691</v>
      </c>
      <c r="I2047" s="11" t="s">
        <v>49</v>
      </c>
      <c r="J2047" s="11">
        <v>-11877.74</v>
      </c>
      <c r="K2047" s="11"/>
      <c r="L2047" s="11">
        <v>11877.74</v>
      </c>
      <c r="M2047" s="14">
        <v>-11877.74</v>
      </c>
      <c r="N2047" s="11" t="s">
        <v>3692</v>
      </c>
      <c r="O2047" s="11" t="s">
        <v>2706</v>
      </c>
    </row>
    <row r="2048" spans="1:15" s="13" customFormat="1" ht="19.5" customHeight="1" x14ac:dyDescent="0.25">
      <c r="A2048" s="11" t="s">
        <v>3693</v>
      </c>
      <c r="B2048" s="11" t="s">
        <v>3693</v>
      </c>
      <c r="C2048" s="12">
        <v>45742</v>
      </c>
      <c r="D2048" s="12">
        <v>45787</v>
      </c>
      <c r="E2048" s="11" t="s">
        <v>6</v>
      </c>
      <c r="F2048" s="11" t="s">
        <v>74</v>
      </c>
      <c r="G2048" s="11" t="s">
        <v>3693</v>
      </c>
      <c r="H2048" s="11"/>
      <c r="I2048" s="11" t="s">
        <v>49</v>
      </c>
      <c r="J2048" s="11">
        <v>1978.83</v>
      </c>
      <c r="K2048" s="11">
        <v>1978.83</v>
      </c>
      <c r="L2048" s="11"/>
      <c r="M2048" s="14">
        <v>1978.83</v>
      </c>
      <c r="N2048" s="11" t="s">
        <v>3692</v>
      </c>
      <c r="O2048" s="11" t="s">
        <v>50</v>
      </c>
    </row>
    <row r="2049" spans="1:15" s="13" customFormat="1" ht="19.5" customHeight="1" x14ac:dyDescent="0.25">
      <c r="A2049" s="11" t="s">
        <v>3693</v>
      </c>
      <c r="B2049" s="11" t="s">
        <v>3693</v>
      </c>
      <c r="C2049" s="12">
        <v>45742</v>
      </c>
      <c r="D2049" s="12">
        <v>45794</v>
      </c>
      <c r="E2049" s="11" t="s">
        <v>6</v>
      </c>
      <c r="F2049" s="11" t="s">
        <v>74</v>
      </c>
      <c r="G2049" s="11" t="s">
        <v>3693</v>
      </c>
      <c r="H2049" s="11"/>
      <c r="I2049" s="11" t="s">
        <v>49</v>
      </c>
      <c r="J2049" s="11">
        <v>1978.83</v>
      </c>
      <c r="K2049" s="11">
        <v>1978.83</v>
      </c>
      <c r="L2049" s="11"/>
      <c r="M2049" s="14">
        <v>1978.83</v>
      </c>
      <c r="N2049" s="11" t="s">
        <v>3692</v>
      </c>
      <c r="O2049" s="11" t="s">
        <v>50</v>
      </c>
    </row>
    <row r="2050" spans="1:15" s="13" customFormat="1" ht="19.5" customHeight="1" x14ac:dyDescent="0.25">
      <c r="A2050" s="11" t="s">
        <v>3693</v>
      </c>
      <c r="B2050" s="11" t="s">
        <v>3693</v>
      </c>
      <c r="C2050" s="12">
        <v>45742</v>
      </c>
      <c r="D2050" s="12">
        <v>45801</v>
      </c>
      <c r="E2050" s="11" t="s">
        <v>6</v>
      </c>
      <c r="F2050" s="11" t="s">
        <v>74</v>
      </c>
      <c r="G2050" s="11" t="s">
        <v>3693</v>
      </c>
      <c r="H2050" s="11"/>
      <c r="I2050" s="11" t="s">
        <v>49</v>
      </c>
      <c r="J2050" s="11">
        <v>1978.83</v>
      </c>
      <c r="K2050" s="11">
        <v>1978.83</v>
      </c>
      <c r="L2050" s="11"/>
      <c r="M2050" s="14">
        <v>1978.83</v>
      </c>
      <c r="N2050" s="11" t="s">
        <v>3692</v>
      </c>
      <c r="O2050" s="11" t="s">
        <v>50</v>
      </c>
    </row>
    <row r="2051" spans="1:15" s="13" customFormat="1" ht="19.5" customHeight="1" x14ac:dyDescent="0.25">
      <c r="A2051" s="11" t="s">
        <v>3693</v>
      </c>
      <c r="B2051" s="11" t="s">
        <v>3693</v>
      </c>
      <c r="C2051" s="12">
        <v>45742</v>
      </c>
      <c r="D2051" s="12">
        <v>45808</v>
      </c>
      <c r="E2051" s="11" t="s">
        <v>6</v>
      </c>
      <c r="F2051" s="11" t="s">
        <v>74</v>
      </c>
      <c r="G2051" s="11" t="s">
        <v>3693</v>
      </c>
      <c r="H2051" s="11"/>
      <c r="I2051" s="11" t="s">
        <v>49</v>
      </c>
      <c r="J2051" s="11">
        <v>1978.83</v>
      </c>
      <c r="K2051" s="11">
        <v>1978.83</v>
      </c>
      <c r="L2051" s="11"/>
      <c r="M2051" s="14">
        <v>1978.83</v>
      </c>
      <c r="N2051" s="11" t="s">
        <v>3692</v>
      </c>
      <c r="O2051" s="11" t="s">
        <v>50</v>
      </c>
    </row>
    <row r="2052" spans="1:15" s="13" customFormat="1" ht="19.5" customHeight="1" x14ac:dyDescent="0.25">
      <c r="A2052" s="11" t="s">
        <v>3693</v>
      </c>
      <c r="B2052" s="11" t="s">
        <v>3693</v>
      </c>
      <c r="C2052" s="12">
        <v>45742</v>
      </c>
      <c r="D2052" s="12">
        <v>45815</v>
      </c>
      <c r="E2052" s="11" t="s">
        <v>6</v>
      </c>
      <c r="F2052" s="11" t="s">
        <v>74</v>
      </c>
      <c r="G2052" s="11" t="s">
        <v>3693</v>
      </c>
      <c r="H2052" s="11"/>
      <c r="I2052" s="11" t="s">
        <v>49</v>
      </c>
      <c r="J2052" s="11">
        <v>1978.83</v>
      </c>
      <c r="K2052" s="11">
        <v>1978.83</v>
      </c>
      <c r="L2052" s="11"/>
      <c r="M2052" s="14">
        <v>1978.83</v>
      </c>
      <c r="N2052" s="11" t="s">
        <v>3692</v>
      </c>
      <c r="O2052" s="11" t="s">
        <v>50</v>
      </c>
    </row>
    <row r="2053" spans="1:15" s="13" customFormat="1" ht="19.5" customHeight="1" x14ac:dyDescent="0.25">
      <c r="A2053" s="11" t="s">
        <v>3693</v>
      </c>
      <c r="B2053" s="11" t="s">
        <v>3693</v>
      </c>
      <c r="C2053" s="12">
        <v>45742</v>
      </c>
      <c r="D2053" s="12">
        <v>45832</v>
      </c>
      <c r="E2053" s="11" t="s">
        <v>6</v>
      </c>
      <c r="F2053" s="11" t="s">
        <v>74</v>
      </c>
      <c r="G2053" s="11" t="s">
        <v>3693</v>
      </c>
      <c r="H2053" s="11"/>
      <c r="I2053" s="11" t="s">
        <v>49</v>
      </c>
      <c r="J2053" s="11">
        <v>1983.59</v>
      </c>
      <c r="K2053" s="11">
        <v>1983.59</v>
      </c>
      <c r="L2053" s="11"/>
      <c r="M2053" s="14">
        <v>1983.59</v>
      </c>
      <c r="N2053" s="11" t="s">
        <v>3692</v>
      </c>
      <c r="O2053" s="11" t="s">
        <v>50</v>
      </c>
    </row>
    <row r="2054" spans="1:15" s="13" customFormat="1" ht="19.5" customHeight="1" x14ac:dyDescent="0.25">
      <c r="A2054" s="11" t="s">
        <v>3694</v>
      </c>
      <c r="B2054" s="11" t="s">
        <v>3694</v>
      </c>
      <c r="C2054" s="12">
        <v>45726</v>
      </c>
      <c r="D2054" s="12">
        <v>45726</v>
      </c>
      <c r="E2054" s="11" t="s">
        <v>6</v>
      </c>
      <c r="F2054" s="11" t="s">
        <v>607</v>
      </c>
      <c r="G2054" s="11" t="s">
        <v>3694</v>
      </c>
      <c r="H2054" s="11"/>
      <c r="I2054" s="11" t="s">
        <v>49</v>
      </c>
      <c r="J2054" s="11">
        <v>6927.98</v>
      </c>
      <c r="K2054" s="11">
        <v>6927.98</v>
      </c>
      <c r="L2054" s="11"/>
      <c r="M2054" s="14">
        <v>6927.98</v>
      </c>
      <c r="N2054" s="11" t="s">
        <v>3695</v>
      </c>
      <c r="O2054" s="11" t="s">
        <v>50</v>
      </c>
    </row>
    <row r="2055" spans="1:15" s="13" customFormat="1" ht="19.5" customHeight="1" x14ac:dyDescent="0.25">
      <c r="A2055" s="11" t="s">
        <v>3696</v>
      </c>
      <c r="B2055" s="11" t="s">
        <v>3696</v>
      </c>
      <c r="C2055" s="12">
        <v>45967</v>
      </c>
      <c r="D2055" s="12">
        <v>45967</v>
      </c>
      <c r="E2055" s="11" t="s">
        <v>6</v>
      </c>
      <c r="F2055" s="11" t="s">
        <v>3697</v>
      </c>
      <c r="G2055" s="11" t="s">
        <v>3696</v>
      </c>
      <c r="H2055" s="11"/>
      <c r="I2055" s="11" t="s">
        <v>49</v>
      </c>
      <c r="J2055" s="11">
        <v>106.9</v>
      </c>
      <c r="K2055" s="11">
        <v>106.9</v>
      </c>
      <c r="L2055" s="11"/>
      <c r="M2055" s="11">
        <v>106.9</v>
      </c>
      <c r="N2055" s="11" t="s">
        <v>3698</v>
      </c>
      <c r="O2055" s="11" t="s">
        <v>50</v>
      </c>
    </row>
    <row r="2056" spans="1:15" s="13" customFormat="1" ht="19.5" customHeight="1" x14ac:dyDescent="0.25">
      <c r="A2056" s="11" t="s">
        <v>3699</v>
      </c>
      <c r="B2056" s="11" t="s">
        <v>3699</v>
      </c>
      <c r="C2056" s="12">
        <v>45724</v>
      </c>
      <c r="D2056" s="11"/>
      <c r="E2056" s="11" t="s">
        <v>6</v>
      </c>
      <c r="F2056" s="11" t="s">
        <v>607</v>
      </c>
      <c r="G2056" s="11" t="s">
        <v>3694</v>
      </c>
      <c r="H2056" s="11"/>
      <c r="I2056" s="11" t="s">
        <v>49</v>
      </c>
      <c r="J2056" s="11">
        <v>-6927.98</v>
      </c>
      <c r="K2056" s="11"/>
      <c r="L2056" s="11">
        <v>6927.98</v>
      </c>
      <c r="M2056" s="14">
        <v>-6927.98</v>
      </c>
      <c r="N2056" s="11" t="s">
        <v>3695</v>
      </c>
      <c r="O2056" s="11" t="s">
        <v>2000</v>
      </c>
    </row>
    <row r="2057" spans="1:15" s="13" customFormat="1" ht="19.5" customHeight="1" x14ac:dyDescent="0.25">
      <c r="A2057" s="11" t="s">
        <v>3700</v>
      </c>
      <c r="B2057" s="11" t="s">
        <v>3700</v>
      </c>
      <c r="C2057" s="12">
        <v>45723</v>
      </c>
      <c r="D2057" s="12">
        <v>45723</v>
      </c>
      <c r="E2057" s="11" t="s">
        <v>6</v>
      </c>
      <c r="F2057" s="11" t="s">
        <v>3701</v>
      </c>
      <c r="G2057" s="11" t="s">
        <v>3700</v>
      </c>
      <c r="H2057" s="11"/>
      <c r="I2057" s="11" t="s">
        <v>49</v>
      </c>
      <c r="J2057" s="11">
        <v>15858.74</v>
      </c>
      <c r="K2057" s="11">
        <v>15858.74</v>
      </c>
      <c r="L2057" s="11"/>
      <c r="M2057" s="14">
        <v>15858.74</v>
      </c>
      <c r="N2057" s="11" t="s">
        <v>3702</v>
      </c>
      <c r="O2057" s="11" t="s">
        <v>50</v>
      </c>
    </row>
    <row r="2058" spans="1:15" s="13" customFormat="1" ht="19.5" customHeight="1" x14ac:dyDescent="0.25">
      <c r="A2058" s="11" t="s">
        <v>3703</v>
      </c>
      <c r="B2058" s="11" t="s">
        <v>3703</v>
      </c>
      <c r="C2058" s="12">
        <v>45723</v>
      </c>
      <c r="D2058" s="11"/>
      <c r="E2058" s="11" t="s">
        <v>6</v>
      </c>
      <c r="F2058" s="11" t="s">
        <v>3701</v>
      </c>
      <c r="G2058" s="11" t="s">
        <v>3700</v>
      </c>
      <c r="H2058" s="11"/>
      <c r="I2058" s="11" t="s">
        <v>49</v>
      </c>
      <c r="J2058" s="11">
        <v>-15858.74</v>
      </c>
      <c r="K2058" s="11"/>
      <c r="L2058" s="11">
        <v>15858.74</v>
      </c>
      <c r="M2058" s="14">
        <v>-15858.74</v>
      </c>
      <c r="N2058" s="11" t="s">
        <v>3702</v>
      </c>
      <c r="O2058" s="11" t="s">
        <v>2000</v>
      </c>
    </row>
    <row r="2059" spans="1:15" s="13" customFormat="1" ht="19.5" customHeight="1" x14ac:dyDescent="0.25">
      <c r="A2059" s="11" t="s">
        <v>3704</v>
      </c>
      <c r="B2059" s="11" t="s">
        <v>3704</v>
      </c>
      <c r="C2059" s="12">
        <v>45735</v>
      </c>
      <c r="D2059" s="12">
        <v>45735</v>
      </c>
      <c r="E2059" s="11" t="s">
        <v>6</v>
      </c>
      <c r="F2059" s="11" t="s">
        <v>2620</v>
      </c>
      <c r="G2059" s="11" t="s">
        <v>3704</v>
      </c>
      <c r="H2059" s="11"/>
      <c r="I2059" s="11" t="s">
        <v>49</v>
      </c>
      <c r="J2059" s="11">
        <v>14663.72</v>
      </c>
      <c r="K2059" s="11">
        <v>14663.72</v>
      </c>
      <c r="L2059" s="11"/>
      <c r="M2059" s="14">
        <v>14663.72</v>
      </c>
      <c r="N2059" s="11" t="s">
        <v>3705</v>
      </c>
      <c r="O2059" s="11" t="s">
        <v>50</v>
      </c>
    </row>
    <row r="2060" spans="1:15" s="13" customFormat="1" ht="19.5" customHeight="1" x14ac:dyDescent="0.25">
      <c r="A2060" s="11" t="s">
        <v>3706</v>
      </c>
      <c r="B2060" s="11" t="s">
        <v>3706</v>
      </c>
      <c r="C2060" s="12">
        <v>45734</v>
      </c>
      <c r="D2060" s="11"/>
      <c r="E2060" s="11" t="s">
        <v>6</v>
      </c>
      <c r="F2060" s="11" t="s">
        <v>2620</v>
      </c>
      <c r="G2060" s="11" t="s">
        <v>3704</v>
      </c>
      <c r="H2060" s="11"/>
      <c r="I2060" s="11" t="s">
        <v>49</v>
      </c>
      <c r="J2060" s="11">
        <v>-14663.72</v>
      </c>
      <c r="K2060" s="11"/>
      <c r="L2060" s="11">
        <v>14663.72</v>
      </c>
      <c r="M2060" s="14">
        <v>-14663.72</v>
      </c>
      <c r="N2060" s="11" t="s">
        <v>3705</v>
      </c>
      <c r="O2060" s="11" t="s">
        <v>2000</v>
      </c>
    </row>
    <row r="2061" spans="1:15" s="13" customFormat="1" ht="19.5" customHeight="1" x14ac:dyDescent="0.25">
      <c r="A2061" s="11" t="s">
        <v>3707</v>
      </c>
      <c r="B2061" s="11" t="s">
        <v>3707</v>
      </c>
      <c r="C2061" s="12">
        <v>45735</v>
      </c>
      <c r="D2061" s="12">
        <v>45735</v>
      </c>
      <c r="E2061" s="11" t="s">
        <v>6</v>
      </c>
      <c r="F2061" s="11" t="s">
        <v>1826</v>
      </c>
      <c r="G2061" s="11" t="s">
        <v>3707</v>
      </c>
      <c r="H2061" s="11"/>
      <c r="I2061" s="11" t="s">
        <v>49</v>
      </c>
      <c r="J2061" s="11">
        <v>7937.8</v>
      </c>
      <c r="K2061" s="11">
        <v>7937.8</v>
      </c>
      <c r="L2061" s="11"/>
      <c r="M2061" s="14">
        <v>7937.8</v>
      </c>
      <c r="N2061" s="11" t="s">
        <v>3708</v>
      </c>
      <c r="O2061" s="11" t="s">
        <v>50</v>
      </c>
    </row>
    <row r="2062" spans="1:15" s="13" customFormat="1" ht="19.5" customHeight="1" x14ac:dyDescent="0.25">
      <c r="A2062" s="11" t="s">
        <v>3709</v>
      </c>
      <c r="B2062" s="11" t="s">
        <v>3709</v>
      </c>
      <c r="C2062" s="12">
        <v>45734</v>
      </c>
      <c r="D2062" s="11"/>
      <c r="E2062" s="11" t="s">
        <v>6</v>
      </c>
      <c r="F2062" s="11" t="s">
        <v>1826</v>
      </c>
      <c r="G2062" s="11" t="s">
        <v>3707</v>
      </c>
      <c r="H2062" s="11"/>
      <c r="I2062" s="11" t="s">
        <v>49</v>
      </c>
      <c r="J2062" s="11">
        <v>-7937.8</v>
      </c>
      <c r="K2062" s="11"/>
      <c r="L2062" s="11">
        <v>7937.8</v>
      </c>
      <c r="M2062" s="14">
        <v>-7937.8</v>
      </c>
      <c r="N2062" s="11" t="s">
        <v>3708</v>
      </c>
      <c r="O2062" s="11" t="s">
        <v>2000</v>
      </c>
    </row>
    <row r="2063" spans="1:15" s="13" customFormat="1" ht="19.5" customHeight="1" x14ac:dyDescent="0.25">
      <c r="A2063" s="11" t="s">
        <v>3710</v>
      </c>
      <c r="B2063" s="11" t="s">
        <v>3710</v>
      </c>
      <c r="C2063" s="12">
        <v>45736</v>
      </c>
      <c r="D2063" s="12">
        <v>45736</v>
      </c>
      <c r="E2063" s="11" t="s">
        <v>6</v>
      </c>
      <c r="F2063" s="11" t="s">
        <v>3319</v>
      </c>
      <c r="G2063" s="11" t="s">
        <v>3710</v>
      </c>
      <c r="H2063" s="11"/>
      <c r="I2063" s="11" t="s">
        <v>49</v>
      </c>
      <c r="J2063" s="11">
        <v>6094.1</v>
      </c>
      <c r="K2063" s="11">
        <v>6094.1</v>
      </c>
      <c r="L2063" s="11"/>
      <c r="M2063" s="14">
        <v>6094.1</v>
      </c>
      <c r="N2063" s="11" t="s">
        <v>3711</v>
      </c>
      <c r="O2063" s="11" t="s">
        <v>50</v>
      </c>
    </row>
    <row r="2064" spans="1:15" s="13" customFormat="1" ht="19.5" customHeight="1" x14ac:dyDescent="0.25">
      <c r="A2064" s="11" t="s">
        <v>3712</v>
      </c>
      <c r="B2064" s="11" t="s">
        <v>3712</v>
      </c>
      <c r="C2064" s="12">
        <v>45736</v>
      </c>
      <c r="D2064" s="11"/>
      <c r="E2064" s="11" t="s">
        <v>6</v>
      </c>
      <c r="F2064" s="11" t="s">
        <v>3319</v>
      </c>
      <c r="G2064" s="11" t="s">
        <v>3710</v>
      </c>
      <c r="H2064" s="11"/>
      <c r="I2064" s="11" t="s">
        <v>49</v>
      </c>
      <c r="J2064" s="11">
        <v>-6094.1</v>
      </c>
      <c r="K2064" s="11"/>
      <c r="L2064" s="11">
        <v>6094.1</v>
      </c>
      <c r="M2064" s="14">
        <v>-6094.1</v>
      </c>
      <c r="N2064" s="11" t="s">
        <v>3711</v>
      </c>
      <c r="O2064" s="11" t="s">
        <v>2000</v>
      </c>
    </row>
    <row r="2065" spans="1:15" s="13" customFormat="1" ht="19.5" customHeight="1" x14ac:dyDescent="0.25">
      <c r="A2065" s="11" t="s">
        <v>3713</v>
      </c>
      <c r="B2065" s="11" t="s">
        <v>3713</v>
      </c>
      <c r="C2065" s="12">
        <v>45736</v>
      </c>
      <c r="D2065" s="12">
        <v>45736</v>
      </c>
      <c r="E2065" s="11" t="s">
        <v>6</v>
      </c>
      <c r="F2065" s="11" t="s">
        <v>3714</v>
      </c>
      <c r="G2065" s="11" t="s">
        <v>3713</v>
      </c>
      <c r="H2065" s="11"/>
      <c r="I2065" s="11" t="s">
        <v>49</v>
      </c>
      <c r="J2065" s="11">
        <v>3862.93</v>
      </c>
      <c r="K2065" s="11">
        <v>3862.93</v>
      </c>
      <c r="L2065" s="11"/>
      <c r="M2065" s="14">
        <v>3862.93</v>
      </c>
      <c r="N2065" s="11" t="s">
        <v>3715</v>
      </c>
      <c r="O2065" s="11" t="s">
        <v>50</v>
      </c>
    </row>
    <row r="2066" spans="1:15" s="13" customFormat="1" ht="19.5" customHeight="1" x14ac:dyDescent="0.25">
      <c r="A2066" s="11" t="s">
        <v>3716</v>
      </c>
      <c r="B2066" s="11" t="s">
        <v>3716</v>
      </c>
      <c r="C2066" s="12">
        <v>45736</v>
      </c>
      <c r="D2066" s="11"/>
      <c r="E2066" s="11" t="s">
        <v>6</v>
      </c>
      <c r="F2066" s="11" t="s">
        <v>3714</v>
      </c>
      <c r="G2066" s="11" t="s">
        <v>3713</v>
      </c>
      <c r="H2066" s="11"/>
      <c r="I2066" s="11" t="s">
        <v>49</v>
      </c>
      <c r="J2066" s="11">
        <v>-3862.93</v>
      </c>
      <c r="K2066" s="11"/>
      <c r="L2066" s="11">
        <v>3862.93</v>
      </c>
      <c r="M2066" s="14">
        <v>-3862.93</v>
      </c>
      <c r="N2066" s="11" t="s">
        <v>3715</v>
      </c>
      <c r="O2066" s="11" t="s">
        <v>2000</v>
      </c>
    </row>
    <row r="2067" spans="1:15" s="13" customFormat="1" ht="19.5" customHeight="1" x14ac:dyDescent="0.25">
      <c r="A2067" s="11" t="s">
        <v>3717</v>
      </c>
      <c r="B2067" s="11" t="s">
        <v>3717</v>
      </c>
      <c r="C2067" s="12">
        <v>45737</v>
      </c>
      <c r="D2067" s="12">
        <v>45737</v>
      </c>
      <c r="E2067" s="11" t="s">
        <v>6</v>
      </c>
      <c r="F2067" s="11" t="s">
        <v>3701</v>
      </c>
      <c r="G2067" s="11" t="s">
        <v>3717</v>
      </c>
      <c r="H2067" s="11"/>
      <c r="I2067" s="11" t="s">
        <v>49</v>
      </c>
      <c r="J2067" s="11">
        <v>4490.49</v>
      </c>
      <c r="K2067" s="11">
        <v>4490.49</v>
      </c>
      <c r="L2067" s="11"/>
      <c r="M2067" s="14">
        <v>4490.49</v>
      </c>
      <c r="N2067" s="11" t="s">
        <v>3718</v>
      </c>
      <c r="O2067" s="11" t="s">
        <v>50</v>
      </c>
    </row>
    <row r="2068" spans="1:15" s="13" customFormat="1" ht="19.5" customHeight="1" x14ac:dyDescent="0.25">
      <c r="A2068" s="11" t="s">
        <v>3719</v>
      </c>
      <c r="B2068" s="11" t="s">
        <v>3719</v>
      </c>
      <c r="C2068" s="12">
        <v>45736</v>
      </c>
      <c r="D2068" s="11"/>
      <c r="E2068" s="11" t="s">
        <v>6</v>
      </c>
      <c r="F2068" s="11" t="s">
        <v>3701</v>
      </c>
      <c r="G2068" s="11" t="s">
        <v>3717</v>
      </c>
      <c r="H2068" s="11"/>
      <c r="I2068" s="11" t="s">
        <v>49</v>
      </c>
      <c r="J2068" s="11">
        <v>-4490.49</v>
      </c>
      <c r="K2068" s="11"/>
      <c r="L2068" s="11">
        <v>4490.49</v>
      </c>
      <c r="M2068" s="14">
        <v>-4490.49</v>
      </c>
      <c r="N2068" s="11" t="s">
        <v>3718</v>
      </c>
      <c r="O2068" s="11" t="s">
        <v>2000</v>
      </c>
    </row>
    <row r="2069" spans="1:15" s="13" customFormat="1" ht="19.5" customHeight="1" x14ac:dyDescent="0.25">
      <c r="A2069" s="11" t="s">
        <v>3720</v>
      </c>
      <c r="B2069" s="11" t="s">
        <v>3720</v>
      </c>
      <c r="C2069" s="12">
        <v>45741</v>
      </c>
      <c r="D2069" s="12">
        <v>45741</v>
      </c>
      <c r="E2069" s="11" t="s">
        <v>6</v>
      </c>
      <c r="F2069" s="11" t="s">
        <v>3701</v>
      </c>
      <c r="G2069" s="11" t="s">
        <v>3720</v>
      </c>
      <c r="H2069" s="11"/>
      <c r="I2069" s="11" t="s">
        <v>49</v>
      </c>
      <c r="J2069" s="11">
        <v>17404.96</v>
      </c>
      <c r="K2069" s="11">
        <v>17404.96</v>
      </c>
      <c r="L2069" s="11"/>
      <c r="M2069" s="14">
        <v>17404.96</v>
      </c>
      <c r="N2069" s="11" t="s">
        <v>3721</v>
      </c>
      <c r="O2069" s="11" t="s">
        <v>50</v>
      </c>
    </row>
    <row r="2070" spans="1:15" s="13" customFormat="1" ht="19.5" customHeight="1" x14ac:dyDescent="0.25">
      <c r="A2070" s="11" t="s">
        <v>3722</v>
      </c>
      <c r="B2070" s="11" t="s">
        <v>3722</v>
      </c>
      <c r="C2070" s="12">
        <v>45740</v>
      </c>
      <c r="D2070" s="11"/>
      <c r="E2070" s="11" t="s">
        <v>6</v>
      </c>
      <c r="F2070" s="11" t="s">
        <v>3701</v>
      </c>
      <c r="G2070" s="11" t="s">
        <v>3720</v>
      </c>
      <c r="H2070" s="11"/>
      <c r="I2070" s="11" t="s">
        <v>49</v>
      </c>
      <c r="J2070" s="11">
        <v>-17404.96</v>
      </c>
      <c r="K2070" s="11"/>
      <c r="L2070" s="11">
        <v>17404.96</v>
      </c>
      <c r="M2070" s="14">
        <v>-17404.96</v>
      </c>
      <c r="N2070" s="11" t="s">
        <v>3721</v>
      </c>
      <c r="O2070" s="11" t="s">
        <v>2000</v>
      </c>
    </row>
    <row r="2071" spans="1:15" s="13" customFormat="1" ht="19.5" customHeight="1" x14ac:dyDescent="0.25">
      <c r="A2071" s="11" t="s">
        <v>3723</v>
      </c>
      <c r="B2071" s="11" t="s">
        <v>3723</v>
      </c>
      <c r="C2071" s="12">
        <v>45722</v>
      </c>
      <c r="D2071" s="12">
        <v>45722</v>
      </c>
      <c r="E2071" s="11" t="s">
        <v>6</v>
      </c>
      <c r="F2071" s="11" t="s">
        <v>3724</v>
      </c>
      <c r="G2071" s="11" t="s">
        <v>3723</v>
      </c>
      <c r="H2071" s="11"/>
      <c r="I2071" s="11" t="s">
        <v>49</v>
      </c>
      <c r="J2071" s="11">
        <v>59622.52</v>
      </c>
      <c r="K2071" s="11">
        <v>59622.52</v>
      </c>
      <c r="L2071" s="11"/>
      <c r="M2071" s="14">
        <v>59622.52</v>
      </c>
      <c r="N2071" s="11" t="s">
        <v>3725</v>
      </c>
      <c r="O2071" s="11" t="s">
        <v>50</v>
      </c>
    </row>
    <row r="2072" spans="1:15" s="13" customFormat="1" ht="19.5" customHeight="1" x14ac:dyDescent="0.25">
      <c r="A2072" s="11" t="s">
        <v>3726</v>
      </c>
      <c r="B2072" s="11" t="s">
        <v>3726</v>
      </c>
      <c r="C2072" s="12">
        <v>45721</v>
      </c>
      <c r="D2072" s="11"/>
      <c r="E2072" s="11" t="s">
        <v>6</v>
      </c>
      <c r="F2072" s="11" t="s">
        <v>3724</v>
      </c>
      <c r="G2072" s="11" t="s">
        <v>3723</v>
      </c>
      <c r="H2072" s="11"/>
      <c r="I2072" s="11" t="s">
        <v>49</v>
      </c>
      <c r="J2072" s="11">
        <v>-59622.52</v>
      </c>
      <c r="K2072" s="11"/>
      <c r="L2072" s="11">
        <v>59622.52</v>
      </c>
      <c r="M2072" s="14">
        <v>-59622.52</v>
      </c>
      <c r="N2072" s="11" t="s">
        <v>3725</v>
      </c>
      <c r="O2072" s="11" t="s">
        <v>2000</v>
      </c>
    </row>
    <row r="2073" spans="1:15" s="13" customFormat="1" ht="19.5" customHeight="1" x14ac:dyDescent="0.25">
      <c r="A2073" s="11" t="s">
        <v>3727</v>
      </c>
      <c r="B2073" s="11" t="s">
        <v>3727</v>
      </c>
      <c r="C2073" s="12">
        <v>45728</v>
      </c>
      <c r="D2073" s="12">
        <v>45728</v>
      </c>
      <c r="E2073" s="11" t="s">
        <v>6</v>
      </c>
      <c r="F2073" s="11" t="s">
        <v>3728</v>
      </c>
      <c r="G2073" s="11" t="s">
        <v>3727</v>
      </c>
      <c r="H2073" s="11"/>
      <c r="I2073" s="11" t="s">
        <v>49</v>
      </c>
      <c r="J2073" s="11">
        <v>79050.399999999994</v>
      </c>
      <c r="K2073" s="11">
        <v>79050.399999999994</v>
      </c>
      <c r="L2073" s="11"/>
      <c r="M2073" s="14">
        <v>79050.399999999994</v>
      </c>
      <c r="N2073" s="11" t="s">
        <v>3729</v>
      </c>
      <c r="O2073" s="11" t="s">
        <v>50</v>
      </c>
    </row>
    <row r="2074" spans="1:15" s="13" customFormat="1" ht="19.5" customHeight="1" x14ac:dyDescent="0.25">
      <c r="A2074" s="11" t="s">
        <v>3730</v>
      </c>
      <c r="B2074" s="11" t="s">
        <v>3730</v>
      </c>
      <c r="C2074" s="12">
        <v>45727</v>
      </c>
      <c r="D2074" s="11"/>
      <c r="E2074" s="11" t="s">
        <v>6</v>
      </c>
      <c r="F2074" s="11" t="s">
        <v>3728</v>
      </c>
      <c r="G2074" s="11" t="s">
        <v>3727</v>
      </c>
      <c r="H2074" s="11"/>
      <c r="I2074" s="11" t="s">
        <v>49</v>
      </c>
      <c r="J2074" s="11">
        <v>-79050.399999999994</v>
      </c>
      <c r="K2074" s="11"/>
      <c r="L2074" s="11">
        <v>79050.399999999994</v>
      </c>
      <c r="M2074" s="14">
        <v>-79050.399999999994</v>
      </c>
      <c r="N2074" s="11" t="s">
        <v>3729</v>
      </c>
      <c r="O2074" s="11" t="s">
        <v>2000</v>
      </c>
    </row>
    <row r="2075" spans="1:15" s="13" customFormat="1" ht="19.5" customHeight="1" x14ac:dyDescent="0.25">
      <c r="A2075" s="11" t="s">
        <v>3731</v>
      </c>
      <c r="B2075" s="11" t="s">
        <v>3731</v>
      </c>
      <c r="C2075" s="12">
        <v>45728</v>
      </c>
      <c r="D2075" s="12">
        <v>45728</v>
      </c>
      <c r="E2075" s="11" t="s">
        <v>6</v>
      </c>
      <c r="F2075" s="11" t="s">
        <v>1826</v>
      </c>
      <c r="G2075" s="11" t="s">
        <v>3731</v>
      </c>
      <c r="H2075" s="11"/>
      <c r="I2075" s="11" t="s">
        <v>49</v>
      </c>
      <c r="J2075" s="11">
        <v>17531.3</v>
      </c>
      <c r="K2075" s="11">
        <v>17531.3</v>
      </c>
      <c r="L2075" s="11"/>
      <c r="M2075" s="14">
        <v>17531.3</v>
      </c>
      <c r="N2075" s="11" t="s">
        <v>3732</v>
      </c>
      <c r="O2075" s="11" t="s">
        <v>50</v>
      </c>
    </row>
    <row r="2076" spans="1:15" s="13" customFormat="1" ht="19.5" customHeight="1" x14ac:dyDescent="0.25">
      <c r="A2076" s="11" t="s">
        <v>3733</v>
      </c>
      <c r="B2076" s="11" t="s">
        <v>3733</v>
      </c>
      <c r="C2076" s="12">
        <v>45727</v>
      </c>
      <c r="D2076" s="11"/>
      <c r="E2076" s="11" t="s">
        <v>6</v>
      </c>
      <c r="F2076" s="11" t="s">
        <v>1826</v>
      </c>
      <c r="G2076" s="11" t="s">
        <v>3731</v>
      </c>
      <c r="H2076" s="11"/>
      <c r="I2076" s="11" t="s">
        <v>49</v>
      </c>
      <c r="J2076" s="11">
        <v>-17531.3</v>
      </c>
      <c r="K2076" s="11"/>
      <c r="L2076" s="11">
        <v>17531.3</v>
      </c>
      <c r="M2076" s="14">
        <v>-17531.3</v>
      </c>
      <c r="N2076" s="11" t="s">
        <v>3732</v>
      </c>
      <c r="O2076" s="11" t="s">
        <v>2000</v>
      </c>
    </row>
    <row r="2077" spans="1:15" s="13" customFormat="1" ht="19.5" customHeight="1" x14ac:dyDescent="0.25">
      <c r="A2077" s="11" t="s">
        <v>3734</v>
      </c>
      <c r="B2077" s="11" t="s">
        <v>3734</v>
      </c>
      <c r="C2077" s="12">
        <v>45736</v>
      </c>
      <c r="D2077" s="12">
        <v>45736</v>
      </c>
      <c r="E2077" s="11" t="s">
        <v>6</v>
      </c>
      <c r="F2077" s="11" t="s">
        <v>2604</v>
      </c>
      <c r="G2077" s="11" t="s">
        <v>3734</v>
      </c>
      <c r="H2077" s="11"/>
      <c r="I2077" s="11" t="s">
        <v>49</v>
      </c>
      <c r="J2077" s="11">
        <v>329.37</v>
      </c>
      <c r="K2077" s="11">
        <v>329.37</v>
      </c>
      <c r="L2077" s="11"/>
      <c r="M2077" s="14">
        <v>329.37</v>
      </c>
      <c r="N2077" s="11" t="s">
        <v>3735</v>
      </c>
      <c r="O2077" s="11" t="s">
        <v>50</v>
      </c>
    </row>
    <row r="2078" spans="1:15" s="13" customFormat="1" ht="19.5" customHeight="1" x14ac:dyDescent="0.25">
      <c r="A2078" s="11" t="s">
        <v>3736</v>
      </c>
      <c r="B2078" s="11" t="s">
        <v>3736</v>
      </c>
      <c r="C2078" s="12">
        <v>45736</v>
      </c>
      <c r="D2078" s="11"/>
      <c r="E2078" s="11" t="s">
        <v>6</v>
      </c>
      <c r="F2078" s="11" t="s">
        <v>2604</v>
      </c>
      <c r="G2078" s="11" t="s">
        <v>3734</v>
      </c>
      <c r="H2078" s="11"/>
      <c r="I2078" s="11" t="s">
        <v>49</v>
      </c>
      <c r="J2078" s="11">
        <v>-329.37</v>
      </c>
      <c r="K2078" s="11"/>
      <c r="L2078" s="11">
        <v>329.37</v>
      </c>
      <c r="M2078" s="14">
        <v>-329.37</v>
      </c>
      <c r="N2078" s="11" t="s">
        <v>3735</v>
      </c>
      <c r="O2078" s="11" t="s">
        <v>2000</v>
      </c>
    </row>
    <row r="2079" spans="1:15" s="13" customFormat="1" ht="19.5" customHeight="1" x14ac:dyDescent="0.25">
      <c r="A2079" s="11" t="s">
        <v>3737</v>
      </c>
      <c r="B2079" s="11" t="s">
        <v>3737</v>
      </c>
      <c r="C2079" s="12">
        <v>45740</v>
      </c>
      <c r="D2079" s="12">
        <v>45740</v>
      </c>
      <c r="E2079" s="11" t="s">
        <v>6</v>
      </c>
      <c r="F2079" s="11" t="s">
        <v>1826</v>
      </c>
      <c r="G2079" s="11" t="s">
        <v>3737</v>
      </c>
      <c r="H2079" s="11"/>
      <c r="I2079" s="11" t="s">
        <v>49</v>
      </c>
      <c r="J2079" s="11">
        <v>12957.91</v>
      </c>
      <c r="K2079" s="11">
        <v>12957.91</v>
      </c>
      <c r="L2079" s="11"/>
      <c r="M2079" s="14">
        <v>12957.91</v>
      </c>
      <c r="N2079" s="11" t="s">
        <v>3738</v>
      </c>
      <c r="O2079" s="11" t="s">
        <v>50</v>
      </c>
    </row>
    <row r="2080" spans="1:15" s="13" customFormat="1" ht="19.5" customHeight="1" x14ac:dyDescent="0.25">
      <c r="A2080" s="11" t="s">
        <v>3739</v>
      </c>
      <c r="B2080" s="11" t="s">
        <v>3739</v>
      </c>
      <c r="C2080" s="12">
        <v>45737</v>
      </c>
      <c r="D2080" s="11"/>
      <c r="E2080" s="11" t="s">
        <v>6</v>
      </c>
      <c r="F2080" s="11" t="s">
        <v>1826</v>
      </c>
      <c r="G2080" s="11" t="s">
        <v>3737</v>
      </c>
      <c r="H2080" s="11"/>
      <c r="I2080" s="11" t="s">
        <v>49</v>
      </c>
      <c r="J2080" s="11">
        <v>-12957.91</v>
      </c>
      <c r="K2080" s="11"/>
      <c r="L2080" s="11">
        <v>12957.91</v>
      </c>
      <c r="M2080" s="14">
        <v>-12957.91</v>
      </c>
      <c r="N2080" s="11" t="s">
        <v>3738</v>
      </c>
      <c r="O2080" s="11" t="s">
        <v>2000</v>
      </c>
    </row>
    <row r="2081" spans="1:15" s="13" customFormat="1" ht="19.5" customHeight="1" x14ac:dyDescent="0.25">
      <c r="A2081" s="11" t="s">
        <v>3740</v>
      </c>
      <c r="B2081" s="11" t="s">
        <v>3740</v>
      </c>
      <c r="C2081" s="12">
        <v>45740</v>
      </c>
      <c r="D2081" s="12">
        <v>45740</v>
      </c>
      <c r="E2081" s="11" t="s">
        <v>6</v>
      </c>
      <c r="F2081" s="11" t="s">
        <v>1826</v>
      </c>
      <c r="G2081" s="11" t="s">
        <v>3740</v>
      </c>
      <c r="H2081" s="11"/>
      <c r="I2081" s="11" t="s">
        <v>49</v>
      </c>
      <c r="J2081" s="11">
        <v>9040.52</v>
      </c>
      <c r="K2081" s="11">
        <v>9040.52</v>
      </c>
      <c r="L2081" s="11"/>
      <c r="M2081" s="14">
        <v>9040.52</v>
      </c>
      <c r="N2081" s="11" t="s">
        <v>3741</v>
      </c>
      <c r="O2081" s="11" t="s">
        <v>50</v>
      </c>
    </row>
    <row r="2082" spans="1:15" s="13" customFormat="1" ht="19.5" customHeight="1" x14ac:dyDescent="0.25">
      <c r="A2082" s="11" t="s">
        <v>3742</v>
      </c>
      <c r="B2082" s="11" t="s">
        <v>3742</v>
      </c>
      <c r="C2082" s="12">
        <v>45737</v>
      </c>
      <c r="D2082" s="11"/>
      <c r="E2082" s="11" t="s">
        <v>6</v>
      </c>
      <c r="F2082" s="11" t="s">
        <v>1826</v>
      </c>
      <c r="G2082" s="11" t="s">
        <v>3740</v>
      </c>
      <c r="H2082" s="11"/>
      <c r="I2082" s="11" t="s">
        <v>49</v>
      </c>
      <c r="J2082" s="11">
        <v>-9040.52</v>
      </c>
      <c r="K2082" s="11"/>
      <c r="L2082" s="11">
        <v>9040.52</v>
      </c>
      <c r="M2082" s="14">
        <v>-9040.52</v>
      </c>
      <c r="N2082" s="11" t="s">
        <v>3741</v>
      </c>
      <c r="O2082" s="11" t="s">
        <v>2000</v>
      </c>
    </row>
    <row r="2083" spans="1:15" s="13" customFormat="1" ht="19.5" customHeight="1" x14ac:dyDescent="0.25">
      <c r="A2083" s="11" t="s">
        <v>3743</v>
      </c>
      <c r="B2083" s="11" t="s">
        <v>3743</v>
      </c>
      <c r="C2083" s="12">
        <v>45741</v>
      </c>
      <c r="D2083" s="12">
        <v>45741</v>
      </c>
      <c r="E2083" s="11" t="s">
        <v>6</v>
      </c>
      <c r="F2083" s="11" t="s">
        <v>1826</v>
      </c>
      <c r="G2083" s="11" t="s">
        <v>3743</v>
      </c>
      <c r="H2083" s="11"/>
      <c r="I2083" s="11" t="s">
        <v>49</v>
      </c>
      <c r="J2083" s="11">
        <v>9087.42</v>
      </c>
      <c r="K2083" s="11">
        <v>9087.42</v>
      </c>
      <c r="L2083" s="11"/>
      <c r="M2083" s="14">
        <v>9087.42</v>
      </c>
      <c r="N2083" s="11" t="s">
        <v>3744</v>
      </c>
      <c r="O2083" s="11" t="s">
        <v>50</v>
      </c>
    </row>
    <row r="2084" spans="1:15" s="13" customFormat="1" ht="19.5" customHeight="1" x14ac:dyDescent="0.25">
      <c r="A2084" s="11" t="s">
        <v>3745</v>
      </c>
      <c r="B2084" s="11" t="s">
        <v>3745</v>
      </c>
      <c r="C2084" s="12">
        <v>45740</v>
      </c>
      <c r="D2084" s="11"/>
      <c r="E2084" s="11" t="s">
        <v>6</v>
      </c>
      <c r="F2084" s="11" t="s">
        <v>1826</v>
      </c>
      <c r="G2084" s="11" t="s">
        <v>3743</v>
      </c>
      <c r="H2084" s="11"/>
      <c r="I2084" s="11" t="s">
        <v>49</v>
      </c>
      <c r="J2084" s="11">
        <v>-9087.42</v>
      </c>
      <c r="K2084" s="11"/>
      <c r="L2084" s="11">
        <v>9087.42</v>
      </c>
      <c r="M2084" s="14">
        <v>-9087.42</v>
      </c>
      <c r="N2084" s="11" t="s">
        <v>3744</v>
      </c>
      <c r="O2084" s="11" t="s">
        <v>2000</v>
      </c>
    </row>
    <row r="2085" spans="1:15" s="13" customFormat="1" ht="19.5" customHeight="1" x14ac:dyDescent="0.25">
      <c r="A2085" s="11" t="s">
        <v>3746</v>
      </c>
      <c r="B2085" s="11" t="s">
        <v>3746</v>
      </c>
      <c r="C2085" s="12">
        <v>45741</v>
      </c>
      <c r="D2085" s="12">
        <v>45741</v>
      </c>
      <c r="E2085" s="11" t="s">
        <v>6</v>
      </c>
      <c r="F2085" s="11" t="s">
        <v>2620</v>
      </c>
      <c r="G2085" s="11" t="s">
        <v>3746</v>
      </c>
      <c r="H2085" s="11"/>
      <c r="I2085" s="11" t="s">
        <v>49</v>
      </c>
      <c r="J2085" s="11">
        <v>21556.959999999999</v>
      </c>
      <c r="K2085" s="11">
        <v>21556.959999999999</v>
      </c>
      <c r="L2085" s="11"/>
      <c r="M2085" s="14">
        <v>21556.959999999999</v>
      </c>
      <c r="N2085" s="11" t="s">
        <v>3747</v>
      </c>
      <c r="O2085" s="11" t="s">
        <v>50</v>
      </c>
    </row>
    <row r="2086" spans="1:15" s="13" customFormat="1" ht="19.5" customHeight="1" x14ac:dyDescent="0.25">
      <c r="A2086" s="11" t="s">
        <v>3748</v>
      </c>
      <c r="B2086" s="11" t="s">
        <v>3748</v>
      </c>
      <c r="C2086" s="12">
        <v>45741</v>
      </c>
      <c r="D2086" s="11"/>
      <c r="E2086" s="11" t="s">
        <v>6</v>
      </c>
      <c r="F2086" s="11" t="s">
        <v>2620</v>
      </c>
      <c r="G2086" s="11" t="s">
        <v>3746</v>
      </c>
      <c r="H2086" s="11"/>
      <c r="I2086" s="11" t="s">
        <v>49</v>
      </c>
      <c r="J2086" s="11">
        <v>-21556.959999999999</v>
      </c>
      <c r="K2086" s="11"/>
      <c r="L2086" s="11">
        <v>21556.959999999999</v>
      </c>
      <c r="M2086" s="14">
        <v>-21556.959999999999</v>
      </c>
      <c r="N2086" s="11" t="s">
        <v>3747</v>
      </c>
      <c r="O2086" s="11" t="s">
        <v>2000</v>
      </c>
    </row>
    <row r="2087" spans="1:15" s="13" customFormat="1" ht="19.5" customHeight="1" x14ac:dyDescent="0.25">
      <c r="A2087" s="11" t="s">
        <v>3749</v>
      </c>
      <c r="B2087" s="11" t="s">
        <v>3749</v>
      </c>
      <c r="C2087" s="12">
        <v>45727</v>
      </c>
      <c r="D2087" s="12">
        <v>45727</v>
      </c>
      <c r="E2087" s="11" t="s">
        <v>6</v>
      </c>
      <c r="F2087" s="11" t="s">
        <v>2620</v>
      </c>
      <c r="G2087" s="11" t="s">
        <v>3749</v>
      </c>
      <c r="H2087" s="11"/>
      <c r="I2087" s="11" t="s">
        <v>49</v>
      </c>
      <c r="J2087" s="11">
        <v>10690.11</v>
      </c>
      <c r="K2087" s="11">
        <v>10690.11</v>
      </c>
      <c r="L2087" s="11"/>
      <c r="M2087" s="14">
        <v>10690.11</v>
      </c>
      <c r="N2087" s="11" t="s">
        <v>3750</v>
      </c>
      <c r="O2087" s="11" t="s">
        <v>50</v>
      </c>
    </row>
    <row r="2088" spans="1:15" s="13" customFormat="1" ht="19.5" customHeight="1" x14ac:dyDescent="0.25">
      <c r="A2088" s="11" t="s">
        <v>3751</v>
      </c>
      <c r="B2088" s="11" t="s">
        <v>3751</v>
      </c>
      <c r="C2088" s="12">
        <v>45726</v>
      </c>
      <c r="D2088" s="11"/>
      <c r="E2088" s="11" t="s">
        <v>6</v>
      </c>
      <c r="F2088" s="11" t="s">
        <v>2620</v>
      </c>
      <c r="G2088" s="11" t="s">
        <v>3749</v>
      </c>
      <c r="H2088" s="11"/>
      <c r="I2088" s="11" t="s">
        <v>49</v>
      </c>
      <c r="J2088" s="11">
        <v>-10283.209999999999</v>
      </c>
      <c r="K2088" s="11"/>
      <c r="L2088" s="11">
        <v>10283.209999999999</v>
      </c>
      <c r="M2088" s="14">
        <v>-10283.209999999999</v>
      </c>
      <c r="N2088" s="11" t="s">
        <v>3750</v>
      </c>
      <c r="O2088" s="11" t="s">
        <v>2000</v>
      </c>
    </row>
    <row r="2089" spans="1:15" s="13" customFormat="1" ht="19.5" customHeight="1" x14ac:dyDescent="0.25">
      <c r="A2089" s="11" t="s">
        <v>3752</v>
      </c>
      <c r="B2089" s="11" t="s">
        <v>3752</v>
      </c>
      <c r="C2089" s="12">
        <v>45722</v>
      </c>
      <c r="D2089" s="12">
        <v>45722</v>
      </c>
      <c r="E2089" s="11" t="s">
        <v>6</v>
      </c>
      <c r="F2089" s="11" t="s">
        <v>2620</v>
      </c>
      <c r="G2089" s="11"/>
      <c r="H2089" s="11"/>
      <c r="I2089" s="11" t="s">
        <v>49</v>
      </c>
      <c r="J2089" s="11">
        <v>-29.76</v>
      </c>
      <c r="K2089" s="11"/>
      <c r="L2089" s="11">
        <v>29.76</v>
      </c>
      <c r="M2089" s="14">
        <v>-29.76</v>
      </c>
      <c r="N2089" s="11" t="s">
        <v>3750</v>
      </c>
      <c r="O2089" s="11" t="s">
        <v>75</v>
      </c>
    </row>
    <row r="2090" spans="1:15" s="13" customFormat="1" ht="19.5" customHeight="1" x14ac:dyDescent="0.25">
      <c r="A2090" s="11" t="s">
        <v>3753</v>
      </c>
      <c r="B2090" s="11" t="s">
        <v>3753</v>
      </c>
      <c r="C2090" s="12">
        <v>45658</v>
      </c>
      <c r="D2090" s="12">
        <v>45625</v>
      </c>
      <c r="E2090" s="11" t="s">
        <v>6</v>
      </c>
      <c r="F2090" s="11" t="s">
        <v>2620</v>
      </c>
      <c r="G2090" s="11" t="s">
        <v>3753</v>
      </c>
      <c r="H2090" s="11"/>
      <c r="I2090" s="11" t="s">
        <v>49</v>
      </c>
      <c r="J2090" s="11">
        <v>-26.89</v>
      </c>
      <c r="K2090" s="11"/>
      <c r="L2090" s="11">
        <v>26.89</v>
      </c>
      <c r="M2090" s="14">
        <v>-26.89</v>
      </c>
      <c r="N2090" s="11" t="s">
        <v>3750</v>
      </c>
      <c r="O2090" s="11" t="s">
        <v>234</v>
      </c>
    </row>
    <row r="2091" spans="1:15" s="13" customFormat="1" ht="19.5" customHeight="1" x14ac:dyDescent="0.25">
      <c r="A2091" s="11" t="s">
        <v>3754</v>
      </c>
      <c r="B2091" s="11" t="s">
        <v>3754</v>
      </c>
      <c r="C2091" s="12">
        <v>45658</v>
      </c>
      <c r="D2091" s="12">
        <v>45625</v>
      </c>
      <c r="E2091" s="11" t="s">
        <v>6</v>
      </c>
      <c r="F2091" s="11" t="s">
        <v>2620</v>
      </c>
      <c r="G2091" s="11" t="s">
        <v>3754</v>
      </c>
      <c r="H2091" s="11"/>
      <c r="I2091" s="11" t="s">
        <v>49</v>
      </c>
      <c r="J2091" s="11">
        <v>-350.25</v>
      </c>
      <c r="K2091" s="11"/>
      <c r="L2091" s="11">
        <v>350.25</v>
      </c>
      <c r="M2091" s="14">
        <v>-350.25</v>
      </c>
      <c r="N2091" s="11" t="s">
        <v>3750</v>
      </c>
      <c r="O2091" s="11" t="s">
        <v>234</v>
      </c>
    </row>
    <row r="2092" spans="1:15" s="13" customFormat="1" ht="19.5" customHeight="1" x14ac:dyDescent="0.25">
      <c r="A2092" s="11" t="s">
        <v>3755</v>
      </c>
      <c r="B2092" s="11" t="s">
        <v>3755</v>
      </c>
      <c r="C2092" s="12">
        <v>45750</v>
      </c>
      <c r="D2092" s="11"/>
      <c r="E2092" s="11" t="s">
        <v>6</v>
      </c>
      <c r="F2092" s="11" t="s">
        <v>482</v>
      </c>
      <c r="G2092" s="11" t="s">
        <v>3756</v>
      </c>
      <c r="H2092" s="11"/>
      <c r="I2092" s="11" t="s">
        <v>49</v>
      </c>
      <c r="J2092" s="11">
        <v>-4662.18</v>
      </c>
      <c r="K2092" s="11"/>
      <c r="L2092" s="11">
        <v>4662.18</v>
      </c>
      <c r="M2092" s="14">
        <v>-4662.18</v>
      </c>
      <c r="N2092" s="11" t="s">
        <v>3757</v>
      </c>
      <c r="O2092" s="11" t="s">
        <v>2000</v>
      </c>
    </row>
    <row r="2093" spans="1:15" s="13" customFormat="1" ht="19.5" customHeight="1" x14ac:dyDescent="0.25">
      <c r="A2093" s="11" t="s">
        <v>3756</v>
      </c>
      <c r="B2093" s="11" t="s">
        <v>3756</v>
      </c>
      <c r="C2093" s="12">
        <v>45706</v>
      </c>
      <c r="D2093" s="12">
        <v>45751</v>
      </c>
      <c r="E2093" s="11" t="s">
        <v>6</v>
      </c>
      <c r="F2093" s="11" t="s">
        <v>482</v>
      </c>
      <c r="G2093" s="11" t="s">
        <v>3756</v>
      </c>
      <c r="H2093" s="11"/>
      <c r="I2093" s="11" t="s">
        <v>49</v>
      </c>
      <c r="J2093" s="11">
        <v>4662.18</v>
      </c>
      <c r="K2093" s="11">
        <v>4662.18</v>
      </c>
      <c r="L2093" s="11"/>
      <c r="M2093" s="14">
        <v>4662.18</v>
      </c>
      <c r="N2093" s="11" t="s">
        <v>3757</v>
      </c>
      <c r="O2093" s="11" t="s">
        <v>3299</v>
      </c>
    </row>
    <row r="2094" spans="1:15" s="13" customFormat="1" ht="19.5" customHeight="1" x14ac:dyDescent="0.25">
      <c r="A2094" s="11" t="s">
        <v>3758</v>
      </c>
      <c r="B2094" s="11" t="s">
        <v>3758</v>
      </c>
      <c r="C2094" s="12">
        <v>45747</v>
      </c>
      <c r="D2094" s="12">
        <v>45747</v>
      </c>
      <c r="E2094" s="11" t="s">
        <v>6</v>
      </c>
      <c r="F2094" s="11" t="s">
        <v>3724</v>
      </c>
      <c r="G2094" s="11" t="s">
        <v>3758</v>
      </c>
      <c r="H2094" s="11"/>
      <c r="I2094" s="11" t="s">
        <v>49</v>
      </c>
      <c r="J2094" s="11">
        <v>8854.81</v>
      </c>
      <c r="K2094" s="11">
        <v>8854.81</v>
      </c>
      <c r="L2094" s="11"/>
      <c r="M2094" s="14">
        <v>8854.81</v>
      </c>
      <c r="N2094" s="11" t="s">
        <v>3759</v>
      </c>
      <c r="O2094" s="11" t="s">
        <v>50</v>
      </c>
    </row>
    <row r="2095" spans="1:15" s="13" customFormat="1" ht="19.5" customHeight="1" x14ac:dyDescent="0.25">
      <c r="A2095" s="11" t="s">
        <v>3760</v>
      </c>
      <c r="B2095" s="11" t="s">
        <v>3760</v>
      </c>
      <c r="C2095" s="12">
        <v>45744</v>
      </c>
      <c r="D2095" s="11"/>
      <c r="E2095" s="11" t="s">
        <v>6</v>
      </c>
      <c r="F2095" s="11" t="s">
        <v>3724</v>
      </c>
      <c r="G2095" s="11" t="s">
        <v>3758</v>
      </c>
      <c r="H2095" s="11"/>
      <c r="I2095" s="11" t="s">
        <v>49</v>
      </c>
      <c r="J2095" s="11">
        <v>-8854.81</v>
      </c>
      <c r="K2095" s="11"/>
      <c r="L2095" s="11">
        <v>8854.81</v>
      </c>
      <c r="M2095" s="14">
        <v>-8854.81</v>
      </c>
      <c r="N2095" s="11" t="s">
        <v>3759</v>
      </c>
      <c r="O2095" s="11" t="s">
        <v>2000</v>
      </c>
    </row>
    <row r="2096" spans="1:15" s="13" customFormat="1" ht="19.5" customHeight="1" x14ac:dyDescent="0.25">
      <c r="A2096" s="11" t="s">
        <v>3761</v>
      </c>
      <c r="B2096" s="11" t="s">
        <v>3761</v>
      </c>
      <c r="C2096" s="12">
        <v>45747</v>
      </c>
      <c r="D2096" s="12">
        <v>45747</v>
      </c>
      <c r="E2096" s="11" t="s">
        <v>6</v>
      </c>
      <c r="F2096" s="11" t="s">
        <v>3762</v>
      </c>
      <c r="G2096" s="11" t="s">
        <v>3761</v>
      </c>
      <c r="H2096" s="11"/>
      <c r="I2096" s="11" t="s">
        <v>49</v>
      </c>
      <c r="J2096" s="11">
        <v>11405.3</v>
      </c>
      <c r="K2096" s="11">
        <v>11405.3</v>
      </c>
      <c r="L2096" s="11"/>
      <c r="M2096" s="14">
        <v>11405.3</v>
      </c>
      <c r="N2096" s="11" t="s">
        <v>3763</v>
      </c>
      <c r="O2096" s="11" t="s">
        <v>50</v>
      </c>
    </row>
    <row r="2097" spans="1:15" s="13" customFormat="1" ht="19.5" customHeight="1" x14ac:dyDescent="0.25">
      <c r="A2097" s="11" t="s">
        <v>3764</v>
      </c>
      <c r="B2097" s="11" t="s">
        <v>3764</v>
      </c>
      <c r="C2097" s="12">
        <v>45744</v>
      </c>
      <c r="D2097" s="11"/>
      <c r="E2097" s="11" t="s">
        <v>6</v>
      </c>
      <c r="F2097" s="11" t="s">
        <v>3762</v>
      </c>
      <c r="G2097" s="11" t="s">
        <v>3761</v>
      </c>
      <c r="H2097" s="11"/>
      <c r="I2097" s="11" t="s">
        <v>49</v>
      </c>
      <c r="J2097" s="11">
        <v>-11405.3</v>
      </c>
      <c r="K2097" s="11"/>
      <c r="L2097" s="11">
        <v>11405.3</v>
      </c>
      <c r="M2097" s="14">
        <v>-11405.3</v>
      </c>
      <c r="N2097" s="11" t="s">
        <v>3763</v>
      </c>
      <c r="O2097" s="11" t="s">
        <v>2000</v>
      </c>
    </row>
    <row r="2098" spans="1:15" s="13" customFormat="1" ht="19.5" customHeight="1" x14ac:dyDescent="0.25">
      <c r="A2098" s="11" t="s">
        <v>3765</v>
      </c>
      <c r="B2098" s="11" t="s">
        <v>3765</v>
      </c>
      <c r="C2098" s="12">
        <v>46111</v>
      </c>
      <c r="D2098" s="12">
        <v>46111</v>
      </c>
      <c r="E2098" s="11" t="s">
        <v>6</v>
      </c>
      <c r="F2098" s="11" t="s">
        <v>2600</v>
      </c>
      <c r="G2098" s="11"/>
      <c r="H2098" s="11"/>
      <c r="I2098" s="11" t="s">
        <v>49</v>
      </c>
      <c r="J2098" s="11">
        <v>-1247.33</v>
      </c>
      <c r="K2098" s="11"/>
      <c r="L2098" s="11">
        <v>1247.33</v>
      </c>
      <c r="M2098" s="14">
        <v>-1247.33</v>
      </c>
      <c r="N2098" s="11" t="s">
        <v>3766</v>
      </c>
      <c r="O2098" s="11" t="s">
        <v>50</v>
      </c>
    </row>
    <row r="2099" spans="1:15" s="13" customFormat="1" ht="19.5" customHeight="1" x14ac:dyDescent="0.25">
      <c r="A2099" s="11" t="s">
        <v>3767</v>
      </c>
      <c r="B2099" s="11" t="s">
        <v>3767</v>
      </c>
      <c r="C2099" s="12">
        <v>46107</v>
      </c>
      <c r="D2099" s="12">
        <v>46107</v>
      </c>
      <c r="E2099" s="11" t="s">
        <v>6</v>
      </c>
      <c r="F2099" s="11" t="s">
        <v>2600</v>
      </c>
      <c r="G2099" s="11" t="s">
        <v>3767</v>
      </c>
      <c r="H2099" s="11"/>
      <c r="I2099" s="11" t="s">
        <v>49</v>
      </c>
      <c r="J2099" s="11">
        <v>1247.33</v>
      </c>
      <c r="K2099" s="11">
        <v>1247.33</v>
      </c>
      <c r="L2099" s="11"/>
      <c r="M2099" s="14">
        <v>1247.33</v>
      </c>
      <c r="N2099" s="11" t="s">
        <v>3766</v>
      </c>
      <c r="O2099" s="11" t="s">
        <v>50</v>
      </c>
    </row>
    <row r="2100" spans="1:15" s="13" customFormat="1" ht="19.5" customHeight="1" x14ac:dyDescent="0.25">
      <c r="A2100" s="11" t="s">
        <v>3768</v>
      </c>
      <c r="B2100" s="11" t="s">
        <v>3768</v>
      </c>
      <c r="C2100" s="12">
        <v>46108</v>
      </c>
      <c r="D2100" s="12">
        <v>46108</v>
      </c>
      <c r="E2100" s="11" t="s">
        <v>6</v>
      </c>
      <c r="F2100" s="11" t="s">
        <v>3769</v>
      </c>
      <c r="G2100" s="11" t="s">
        <v>3768</v>
      </c>
      <c r="H2100" s="11"/>
      <c r="I2100" s="11" t="s">
        <v>49</v>
      </c>
      <c r="J2100" s="11">
        <v>294.14</v>
      </c>
      <c r="K2100" s="11">
        <v>294.14</v>
      </c>
      <c r="L2100" s="11"/>
      <c r="M2100" s="14">
        <v>294.14</v>
      </c>
      <c r="N2100" s="11" t="s">
        <v>3770</v>
      </c>
      <c r="O2100" s="11" t="s">
        <v>50</v>
      </c>
    </row>
    <row r="2101" spans="1:15" s="13" customFormat="1" ht="19.5" customHeight="1" x14ac:dyDescent="0.25">
      <c r="A2101" s="11" t="s">
        <v>3771</v>
      </c>
      <c r="B2101" s="11" t="s">
        <v>3771</v>
      </c>
      <c r="C2101" s="12">
        <v>46107</v>
      </c>
      <c r="D2101" s="11"/>
      <c r="E2101" s="11" t="s">
        <v>6</v>
      </c>
      <c r="F2101" s="11" t="s">
        <v>3769</v>
      </c>
      <c r="G2101" s="11" t="s">
        <v>3768</v>
      </c>
      <c r="H2101" s="11"/>
      <c r="I2101" s="11" t="s">
        <v>49</v>
      </c>
      <c r="J2101" s="11">
        <v>-294.14</v>
      </c>
      <c r="K2101" s="11"/>
      <c r="L2101" s="11">
        <v>294.14</v>
      </c>
      <c r="M2101" s="14">
        <v>-294.14</v>
      </c>
      <c r="N2101" s="11" t="s">
        <v>3770</v>
      </c>
      <c r="O2101" s="11" t="s">
        <v>234</v>
      </c>
    </row>
    <row r="2102" spans="1:15" s="13" customFormat="1" ht="19.5" customHeight="1" x14ac:dyDescent="0.25">
      <c r="A2102" s="11" t="s">
        <v>3772</v>
      </c>
      <c r="B2102" s="11" t="s">
        <v>3772</v>
      </c>
      <c r="C2102" s="12">
        <v>45744</v>
      </c>
      <c r="D2102" s="12">
        <v>45744</v>
      </c>
      <c r="E2102" s="11" t="s">
        <v>6</v>
      </c>
      <c r="F2102" s="11" t="s">
        <v>1826</v>
      </c>
      <c r="G2102" s="11" t="s">
        <v>3772</v>
      </c>
      <c r="H2102" s="11"/>
      <c r="I2102" s="11" t="s">
        <v>49</v>
      </c>
      <c r="J2102" s="11">
        <v>17582.509999999998</v>
      </c>
      <c r="K2102" s="11">
        <v>17582.509999999998</v>
      </c>
      <c r="L2102" s="11"/>
      <c r="M2102" s="14">
        <v>17582.509999999998</v>
      </c>
      <c r="N2102" s="11" t="s">
        <v>3773</v>
      </c>
      <c r="O2102" s="11" t="s">
        <v>50</v>
      </c>
    </row>
    <row r="2103" spans="1:15" s="13" customFormat="1" ht="19.5" customHeight="1" x14ac:dyDescent="0.25">
      <c r="A2103" s="11" t="s">
        <v>3774</v>
      </c>
      <c r="B2103" s="11" t="s">
        <v>3774</v>
      </c>
      <c r="C2103" s="12">
        <v>45744</v>
      </c>
      <c r="D2103" s="11"/>
      <c r="E2103" s="11" t="s">
        <v>6</v>
      </c>
      <c r="F2103" s="11" t="s">
        <v>1826</v>
      </c>
      <c r="G2103" s="11" t="s">
        <v>3772</v>
      </c>
      <c r="H2103" s="11"/>
      <c r="I2103" s="11" t="s">
        <v>49</v>
      </c>
      <c r="J2103" s="11">
        <v>-17582.509999999998</v>
      </c>
      <c r="K2103" s="11"/>
      <c r="L2103" s="11">
        <v>17582.509999999998</v>
      </c>
      <c r="M2103" s="14">
        <v>-17582.509999999998</v>
      </c>
      <c r="N2103" s="11" t="s">
        <v>3773</v>
      </c>
      <c r="O2103" s="11" t="s">
        <v>2000</v>
      </c>
    </row>
    <row r="2104" spans="1:15" s="13" customFormat="1" ht="19.5" customHeight="1" x14ac:dyDescent="0.25">
      <c r="A2104" s="11" t="s">
        <v>3775</v>
      </c>
      <c r="B2104" s="11" t="s">
        <v>3775</v>
      </c>
      <c r="C2104" s="12">
        <v>45743</v>
      </c>
      <c r="D2104" s="12">
        <v>45743</v>
      </c>
      <c r="E2104" s="11" t="s">
        <v>6</v>
      </c>
      <c r="F2104" s="11" t="s">
        <v>1826</v>
      </c>
      <c r="G2104" s="11" t="s">
        <v>3775</v>
      </c>
      <c r="H2104" s="11"/>
      <c r="I2104" s="11" t="s">
        <v>49</v>
      </c>
      <c r="J2104" s="11">
        <v>9856.2000000000007</v>
      </c>
      <c r="K2104" s="11">
        <v>9856.2000000000007</v>
      </c>
      <c r="L2104" s="11"/>
      <c r="M2104" s="14">
        <v>9856.2000000000007</v>
      </c>
      <c r="N2104" s="11" t="s">
        <v>3776</v>
      </c>
      <c r="O2104" s="11" t="s">
        <v>50</v>
      </c>
    </row>
    <row r="2105" spans="1:15" s="13" customFormat="1" ht="19.5" customHeight="1" x14ac:dyDescent="0.25">
      <c r="A2105" s="11" t="s">
        <v>3777</v>
      </c>
      <c r="B2105" s="11" t="s">
        <v>3777</v>
      </c>
      <c r="C2105" s="12">
        <v>45743</v>
      </c>
      <c r="D2105" s="11"/>
      <c r="E2105" s="11" t="s">
        <v>6</v>
      </c>
      <c r="F2105" s="11" t="s">
        <v>1826</v>
      </c>
      <c r="G2105" s="11" t="s">
        <v>3775</v>
      </c>
      <c r="H2105" s="11"/>
      <c r="I2105" s="11" t="s">
        <v>49</v>
      </c>
      <c r="J2105" s="11">
        <v>-9856.2000000000007</v>
      </c>
      <c r="K2105" s="11"/>
      <c r="L2105" s="11">
        <v>9856.2000000000007</v>
      </c>
      <c r="M2105" s="14">
        <v>-9856.2000000000007</v>
      </c>
      <c r="N2105" s="11" t="s">
        <v>3776</v>
      </c>
      <c r="O2105" s="11" t="s">
        <v>2000</v>
      </c>
    </row>
    <row r="2106" spans="1:15" s="13" customFormat="1" ht="19.5" customHeight="1" x14ac:dyDescent="0.25">
      <c r="A2106" s="11" t="s">
        <v>3778</v>
      </c>
      <c r="B2106" s="11" t="s">
        <v>3779</v>
      </c>
      <c r="C2106" s="12">
        <v>46112</v>
      </c>
      <c r="D2106" s="12">
        <v>46112</v>
      </c>
      <c r="E2106" s="11" t="s">
        <v>6</v>
      </c>
      <c r="F2106" s="11" t="s">
        <v>2263</v>
      </c>
      <c r="G2106" s="11" t="s">
        <v>3780</v>
      </c>
      <c r="H2106" s="11" t="s">
        <v>3781</v>
      </c>
      <c r="I2106" s="11" t="s">
        <v>49</v>
      </c>
      <c r="J2106" s="11">
        <v>-90.9</v>
      </c>
      <c r="K2106" s="11"/>
      <c r="L2106" s="11">
        <v>90.9</v>
      </c>
      <c r="M2106" s="14">
        <v>-90.9</v>
      </c>
      <c r="N2106" s="11" t="s">
        <v>3782</v>
      </c>
      <c r="O2106" s="11" t="s">
        <v>234</v>
      </c>
    </row>
    <row r="2107" spans="1:15" s="13" customFormat="1" ht="19.5" customHeight="1" x14ac:dyDescent="0.25">
      <c r="A2107" s="11" t="s">
        <v>3781</v>
      </c>
      <c r="B2107" s="11" t="s">
        <v>3781</v>
      </c>
      <c r="C2107" s="12">
        <v>45950</v>
      </c>
      <c r="D2107" s="12">
        <v>45950</v>
      </c>
      <c r="E2107" s="11" t="s">
        <v>6</v>
      </c>
      <c r="F2107" s="11" t="s">
        <v>2263</v>
      </c>
      <c r="G2107" s="11" t="s">
        <v>3781</v>
      </c>
      <c r="H2107" s="11"/>
      <c r="I2107" s="11" t="s">
        <v>49</v>
      </c>
      <c r="J2107" s="11">
        <v>90.9</v>
      </c>
      <c r="K2107" s="11">
        <v>90.9</v>
      </c>
      <c r="L2107" s="11"/>
      <c r="M2107" s="14">
        <v>90.9</v>
      </c>
      <c r="N2107" s="11" t="s">
        <v>3782</v>
      </c>
      <c r="O2107" s="11" t="s">
        <v>50</v>
      </c>
    </row>
    <row r="2108" spans="1:15" s="13" customFormat="1" ht="19.5" customHeight="1" x14ac:dyDescent="0.25">
      <c r="A2108" s="11" t="s">
        <v>3783</v>
      </c>
      <c r="B2108" s="11" t="s">
        <v>3784</v>
      </c>
      <c r="C2108" s="12">
        <v>46112</v>
      </c>
      <c r="D2108" s="12">
        <v>46112</v>
      </c>
      <c r="E2108" s="11" t="s">
        <v>6</v>
      </c>
      <c r="F2108" s="11" t="s">
        <v>3785</v>
      </c>
      <c r="G2108" s="11" t="s">
        <v>3786</v>
      </c>
      <c r="H2108" s="11" t="s">
        <v>3787</v>
      </c>
      <c r="I2108" s="11" t="s">
        <v>49</v>
      </c>
      <c r="J2108" s="11">
        <v>-306</v>
      </c>
      <c r="K2108" s="11"/>
      <c r="L2108" s="11">
        <v>306</v>
      </c>
      <c r="M2108" s="14">
        <v>-306</v>
      </c>
      <c r="N2108" s="11" t="s">
        <v>3788</v>
      </c>
      <c r="O2108" s="11" t="s">
        <v>234</v>
      </c>
    </row>
    <row r="2109" spans="1:15" s="13" customFormat="1" ht="19.5" customHeight="1" x14ac:dyDescent="0.25">
      <c r="A2109" s="11" t="s">
        <v>3787</v>
      </c>
      <c r="B2109" s="11" t="s">
        <v>3787</v>
      </c>
      <c r="C2109" s="12">
        <v>46020</v>
      </c>
      <c r="D2109" s="12">
        <v>46020</v>
      </c>
      <c r="E2109" s="11" t="s">
        <v>6</v>
      </c>
      <c r="F2109" s="11" t="s">
        <v>3785</v>
      </c>
      <c r="G2109" s="11" t="s">
        <v>3787</v>
      </c>
      <c r="H2109" s="11"/>
      <c r="I2109" s="11" t="s">
        <v>49</v>
      </c>
      <c r="J2109" s="11">
        <v>306</v>
      </c>
      <c r="K2109" s="11">
        <v>306</v>
      </c>
      <c r="L2109" s="11"/>
      <c r="M2109" s="14">
        <v>306</v>
      </c>
      <c r="N2109" s="11" t="s">
        <v>3788</v>
      </c>
      <c r="O2109" s="11" t="s">
        <v>50</v>
      </c>
    </row>
    <row r="2110" spans="1:15" s="13" customFormat="1" ht="19.5" customHeight="1" x14ac:dyDescent="0.25">
      <c r="A2110" s="11" t="s">
        <v>3789</v>
      </c>
      <c r="B2110" s="11" t="s">
        <v>3790</v>
      </c>
      <c r="C2110" s="12">
        <v>46112</v>
      </c>
      <c r="D2110" s="12">
        <v>46112</v>
      </c>
      <c r="E2110" s="11" t="s">
        <v>6</v>
      </c>
      <c r="F2110" s="11" t="s">
        <v>3791</v>
      </c>
      <c r="G2110" s="11" t="s">
        <v>3792</v>
      </c>
      <c r="H2110" s="11" t="s">
        <v>3793</v>
      </c>
      <c r="I2110" s="11" t="s">
        <v>49</v>
      </c>
      <c r="J2110" s="11">
        <v>-187.01</v>
      </c>
      <c r="K2110" s="11"/>
      <c r="L2110" s="11">
        <v>187.01</v>
      </c>
      <c r="M2110" s="14">
        <v>-187.01</v>
      </c>
      <c r="N2110" s="11" t="s">
        <v>3794</v>
      </c>
      <c r="O2110" s="11" t="s">
        <v>234</v>
      </c>
    </row>
    <row r="2111" spans="1:15" s="13" customFormat="1" ht="19.5" customHeight="1" x14ac:dyDescent="0.25">
      <c r="A2111" s="11" t="s">
        <v>3793</v>
      </c>
      <c r="B2111" s="11" t="s">
        <v>3793</v>
      </c>
      <c r="C2111" s="12">
        <v>46044</v>
      </c>
      <c r="D2111" s="12">
        <v>46044</v>
      </c>
      <c r="E2111" s="11" t="s">
        <v>6</v>
      </c>
      <c r="F2111" s="11" t="s">
        <v>3791</v>
      </c>
      <c r="G2111" s="11" t="s">
        <v>3793</v>
      </c>
      <c r="H2111" s="11"/>
      <c r="I2111" s="11" t="s">
        <v>49</v>
      </c>
      <c r="J2111" s="11">
        <v>187.01</v>
      </c>
      <c r="K2111" s="11">
        <v>187.01</v>
      </c>
      <c r="L2111" s="11"/>
      <c r="M2111" s="14">
        <v>187.01</v>
      </c>
      <c r="N2111" s="11" t="s">
        <v>3794</v>
      </c>
      <c r="O2111" s="11" t="s">
        <v>50</v>
      </c>
    </row>
    <row r="2112" spans="1:15" s="13" customFormat="1" ht="19.5" customHeight="1" x14ac:dyDescent="0.25">
      <c r="A2112" s="11" t="s">
        <v>3795</v>
      </c>
      <c r="B2112" s="11" t="s">
        <v>3796</v>
      </c>
      <c r="C2112" s="12">
        <v>46112</v>
      </c>
      <c r="D2112" s="12">
        <v>46112</v>
      </c>
      <c r="E2112" s="11" t="s">
        <v>6</v>
      </c>
      <c r="F2112" s="11" t="s">
        <v>3797</v>
      </c>
      <c r="G2112" s="11" t="s">
        <v>3798</v>
      </c>
      <c r="H2112" s="11" t="s">
        <v>3799</v>
      </c>
      <c r="I2112" s="11" t="s">
        <v>49</v>
      </c>
      <c r="J2112" s="11">
        <v>-113.91</v>
      </c>
      <c r="K2112" s="11"/>
      <c r="L2112" s="11">
        <v>113.91</v>
      </c>
      <c r="M2112" s="14">
        <v>-113.91</v>
      </c>
      <c r="N2112" s="11" t="s">
        <v>3800</v>
      </c>
      <c r="O2112" s="11" t="s">
        <v>234</v>
      </c>
    </row>
    <row r="2113" spans="1:15" s="13" customFormat="1" ht="19.5" customHeight="1" x14ac:dyDescent="0.25">
      <c r="A2113" s="11" t="s">
        <v>3799</v>
      </c>
      <c r="B2113" s="11" t="s">
        <v>3799</v>
      </c>
      <c r="C2113" s="12">
        <v>46049</v>
      </c>
      <c r="D2113" s="12">
        <v>46049</v>
      </c>
      <c r="E2113" s="11" t="s">
        <v>6</v>
      </c>
      <c r="F2113" s="11" t="s">
        <v>3797</v>
      </c>
      <c r="G2113" s="11" t="s">
        <v>3799</v>
      </c>
      <c r="H2113" s="11"/>
      <c r="I2113" s="11" t="s">
        <v>49</v>
      </c>
      <c r="J2113" s="11">
        <v>113.91</v>
      </c>
      <c r="K2113" s="11">
        <v>113.91</v>
      </c>
      <c r="L2113" s="11"/>
      <c r="M2113" s="14">
        <v>113.91</v>
      </c>
      <c r="N2113" s="11" t="s">
        <v>3800</v>
      </c>
      <c r="O2113" s="11" t="s">
        <v>50</v>
      </c>
    </row>
    <row r="2114" spans="1:15" s="13" customFormat="1" ht="19.5" customHeight="1" x14ac:dyDescent="0.25">
      <c r="A2114" s="11" t="s">
        <v>3801</v>
      </c>
      <c r="B2114" s="11" t="s">
        <v>3802</v>
      </c>
      <c r="C2114" s="12">
        <v>46112</v>
      </c>
      <c r="D2114" s="12">
        <v>46112</v>
      </c>
      <c r="E2114" s="11" t="s">
        <v>6</v>
      </c>
      <c r="F2114" s="11" t="s">
        <v>3803</v>
      </c>
      <c r="G2114" s="11" t="s">
        <v>3804</v>
      </c>
      <c r="H2114" s="11" t="s">
        <v>3805</v>
      </c>
      <c r="I2114" s="11" t="s">
        <v>49</v>
      </c>
      <c r="J2114" s="11">
        <v>-134.91</v>
      </c>
      <c r="K2114" s="11"/>
      <c r="L2114" s="11">
        <v>134.91</v>
      </c>
      <c r="M2114" s="14">
        <v>-134.91</v>
      </c>
      <c r="N2114" s="11" t="s">
        <v>3806</v>
      </c>
      <c r="O2114" s="11" t="s">
        <v>234</v>
      </c>
    </row>
    <row r="2115" spans="1:15" s="13" customFormat="1" ht="19.5" customHeight="1" x14ac:dyDescent="0.25">
      <c r="A2115" s="11" t="s">
        <v>3805</v>
      </c>
      <c r="B2115" s="11" t="s">
        <v>3805</v>
      </c>
      <c r="C2115" s="12">
        <v>46055</v>
      </c>
      <c r="D2115" s="12">
        <v>46055</v>
      </c>
      <c r="E2115" s="11" t="s">
        <v>6</v>
      </c>
      <c r="F2115" s="11" t="s">
        <v>3803</v>
      </c>
      <c r="G2115" s="11" t="s">
        <v>3805</v>
      </c>
      <c r="H2115" s="11"/>
      <c r="I2115" s="11" t="s">
        <v>49</v>
      </c>
      <c r="J2115" s="11">
        <v>134.91</v>
      </c>
      <c r="K2115" s="11">
        <v>134.91</v>
      </c>
      <c r="L2115" s="11"/>
      <c r="M2115" s="14">
        <v>134.91</v>
      </c>
      <c r="N2115" s="11" t="s">
        <v>3806</v>
      </c>
      <c r="O2115" s="11" t="s">
        <v>75</v>
      </c>
    </row>
    <row r="2116" spans="1:15" s="13" customFormat="1" ht="19.5" customHeight="1" x14ac:dyDescent="0.25">
      <c r="A2116" s="11" t="s">
        <v>3807</v>
      </c>
      <c r="B2116" s="11" t="s">
        <v>3808</v>
      </c>
      <c r="C2116" s="12">
        <v>46112</v>
      </c>
      <c r="D2116" s="12">
        <v>46112</v>
      </c>
      <c r="E2116" s="11" t="s">
        <v>6</v>
      </c>
      <c r="F2116" s="11" t="s">
        <v>3809</v>
      </c>
      <c r="G2116" s="11" t="s">
        <v>3810</v>
      </c>
      <c r="H2116" s="11" t="s">
        <v>3811</v>
      </c>
      <c r="I2116" s="11" t="s">
        <v>49</v>
      </c>
      <c r="J2116" s="11">
        <v>-130.5</v>
      </c>
      <c r="K2116" s="11"/>
      <c r="L2116" s="11">
        <v>130.5</v>
      </c>
      <c r="M2116" s="14">
        <v>-130.5</v>
      </c>
      <c r="N2116" s="11" t="s">
        <v>3812</v>
      </c>
      <c r="O2116" s="11" t="s">
        <v>234</v>
      </c>
    </row>
    <row r="2117" spans="1:15" s="13" customFormat="1" ht="19.5" customHeight="1" x14ac:dyDescent="0.25">
      <c r="A2117" s="11" t="s">
        <v>3811</v>
      </c>
      <c r="B2117" s="11" t="s">
        <v>3811</v>
      </c>
      <c r="C2117" s="12">
        <v>46062</v>
      </c>
      <c r="D2117" s="12">
        <v>46062</v>
      </c>
      <c r="E2117" s="11" t="s">
        <v>6</v>
      </c>
      <c r="F2117" s="11" t="s">
        <v>3809</v>
      </c>
      <c r="G2117" s="11" t="s">
        <v>3811</v>
      </c>
      <c r="H2117" s="11"/>
      <c r="I2117" s="11" t="s">
        <v>49</v>
      </c>
      <c r="J2117" s="11">
        <v>130.5</v>
      </c>
      <c r="K2117" s="11">
        <v>130.5</v>
      </c>
      <c r="L2117" s="11"/>
      <c r="M2117" s="14">
        <v>130.5</v>
      </c>
      <c r="N2117" s="11" t="s">
        <v>3812</v>
      </c>
      <c r="O2117" s="11" t="s">
        <v>75</v>
      </c>
    </row>
    <row r="2118" spans="1:15" s="13" customFormat="1" ht="19.5" customHeight="1" x14ac:dyDescent="0.25">
      <c r="A2118" s="11" t="s">
        <v>3813</v>
      </c>
      <c r="B2118" s="11" t="s">
        <v>3814</v>
      </c>
      <c r="C2118" s="12">
        <v>46112</v>
      </c>
      <c r="D2118" s="12">
        <v>46112</v>
      </c>
      <c r="E2118" s="11" t="s">
        <v>6</v>
      </c>
      <c r="F2118" s="11" t="s">
        <v>3815</v>
      </c>
      <c r="G2118" s="11" t="s">
        <v>3816</v>
      </c>
      <c r="H2118" s="11" t="s">
        <v>3817</v>
      </c>
      <c r="I2118" s="11" t="s">
        <v>49</v>
      </c>
      <c r="J2118" s="11">
        <v>-181.72</v>
      </c>
      <c r="K2118" s="11"/>
      <c r="L2118" s="11">
        <v>181.72</v>
      </c>
      <c r="M2118" s="14">
        <v>-181.72</v>
      </c>
      <c r="N2118" s="11" t="s">
        <v>3818</v>
      </c>
      <c r="O2118" s="11" t="s">
        <v>234</v>
      </c>
    </row>
    <row r="2119" spans="1:15" s="13" customFormat="1" ht="19.5" customHeight="1" x14ac:dyDescent="0.25">
      <c r="A2119" s="11" t="s">
        <v>3817</v>
      </c>
      <c r="B2119" s="11" t="s">
        <v>3817</v>
      </c>
      <c r="C2119" s="12">
        <v>46063</v>
      </c>
      <c r="D2119" s="12">
        <v>46063</v>
      </c>
      <c r="E2119" s="11" t="s">
        <v>6</v>
      </c>
      <c r="F2119" s="11" t="s">
        <v>3815</v>
      </c>
      <c r="G2119" s="11" t="s">
        <v>3817</v>
      </c>
      <c r="H2119" s="11"/>
      <c r="I2119" s="11" t="s">
        <v>49</v>
      </c>
      <c r="J2119" s="11">
        <v>181.72</v>
      </c>
      <c r="K2119" s="11">
        <v>181.72</v>
      </c>
      <c r="L2119" s="11"/>
      <c r="M2119" s="14">
        <v>181.72</v>
      </c>
      <c r="N2119" s="11" t="s">
        <v>3818</v>
      </c>
      <c r="O2119" s="11" t="s">
        <v>75</v>
      </c>
    </row>
    <row r="2120" spans="1:15" s="13" customFormat="1" ht="19.5" customHeight="1" x14ac:dyDescent="0.25">
      <c r="A2120" s="11" t="s">
        <v>3819</v>
      </c>
      <c r="B2120" s="11" t="s">
        <v>3820</v>
      </c>
      <c r="C2120" s="12">
        <v>46112</v>
      </c>
      <c r="D2120" s="12">
        <v>46112</v>
      </c>
      <c r="E2120" s="11" t="s">
        <v>6</v>
      </c>
      <c r="F2120" s="11" t="s">
        <v>3821</v>
      </c>
      <c r="G2120" s="11" t="s">
        <v>3822</v>
      </c>
      <c r="H2120" s="11" t="s">
        <v>3823</v>
      </c>
      <c r="I2120" s="11" t="s">
        <v>49</v>
      </c>
      <c r="J2120" s="11">
        <v>-384.74</v>
      </c>
      <c r="K2120" s="11"/>
      <c r="L2120" s="11">
        <v>384.74</v>
      </c>
      <c r="M2120" s="14">
        <v>-384.74</v>
      </c>
      <c r="N2120" s="11" t="s">
        <v>3824</v>
      </c>
      <c r="O2120" s="11" t="s">
        <v>234</v>
      </c>
    </row>
    <row r="2121" spans="1:15" s="13" customFormat="1" ht="19.5" customHeight="1" x14ac:dyDescent="0.25">
      <c r="A2121" s="11" t="s">
        <v>3823</v>
      </c>
      <c r="B2121" s="11" t="s">
        <v>3823</v>
      </c>
      <c r="C2121" s="12">
        <v>46065</v>
      </c>
      <c r="D2121" s="12">
        <v>46065</v>
      </c>
      <c r="E2121" s="11" t="s">
        <v>6</v>
      </c>
      <c r="F2121" s="11" t="s">
        <v>3821</v>
      </c>
      <c r="G2121" s="11" t="s">
        <v>3823</v>
      </c>
      <c r="H2121" s="11"/>
      <c r="I2121" s="11" t="s">
        <v>49</v>
      </c>
      <c r="J2121" s="11">
        <v>384.74</v>
      </c>
      <c r="K2121" s="11">
        <v>384.74</v>
      </c>
      <c r="L2121" s="11"/>
      <c r="M2121" s="14">
        <v>384.74</v>
      </c>
      <c r="N2121" s="11" t="s">
        <v>3824</v>
      </c>
      <c r="O2121" s="11" t="s">
        <v>75</v>
      </c>
    </row>
    <row r="2122" spans="1:15" s="13" customFormat="1" ht="19.5" customHeight="1" x14ac:dyDescent="0.25">
      <c r="A2122" s="11" t="s">
        <v>3825</v>
      </c>
      <c r="B2122" s="11" t="s">
        <v>3826</v>
      </c>
      <c r="C2122" s="12">
        <v>46112</v>
      </c>
      <c r="D2122" s="12">
        <v>46112</v>
      </c>
      <c r="E2122" s="11" t="s">
        <v>6</v>
      </c>
      <c r="F2122" s="11" t="s">
        <v>3827</v>
      </c>
      <c r="G2122" s="11" t="s">
        <v>3828</v>
      </c>
      <c r="H2122" s="11" t="s">
        <v>3829</v>
      </c>
      <c r="I2122" s="11" t="s">
        <v>49</v>
      </c>
      <c r="J2122" s="11">
        <v>-147.1</v>
      </c>
      <c r="K2122" s="11"/>
      <c r="L2122" s="11">
        <v>147.1</v>
      </c>
      <c r="M2122" s="14">
        <v>-147.1</v>
      </c>
      <c r="N2122" s="11" t="s">
        <v>3830</v>
      </c>
      <c r="O2122" s="11" t="s">
        <v>234</v>
      </c>
    </row>
    <row r="2123" spans="1:15" s="13" customFormat="1" ht="19.5" customHeight="1" x14ac:dyDescent="0.25">
      <c r="A2123" s="11" t="s">
        <v>3829</v>
      </c>
      <c r="B2123" s="11" t="s">
        <v>3829</v>
      </c>
      <c r="C2123" s="12">
        <v>46066</v>
      </c>
      <c r="D2123" s="12">
        <v>46066</v>
      </c>
      <c r="E2123" s="11" t="s">
        <v>6</v>
      </c>
      <c r="F2123" s="11" t="s">
        <v>3827</v>
      </c>
      <c r="G2123" s="11" t="s">
        <v>3829</v>
      </c>
      <c r="H2123" s="11"/>
      <c r="I2123" s="11" t="s">
        <v>49</v>
      </c>
      <c r="J2123" s="11">
        <v>147.1</v>
      </c>
      <c r="K2123" s="11">
        <v>147.1</v>
      </c>
      <c r="L2123" s="11"/>
      <c r="M2123" s="14">
        <v>147.1</v>
      </c>
      <c r="N2123" s="11" t="s">
        <v>3830</v>
      </c>
      <c r="O2123" s="11" t="s">
        <v>75</v>
      </c>
    </row>
    <row r="2124" spans="1:15" s="13" customFormat="1" ht="19.5" customHeight="1" x14ac:dyDescent="0.25">
      <c r="A2124" s="11" t="s">
        <v>3831</v>
      </c>
      <c r="B2124" s="11" t="s">
        <v>3832</v>
      </c>
      <c r="C2124" s="12">
        <v>46112</v>
      </c>
      <c r="D2124" s="12">
        <v>46112</v>
      </c>
      <c r="E2124" s="11" t="s">
        <v>6</v>
      </c>
      <c r="F2124" s="11" t="s">
        <v>3833</v>
      </c>
      <c r="G2124" s="11" t="s">
        <v>3834</v>
      </c>
      <c r="H2124" s="11" t="s">
        <v>3835</v>
      </c>
      <c r="I2124" s="11" t="s">
        <v>49</v>
      </c>
      <c r="J2124" s="11">
        <v>-137.19999999999999</v>
      </c>
      <c r="K2124" s="11"/>
      <c r="L2124" s="11">
        <v>137.19999999999999</v>
      </c>
      <c r="M2124" s="14">
        <v>-137.19999999999999</v>
      </c>
      <c r="N2124" s="11" t="s">
        <v>3836</v>
      </c>
      <c r="O2124" s="11" t="s">
        <v>234</v>
      </c>
    </row>
    <row r="2125" spans="1:15" s="13" customFormat="1" ht="19.5" customHeight="1" x14ac:dyDescent="0.25">
      <c r="A2125" s="11" t="s">
        <v>3835</v>
      </c>
      <c r="B2125" s="11" t="s">
        <v>3835</v>
      </c>
      <c r="C2125" s="12">
        <v>46069</v>
      </c>
      <c r="D2125" s="12">
        <v>46069</v>
      </c>
      <c r="E2125" s="11" t="s">
        <v>6</v>
      </c>
      <c r="F2125" s="11" t="s">
        <v>3833</v>
      </c>
      <c r="G2125" s="11" t="s">
        <v>3835</v>
      </c>
      <c r="H2125" s="11"/>
      <c r="I2125" s="11" t="s">
        <v>49</v>
      </c>
      <c r="J2125" s="11">
        <v>137.19999999999999</v>
      </c>
      <c r="K2125" s="11">
        <v>137.19999999999999</v>
      </c>
      <c r="L2125" s="11"/>
      <c r="M2125" s="14">
        <v>137.19999999999999</v>
      </c>
      <c r="N2125" s="11" t="s">
        <v>3836</v>
      </c>
      <c r="O2125" s="11" t="s">
        <v>50</v>
      </c>
    </row>
    <row r="2126" spans="1:15" s="13" customFormat="1" ht="19.5" customHeight="1" x14ac:dyDescent="0.25">
      <c r="A2126" s="11" t="s">
        <v>3837</v>
      </c>
      <c r="B2126" s="11" t="s">
        <v>3838</v>
      </c>
      <c r="C2126" s="12">
        <v>46112</v>
      </c>
      <c r="D2126" s="12">
        <v>46112</v>
      </c>
      <c r="E2126" s="11" t="s">
        <v>6</v>
      </c>
      <c r="F2126" s="11" t="s">
        <v>3839</v>
      </c>
      <c r="G2126" s="11" t="s">
        <v>3840</v>
      </c>
      <c r="H2126" s="11" t="s">
        <v>3841</v>
      </c>
      <c r="I2126" s="11" t="s">
        <v>49</v>
      </c>
      <c r="J2126" s="11">
        <v>-127.42</v>
      </c>
      <c r="K2126" s="11"/>
      <c r="L2126" s="11">
        <v>127.42</v>
      </c>
      <c r="M2126" s="14">
        <v>-127.42</v>
      </c>
      <c r="N2126" s="11" t="s">
        <v>3842</v>
      </c>
      <c r="O2126" s="11" t="s">
        <v>234</v>
      </c>
    </row>
    <row r="2127" spans="1:15" s="13" customFormat="1" ht="19.5" customHeight="1" x14ac:dyDescent="0.25">
      <c r="A2127" s="11" t="s">
        <v>3841</v>
      </c>
      <c r="B2127" s="11" t="s">
        <v>3841</v>
      </c>
      <c r="C2127" s="12">
        <v>46071</v>
      </c>
      <c r="D2127" s="12">
        <v>46071</v>
      </c>
      <c r="E2127" s="11" t="s">
        <v>6</v>
      </c>
      <c r="F2127" s="11" t="s">
        <v>3839</v>
      </c>
      <c r="G2127" s="11" t="s">
        <v>3841</v>
      </c>
      <c r="H2127" s="11"/>
      <c r="I2127" s="11" t="s">
        <v>49</v>
      </c>
      <c r="J2127" s="11">
        <v>127.42</v>
      </c>
      <c r="K2127" s="11">
        <v>127.42</v>
      </c>
      <c r="L2127" s="11"/>
      <c r="M2127" s="14">
        <v>127.42</v>
      </c>
      <c r="N2127" s="11" t="s">
        <v>3842</v>
      </c>
      <c r="O2127" s="11" t="s">
        <v>50</v>
      </c>
    </row>
    <row r="2128" spans="1:15" s="13" customFormat="1" ht="19.5" customHeight="1" x14ac:dyDescent="0.25">
      <c r="A2128" s="11" t="s">
        <v>3843</v>
      </c>
      <c r="B2128" s="11" t="s">
        <v>3844</v>
      </c>
      <c r="C2128" s="12">
        <v>46112</v>
      </c>
      <c r="D2128" s="12">
        <v>46112</v>
      </c>
      <c r="E2128" s="11" t="s">
        <v>6</v>
      </c>
      <c r="F2128" s="11" t="s">
        <v>3845</v>
      </c>
      <c r="G2128" s="11" t="s">
        <v>3846</v>
      </c>
      <c r="H2128" s="11" t="s">
        <v>3847</v>
      </c>
      <c r="I2128" s="11" t="s">
        <v>49</v>
      </c>
      <c r="J2128" s="11">
        <v>-127.42</v>
      </c>
      <c r="K2128" s="11"/>
      <c r="L2128" s="11">
        <v>127.42</v>
      </c>
      <c r="M2128" s="14">
        <v>-127.42</v>
      </c>
      <c r="N2128" s="11" t="s">
        <v>3848</v>
      </c>
      <c r="O2128" s="11" t="s">
        <v>234</v>
      </c>
    </row>
    <row r="2129" spans="1:15" s="13" customFormat="1" ht="19.5" customHeight="1" x14ac:dyDescent="0.25">
      <c r="A2129" s="11" t="s">
        <v>3847</v>
      </c>
      <c r="B2129" s="11" t="s">
        <v>3847</v>
      </c>
      <c r="C2129" s="12">
        <v>46104</v>
      </c>
      <c r="D2129" s="12">
        <v>46104</v>
      </c>
      <c r="E2129" s="11" t="s">
        <v>6</v>
      </c>
      <c r="F2129" s="11" t="s">
        <v>3845</v>
      </c>
      <c r="G2129" s="11" t="s">
        <v>3847</v>
      </c>
      <c r="H2129" s="11"/>
      <c r="I2129" s="11" t="s">
        <v>49</v>
      </c>
      <c r="J2129" s="11">
        <v>127.42</v>
      </c>
      <c r="K2129" s="11">
        <v>127.42</v>
      </c>
      <c r="L2129" s="11"/>
      <c r="M2129" s="14">
        <v>127.42</v>
      </c>
      <c r="N2129" s="11" t="s">
        <v>3848</v>
      </c>
      <c r="O2129" s="11" t="s">
        <v>50</v>
      </c>
    </row>
    <row r="2130" spans="1:15" s="13" customFormat="1" ht="19.5" customHeight="1" x14ac:dyDescent="0.25">
      <c r="A2130" s="11" t="s">
        <v>3849</v>
      </c>
      <c r="B2130" s="11" t="s">
        <v>3850</v>
      </c>
      <c r="C2130" s="12">
        <v>46076</v>
      </c>
      <c r="D2130" s="12">
        <v>46076</v>
      </c>
      <c r="E2130" s="11" t="s">
        <v>6</v>
      </c>
      <c r="F2130" s="11" t="s">
        <v>3851</v>
      </c>
      <c r="G2130" s="11" t="s">
        <v>3852</v>
      </c>
      <c r="H2130" s="11" t="s">
        <v>3853</v>
      </c>
      <c r="I2130" s="11" t="s">
        <v>49</v>
      </c>
      <c r="J2130" s="11">
        <v>-168.5</v>
      </c>
      <c r="K2130" s="11"/>
      <c r="L2130" s="11">
        <v>168.5</v>
      </c>
      <c r="M2130" s="14">
        <v>-168.5</v>
      </c>
      <c r="N2130" s="11" t="s">
        <v>3854</v>
      </c>
      <c r="O2130" s="11" t="s">
        <v>82</v>
      </c>
    </row>
    <row r="2131" spans="1:15" s="13" customFormat="1" ht="19.5" customHeight="1" x14ac:dyDescent="0.25">
      <c r="A2131" s="11" t="s">
        <v>3853</v>
      </c>
      <c r="B2131" s="11" t="s">
        <v>3853</v>
      </c>
      <c r="C2131" s="12">
        <v>46076</v>
      </c>
      <c r="D2131" s="12">
        <v>46106</v>
      </c>
      <c r="E2131" s="11" t="s">
        <v>6</v>
      </c>
      <c r="F2131" s="11" t="s">
        <v>3851</v>
      </c>
      <c r="G2131" s="11" t="s">
        <v>3853</v>
      </c>
      <c r="H2131" s="11"/>
      <c r="I2131" s="11" t="s">
        <v>49</v>
      </c>
      <c r="J2131" s="11">
        <v>168.5</v>
      </c>
      <c r="K2131" s="11">
        <v>168.5</v>
      </c>
      <c r="L2131" s="11"/>
      <c r="M2131" s="14">
        <v>168.5</v>
      </c>
      <c r="N2131" s="11" t="s">
        <v>3854</v>
      </c>
      <c r="O2131" s="11" t="s">
        <v>50</v>
      </c>
    </row>
    <row r="2132" spans="1:15" s="13" customFormat="1" ht="19.5" customHeight="1" x14ac:dyDescent="0.25">
      <c r="A2132" s="11" t="s">
        <v>3855</v>
      </c>
      <c r="B2132" s="11" t="s">
        <v>3856</v>
      </c>
      <c r="C2132" s="12">
        <v>46112</v>
      </c>
      <c r="D2132" s="11"/>
      <c r="E2132" s="11" t="s">
        <v>6</v>
      </c>
      <c r="F2132" s="11" t="s">
        <v>3857</v>
      </c>
      <c r="G2132" s="11"/>
      <c r="H2132" s="11" t="s">
        <v>3858</v>
      </c>
      <c r="I2132" s="11" t="s">
        <v>49</v>
      </c>
      <c r="J2132" s="11">
        <v>-134.81</v>
      </c>
      <c r="K2132" s="11"/>
      <c r="L2132" s="11">
        <v>134.81</v>
      </c>
      <c r="M2132" s="14">
        <v>-134.81</v>
      </c>
      <c r="N2132" s="11" t="s">
        <v>3859</v>
      </c>
      <c r="O2132" s="11" t="s">
        <v>234</v>
      </c>
    </row>
    <row r="2133" spans="1:15" s="13" customFormat="1" ht="19.5" customHeight="1" x14ac:dyDescent="0.25">
      <c r="A2133" s="11" t="s">
        <v>3860</v>
      </c>
      <c r="B2133" s="11" t="s">
        <v>3860</v>
      </c>
      <c r="C2133" s="12">
        <v>46083</v>
      </c>
      <c r="D2133" s="12">
        <v>46083</v>
      </c>
      <c r="E2133" s="11" t="s">
        <v>6</v>
      </c>
      <c r="F2133" s="11" t="s">
        <v>3857</v>
      </c>
      <c r="G2133" s="11" t="s">
        <v>3860</v>
      </c>
      <c r="H2133" s="11"/>
      <c r="I2133" s="11" t="s">
        <v>49</v>
      </c>
      <c r="J2133" s="11">
        <v>211.95</v>
      </c>
      <c r="K2133" s="11">
        <v>211.95</v>
      </c>
      <c r="L2133" s="11"/>
      <c r="M2133" s="14">
        <v>211.95</v>
      </c>
      <c r="N2133" s="11" t="s">
        <v>3859</v>
      </c>
      <c r="O2133" s="11" t="s">
        <v>50</v>
      </c>
    </row>
    <row r="2134" spans="1:15" s="13" customFormat="1" ht="19.5" customHeight="1" x14ac:dyDescent="0.25">
      <c r="A2134" s="11" t="s">
        <v>3861</v>
      </c>
      <c r="B2134" s="11" t="s">
        <v>3862</v>
      </c>
      <c r="C2134" s="12">
        <v>46112</v>
      </c>
      <c r="D2134" s="12">
        <v>46112</v>
      </c>
      <c r="E2134" s="11" t="s">
        <v>6</v>
      </c>
      <c r="F2134" s="11" t="s">
        <v>3863</v>
      </c>
      <c r="G2134" s="11" t="s">
        <v>3864</v>
      </c>
      <c r="H2134" s="11" t="s">
        <v>3865</v>
      </c>
      <c r="I2134" s="11" t="s">
        <v>49</v>
      </c>
      <c r="J2134" s="11">
        <v>-257.39999999999998</v>
      </c>
      <c r="K2134" s="11"/>
      <c r="L2134" s="11">
        <v>257.39999999999998</v>
      </c>
      <c r="M2134" s="14">
        <v>-257.39999999999998</v>
      </c>
      <c r="N2134" s="11" t="s">
        <v>3866</v>
      </c>
      <c r="O2134" s="11" t="s">
        <v>234</v>
      </c>
    </row>
    <row r="2135" spans="1:15" s="13" customFormat="1" ht="19.5" customHeight="1" x14ac:dyDescent="0.25">
      <c r="A2135" s="11" t="s">
        <v>3867</v>
      </c>
      <c r="B2135" s="11" t="s">
        <v>3865</v>
      </c>
      <c r="C2135" s="12">
        <v>45820</v>
      </c>
      <c r="D2135" s="12">
        <v>45820</v>
      </c>
      <c r="E2135" s="11" t="s">
        <v>6</v>
      </c>
      <c r="F2135" s="11" t="s">
        <v>3863</v>
      </c>
      <c r="G2135" s="11" t="s">
        <v>3865</v>
      </c>
      <c r="H2135" s="11" t="s">
        <v>3868</v>
      </c>
      <c r="I2135" s="11" t="s">
        <v>49</v>
      </c>
      <c r="J2135" s="11">
        <v>257.39999999999998</v>
      </c>
      <c r="K2135" s="11">
        <v>257.39999999999998</v>
      </c>
      <c r="L2135" s="11"/>
      <c r="M2135" s="14">
        <v>257.39999999999998</v>
      </c>
      <c r="N2135" s="11" t="s">
        <v>3866</v>
      </c>
      <c r="O2135" s="11" t="s">
        <v>50</v>
      </c>
    </row>
    <row r="2136" spans="1:15" s="13" customFormat="1" ht="19.5" customHeight="1" x14ac:dyDescent="0.25">
      <c r="A2136" s="11" t="s">
        <v>3869</v>
      </c>
      <c r="B2136" s="11" t="s">
        <v>3870</v>
      </c>
      <c r="C2136" s="12">
        <v>46112</v>
      </c>
      <c r="D2136" s="12">
        <v>46112</v>
      </c>
      <c r="E2136" s="11" t="s">
        <v>6</v>
      </c>
      <c r="F2136" s="11" t="s">
        <v>3871</v>
      </c>
      <c r="G2136" s="11" t="s">
        <v>3872</v>
      </c>
      <c r="H2136" s="11" t="s">
        <v>3873</v>
      </c>
      <c r="I2136" s="11" t="s">
        <v>49</v>
      </c>
      <c r="J2136" s="11">
        <v>-59.23</v>
      </c>
      <c r="K2136" s="11"/>
      <c r="L2136" s="11">
        <v>59.23</v>
      </c>
      <c r="M2136" s="14">
        <v>-59.23</v>
      </c>
      <c r="N2136" s="11" t="s">
        <v>3874</v>
      </c>
      <c r="O2136" s="11" t="s">
        <v>234</v>
      </c>
    </row>
    <row r="2137" spans="1:15" s="13" customFormat="1" ht="19.5" customHeight="1" x14ac:dyDescent="0.25">
      <c r="A2137" s="11" t="s">
        <v>3875</v>
      </c>
      <c r="B2137" s="11" t="s">
        <v>3873</v>
      </c>
      <c r="C2137" s="12">
        <v>45854</v>
      </c>
      <c r="D2137" s="12">
        <v>45854</v>
      </c>
      <c r="E2137" s="11" t="s">
        <v>6</v>
      </c>
      <c r="F2137" s="11" t="s">
        <v>3871</v>
      </c>
      <c r="G2137" s="11" t="s">
        <v>3873</v>
      </c>
      <c r="H2137" s="11" t="s">
        <v>3876</v>
      </c>
      <c r="I2137" s="11" t="s">
        <v>49</v>
      </c>
      <c r="J2137" s="11">
        <v>59.23</v>
      </c>
      <c r="K2137" s="11">
        <v>59.23</v>
      </c>
      <c r="L2137" s="11"/>
      <c r="M2137" s="14">
        <v>59.23</v>
      </c>
      <c r="N2137" s="11" t="s">
        <v>3874</v>
      </c>
      <c r="O2137" s="11" t="s">
        <v>50</v>
      </c>
    </row>
    <row r="2138" spans="1:15" s="13" customFormat="1" ht="19.5" customHeight="1" x14ac:dyDescent="0.25">
      <c r="A2138" s="11" t="s">
        <v>3877</v>
      </c>
      <c r="B2138" s="11" t="s">
        <v>3878</v>
      </c>
      <c r="C2138" s="12">
        <v>46112</v>
      </c>
      <c r="D2138" s="12">
        <v>46112</v>
      </c>
      <c r="E2138" s="11" t="s">
        <v>6</v>
      </c>
      <c r="F2138" s="11" t="s">
        <v>3879</v>
      </c>
      <c r="G2138" s="11" t="s">
        <v>3880</v>
      </c>
      <c r="H2138" s="11" t="s">
        <v>3881</v>
      </c>
      <c r="I2138" s="11" t="s">
        <v>49</v>
      </c>
      <c r="J2138" s="11">
        <v>-43.2</v>
      </c>
      <c r="K2138" s="11"/>
      <c r="L2138" s="11">
        <v>43.2</v>
      </c>
      <c r="M2138" s="14">
        <v>-43.2</v>
      </c>
      <c r="N2138" s="11" t="s">
        <v>3882</v>
      </c>
      <c r="O2138" s="11" t="s">
        <v>234</v>
      </c>
    </row>
    <row r="2139" spans="1:15" s="13" customFormat="1" ht="19.5" customHeight="1" x14ac:dyDescent="0.25">
      <c r="A2139" s="11" t="s">
        <v>3883</v>
      </c>
      <c r="B2139" s="11" t="s">
        <v>3881</v>
      </c>
      <c r="C2139" s="12">
        <v>45868</v>
      </c>
      <c r="D2139" s="12">
        <v>45868</v>
      </c>
      <c r="E2139" s="11" t="s">
        <v>6</v>
      </c>
      <c r="F2139" s="11" t="s">
        <v>3879</v>
      </c>
      <c r="G2139" s="11" t="s">
        <v>3881</v>
      </c>
      <c r="H2139" s="11" t="s">
        <v>3884</v>
      </c>
      <c r="I2139" s="11" t="s">
        <v>49</v>
      </c>
      <c r="J2139" s="11">
        <v>43.2</v>
      </c>
      <c r="K2139" s="11">
        <v>43.2</v>
      </c>
      <c r="L2139" s="11"/>
      <c r="M2139" s="14">
        <v>43.2</v>
      </c>
      <c r="N2139" s="11" t="s">
        <v>3882</v>
      </c>
      <c r="O2139" s="11" t="s">
        <v>50</v>
      </c>
    </row>
    <row r="2140" spans="1:15" s="13" customFormat="1" ht="19.5" customHeight="1" x14ac:dyDescent="0.25">
      <c r="A2140" s="11" t="s">
        <v>3885</v>
      </c>
      <c r="B2140" s="11" t="s">
        <v>3886</v>
      </c>
      <c r="C2140" s="12">
        <v>46112</v>
      </c>
      <c r="D2140" s="12">
        <v>46112</v>
      </c>
      <c r="E2140" s="11" t="s">
        <v>6</v>
      </c>
      <c r="F2140" s="11" t="s">
        <v>3887</v>
      </c>
      <c r="G2140" s="11" t="s">
        <v>3888</v>
      </c>
      <c r="H2140" s="11" t="s">
        <v>3889</v>
      </c>
      <c r="I2140" s="11" t="s">
        <v>49</v>
      </c>
      <c r="J2140" s="11">
        <v>-125.28</v>
      </c>
      <c r="K2140" s="11"/>
      <c r="L2140" s="11">
        <v>125.28</v>
      </c>
      <c r="M2140" s="14">
        <v>-125.28</v>
      </c>
      <c r="N2140" s="11" t="s">
        <v>3890</v>
      </c>
      <c r="O2140" s="11" t="s">
        <v>234</v>
      </c>
    </row>
    <row r="2141" spans="1:15" s="13" customFormat="1" ht="19.5" customHeight="1" x14ac:dyDescent="0.25">
      <c r="A2141" s="11" t="s">
        <v>3891</v>
      </c>
      <c r="B2141" s="11" t="s">
        <v>3889</v>
      </c>
      <c r="C2141" s="12">
        <v>45873</v>
      </c>
      <c r="D2141" s="12">
        <v>45873</v>
      </c>
      <c r="E2141" s="11" t="s">
        <v>6</v>
      </c>
      <c r="F2141" s="11" t="s">
        <v>3887</v>
      </c>
      <c r="G2141" s="11" t="s">
        <v>3889</v>
      </c>
      <c r="H2141" s="11" t="s">
        <v>3892</v>
      </c>
      <c r="I2141" s="11" t="s">
        <v>49</v>
      </c>
      <c r="J2141" s="11">
        <v>125.28</v>
      </c>
      <c r="K2141" s="11">
        <v>125.28</v>
      </c>
      <c r="L2141" s="11"/>
      <c r="M2141" s="14">
        <v>125.28</v>
      </c>
      <c r="N2141" s="11" t="s">
        <v>3890</v>
      </c>
      <c r="O2141" s="11" t="s">
        <v>50</v>
      </c>
    </row>
    <row r="2142" spans="1:15" s="13" customFormat="1" ht="19.5" customHeight="1" x14ac:dyDescent="0.25">
      <c r="A2142" s="11" t="s">
        <v>3893</v>
      </c>
      <c r="B2142" s="11" t="s">
        <v>3894</v>
      </c>
      <c r="C2142" s="12">
        <v>46112</v>
      </c>
      <c r="D2142" s="12">
        <v>46112</v>
      </c>
      <c r="E2142" s="11" t="s">
        <v>6</v>
      </c>
      <c r="F2142" s="11" t="s">
        <v>3879</v>
      </c>
      <c r="G2142" s="11" t="s">
        <v>3895</v>
      </c>
      <c r="H2142" s="11" t="s">
        <v>3896</v>
      </c>
      <c r="I2142" s="11" t="s">
        <v>49</v>
      </c>
      <c r="J2142" s="11">
        <v>-86.4</v>
      </c>
      <c r="K2142" s="11"/>
      <c r="L2142" s="11">
        <v>86.4</v>
      </c>
      <c r="M2142" s="14">
        <v>-86.4</v>
      </c>
      <c r="N2142" s="11" t="s">
        <v>3897</v>
      </c>
      <c r="O2142" s="11" t="s">
        <v>234</v>
      </c>
    </row>
    <row r="2143" spans="1:15" s="13" customFormat="1" ht="19.5" customHeight="1" x14ac:dyDescent="0.25">
      <c r="A2143" s="11" t="s">
        <v>3898</v>
      </c>
      <c r="B2143" s="11" t="s">
        <v>3896</v>
      </c>
      <c r="C2143" s="12">
        <v>45883</v>
      </c>
      <c r="D2143" s="12">
        <v>45883</v>
      </c>
      <c r="E2143" s="11" t="s">
        <v>6</v>
      </c>
      <c r="F2143" s="11" t="s">
        <v>3879</v>
      </c>
      <c r="G2143" s="11" t="s">
        <v>3896</v>
      </c>
      <c r="H2143" s="11" t="s">
        <v>3899</v>
      </c>
      <c r="I2143" s="11" t="s">
        <v>49</v>
      </c>
      <c r="J2143" s="11">
        <v>86.4</v>
      </c>
      <c r="K2143" s="11">
        <v>86.4</v>
      </c>
      <c r="L2143" s="11"/>
      <c r="M2143" s="14">
        <v>86.4</v>
      </c>
      <c r="N2143" s="11" t="s">
        <v>3897</v>
      </c>
      <c r="O2143" s="11" t="s">
        <v>50</v>
      </c>
    </row>
    <row r="2144" spans="1:15" s="13" customFormat="1" ht="19.5" customHeight="1" x14ac:dyDescent="0.25">
      <c r="A2144" s="11" t="s">
        <v>3900</v>
      </c>
      <c r="B2144" s="11" t="s">
        <v>3901</v>
      </c>
      <c r="C2144" s="12">
        <v>46112</v>
      </c>
      <c r="D2144" s="12">
        <v>46112</v>
      </c>
      <c r="E2144" s="11" t="s">
        <v>6</v>
      </c>
      <c r="F2144" s="11" t="s">
        <v>3902</v>
      </c>
      <c r="G2144" s="11" t="s">
        <v>3903</v>
      </c>
      <c r="H2144" s="11" t="s">
        <v>3904</v>
      </c>
      <c r="I2144" s="11" t="s">
        <v>49</v>
      </c>
      <c r="J2144" s="11">
        <v>-64.45</v>
      </c>
      <c r="K2144" s="11"/>
      <c r="L2144" s="11">
        <v>64.45</v>
      </c>
      <c r="M2144" s="14">
        <v>-64.45</v>
      </c>
      <c r="N2144" s="11" t="s">
        <v>3905</v>
      </c>
      <c r="O2144" s="11" t="s">
        <v>234</v>
      </c>
    </row>
    <row r="2145" spans="1:15" s="13" customFormat="1" ht="19.5" customHeight="1" x14ac:dyDescent="0.25">
      <c r="A2145" s="11" t="s">
        <v>3906</v>
      </c>
      <c r="B2145" s="11" t="s">
        <v>3904</v>
      </c>
      <c r="C2145" s="12">
        <v>45898</v>
      </c>
      <c r="D2145" s="12">
        <v>45898</v>
      </c>
      <c r="E2145" s="11" t="s">
        <v>6</v>
      </c>
      <c r="F2145" s="11" t="s">
        <v>3902</v>
      </c>
      <c r="G2145" s="11" t="s">
        <v>3904</v>
      </c>
      <c r="H2145" s="11" t="s">
        <v>3907</v>
      </c>
      <c r="I2145" s="11" t="s">
        <v>49</v>
      </c>
      <c r="J2145" s="11">
        <v>64.45</v>
      </c>
      <c r="K2145" s="11">
        <v>64.45</v>
      </c>
      <c r="L2145" s="11"/>
      <c r="M2145" s="14">
        <v>64.45</v>
      </c>
      <c r="N2145" s="11" t="s">
        <v>3905</v>
      </c>
      <c r="O2145" s="11" t="s">
        <v>50</v>
      </c>
    </row>
    <row r="2146" spans="1:15" s="13" customFormat="1" ht="19.5" customHeight="1" x14ac:dyDescent="0.25">
      <c r="A2146" s="11" t="s">
        <v>3908</v>
      </c>
      <c r="B2146" s="11" t="s">
        <v>3909</v>
      </c>
      <c r="C2146" s="12">
        <v>46112</v>
      </c>
      <c r="D2146" s="12">
        <v>46112</v>
      </c>
      <c r="E2146" s="11" t="s">
        <v>6</v>
      </c>
      <c r="F2146" s="11" t="s">
        <v>3910</v>
      </c>
      <c r="G2146" s="11" t="s">
        <v>3911</v>
      </c>
      <c r="H2146" s="11" t="s">
        <v>3912</v>
      </c>
      <c r="I2146" s="11" t="s">
        <v>49</v>
      </c>
      <c r="J2146" s="11">
        <v>-96.3</v>
      </c>
      <c r="K2146" s="11"/>
      <c r="L2146" s="11">
        <v>96.3</v>
      </c>
      <c r="M2146" s="14">
        <v>-96.3</v>
      </c>
      <c r="N2146" s="11" t="s">
        <v>3913</v>
      </c>
      <c r="O2146" s="11" t="s">
        <v>234</v>
      </c>
    </row>
    <row r="2147" spans="1:15" s="13" customFormat="1" ht="19.5" customHeight="1" x14ac:dyDescent="0.25">
      <c r="A2147" s="11" t="s">
        <v>3914</v>
      </c>
      <c r="B2147" s="11" t="s">
        <v>3912</v>
      </c>
      <c r="C2147" s="12">
        <v>45898</v>
      </c>
      <c r="D2147" s="12">
        <v>45898</v>
      </c>
      <c r="E2147" s="11" t="s">
        <v>6</v>
      </c>
      <c r="F2147" s="11" t="s">
        <v>3910</v>
      </c>
      <c r="G2147" s="11" t="s">
        <v>3912</v>
      </c>
      <c r="H2147" s="11" t="s">
        <v>3915</v>
      </c>
      <c r="I2147" s="11" t="s">
        <v>49</v>
      </c>
      <c r="J2147" s="11">
        <v>96.3</v>
      </c>
      <c r="K2147" s="11">
        <v>96.3</v>
      </c>
      <c r="L2147" s="11"/>
      <c r="M2147" s="14">
        <v>96.3</v>
      </c>
      <c r="N2147" s="11" t="s">
        <v>3913</v>
      </c>
      <c r="O2147" s="11" t="s">
        <v>50</v>
      </c>
    </row>
    <row r="2148" spans="1:15" s="13" customFormat="1" ht="19.5" customHeight="1" x14ac:dyDescent="0.25">
      <c r="A2148" s="11" t="s">
        <v>3916</v>
      </c>
      <c r="B2148" s="11" t="s">
        <v>3917</v>
      </c>
      <c r="C2148" s="12">
        <v>46112</v>
      </c>
      <c r="D2148" s="12">
        <v>46112</v>
      </c>
      <c r="E2148" s="11" t="s">
        <v>6</v>
      </c>
      <c r="F2148" s="11" t="s">
        <v>505</v>
      </c>
      <c r="G2148" s="11" t="s">
        <v>3918</v>
      </c>
      <c r="H2148" s="11" t="s">
        <v>3919</v>
      </c>
      <c r="I2148" s="11" t="s">
        <v>49</v>
      </c>
      <c r="J2148" s="11">
        <v>-144.28</v>
      </c>
      <c r="K2148" s="11"/>
      <c r="L2148" s="11">
        <v>144.28</v>
      </c>
      <c r="M2148" s="14">
        <v>-144.28</v>
      </c>
      <c r="N2148" s="11" t="s">
        <v>3920</v>
      </c>
      <c r="O2148" s="11" t="s">
        <v>234</v>
      </c>
    </row>
    <row r="2149" spans="1:15" s="13" customFormat="1" ht="19.5" customHeight="1" x14ac:dyDescent="0.25">
      <c r="A2149" s="11" t="s">
        <v>3921</v>
      </c>
      <c r="B2149" s="11" t="s">
        <v>3919</v>
      </c>
      <c r="C2149" s="12">
        <v>45908</v>
      </c>
      <c r="D2149" s="12">
        <v>45908</v>
      </c>
      <c r="E2149" s="11" t="s">
        <v>6</v>
      </c>
      <c r="F2149" s="11" t="s">
        <v>505</v>
      </c>
      <c r="G2149" s="11" t="s">
        <v>3919</v>
      </c>
      <c r="H2149" s="11" t="s">
        <v>3922</v>
      </c>
      <c r="I2149" s="11" t="s">
        <v>49</v>
      </c>
      <c r="J2149" s="11">
        <v>144.28</v>
      </c>
      <c r="K2149" s="11">
        <v>144.28</v>
      </c>
      <c r="L2149" s="11"/>
      <c r="M2149" s="14">
        <v>144.28</v>
      </c>
      <c r="N2149" s="11" t="s">
        <v>3920</v>
      </c>
      <c r="O2149" s="11" t="s">
        <v>50</v>
      </c>
    </row>
    <row r="2150" spans="1:15" s="13" customFormat="1" ht="19.5" customHeight="1" x14ac:dyDescent="0.25">
      <c r="A2150" s="11" t="s">
        <v>3923</v>
      </c>
      <c r="B2150" s="11" t="s">
        <v>3924</v>
      </c>
      <c r="C2150" s="12">
        <v>46112</v>
      </c>
      <c r="D2150" s="12">
        <v>46112</v>
      </c>
      <c r="E2150" s="11" t="s">
        <v>6</v>
      </c>
      <c r="F2150" s="11" t="s">
        <v>3925</v>
      </c>
      <c r="G2150" s="11" t="s">
        <v>3926</v>
      </c>
      <c r="H2150" s="11" t="s">
        <v>3927</v>
      </c>
      <c r="I2150" s="11" t="s">
        <v>49</v>
      </c>
      <c r="J2150" s="11">
        <v>-85.86</v>
      </c>
      <c r="K2150" s="11"/>
      <c r="L2150" s="11">
        <v>85.86</v>
      </c>
      <c r="M2150" s="14">
        <v>-85.86</v>
      </c>
      <c r="N2150" s="11" t="s">
        <v>3928</v>
      </c>
      <c r="O2150" s="11" t="s">
        <v>234</v>
      </c>
    </row>
    <row r="2151" spans="1:15" s="13" customFormat="1" ht="19.5" customHeight="1" x14ac:dyDescent="0.25">
      <c r="A2151" s="11" t="s">
        <v>3927</v>
      </c>
      <c r="B2151" s="11" t="s">
        <v>3927</v>
      </c>
      <c r="C2151" s="12">
        <v>45910</v>
      </c>
      <c r="D2151" s="12">
        <v>45910</v>
      </c>
      <c r="E2151" s="11" t="s">
        <v>6</v>
      </c>
      <c r="F2151" s="11" t="s">
        <v>3925</v>
      </c>
      <c r="G2151" s="11" t="s">
        <v>3927</v>
      </c>
      <c r="H2151" s="11"/>
      <c r="I2151" s="11" t="s">
        <v>49</v>
      </c>
      <c r="J2151" s="11">
        <v>85.86</v>
      </c>
      <c r="K2151" s="11">
        <v>85.86</v>
      </c>
      <c r="L2151" s="11"/>
      <c r="M2151" s="14">
        <v>85.86</v>
      </c>
      <c r="N2151" s="11" t="s">
        <v>3928</v>
      </c>
      <c r="O2151" s="11" t="s">
        <v>50</v>
      </c>
    </row>
    <row r="2152" spans="1:15" s="13" customFormat="1" ht="19.5" customHeight="1" x14ac:dyDescent="0.25">
      <c r="A2152" s="11" t="s">
        <v>3929</v>
      </c>
      <c r="B2152" s="11" t="s">
        <v>3930</v>
      </c>
      <c r="C2152" s="12">
        <v>46112</v>
      </c>
      <c r="D2152" s="12">
        <v>46112</v>
      </c>
      <c r="E2152" s="11" t="s">
        <v>6</v>
      </c>
      <c r="F2152" s="11" t="s">
        <v>3879</v>
      </c>
      <c r="G2152" s="11" t="s">
        <v>3895</v>
      </c>
      <c r="H2152" s="11" t="s">
        <v>3931</v>
      </c>
      <c r="I2152" s="11" t="s">
        <v>49</v>
      </c>
      <c r="J2152" s="11">
        <v>-86.4</v>
      </c>
      <c r="K2152" s="11"/>
      <c r="L2152" s="11">
        <v>86.4</v>
      </c>
      <c r="M2152" s="14">
        <v>-86.4</v>
      </c>
      <c r="N2152" s="11" t="s">
        <v>3932</v>
      </c>
      <c r="O2152" s="11" t="s">
        <v>234</v>
      </c>
    </row>
    <row r="2153" spans="1:15" s="13" customFormat="1" ht="19.5" customHeight="1" x14ac:dyDescent="0.25">
      <c r="A2153" s="11" t="s">
        <v>3933</v>
      </c>
      <c r="B2153" s="11" t="s">
        <v>3931</v>
      </c>
      <c r="C2153" s="12">
        <v>45915</v>
      </c>
      <c r="D2153" s="12">
        <v>45915</v>
      </c>
      <c r="E2153" s="11" t="s">
        <v>6</v>
      </c>
      <c r="F2153" s="11" t="s">
        <v>3879</v>
      </c>
      <c r="G2153" s="11" t="s">
        <v>3931</v>
      </c>
      <c r="H2153" s="11" t="s">
        <v>3934</v>
      </c>
      <c r="I2153" s="11" t="s">
        <v>49</v>
      </c>
      <c r="J2153" s="11">
        <v>86.4</v>
      </c>
      <c r="K2153" s="11">
        <v>86.4</v>
      </c>
      <c r="L2153" s="11"/>
      <c r="M2153" s="14">
        <v>86.4</v>
      </c>
      <c r="N2153" s="11" t="s">
        <v>3932</v>
      </c>
      <c r="O2153" s="11" t="s">
        <v>50</v>
      </c>
    </row>
    <row r="2154" spans="1:15" s="13" customFormat="1" ht="19.5" customHeight="1" x14ac:dyDescent="0.25">
      <c r="A2154" s="11" t="s">
        <v>3935</v>
      </c>
      <c r="B2154" s="11" t="s">
        <v>3936</v>
      </c>
      <c r="C2154" s="12">
        <v>46112</v>
      </c>
      <c r="D2154" s="12">
        <v>46112</v>
      </c>
      <c r="E2154" s="11" t="s">
        <v>6</v>
      </c>
      <c r="F2154" s="11" t="s">
        <v>56</v>
      </c>
      <c r="G2154" s="11" t="s">
        <v>3937</v>
      </c>
      <c r="H2154" s="11" t="s">
        <v>3938</v>
      </c>
      <c r="I2154" s="11" t="s">
        <v>49</v>
      </c>
      <c r="J2154" s="11">
        <v>-136.66999999999999</v>
      </c>
      <c r="K2154" s="11"/>
      <c r="L2154" s="11">
        <v>136.66999999999999</v>
      </c>
      <c r="M2154" s="14">
        <v>-136.66999999999999</v>
      </c>
      <c r="N2154" s="11" t="s">
        <v>3939</v>
      </c>
      <c r="O2154" s="11" t="s">
        <v>234</v>
      </c>
    </row>
    <row r="2155" spans="1:15" s="13" customFormat="1" ht="19.5" customHeight="1" x14ac:dyDescent="0.25">
      <c r="A2155" s="11" t="s">
        <v>3938</v>
      </c>
      <c r="B2155" s="11" t="s">
        <v>3938</v>
      </c>
      <c r="C2155" s="12">
        <v>45944</v>
      </c>
      <c r="D2155" s="12">
        <v>45944</v>
      </c>
      <c r="E2155" s="11" t="s">
        <v>6</v>
      </c>
      <c r="F2155" s="11" t="s">
        <v>56</v>
      </c>
      <c r="G2155" s="11" t="s">
        <v>3938</v>
      </c>
      <c r="H2155" s="11"/>
      <c r="I2155" s="11" t="s">
        <v>49</v>
      </c>
      <c r="J2155" s="11">
        <v>136.66999999999999</v>
      </c>
      <c r="K2155" s="11">
        <v>136.66999999999999</v>
      </c>
      <c r="L2155" s="11"/>
      <c r="M2155" s="14">
        <v>136.66999999999999</v>
      </c>
      <c r="N2155" s="11" t="s">
        <v>3939</v>
      </c>
      <c r="O2155" s="11" t="s">
        <v>50</v>
      </c>
    </row>
    <row r="2156" spans="1:15" s="13" customFormat="1" ht="19.5" customHeight="1" x14ac:dyDescent="0.25">
      <c r="A2156" s="11" t="s">
        <v>3940</v>
      </c>
      <c r="B2156" s="11" t="s">
        <v>3941</v>
      </c>
      <c r="C2156" s="12">
        <v>46112</v>
      </c>
      <c r="D2156" s="12">
        <v>46112</v>
      </c>
      <c r="E2156" s="11" t="s">
        <v>6</v>
      </c>
      <c r="F2156" s="11" t="s">
        <v>3942</v>
      </c>
      <c r="G2156" s="11" t="s">
        <v>3943</v>
      </c>
      <c r="H2156" s="11" t="s">
        <v>3944</v>
      </c>
      <c r="I2156" s="11" t="s">
        <v>49</v>
      </c>
      <c r="J2156" s="11">
        <v>-160.94</v>
      </c>
      <c r="K2156" s="11"/>
      <c r="L2156" s="11">
        <v>160.94</v>
      </c>
      <c r="M2156" s="14">
        <v>-160.94</v>
      </c>
      <c r="N2156" s="11" t="s">
        <v>3945</v>
      </c>
      <c r="O2156" s="11" t="s">
        <v>234</v>
      </c>
    </row>
    <row r="2157" spans="1:15" s="13" customFormat="1" ht="19.5" customHeight="1" x14ac:dyDescent="0.25">
      <c r="A2157" s="11" t="s">
        <v>3946</v>
      </c>
      <c r="B2157" s="11" t="s">
        <v>3947</v>
      </c>
      <c r="C2157" s="12">
        <v>46023</v>
      </c>
      <c r="D2157" s="11"/>
      <c r="E2157" s="11" t="s">
        <v>6</v>
      </c>
      <c r="F2157" s="11" t="s">
        <v>3942</v>
      </c>
      <c r="G2157" s="11"/>
      <c r="H2157" s="11" t="s">
        <v>3948</v>
      </c>
      <c r="I2157" s="11" t="s">
        <v>49</v>
      </c>
      <c r="J2157" s="11">
        <v>-73.36</v>
      </c>
      <c r="K2157" s="11"/>
      <c r="L2157" s="11">
        <v>73.36</v>
      </c>
      <c r="M2157" s="14">
        <v>-73.36</v>
      </c>
      <c r="N2157" s="11" t="s">
        <v>3945</v>
      </c>
      <c r="O2157" s="11" t="s">
        <v>234</v>
      </c>
    </row>
    <row r="2158" spans="1:15" s="13" customFormat="1" ht="19.5" customHeight="1" x14ac:dyDescent="0.25">
      <c r="A2158" s="11" t="s">
        <v>3944</v>
      </c>
      <c r="B2158" s="11" t="s">
        <v>3944</v>
      </c>
      <c r="C2158" s="12">
        <v>45951</v>
      </c>
      <c r="D2158" s="12">
        <v>45951</v>
      </c>
      <c r="E2158" s="11" t="s">
        <v>6</v>
      </c>
      <c r="F2158" s="11" t="s">
        <v>3942</v>
      </c>
      <c r="G2158" s="11" t="s">
        <v>3944</v>
      </c>
      <c r="H2158" s="11"/>
      <c r="I2158" s="11" t="s">
        <v>49</v>
      </c>
      <c r="J2158" s="11">
        <v>234.3</v>
      </c>
      <c r="K2158" s="11">
        <v>234.3</v>
      </c>
      <c r="L2158" s="11"/>
      <c r="M2158" s="14">
        <v>234.3</v>
      </c>
      <c r="N2158" s="11" t="s">
        <v>3945</v>
      </c>
      <c r="O2158" s="11" t="s">
        <v>50</v>
      </c>
    </row>
    <row r="2159" spans="1:15" s="13" customFormat="1" ht="19.5" customHeight="1" x14ac:dyDescent="0.25">
      <c r="A2159" s="11" t="s">
        <v>3949</v>
      </c>
      <c r="B2159" s="11" t="s">
        <v>3950</v>
      </c>
      <c r="C2159" s="12">
        <v>46112</v>
      </c>
      <c r="D2159" s="12">
        <v>46112</v>
      </c>
      <c r="E2159" s="11" t="s">
        <v>6</v>
      </c>
      <c r="F2159" s="11" t="s">
        <v>505</v>
      </c>
      <c r="G2159" s="11" t="s">
        <v>3951</v>
      </c>
      <c r="H2159" s="11" t="s">
        <v>3952</v>
      </c>
      <c r="I2159" s="11" t="s">
        <v>49</v>
      </c>
      <c r="J2159" s="11">
        <v>-97.76</v>
      </c>
      <c r="K2159" s="11"/>
      <c r="L2159" s="11">
        <v>97.76</v>
      </c>
      <c r="M2159" s="14">
        <v>-97.76</v>
      </c>
      <c r="N2159" s="11" t="s">
        <v>3953</v>
      </c>
      <c r="O2159" s="11" t="s">
        <v>234</v>
      </c>
    </row>
    <row r="2160" spans="1:15" s="13" customFormat="1" ht="19.5" customHeight="1" x14ac:dyDescent="0.25">
      <c r="A2160" s="11" t="s">
        <v>3954</v>
      </c>
      <c r="B2160" s="11" t="s">
        <v>3952</v>
      </c>
      <c r="C2160" s="12">
        <v>45978</v>
      </c>
      <c r="D2160" s="12">
        <v>45978</v>
      </c>
      <c r="E2160" s="11" t="s">
        <v>6</v>
      </c>
      <c r="F2160" s="11" t="s">
        <v>505</v>
      </c>
      <c r="G2160" s="11" t="s">
        <v>3952</v>
      </c>
      <c r="H2160" s="11" t="s">
        <v>3955</v>
      </c>
      <c r="I2160" s="11" t="s">
        <v>49</v>
      </c>
      <c r="J2160" s="11">
        <v>97.76</v>
      </c>
      <c r="K2160" s="11">
        <v>97.76</v>
      </c>
      <c r="L2160" s="11"/>
      <c r="M2160" s="14">
        <v>97.76</v>
      </c>
      <c r="N2160" s="11" t="s">
        <v>3953</v>
      </c>
      <c r="O2160" s="11" t="s">
        <v>50</v>
      </c>
    </row>
    <row r="2161" spans="1:15" s="13" customFormat="1" ht="19.5" customHeight="1" x14ac:dyDescent="0.25">
      <c r="A2161" s="11" t="s">
        <v>3956</v>
      </c>
      <c r="B2161" s="11" t="s">
        <v>3957</v>
      </c>
      <c r="C2161" s="12">
        <v>46112</v>
      </c>
      <c r="D2161" s="12">
        <v>46112</v>
      </c>
      <c r="E2161" s="11" t="s">
        <v>6</v>
      </c>
      <c r="F2161" s="11" t="s">
        <v>3958</v>
      </c>
      <c r="G2161" s="11" t="s">
        <v>3959</v>
      </c>
      <c r="H2161" s="11" t="s">
        <v>3960</v>
      </c>
      <c r="I2161" s="11" t="s">
        <v>49</v>
      </c>
      <c r="J2161" s="11">
        <v>-108.61</v>
      </c>
      <c r="K2161" s="11"/>
      <c r="L2161" s="11">
        <v>108.61</v>
      </c>
      <c r="M2161" s="14">
        <v>-108.61</v>
      </c>
      <c r="N2161" s="11" t="s">
        <v>3961</v>
      </c>
      <c r="O2161" s="11" t="s">
        <v>234</v>
      </c>
    </row>
    <row r="2162" spans="1:15" s="13" customFormat="1" ht="19.5" customHeight="1" x14ac:dyDescent="0.25">
      <c r="A2162" s="11" t="s">
        <v>3962</v>
      </c>
      <c r="B2162" s="11" t="s">
        <v>3960</v>
      </c>
      <c r="C2162" s="12">
        <v>46006</v>
      </c>
      <c r="D2162" s="12">
        <v>46006</v>
      </c>
      <c r="E2162" s="11" t="s">
        <v>6</v>
      </c>
      <c r="F2162" s="11" t="s">
        <v>3958</v>
      </c>
      <c r="G2162" s="11" t="s">
        <v>3960</v>
      </c>
      <c r="H2162" s="11" t="s">
        <v>3963</v>
      </c>
      <c r="I2162" s="11" t="s">
        <v>49</v>
      </c>
      <c r="J2162" s="11">
        <v>108.61</v>
      </c>
      <c r="K2162" s="11">
        <v>108.61</v>
      </c>
      <c r="L2162" s="11"/>
      <c r="M2162" s="14">
        <v>108.61</v>
      </c>
      <c r="N2162" s="11" t="s">
        <v>3961</v>
      </c>
      <c r="O2162" s="11" t="s">
        <v>50</v>
      </c>
    </row>
    <row r="2163" spans="1:15" s="13" customFormat="1" ht="19.5" customHeight="1" x14ac:dyDescent="0.25">
      <c r="A2163" s="11" t="s">
        <v>3964</v>
      </c>
      <c r="B2163" s="11" t="s">
        <v>3965</v>
      </c>
      <c r="C2163" s="12">
        <v>46112</v>
      </c>
      <c r="D2163" s="12">
        <v>46112</v>
      </c>
      <c r="E2163" s="11" t="s">
        <v>6</v>
      </c>
      <c r="F2163" s="11" t="s">
        <v>3966</v>
      </c>
      <c r="G2163" s="11" t="s">
        <v>3967</v>
      </c>
      <c r="H2163" s="11" t="s">
        <v>3968</v>
      </c>
      <c r="I2163" s="11" t="s">
        <v>49</v>
      </c>
      <c r="J2163" s="11">
        <v>-13.61</v>
      </c>
      <c r="K2163" s="11"/>
      <c r="L2163" s="11">
        <v>13.61</v>
      </c>
      <c r="M2163" s="14">
        <v>-13.61</v>
      </c>
      <c r="N2163" s="11" t="s">
        <v>3969</v>
      </c>
      <c r="O2163" s="11" t="s">
        <v>234</v>
      </c>
    </row>
    <row r="2164" spans="1:15" s="13" customFormat="1" ht="19.5" customHeight="1" x14ac:dyDescent="0.25">
      <c r="A2164" s="11" t="s">
        <v>3970</v>
      </c>
      <c r="B2164" s="11" t="s">
        <v>3968</v>
      </c>
      <c r="C2164" s="12">
        <v>46021</v>
      </c>
      <c r="D2164" s="12">
        <v>46021</v>
      </c>
      <c r="E2164" s="11" t="s">
        <v>6</v>
      </c>
      <c r="F2164" s="11" t="s">
        <v>3966</v>
      </c>
      <c r="G2164" s="11" t="s">
        <v>3968</v>
      </c>
      <c r="H2164" s="11" t="s">
        <v>3971</v>
      </c>
      <c r="I2164" s="11" t="s">
        <v>49</v>
      </c>
      <c r="J2164" s="11">
        <v>13.61</v>
      </c>
      <c r="K2164" s="11">
        <v>13.61</v>
      </c>
      <c r="L2164" s="11"/>
      <c r="M2164" s="14">
        <v>13.61</v>
      </c>
      <c r="N2164" s="11" t="s">
        <v>3969</v>
      </c>
      <c r="O2164" s="11" t="s">
        <v>50</v>
      </c>
    </row>
    <row r="2165" spans="1:15" s="13" customFormat="1" ht="19.5" customHeight="1" x14ac:dyDescent="0.25">
      <c r="A2165" s="11" t="s">
        <v>3972</v>
      </c>
      <c r="B2165" s="11" t="s">
        <v>3973</v>
      </c>
      <c r="C2165" s="12">
        <v>46112</v>
      </c>
      <c r="D2165" s="12">
        <v>46112</v>
      </c>
      <c r="E2165" s="11" t="s">
        <v>6</v>
      </c>
      <c r="F2165" s="11" t="s">
        <v>3974</v>
      </c>
      <c r="G2165" s="11" t="s">
        <v>3975</v>
      </c>
      <c r="H2165" s="11" t="s">
        <v>3976</v>
      </c>
      <c r="I2165" s="11" t="s">
        <v>49</v>
      </c>
      <c r="J2165" s="11">
        <v>-232.2</v>
      </c>
      <c r="K2165" s="11"/>
      <c r="L2165" s="11">
        <v>232.2</v>
      </c>
      <c r="M2165" s="14">
        <v>-232.2</v>
      </c>
      <c r="N2165" s="11" t="s">
        <v>3977</v>
      </c>
      <c r="O2165" s="11" t="s">
        <v>234</v>
      </c>
    </row>
    <row r="2166" spans="1:15" s="13" customFormat="1" ht="19.5" customHeight="1" x14ac:dyDescent="0.25">
      <c r="A2166" s="11" t="s">
        <v>3976</v>
      </c>
      <c r="B2166" s="11" t="s">
        <v>3976</v>
      </c>
      <c r="C2166" s="12">
        <v>46024</v>
      </c>
      <c r="D2166" s="12">
        <v>46024</v>
      </c>
      <c r="E2166" s="11" t="s">
        <v>6</v>
      </c>
      <c r="F2166" s="11" t="s">
        <v>3974</v>
      </c>
      <c r="G2166" s="11" t="s">
        <v>3976</v>
      </c>
      <c r="H2166" s="11"/>
      <c r="I2166" s="11" t="s">
        <v>49</v>
      </c>
      <c r="J2166" s="11">
        <v>232.2</v>
      </c>
      <c r="K2166" s="11">
        <v>232.2</v>
      </c>
      <c r="L2166" s="11"/>
      <c r="M2166" s="14">
        <v>232.2</v>
      </c>
      <c r="N2166" s="11" t="s">
        <v>3977</v>
      </c>
      <c r="O2166" s="11" t="s">
        <v>50</v>
      </c>
    </row>
    <row r="2167" spans="1:15" s="13" customFormat="1" ht="19.5" customHeight="1" x14ac:dyDescent="0.25">
      <c r="A2167" s="11" t="s">
        <v>3978</v>
      </c>
      <c r="B2167" s="11" t="s">
        <v>3979</v>
      </c>
      <c r="C2167" s="12">
        <v>46112</v>
      </c>
      <c r="D2167" s="12">
        <v>46112</v>
      </c>
      <c r="E2167" s="11" t="s">
        <v>6</v>
      </c>
      <c r="F2167" s="11" t="s">
        <v>1449</v>
      </c>
      <c r="G2167" s="11" t="s">
        <v>3980</v>
      </c>
      <c r="H2167" s="11" t="s">
        <v>3981</v>
      </c>
      <c r="I2167" s="11" t="s">
        <v>49</v>
      </c>
      <c r="J2167" s="11">
        <v>-74.66</v>
      </c>
      <c r="K2167" s="11"/>
      <c r="L2167" s="11">
        <v>74.66</v>
      </c>
      <c r="M2167" s="14">
        <v>-74.66</v>
      </c>
      <c r="N2167" s="11" t="s">
        <v>3982</v>
      </c>
      <c r="O2167" s="11" t="s">
        <v>234</v>
      </c>
    </row>
    <row r="2168" spans="1:15" s="13" customFormat="1" ht="19.5" customHeight="1" x14ac:dyDescent="0.25">
      <c r="A2168" s="11" t="s">
        <v>3981</v>
      </c>
      <c r="B2168" s="11" t="s">
        <v>3981</v>
      </c>
      <c r="C2168" s="12">
        <v>46027</v>
      </c>
      <c r="D2168" s="12">
        <v>46027</v>
      </c>
      <c r="E2168" s="11" t="s">
        <v>6</v>
      </c>
      <c r="F2168" s="11" t="s">
        <v>1449</v>
      </c>
      <c r="G2168" s="11" t="s">
        <v>3981</v>
      </c>
      <c r="H2168" s="11"/>
      <c r="I2168" s="11" t="s">
        <v>49</v>
      </c>
      <c r="J2168" s="11">
        <v>74.66</v>
      </c>
      <c r="K2168" s="11">
        <v>74.66</v>
      </c>
      <c r="L2168" s="11"/>
      <c r="M2168" s="14">
        <v>74.66</v>
      </c>
      <c r="N2168" s="11" t="s">
        <v>3982</v>
      </c>
      <c r="O2168" s="11" t="s">
        <v>50</v>
      </c>
    </row>
    <row r="2169" spans="1:15" s="13" customFormat="1" ht="19.5" customHeight="1" x14ac:dyDescent="0.25">
      <c r="A2169" s="11" t="s">
        <v>3983</v>
      </c>
      <c r="B2169" s="11" t="s">
        <v>3984</v>
      </c>
      <c r="C2169" s="12">
        <v>46112</v>
      </c>
      <c r="D2169" s="12">
        <v>46112</v>
      </c>
      <c r="E2169" s="11" t="s">
        <v>6</v>
      </c>
      <c r="F2169" s="11" t="s">
        <v>3966</v>
      </c>
      <c r="G2169" s="11" t="s">
        <v>3985</v>
      </c>
      <c r="H2169" s="11" t="s">
        <v>3986</v>
      </c>
      <c r="I2169" s="11" t="s">
        <v>49</v>
      </c>
      <c r="J2169" s="11">
        <v>-20.399999999999999</v>
      </c>
      <c r="K2169" s="11"/>
      <c r="L2169" s="11">
        <v>20.399999999999999</v>
      </c>
      <c r="M2169" s="14">
        <v>-20.399999999999999</v>
      </c>
      <c r="N2169" s="11" t="s">
        <v>3987</v>
      </c>
      <c r="O2169" s="11" t="s">
        <v>234</v>
      </c>
    </row>
    <row r="2170" spans="1:15" s="13" customFormat="1" ht="19.5" customHeight="1" x14ac:dyDescent="0.25">
      <c r="A2170" s="11" t="s">
        <v>3986</v>
      </c>
      <c r="B2170" s="11" t="s">
        <v>3986</v>
      </c>
      <c r="C2170" s="12">
        <v>46029</v>
      </c>
      <c r="D2170" s="12">
        <v>46029</v>
      </c>
      <c r="E2170" s="11" t="s">
        <v>6</v>
      </c>
      <c r="F2170" s="11" t="s">
        <v>3966</v>
      </c>
      <c r="G2170" s="11" t="s">
        <v>3986</v>
      </c>
      <c r="H2170" s="11"/>
      <c r="I2170" s="11" t="s">
        <v>49</v>
      </c>
      <c r="J2170" s="11">
        <v>20.399999999999999</v>
      </c>
      <c r="K2170" s="11">
        <v>20.399999999999999</v>
      </c>
      <c r="L2170" s="11"/>
      <c r="M2170" s="14">
        <v>20.399999999999999</v>
      </c>
      <c r="N2170" s="11" t="s">
        <v>3987</v>
      </c>
      <c r="O2170" s="11" t="s">
        <v>50</v>
      </c>
    </row>
    <row r="2171" spans="1:15" s="13" customFormat="1" ht="19.5" customHeight="1" x14ac:dyDescent="0.25">
      <c r="A2171" s="11" t="s">
        <v>3988</v>
      </c>
      <c r="B2171" s="11" t="s">
        <v>3989</v>
      </c>
      <c r="C2171" s="12">
        <v>46112</v>
      </c>
      <c r="D2171" s="12">
        <v>46112</v>
      </c>
      <c r="E2171" s="11" t="s">
        <v>6</v>
      </c>
      <c r="F2171" s="11" t="s">
        <v>1040</v>
      </c>
      <c r="G2171" s="11" t="s">
        <v>3990</v>
      </c>
      <c r="H2171" s="11" t="s">
        <v>3991</v>
      </c>
      <c r="I2171" s="11" t="s">
        <v>49</v>
      </c>
      <c r="J2171" s="11">
        <v>-196.54</v>
      </c>
      <c r="K2171" s="11"/>
      <c r="L2171" s="11">
        <v>196.54</v>
      </c>
      <c r="M2171" s="14">
        <v>-196.54</v>
      </c>
      <c r="N2171" s="11" t="s">
        <v>3992</v>
      </c>
      <c r="O2171" s="11" t="s">
        <v>234</v>
      </c>
    </row>
    <row r="2172" spans="1:15" s="13" customFormat="1" ht="19.5" customHeight="1" x14ac:dyDescent="0.25">
      <c r="A2172" s="11" t="s">
        <v>3991</v>
      </c>
      <c r="B2172" s="11" t="s">
        <v>3991</v>
      </c>
      <c r="C2172" s="12">
        <v>46030</v>
      </c>
      <c r="D2172" s="12">
        <v>46030</v>
      </c>
      <c r="E2172" s="11" t="s">
        <v>6</v>
      </c>
      <c r="F2172" s="11" t="s">
        <v>1040</v>
      </c>
      <c r="G2172" s="11" t="s">
        <v>3991</v>
      </c>
      <c r="H2172" s="11"/>
      <c r="I2172" s="11" t="s">
        <v>49</v>
      </c>
      <c r="J2172" s="11">
        <v>196.54</v>
      </c>
      <c r="K2172" s="11">
        <v>196.54</v>
      </c>
      <c r="L2172" s="11"/>
      <c r="M2172" s="14">
        <v>196.54</v>
      </c>
      <c r="N2172" s="11" t="s">
        <v>3992</v>
      </c>
      <c r="O2172" s="11" t="s">
        <v>50</v>
      </c>
    </row>
    <row r="2173" spans="1:15" s="13" customFormat="1" ht="19.5" customHeight="1" x14ac:dyDescent="0.25">
      <c r="A2173" s="11" t="s">
        <v>3993</v>
      </c>
      <c r="B2173" s="11" t="s">
        <v>3994</v>
      </c>
      <c r="C2173" s="12">
        <v>46112</v>
      </c>
      <c r="D2173" s="12">
        <v>46112</v>
      </c>
      <c r="E2173" s="11" t="s">
        <v>6</v>
      </c>
      <c r="F2173" s="11" t="s">
        <v>3902</v>
      </c>
      <c r="G2173" s="11" t="s">
        <v>3995</v>
      </c>
      <c r="H2173" s="11" t="s">
        <v>3996</v>
      </c>
      <c r="I2173" s="11" t="s">
        <v>49</v>
      </c>
      <c r="J2173" s="11">
        <v>-61.02</v>
      </c>
      <c r="K2173" s="11"/>
      <c r="L2173" s="11">
        <v>61.02</v>
      </c>
      <c r="M2173" s="14">
        <v>-61.02</v>
      </c>
      <c r="N2173" s="11" t="s">
        <v>3997</v>
      </c>
      <c r="O2173" s="11" t="s">
        <v>234</v>
      </c>
    </row>
    <row r="2174" spans="1:15" s="13" customFormat="1" ht="19.5" customHeight="1" x14ac:dyDescent="0.25">
      <c r="A2174" s="11" t="s">
        <v>3996</v>
      </c>
      <c r="B2174" s="11" t="s">
        <v>3996</v>
      </c>
      <c r="C2174" s="12">
        <v>46031</v>
      </c>
      <c r="D2174" s="12">
        <v>46031</v>
      </c>
      <c r="E2174" s="11" t="s">
        <v>6</v>
      </c>
      <c r="F2174" s="11" t="s">
        <v>3902</v>
      </c>
      <c r="G2174" s="11" t="s">
        <v>3996</v>
      </c>
      <c r="H2174" s="11"/>
      <c r="I2174" s="11" t="s">
        <v>49</v>
      </c>
      <c r="J2174" s="11">
        <v>61.02</v>
      </c>
      <c r="K2174" s="11">
        <v>61.02</v>
      </c>
      <c r="L2174" s="11"/>
      <c r="M2174" s="14">
        <v>61.02</v>
      </c>
      <c r="N2174" s="11" t="s">
        <v>3997</v>
      </c>
      <c r="O2174" s="11" t="s">
        <v>50</v>
      </c>
    </row>
    <row r="2175" spans="1:15" s="13" customFormat="1" ht="19.5" customHeight="1" x14ac:dyDescent="0.25">
      <c r="A2175" s="11" t="s">
        <v>3998</v>
      </c>
      <c r="B2175" s="11" t="s">
        <v>3999</v>
      </c>
      <c r="C2175" s="12">
        <v>46112</v>
      </c>
      <c r="D2175" s="12">
        <v>46112</v>
      </c>
      <c r="E2175" s="11" t="s">
        <v>6</v>
      </c>
      <c r="F2175" s="11" t="s">
        <v>4000</v>
      </c>
      <c r="G2175" s="11" t="s">
        <v>4001</v>
      </c>
      <c r="H2175" s="11" t="s">
        <v>4002</v>
      </c>
      <c r="I2175" s="11" t="s">
        <v>49</v>
      </c>
      <c r="J2175" s="11">
        <v>-493.49</v>
      </c>
      <c r="K2175" s="11"/>
      <c r="L2175" s="11">
        <v>493.49</v>
      </c>
      <c r="M2175" s="14">
        <v>-493.49</v>
      </c>
      <c r="N2175" s="11" t="s">
        <v>4003</v>
      </c>
      <c r="O2175" s="11" t="s">
        <v>234</v>
      </c>
    </row>
    <row r="2176" spans="1:15" s="13" customFormat="1" ht="19.5" customHeight="1" x14ac:dyDescent="0.25">
      <c r="A2176" s="11" t="s">
        <v>4004</v>
      </c>
      <c r="B2176" s="11" t="s">
        <v>4002</v>
      </c>
      <c r="C2176" s="12">
        <v>46034</v>
      </c>
      <c r="D2176" s="12">
        <v>46034</v>
      </c>
      <c r="E2176" s="11" t="s">
        <v>6</v>
      </c>
      <c r="F2176" s="11" t="s">
        <v>4000</v>
      </c>
      <c r="G2176" s="11" t="s">
        <v>4002</v>
      </c>
      <c r="H2176" s="11" t="s">
        <v>4005</v>
      </c>
      <c r="I2176" s="11" t="s">
        <v>49</v>
      </c>
      <c r="J2176" s="11">
        <v>493.49</v>
      </c>
      <c r="K2176" s="11">
        <v>493.49</v>
      </c>
      <c r="L2176" s="11"/>
      <c r="M2176" s="14">
        <v>493.49</v>
      </c>
      <c r="N2176" s="11" t="s">
        <v>4003</v>
      </c>
      <c r="O2176" s="11" t="s">
        <v>50</v>
      </c>
    </row>
    <row r="2177" spans="1:15" s="13" customFormat="1" ht="19.5" customHeight="1" x14ac:dyDescent="0.25">
      <c r="A2177" s="11" t="s">
        <v>4006</v>
      </c>
      <c r="B2177" s="11" t="s">
        <v>4007</v>
      </c>
      <c r="C2177" s="12">
        <v>46112</v>
      </c>
      <c r="D2177" s="12">
        <v>46112</v>
      </c>
      <c r="E2177" s="11" t="s">
        <v>6</v>
      </c>
      <c r="F2177" s="11" t="s">
        <v>4008</v>
      </c>
      <c r="G2177" s="11" t="s">
        <v>4009</v>
      </c>
      <c r="H2177" s="11" t="s">
        <v>4010</v>
      </c>
      <c r="I2177" s="11" t="s">
        <v>49</v>
      </c>
      <c r="J2177" s="11">
        <v>-67.94</v>
      </c>
      <c r="K2177" s="11"/>
      <c r="L2177" s="11">
        <v>67.94</v>
      </c>
      <c r="M2177" s="14">
        <v>-67.94</v>
      </c>
      <c r="N2177" s="11" t="s">
        <v>4011</v>
      </c>
      <c r="O2177" s="11" t="s">
        <v>234</v>
      </c>
    </row>
    <row r="2178" spans="1:15" s="13" customFormat="1" ht="19.5" customHeight="1" x14ac:dyDescent="0.25">
      <c r="A2178" s="11" t="s">
        <v>4012</v>
      </c>
      <c r="B2178" s="11" t="s">
        <v>4010</v>
      </c>
      <c r="C2178" s="12">
        <v>46034</v>
      </c>
      <c r="D2178" s="12">
        <v>46034</v>
      </c>
      <c r="E2178" s="11" t="s">
        <v>6</v>
      </c>
      <c r="F2178" s="11" t="s">
        <v>4008</v>
      </c>
      <c r="G2178" s="11" t="s">
        <v>4010</v>
      </c>
      <c r="H2178" s="11" t="s">
        <v>4013</v>
      </c>
      <c r="I2178" s="11" t="s">
        <v>49</v>
      </c>
      <c r="J2178" s="11">
        <v>67.94</v>
      </c>
      <c r="K2178" s="11">
        <v>67.94</v>
      </c>
      <c r="L2178" s="11"/>
      <c r="M2178" s="14">
        <v>67.94</v>
      </c>
      <c r="N2178" s="11" t="s">
        <v>4011</v>
      </c>
      <c r="O2178" s="11" t="s">
        <v>50</v>
      </c>
    </row>
    <row r="2179" spans="1:15" s="13" customFormat="1" ht="19.5" customHeight="1" x14ac:dyDescent="0.25">
      <c r="A2179" s="11" t="s">
        <v>4014</v>
      </c>
      <c r="B2179" s="11" t="s">
        <v>4015</v>
      </c>
      <c r="C2179" s="12">
        <v>46112</v>
      </c>
      <c r="D2179" s="12">
        <v>46112</v>
      </c>
      <c r="E2179" s="11" t="s">
        <v>6</v>
      </c>
      <c r="F2179" s="11" t="s">
        <v>4016</v>
      </c>
      <c r="G2179" s="11" t="s">
        <v>4017</v>
      </c>
      <c r="H2179" s="11" t="s">
        <v>4018</v>
      </c>
      <c r="I2179" s="11" t="s">
        <v>49</v>
      </c>
      <c r="J2179" s="11">
        <v>-941.73</v>
      </c>
      <c r="K2179" s="11"/>
      <c r="L2179" s="11">
        <v>941.73</v>
      </c>
      <c r="M2179" s="14">
        <v>-941.73</v>
      </c>
      <c r="N2179" s="11" t="s">
        <v>4019</v>
      </c>
      <c r="O2179" s="11" t="s">
        <v>234</v>
      </c>
    </row>
    <row r="2180" spans="1:15" s="13" customFormat="1" ht="19.5" customHeight="1" x14ac:dyDescent="0.25">
      <c r="A2180" s="11" t="s">
        <v>4020</v>
      </c>
      <c r="B2180" s="11" t="s">
        <v>4018</v>
      </c>
      <c r="C2180" s="12">
        <v>46034</v>
      </c>
      <c r="D2180" s="12">
        <v>46034</v>
      </c>
      <c r="E2180" s="11" t="s">
        <v>6</v>
      </c>
      <c r="F2180" s="11" t="s">
        <v>4016</v>
      </c>
      <c r="G2180" s="11" t="s">
        <v>4018</v>
      </c>
      <c r="H2180" s="11" t="s">
        <v>4021</v>
      </c>
      <c r="I2180" s="11" t="s">
        <v>49</v>
      </c>
      <c r="J2180" s="11">
        <v>941.73</v>
      </c>
      <c r="K2180" s="11">
        <v>941.73</v>
      </c>
      <c r="L2180" s="11"/>
      <c r="M2180" s="14">
        <v>941.73</v>
      </c>
      <c r="N2180" s="11" t="s">
        <v>4019</v>
      </c>
      <c r="O2180" s="11" t="s">
        <v>50</v>
      </c>
    </row>
    <row r="2181" spans="1:15" s="13" customFormat="1" ht="19.5" customHeight="1" x14ac:dyDescent="0.25">
      <c r="A2181" s="11" t="s">
        <v>4022</v>
      </c>
      <c r="B2181" s="11" t="s">
        <v>4023</v>
      </c>
      <c r="C2181" s="12">
        <v>46112</v>
      </c>
      <c r="D2181" s="12">
        <v>46112</v>
      </c>
      <c r="E2181" s="11" t="s">
        <v>6</v>
      </c>
      <c r="F2181" s="11" t="s">
        <v>4024</v>
      </c>
      <c r="G2181" s="11" t="s">
        <v>4025</v>
      </c>
      <c r="H2181" s="11" t="s">
        <v>4026</v>
      </c>
      <c r="I2181" s="11" t="s">
        <v>49</v>
      </c>
      <c r="J2181" s="11">
        <v>-169.12</v>
      </c>
      <c r="K2181" s="11"/>
      <c r="L2181" s="11">
        <v>169.12</v>
      </c>
      <c r="M2181" s="14">
        <v>-169.12</v>
      </c>
      <c r="N2181" s="11" t="s">
        <v>4027</v>
      </c>
      <c r="O2181" s="11" t="s">
        <v>234</v>
      </c>
    </row>
    <row r="2182" spans="1:15" s="13" customFormat="1" ht="19.5" customHeight="1" x14ac:dyDescent="0.25">
      <c r="A2182" s="11" t="s">
        <v>4028</v>
      </c>
      <c r="B2182" s="11" t="s">
        <v>4026</v>
      </c>
      <c r="C2182" s="12">
        <v>46034</v>
      </c>
      <c r="D2182" s="12">
        <v>46034</v>
      </c>
      <c r="E2182" s="11" t="s">
        <v>6</v>
      </c>
      <c r="F2182" s="11" t="s">
        <v>4024</v>
      </c>
      <c r="G2182" s="11" t="s">
        <v>4026</v>
      </c>
      <c r="H2182" s="11" t="s">
        <v>4029</v>
      </c>
      <c r="I2182" s="11" t="s">
        <v>49</v>
      </c>
      <c r="J2182" s="11">
        <v>169.12</v>
      </c>
      <c r="K2182" s="11">
        <v>169.12</v>
      </c>
      <c r="L2182" s="11"/>
      <c r="M2182" s="14">
        <v>169.12</v>
      </c>
      <c r="N2182" s="11" t="s">
        <v>4027</v>
      </c>
      <c r="O2182" s="11" t="s">
        <v>50</v>
      </c>
    </row>
    <row r="2183" spans="1:15" s="13" customFormat="1" ht="19.5" customHeight="1" x14ac:dyDescent="0.25">
      <c r="A2183" s="11" t="s">
        <v>4030</v>
      </c>
      <c r="B2183" s="11" t="s">
        <v>4031</v>
      </c>
      <c r="C2183" s="12">
        <v>46112</v>
      </c>
      <c r="D2183" s="12">
        <v>46112</v>
      </c>
      <c r="E2183" s="11" t="s">
        <v>6</v>
      </c>
      <c r="F2183" s="11" t="s">
        <v>4032</v>
      </c>
      <c r="G2183" s="11" t="s">
        <v>4033</v>
      </c>
      <c r="H2183" s="11" t="s">
        <v>4034</v>
      </c>
      <c r="I2183" s="11" t="s">
        <v>49</v>
      </c>
      <c r="J2183" s="11">
        <v>-72.5</v>
      </c>
      <c r="K2183" s="11"/>
      <c r="L2183" s="11">
        <v>72.5</v>
      </c>
      <c r="M2183" s="14">
        <v>-72.5</v>
      </c>
      <c r="N2183" s="11" t="s">
        <v>4035</v>
      </c>
      <c r="O2183" s="11" t="s">
        <v>234</v>
      </c>
    </row>
    <row r="2184" spans="1:15" s="13" customFormat="1" ht="19.5" customHeight="1" x14ac:dyDescent="0.25">
      <c r="A2184" s="11" t="s">
        <v>4034</v>
      </c>
      <c r="B2184" s="11" t="s">
        <v>4034</v>
      </c>
      <c r="C2184" s="12">
        <v>46034</v>
      </c>
      <c r="D2184" s="12">
        <v>46034</v>
      </c>
      <c r="E2184" s="11" t="s">
        <v>6</v>
      </c>
      <c r="F2184" s="11" t="s">
        <v>4032</v>
      </c>
      <c r="G2184" s="11" t="s">
        <v>4034</v>
      </c>
      <c r="H2184" s="11"/>
      <c r="I2184" s="11" t="s">
        <v>49</v>
      </c>
      <c r="J2184" s="11">
        <v>72.5</v>
      </c>
      <c r="K2184" s="11">
        <v>72.5</v>
      </c>
      <c r="L2184" s="11"/>
      <c r="M2184" s="14">
        <v>72.5</v>
      </c>
      <c r="N2184" s="11" t="s">
        <v>4035</v>
      </c>
      <c r="O2184" s="11" t="s">
        <v>50</v>
      </c>
    </row>
    <row r="2185" spans="1:15" s="13" customFormat="1" ht="19.5" customHeight="1" x14ac:dyDescent="0.25">
      <c r="A2185" s="11" t="s">
        <v>4036</v>
      </c>
      <c r="B2185" s="11" t="s">
        <v>4037</v>
      </c>
      <c r="C2185" s="12">
        <v>46112</v>
      </c>
      <c r="D2185" s="12">
        <v>46112</v>
      </c>
      <c r="E2185" s="11" t="s">
        <v>6</v>
      </c>
      <c r="F2185" s="11" t="s">
        <v>4038</v>
      </c>
      <c r="G2185" s="11" t="s">
        <v>4039</v>
      </c>
      <c r="H2185" s="11" t="s">
        <v>4040</v>
      </c>
      <c r="I2185" s="11" t="s">
        <v>49</v>
      </c>
      <c r="J2185" s="11">
        <v>-118.5</v>
      </c>
      <c r="K2185" s="11"/>
      <c r="L2185" s="11">
        <v>118.5</v>
      </c>
      <c r="M2185" s="14">
        <v>-118.5</v>
      </c>
      <c r="N2185" s="11" t="s">
        <v>4041</v>
      </c>
      <c r="O2185" s="11" t="s">
        <v>234</v>
      </c>
    </row>
    <row r="2186" spans="1:15" s="13" customFormat="1" ht="19.5" customHeight="1" x14ac:dyDescent="0.25">
      <c r="A2186" s="11" t="s">
        <v>4040</v>
      </c>
      <c r="B2186" s="11" t="s">
        <v>4040</v>
      </c>
      <c r="C2186" s="12">
        <v>46034</v>
      </c>
      <c r="D2186" s="12">
        <v>46034</v>
      </c>
      <c r="E2186" s="11" t="s">
        <v>6</v>
      </c>
      <c r="F2186" s="11" t="s">
        <v>4038</v>
      </c>
      <c r="G2186" s="11" t="s">
        <v>4040</v>
      </c>
      <c r="H2186" s="11"/>
      <c r="I2186" s="11" t="s">
        <v>49</v>
      </c>
      <c r="J2186" s="11">
        <v>118.5</v>
      </c>
      <c r="K2186" s="11">
        <v>118.5</v>
      </c>
      <c r="L2186" s="11"/>
      <c r="M2186" s="14">
        <v>118.5</v>
      </c>
      <c r="N2186" s="11" t="s">
        <v>4041</v>
      </c>
      <c r="O2186" s="11" t="s">
        <v>50</v>
      </c>
    </row>
    <row r="2187" spans="1:15" s="13" customFormat="1" ht="19.5" customHeight="1" x14ac:dyDescent="0.25">
      <c r="A2187" s="11" t="s">
        <v>4042</v>
      </c>
      <c r="B2187" s="11" t="s">
        <v>4043</v>
      </c>
      <c r="C2187" s="12">
        <v>46112</v>
      </c>
      <c r="D2187" s="12">
        <v>46112</v>
      </c>
      <c r="E2187" s="11" t="s">
        <v>6</v>
      </c>
      <c r="F2187" s="11" t="s">
        <v>4044</v>
      </c>
      <c r="G2187" s="11" t="s">
        <v>4045</v>
      </c>
      <c r="H2187" s="11" t="s">
        <v>4046</v>
      </c>
      <c r="I2187" s="11" t="s">
        <v>49</v>
      </c>
      <c r="J2187" s="11">
        <v>-350.47</v>
      </c>
      <c r="K2187" s="11"/>
      <c r="L2187" s="11">
        <v>350.47</v>
      </c>
      <c r="M2187" s="14">
        <v>-350.47</v>
      </c>
      <c r="N2187" s="11" t="s">
        <v>4047</v>
      </c>
      <c r="O2187" s="11" t="s">
        <v>234</v>
      </c>
    </row>
    <row r="2188" spans="1:15" s="13" customFormat="1" ht="19.5" customHeight="1" x14ac:dyDescent="0.25">
      <c r="A2188" s="11" t="s">
        <v>4048</v>
      </c>
      <c r="B2188" s="11" t="s">
        <v>4046</v>
      </c>
      <c r="C2188" s="12">
        <v>46034</v>
      </c>
      <c r="D2188" s="12">
        <v>46034</v>
      </c>
      <c r="E2188" s="11" t="s">
        <v>6</v>
      </c>
      <c r="F2188" s="11" t="s">
        <v>4044</v>
      </c>
      <c r="G2188" s="11" t="s">
        <v>4046</v>
      </c>
      <c r="H2188" s="11" t="s">
        <v>4049</v>
      </c>
      <c r="I2188" s="11" t="s">
        <v>49</v>
      </c>
      <c r="J2188" s="11">
        <v>350.47</v>
      </c>
      <c r="K2188" s="11">
        <v>350.47</v>
      </c>
      <c r="L2188" s="11"/>
      <c r="M2188" s="14">
        <v>350.47</v>
      </c>
      <c r="N2188" s="11" t="s">
        <v>4047</v>
      </c>
      <c r="O2188" s="11" t="s">
        <v>50</v>
      </c>
    </row>
    <row r="2189" spans="1:15" s="13" customFormat="1" ht="19.5" customHeight="1" x14ac:dyDescent="0.25">
      <c r="A2189" s="11" t="s">
        <v>4050</v>
      </c>
      <c r="B2189" s="11" t="s">
        <v>4051</v>
      </c>
      <c r="C2189" s="12">
        <v>46112</v>
      </c>
      <c r="D2189" s="12">
        <v>46112</v>
      </c>
      <c r="E2189" s="11" t="s">
        <v>6</v>
      </c>
      <c r="F2189" s="11" t="s">
        <v>4052</v>
      </c>
      <c r="G2189" s="11" t="s">
        <v>4053</v>
      </c>
      <c r="H2189" s="11" t="s">
        <v>4054</v>
      </c>
      <c r="I2189" s="11" t="s">
        <v>49</v>
      </c>
      <c r="J2189" s="11">
        <v>-70.5</v>
      </c>
      <c r="K2189" s="11"/>
      <c r="L2189" s="11">
        <v>70.5</v>
      </c>
      <c r="M2189" s="14">
        <v>-70.5</v>
      </c>
      <c r="N2189" s="11" t="s">
        <v>4055</v>
      </c>
      <c r="O2189" s="11" t="s">
        <v>234</v>
      </c>
    </row>
    <row r="2190" spans="1:15" s="13" customFormat="1" ht="19.5" customHeight="1" x14ac:dyDescent="0.25">
      <c r="A2190" s="11" t="s">
        <v>4056</v>
      </c>
      <c r="B2190" s="11" t="s">
        <v>4054</v>
      </c>
      <c r="C2190" s="12">
        <v>46035</v>
      </c>
      <c r="D2190" s="12">
        <v>46035</v>
      </c>
      <c r="E2190" s="11" t="s">
        <v>6</v>
      </c>
      <c r="F2190" s="11" t="s">
        <v>4052</v>
      </c>
      <c r="G2190" s="11" t="s">
        <v>4054</v>
      </c>
      <c r="H2190" s="11" t="s">
        <v>4057</v>
      </c>
      <c r="I2190" s="11" t="s">
        <v>49</v>
      </c>
      <c r="J2190" s="11">
        <v>70.5</v>
      </c>
      <c r="K2190" s="11">
        <v>70.5</v>
      </c>
      <c r="L2190" s="11"/>
      <c r="M2190" s="14">
        <v>70.5</v>
      </c>
      <c r="N2190" s="11" t="s">
        <v>4055</v>
      </c>
      <c r="O2190" s="11" t="s">
        <v>50</v>
      </c>
    </row>
    <row r="2191" spans="1:15" s="13" customFormat="1" ht="19.5" customHeight="1" x14ac:dyDescent="0.25">
      <c r="A2191" s="11" t="s">
        <v>4058</v>
      </c>
      <c r="B2191" s="11" t="s">
        <v>4059</v>
      </c>
      <c r="C2191" s="12">
        <v>46112</v>
      </c>
      <c r="D2191" s="12">
        <v>46112</v>
      </c>
      <c r="E2191" s="11" t="s">
        <v>6</v>
      </c>
      <c r="F2191" s="11" t="s">
        <v>4060</v>
      </c>
      <c r="G2191" s="11" t="s">
        <v>4061</v>
      </c>
      <c r="H2191" s="11" t="s">
        <v>4062</v>
      </c>
      <c r="I2191" s="11" t="s">
        <v>49</v>
      </c>
      <c r="J2191" s="11">
        <v>-52.5</v>
      </c>
      <c r="K2191" s="11"/>
      <c r="L2191" s="11">
        <v>52.5</v>
      </c>
      <c r="M2191" s="14">
        <v>-52.5</v>
      </c>
      <c r="N2191" s="11" t="s">
        <v>4063</v>
      </c>
      <c r="O2191" s="11" t="s">
        <v>234</v>
      </c>
    </row>
    <row r="2192" spans="1:15" s="13" customFormat="1" ht="19.5" customHeight="1" x14ac:dyDescent="0.25">
      <c r="A2192" s="11" t="s">
        <v>4062</v>
      </c>
      <c r="B2192" s="11" t="s">
        <v>4062</v>
      </c>
      <c r="C2192" s="12">
        <v>46035</v>
      </c>
      <c r="D2192" s="12">
        <v>46035</v>
      </c>
      <c r="E2192" s="11" t="s">
        <v>6</v>
      </c>
      <c r="F2192" s="11" t="s">
        <v>4060</v>
      </c>
      <c r="G2192" s="11" t="s">
        <v>4062</v>
      </c>
      <c r="H2192" s="11"/>
      <c r="I2192" s="11" t="s">
        <v>49</v>
      </c>
      <c r="J2192" s="11">
        <v>52.5</v>
      </c>
      <c r="K2192" s="11">
        <v>52.5</v>
      </c>
      <c r="L2192" s="11"/>
      <c r="M2192" s="14">
        <v>52.5</v>
      </c>
      <c r="N2192" s="11" t="s">
        <v>4063</v>
      </c>
      <c r="O2192" s="11" t="s">
        <v>50</v>
      </c>
    </row>
    <row r="2193" spans="1:15" s="13" customFormat="1" ht="19.5" customHeight="1" x14ac:dyDescent="0.25">
      <c r="A2193" s="11" t="s">
        <v>4064</v>
      </c>
      <c r="B2193" s="11" t="s">
        <v>4065</v>
      </c>
      <c r="C2193" s="12">
        <v>46112</v>
      </c>
      <c r="D2193" s="12">
        <v>46112</v>
      </c>
      <c r="E2193" s="11" t="s">
        <v>6</v>
      </c>
      <c r="F2193" s="11" t="s">
        <v>4066</v>
      </c>
      <c r="G2193" s="11" t="s">
        <v>4067</v>
      </c>
      <c r="H2193" s="11" t="s">
        <v>4068</v>
      </c>
      <c r="I2193" s="11" t="s">
        <v>49</v>
      </c>
      <c r="J2193" s="11">
        <v>-98.83</v>
      </c>
      <c r="K2193" s="11"/>
      <c r="L2193" s="11">
        <v>98.83</v>
      </c>
      <c r="M2193" s="14">
        <v>-98.83</v>
      </c>
      <c r="N2193" s="11" t="s">
        <v>4069</v>
      </c>
      <c r="O2193" s="11" t="s">
        <v>234</v>
      </c>
    </row>
    <row r="2194" spans="1:15" s="13" customFormat="1" ht="19.5" customHeight="1" x14ac:dyDescent="0.25">
      <c r="A2194" s="11" t="s">
        <v>4070</v>
      </c>
      <c r="B2194" s="11" t="s">
        <v>4068</v>
      </c>
      <c r="C2194" s="12">
        <v>46036</v>
      </c>
      <c r="D2194" s="12">
        <v>46036</v>
      </c>
      <c r="E2194" s="11" t="s">
        <v>6</v>
      </c>
      <c r="F2194" s="11" t="s">
        <v>4066</v>
      </c>
      <c r="G2194" s="11" t="s">
        <v>4068</v>
      </c>
      <c r="H2194" s="11" t="s">
        <v>4071</v>
      </c>
      <c r="I2194" s="11" t="s">
        <v>49</v>
      </c>
      <c r="J2194" s="11">
        <v>98.83</v>
      </c>
      <c r="K2194" s="11">
        <v>98.83</v>
      </c>
      <c r="L2194" s="11"/>
      <c r="M2194" s="14">
        <v>98.83</v>
      </c>
      <c r="N2194" s="11" t="s">
        <v>4069</v>
      </c>
      <c r="O2194" s="11" t="s">
        <v>50</v>
      </c>
    </row>
    <row r="2195" spans="1:15" s="13" customFormat="1" ht="19.5" customHeight="1" x14ac:dyDescent="0.25">
      <c r="A2195" s="11" t="s">
        <v>4072</v>
      </c>
      <c r="B2195" s="11" t="s">
        <v>4073</v>
      </c>
      <c r="C2195" s="12">
        <v>46112</v>
      </c>
      <c r="D2195" s="12">
        <v>46112</v>
      </c>
      <c r="E2195" s="11" t="s">
        <v>6</v>
      </c>
      <c r="F2195" s="11" t="s">
        <v>1454</v>
      </c>
      <c r="G2195" s="11" t="s">
        <v>4074</v>
      </c>
      <c r="H2195" s="11" t="s">
        <v>4075</v>
      </c>
      <c r="I2195" s="11" t="s">
        <v>49</v>
      </c>
      <c r="J2195" s="11">
        <v>-195.3</v>
      </c>
      <c r="K2195" s="11"/>
      <c r="L2195" s="11">
        <v>195.3</v>
      </c>
      <c r="M2195" s="14">
        <v>-195.3</v>
      </c>
      <c r="N2195" s="11" t="s">
        <v>4076</v>
      </c>
      <c r="O2195" s="11" t="s">
        <v>234</v>
      </c>
    </row>
    <row r="2196" spans="1:15" s="13" customFormat="1" ht="19.5" customHeight="1" x14ac:dyDescent="0.25">
      <c r="A2196" s="11" t="s">
        <v>4077</v>
      </c>
      <c r="B2196" s="11" t="s">
        <v>4075</v>
      </c>
      <c r="C2196" s="12">
        <v>46036</v>
      </c>
      <c r="D2196" s="12">
        <v>46036</v>
      </c>
      <c r="E2196" s="11" t="s">
        <v>6</v>
      </c>
      <c r="F2196" s="11" t="s">
        <v>1454</v>
      </c>
      <c r="G2196" s="11" t="s">
        <v>4075</v>
      </c>
      <c r="H2196" s="11" t="s">
        <v>4078</v>
      </c>
      <c r="I2196" s="11" t="s">
        <v>49</v>
      </c>
      <c r="J2196" s="11">
        <v>195.3</v>
      </c>
      <c r="K2196" s="11">
        <v>195.3</v>
      </c>
      <c r="L2196" s="11"/>
      <c r="M2196" s="14">
        <v>195.3</v>
      </c>
      <c r="N2196" s="11" t="s">
        <v>4076</v>
      </c>
      <c r="O2196" s="11" t="s">
        <v>50</v>
      </c>
    </row>
    <row r="2197" spans="1:15" s="13" customFormat="1" ht="19.5" customHeight="1" x14ac:dyDescent="0.25">
      <c r="A2197" s="11" t="s">
        <v>4079</v>
      </c>
      <c r="B2197" s="11" t="s">
        <v>4080</v>
      </c>
      <c r="C2197" s="12">
        <v>46112</v>
      </c>
      <c r="D2197" s="12">
        <v>46112</v>
      </c>
      <c r="E2197" s="11" t="s">
        <v>6</v>
      </c>
      <c r="F2197" s="11" t="s">
        <v>4081</v>
      </c>
      <c r="G2197" s="11" t="s">
        <v>4082</v>
      </c>
      <c r="H2197" s="11" t="s">
        <v>4083</v>
      </c>
      <c r="I2197" s="11" t="s">
        <v>49</v>
      </c>
      <c r="J2197" s="11">
        <v>-149.4</v>
      </c>
      <c r="K2197" s="11"/>
      <c r="L2197" s="11">
        <v>149.4</v>
      </c>
      <c r="M2197" s="14">
        <v>-149.4</v>
      </c>
      <c r="N2197" s="11" t="s">
        <v>4084</v>
      </c>
      <c r="O2197" s="11" t="s">
        <v>234</v>
      </c>
    </row>
    <row r="2198" spans="1:15" s="13" customFormat="1" ht="19.5" customHeight="1" x14ac:dyDescent="0.25">
      <c r="A2198" s="11" t="s">
        <v>4085</v>
      </c>
      <c r="B2198" s="11" t="s">
        <v>4083</v>
      </c>
      <c r="C2198" s="12">
        <v>46036</v>
      </c>
      <c r="D2198" s="12">
        <v>46036</v>
      </c>
      <c r="E2198" s="11" t="s">
        <v>6</v>
      </c>
      <c r="F2198" s="11" t="s">
        <v>4081</v>
      </c>
      <c r="G2198" s="11" t="s">
        <v>4083</v>
      </c>
      <c r="H2198" s="11" t="s">
        <v>4086</v>
      </c>
      <c r="I2198" s="11" t="s">
        <v>49</v>
      </c>
      <c r="J2198" s="11">
        <v>149.4</v>
      </c>
      <c r="K2198" s="11">
        <v>149.4</v>
      </c>
      <c r="L2198" s="11"/>
      <c r="M2198" s="14">
        <v>149.4</v>
      </c>
      <c r="N2198" s="11" t="s">
        <v>4084</v>
      </c>
      <c r="O2198" s="11" t="s">
        <v>50</v>
      </c>
    </row>
    <row r="2199" spans="1:15" s="13" customFormat="1" ht="19.5" customHeight="1" x14ac:dyDescent="0.25">
      <c r="A2199" s="11" t="s">
        <v>4087</v>
      </c>
      <c r="B2199" s="11" t="s">
        <v>4088</v>
      </c>
      <c r="C2199" s="12">
        <v>46112</v>
      </c>
      <c r="D2199" s="12">
        <v>46112</v>
      </c>
      <c r="E2199" s="11" t="s">
        <v>6</v>
      </c>
      <c r="F2199" s="11" t="s">
        <v>90</v>
      </c>
      <c r="G2199" s="11" t="s">
        <v>4089</v>
      </c>
      <c r="H2199" s="11" t="s">
        <v>4090</v>
      </c>
      <c r="I2199" s="11" t="s">
        <v>49</v>
      </c>
      <c r="J2199" s="11">
        <v>-542.41999999999996</v>
      </c>
      <c r="K2199" s="11"/>
      <c r="L2199" s="11">
        <v>542.41999999999996</v>
      </c>
      <c r="M2199" s="14">
        <v>-542.41999999999996</v>
      </c>
      <c r="N2199" s="11" t="s">
        <v>4091</v>
      </c>
      <c r="O2199" s="11" t="s">
        <v>234</v>
      </c>
    </row>
    <row r="2200" spans="1:15" s="13" customFormat="1" ht="19.5" customHeight="1" x14ac:dyDescent="0.25">
      <c r="A2200" s="11" t="s">
        <v>4092</v>
      </c>
      <c r="B2200" s="11" t="s">
        <v>4090</v>
      </c>
      <c r="C2200" s="12">
        <v>46038</v>
      </c>
      <c r="D2200" s="12">
        <v>46038</v>
      </c>
      <c r="E2200" s="11" t="s">
        <v>6</v>
      </c>
      <c r="F2200" s="11" t="s">
        <v>90</v>
      </c>
      <c r="G2200" s="11" t="s">
        <v>4090</v>
      </c>
      <c r="H2200" s="11" t="s">
        <v>4093</v>
      </c>
      <c r="I2200" s="11" t="s">
        <v>49</v>
      </c>
      <c r="J2200" s="11">
        <v>542.41999999999996</v>
      </c>
      <c r="K2200" s="11">
        <v>542.41999999999996</v>
      </c>
      <c r="L2200" s="11"/>
      <c r="M2200" s="14">
        <v>542.41999999999996</v>
      </c>
      <c r="N2200" s="11" t="s">
        <v>4091</v>
      </c>
      <c r="O2200" s="11" t="s">
        <v>50</v>
      </c>
    </row>
    <row r="2201" spans="1:15" s="13" customFormat="1" ht="19.5" customHeight="1" x14ac:dyDescent="0.25">
      <c r="A2201" s="11" t="s">
        <v>4094</v>
      </c>
      <c r="B2201" s="11" t="s">
        <v>4095</v>
      </c>
      <c r="C2201" s="12">
        <v>46112</v>
      </c>
      <c r="D2201" s="12">
        <v>46112</v>
      </c>
      <c r="E2201" s="11" t="s">
        <v>6</v>
      </c>
      <c r="F2201" s="11" t="s">
        <v>4096</v>
      </c>
      <c r="G2201" s="11" t="s">
        <v>4097</v>
      </c>
      <c r="H2201" s="11" t="s">
        <v>4098</v>
      </c>
      <c r="I2201" s="11" t="s">
        <v>49</v>
      </c>
      <c r="J2201" s="11">
        <v>-344.36</v>
      </c>
      <c r="K2201" s="11"/>
      <c r="L2201" s="11">
        <v>344.36</v>
      </c>
      <c r="M2201" s="14">
        <v>-344.36</v>
      </c>
      <c r="N2201" s="11" t="s">
        <v>4099</v>
      </c>
      <c r="O2201" s="11" t="s">
        <v>234</v>
      </c>
    </row>
    <row r="2202" spans="1:15" s="13" customFormat="1" ht="19.5" customHeight="1" x14ac:dyDescent="0.25">
      <c r="A2202" s="11" t="s">
        <v>4100</v>
      </c>
      <c r="B2202" s="11" t="s">
        <v>4098</v>
      </c>
      <c r="C2202" s="12">
        <v>46041</v>
      </c>
      <c r="D2202" s="12">
        <v>46041</v>
      </c>
      <c r="E2202" s="11" t="s">
        <v>6</v>
      </c>
      <c r="F2202" s="11" t="s">
        <v>4096</v>
      </c>
      <c r="G2202" s="11" t="s">
        <v>4098</v>
      </c>
      <c r="H2202" s="11" t="s">
        <v>4101</v>
      </c>
      <c r="I2202" s="11" t="s">
        <v>49</v>
      </c>
      <c r="J2202" s="11">
        <v>344.36</v>
      </c>
      <c r="K2202" s="11">
        <v>344.36</v>
      </c>
      <c r="L2202" s="11"/>
      <c r="M2202" s="14">
        <v>344.36</v>
      </c>
      <c r="N2202" s="11" t="s">
        <v>4099</v>
      </c>
      <c r="O2202" s="11" t="s">
        <v>50</v>
      </c>
    </row>
    <row r="2203" spans="1:15" s="13" customFormat="1" ht="19.5" customHeight="1" x14ac:dyDescent="0.25">
      <c r="A2203" s="11" t="s">
        <v>4102</v>
      </c>
      <c r="B2203" s="11" t="s">
        <v>4103</v>
      </c>
      <c r="C2203" s="12">
        <v>46112</v>
      </c>
      <c r="D2203" s="12">
        <v>46112</v>
      </c>
      <c r="E2203" s="11" t="s">
        <v>6</v>
      </c>
      <c r="F2203" s="11" t="s">
        <v>1629</v>
      </c>
      <c r="G2203" s="11" t="s">
        <v>4104</v>
      </c>
      <c r="H2203" s="11" t="s">
        <v>4105</v>
      </c>
      <c r="I2203" s="11" t="s">
        <v>49</v>
      </c>
      <c r="J2203" s="11">
        <v>-53.99</v>
      </c>
      <c r="K2203" s="11"/>
      <c r="L2203" s="11">
        <v>53.99</v>
      </c>
      <c r="M2203" s="14">
        <v>-53.99</v>
      </c>
      <c r="N2203" s="11" t="s">
        <v>4106</v>
      </c>
      <c r="O2203" s="11" t="s">
        <v>234</v>
      </c>
    </row>
    <row r="2204" spans="1:15" s="13" customFormat="1" ht="19.5" customHeight="1" x14ac:dyDescent="0.25">
      <c r="A2204" s="11" t="s">
        <v>4107</v>
      </c>
      <c r="B2204" s="11" t="s">
        <v>4105</v>
      </c>
      <c r="C2204" s="12">
        <v>46041</v>
      </c>
      <c r="D2204" s="12">
        <v>46041</v>
      </c>
      <c r="E2204" s="11" t="s">
        <v>6</v>
      </c>
      <c r="F2204" s="11" t="s">
        <v>1629</v>
      </c>
      <c r="G2204" s="11" t="s">
        <v>4105</v>
      </c>
      <c r="H2204" s="11" t="s">
        <v>4108</v>
      </c>
      <c r="I2204" s="11" t="s">
        <v>49</v>
      </c>
      <c r="J2204" s="11">
        <v>53.99</v>
      </c>
      <c r="K2204" s="11">
        <v>53.99</v>
      </c>
      <c r="L2204" s="11"/>
      <c r="M2204" s="14">
        <v>53.99</v>
      </c>
      <c r="N2204" s="11" t="s">
        <v>4106</v>
      </c>
      <c r="O2204" s="11" t="s">
        <v>50</v>
      </c>
    </row>
    <row r="2205" spans="1:15" s="13" customFormat="1" ht="19.5" customHeight="1" x14ac:dyDescent="0.25">
      <c r="A2205" s="11" t="s">
        <v>4109</v>
      </c>
      <c r="B2205" s="11" t="s">
        <v>4110</v>
      </c>
      <c r="C2205" s="12">
        <v>46112</v>
      </c>
      <c r="D2205" s="12">
        <v>46112</v>
      </c>
      <c r="E2205" s="11" t="s">
        <v>6</v>
      </c>
      <c r="F2205" s="11" t="s">
        <v>505</v>
      </c>
      <c r="G2205" s="11" t="s">
        <v>4111</v>
      </c>
      <c r="H2205" s="11" t="s">
        <v>4112</v>
      </c>
      <c r="I2205" s="11" t="s">
        <v>49</v>
      </c>
      <c r="J2205" s="11">
        <v>-142.62</v>
      </c>
      <c r="K2205" s="11"/>
      <c r="L2205" s="11">
        <v>142.62</v>
      </c>
      <c r="M2205" s="14">
        <v>-142.62</v>
      </c>
      <c r="N2205" s="11" t="s">
        <v>4113</v>
      </c>
      <c r="O2205" s="11" t="s">
        <v>234</v>
      </c>
    </row>
    <row r="2206" spans="1:15" s="13" customFormat="1" ht="19.5" customHeight="1" x14ac:dyDescent="0.25">
      <c r="A2206" s="11" t="s">
        <v>4112</v>
      </c>
      <c r="B2206" s="11" t="s">
        <v>4112</v>
      </c>
      <c r="C2206" s="12">
        <v>46041</v>
      </c>
      <c r="D2206" s="12">
        <v>46041</v>
      </c>
      <c r="E2206" s="11" t="s">
        <v>6</v>
      </c>
      <c r="F2206" s="11" t="s">
        <v>505</v>
      </c>
      <c r="G2206" s="11" t="s">
        <v>4112</v>
      </c>
      <c r="H2206" s="11"/>
      <c r="I2206" s="11" t="s">
        <v>49</v>
      </c>
      <c r="J2206" s="11">
        <v>142.62</v>
      </c>
      <c r="K2206" s="11">
        <v>142.62</v>
      </c>
      <c r="L2206" s="11"/>
      <c r="M2206" s="14">
        <v>142.62</v>
      </c>
      <c r="N2206" s="11" t="s">
        <v>4113</v>
      </c>
      <c r="O2206" s="11" t="s">
        <v>50</v>
      </c>
    </row>
    <row r="2207" spans="1:15" s="13" customFormat="1" ht="19.5" customHeight="1" x14ac:dyDescent="0.25">
      <c r="A2207" s="11" t="s">
        <v>4114</v>
      </c>
      <c r="B2207" s="11" t="s">
        <v>4115</v>
      </c>
      <c r="C2207" s="12">
        <v>46112</v>
      </c>
      <c r="D2207" s="12">
        <v>46112</v>
      </c>
      <c r="E2207" s="11" t="s">
        <v>6</v>
      </c>
      <c r="F2207" s="11" t="s">
        <v>4116</v>
      </c>
      <c r="G2207" s="11" t="s">
        <v>4117</v>
      </c>
      <c r="H2207" s="11" t="s">
        <v>4118</v>
      </c>
      <c r="I2207" s="11" t="s">
        <v>49</v>
      </c>
      <c r="J2207" s="11">
        <v>-79</v>
      </c>
      <c r="K2207" s="11"/>
      <c r="L2207" s="11">
        <v>79</v>
      </c>
      <c r="M2207" s="14">
        <v>-79</v>
      </c>
      <c r="N2207" s="11" t="s">
        <v>4119</v>
      </c>
      <c r="O2207" s="11" t="s">
        <v>234</v>
      </c>
    </row>
    <row r="2208" spans="1:15" s="13" customFormat="1" ht="19.5" customHeight="1" x14ac:dyDescent="0.25">
      <c r="A2208" s="11" t="s">
        <v>4120</v>
      </c>
      <c r="B2208" s="11" t="s">
        <v>4118</v>
      </c>
      <c r="C2208" s="12">
        <v>46041</v>
      </c>
      <c r="D2208" s="12">
        <v>46041</v>
      </c>
      <c r="E2208" s="11" t="s">
        <v>6</v>
      </c>
      <c r="F2208" s="11" t="s">
        <v>4116</v>
      </c>
      <c r="G2208" s="11" t="s">
        <v>4118</v>
      </c>
      <c r="H2208" s="11" t="s">
        <v>4121</v>
      </c>
      <c r="I2208" s="11" t="s">
        <v>49</v>
      </c>
      <c r="J2208" s="11">
        <v>79</v>
      </c>
      <c r="K2208" s="11">
        <v>79</v>
      </c>
      <c r="L2208" s="11"/>
      <c r="M2208" s="14">
        <v>79</v>
      </c>
      <c r="N2208" s="11" t="s">
        <v>4119</v>
      </c>
      <c r="O2208" s="11" t="s">
        <v>50</v>
      </c>
    </row>
    <row r="2209" spans="1:15" s="13" customFormat="1" ht="19.5" customHeight="1" x14ac:dyDescent="0.25">
      <c r="A2209" s="11" t="s">
        <v>4122</v>
      </c>
      <c r="B2209" s="11" t="s">
        <v>4123</v>
      </c>
      <c r="C2209" s="12">
        <v>46112</v>
      </c>
      <c r="D2209" s="12">
        <v>46112</v>
      </c>
      <c r="E2209" s="11" t="s">
        <v>6</v>
      </c>
      <c r="F2209" s="11" t="s">
        <v>4124</v>
      </c>
      <c r="G2209" s="11" t="s">
        <v>4125</v>
      </c>
      <c r="H2209" s="11" t="s">
        <v>4126</v>
      </c>
      <c r="I2209" s="11" t="s">
        <v>49</v>
      </c>
      <c r="J2209" s="11">
        <v>-110.01</v>
      </c>
      <c r="K2209" s="11"/>
      <c r="L2209" s="11">
        <v>110.01</v>
      </c>
      <c r="M2209" s="14">
        <v>-110.01</v>
      </c>
      <c r="N2209" s="11" t="s">
        <v>4127</v>
      </c>
      <c r="O2209" s="11" t="s">
        <v>234</v>
      </c>
    </row>
    <row r="2210" spans="1:15" s="13" customFormat="1" ht="19.5" customHeight="1" x14ac:dyDescent="0.25">
      <c r="A2210" s="11" t="s">
        <v>4128</v>
      </c>
      <c r="B2210" s="11" t="s">
        <v>4126</v>
      </c>
      <c r="C2210" s="12">
        <v>46041</v>
      </c>
      <c r="D2210" s="12">
        <v>46041</v>
      </c>
      <c r="E2210" s="11" t="s">
        <v>6</v>
      </c>
      <c r="F2210" s="11" t="s">
        <v>4124</v>
      </c>
      <c r="G2210" s="11" t="s">
        <v>4126</v>
      </c>
      <c r="H2210" s="11" t="s">
        <v>4129</v>
      </c>
      <c r="I2210" s="11" t="s">
        <v>49</v>
      </c>
      <c r="J2210" s="11">
        <v>110.01</v>
      </c>
      <c r="K2210" s="11">
        <v>110.01</v>
      </c>
      <c r="L2210" s="11"/>
      <c r="M2210" s="14">
        <v>110.01</v>
      </c>
      <c r="N2210" s="11" t="s">
        <v>4127</v>
      </c>
      <c r="O2210" s="11" t="s">
        <v>50</v>
      </c>
    </row>
    <row r="2211" spans="1:15" s="13" customFormat="1" ht="19.5" customHeight="1" x14ac:dyDescent="0.25">
      <c r="A2211" s="11" t="s">
        <v>4130</v>
      </c>
      <c r="B2211" s="11" t="s">
        <v>4131</v>
      </c>
      <c r="C2211" s="12">
        <v>46112</v>
      </c>
      <c r="D2211" s="12">
        <v>46112</v>
      </c>
      <c r="E2211" s="11" t="s">
        <v>6</v>
      </c>
      <c r="F2211" s="11" t="s">
        <v>4132</v>
      </c>
      <c r="G2211" s="11" t="s">
        <v>4133</v>
      </c>
      <c r="H2211" s="11" t="s">
        <v>4134</v>
      </c>
      <c r="I2211" s="11" t="s">
        <v>49</v>
      </c>
      <c r="J2211" s="11">
        <v>-155.69999999999999</v>
      </c>
      <c r="K2211" s="11"/>
      <c r="L2211" s="11">
        <v>155.69999999999999</v>
      </c>
      <c r="M2211" s="14">
        <v>-155.69999999999999</v>
      </c>
      <c r="N2211" s="11" t="s">
        <v>4135</v>
      </c>
      <c r="O2211" s="11" t="s">
        <v>234</v>
      </c>
    </row>
    <row r="2212" spans="1:15" s="13" customFormat="1" ht="19.5" customHeight="1" x14ac:dyDescent="0.25">
      <c r="A2212" s="11" t="s">
        <v>4136</v>
      </c>
      <c r="B2212" s="11" t="s">
        <v>4134</v>
      </c>
      <c r="C2212" s="12">
        <v>46041</v>
      </c>
      <c r="D2212" s="12">
        <v>46041</v>
      </c>
      <c r="E2212" s="11" t="s">
        <v>6</v>
      </c>
      <c r="F2212" s="11" t="s">
        <v>4132</v>
      </c>
      <c r="G2212" s="11" t="s">
        <v>4134</v>
      </c>
      <c r="H2212" s="11" t="s">
        <v>4137</v>
      </c>
      <c r="I2212" s="11" t="s">
        <v>49</v>
      </c>
      <c r="J2212" s="11">
        <v>155.69999999999999</v>
      </c>
      <c r="K2212" s="11">
        <v>155.69999999999999</v>
      </c>
      <c r="L2212" s="11"/>
      <c r="M2212" s="14">
        <v>155.69999999999999</v>
      </c>
      <c r="N2212" s="11" t="s">
        <v>4135</v>
      </c>
      <c r="O2212" s="11" t="s">
        <v>50</v>
      </c>
    </row>
    <row r="2213" spans="1:15" s="13" customFormat="1" ht="19.5" customHeight="1" x14ac:dyDescent="0.25">
      <c r="A2213" s="11" t="s">
        <v>4138</v>
      </c>
      <c r="B2213" s="11" t="s">
        <v>4139</v>
      </c>
      <c r="C2213" s="12">
        <v>46112</v>
      </c>
      <c r="D2213" s="12">
        <v>46112</v>
      </c>
      <c r="E2213" s="11" t="s">
        <v>6</v>
      </c>
      <c r="F2213" s="11" t="s">
        <v>4140</v>
      </c>
      <c r="G2213" s="11" t="s">
        <v>4141</v>
      </c>
      <c r="H2213" s="11" t="s">
        <v>4142</v>
      </c>
      <c r="I2213" s="11" t="s">
        <v>49</v>
      </c>
      <c r="J2213" s="11">
        <v>-75.5</v>
      </c>
      <c r="K2213" s="11"/>
      <c r="L2213" s="11">
        <v>75.5</v>
      </c>
      <c r="M2213" s="14">
        <v>-75.5</v>
      </c>
      <c r="N2213" s="11" t="s">
        <v>4143</v>
      </c>
      <c r="O2213" s="11" t="s">
        <v>234</v>
      </c>
    </row>
    <row r="2214" spans="1:15" s="13" customFormat="1" ht="19.5" customHeight="1" x14ac:dyDescent="0.25">
      <c r="A2214" s="11" t="s">
        <v>4144</v>
      </c>
      <c r="B2214" s="11" t="s">
        <v>4142</v>
      </c>
      <c r="C2214" s="12">
        <v>46041</v>
      </c>
      <c r="D2214" s="12">
        <v>46041</v>
      </c>
      <c r="E2214" s="11" t="s">
        <v>6</v>
      </c>
      <c r="F2214" s="11" t="s">
        <v>4140</v>
      </c>
      <c r="G2214" s="11" t="s">
        <v>4142</v>
      </c>
      <c r="H2214" s="11" t="s">
        <v>4137</v>
      </c>
      <c r="I2214" s="11" t="s">
        <v>49</v>
      </c>
      <c r="J2214" s="11">
        <v>75.5</v>
      </c>
      <c r="K2214" s="11">
        <v>75.5</v>
      </c>
      <c r="L2214" s="11"/>
      <c r="M2214" s="14">
        <v>75.5</v>
      </c>
      <c r="N2214" s="11" t="s">
        <v>4143</v>
      </c>
      <c r="O2214" s="11" t="s">
        <v>50</v>
      </c>
    </row>
    <row r="2215" spans="1:15" s="13" customFormat="1" ht="19.5" customHeight="1" x14ac:dyDescent="0.25">
      <c r="A2215" s="11" t="s">
        <v>4145</v>
      </c>
      <c r="B2215" s="11" t="s">
        <v>4146</v>
      </c>
      <c r="C2215" s="12">
        <v>46112</v>
      </c>
      <c r="D2215" s="12">
        <v>46112</v>
      </c>
      <c r="E2215" s="11" t="s">
        <v>6</v>
      </c>
      <c r="F2215" s="11" t="s">
        <v>4147</v>
      </c>
      <c r="G2215" s="11" t="s">
        <v>4148</v>
      </c>
      <c r="H2215" s="11" t="s">
        <v>4149</v>
      </c>
      <c r="I2215" s="11" t="s">
        <v>49</v>
      </c>
      <c r="J2215" s="11">
        <v>-122.4</v>
      </c>
      <c r="K2215" s="11"/>
      <c r="L2215" s="11">
        <v>122.4</v>
      </c>
      <c r="M2215" s="14">
        <v>-122.4</v>
      </c>
      <c r="N2215" s="11" t="s">
        <v>4150</v>
      </c>
      <c r="O2215" s="11" t="s">
        <v>234</v>
      </c>
    </row>
    <row r="2216" spans="1:15" s="13" customFormat="1" ht="19.5" customHeight="1" x14ac:dyDescent="0.25">
      <c r="A2216" s="11" t="s">
        <v>4151</v>
      </c>
      <c r="B2216" s="11" t="s">
        <v>4149</v>
      </c>
      <c r="C2216" s="12">
        <v>46042</v>
      </c>
      <c r="D2216" s="12">
        <v>46042</v>
      </c>
      <c r="E2216" s="11" t="s">
        <v>6</v>
      </c>
      <c r="F2216" s="11" t="s">
        <v>4147</v>
      </c>
      <c r="G2216" s="11" t="s">
        <v>4149</v>
      </c>
      <c r="H2216" s="11" t="s">
        <v>4152</v>
      </c>
      <c r="I2216" s="11" t="s">
        <v>49</v>
      </c>
      <c r="J2216" s="11">
        <v>122.4</v>
      </c>
      <c r="K2216" s="11">
        <v>122.4</v>
      </c>
      <c r="L2216" s="11"/>
      <c r="M2216" s="14">
        <v>122.4</v>
      </c>
      <c r="N2216" s="11" t="s">
        <v>4150</v>
      </c>
      <c r="O2216" s="11" t="s">
        <v>50</v>
      </c>
    </row>
    <row r="2217" spans="1:15" s="13" customFormat="1" ht="19.5" customHeight="1" x14ac:dyDescent="0.25">
      <c r="A2217" s="11" t="s">
        <v>4153</v>
      </c>
      <c r="B2217" s="11" t="s">
        <v>4154</v>
      </c>
      <c r="C2217" s="12">
        <v>46112</v>
      </c>
      <c r="D2217" s="12">
        <v>46112</v>
      </c>
      <c r="E2217" s="11" t="s">
        <v>6</v>
      </c>
      <c r="F2217" s="11" t="s">
        <v>4155</v>
      </c>
      <c r="G2217" s="11" t="s">
        <v>4156</v>
      </c>
      <c r="H2217" s="11" t="s">
        <v>4157</v>
      </c>
      <c r="I2217" s="11" t="s">
        <v>49</v>
      </c>
      <c r="J2217" s="11">
        <v>-219.26</v>
      </c>
      <c r="K2217" s="11"/>
      <c r="L2217" s="11">
        <v>219.26</v>
      </c>
      <c r="M2217" s="14">
        <v>-219.26</v>
      </c>
      <c r="N2217" s="11" t="s">
        <v>4158</v>
      </c>
      <c r="O2217" s="11" t="s">
        <v>234</v>
      </c>
    </row>
    <row r="2218" spans="1:15" s="13" customFormat="1" ht="19.5" customHeight="1" x14ac:dyDescent="0.25">
      <c r="A2218" s="11" t="s">
        <v>4157</v>
      </c>
      <c r="B2218" s="11" t="s">
        <v>4157</v>
      </c>
      <c r="C2218" s="12">
        <v>46042</v>
      </c>
      <c r="D2218" s="12">
        <v>46042</v>
      </c>
      <c r="E2218" s="11" t="s">
        <v>6</v>
      </c>
      <c r="F2218" s="11" t="s">
        <v>4155</v>
      </c>
      <c r="G2218" s="11" t="s">
        <v>4157</v>
      </c>
      <c r="H2218" s="11"/>
      <c r="I2218" s="11" t="s">
        <v>49</v>
      </c>
      <c r="J2218" s="11">
        <v>219.26</v>
      </c>
      <c r="K2218" s="11">
        <v>219.26</v>
      </c>
      <c r="L2218" s="11"/>
      <c r="M2218" s="14">
        <v>219.26</v>
      </c>
      <c r="N2218" s="11" t="s">
        <v>4158</v>
      </c>
      <c r="O2218" s="11" t="s">
        <v>50</v>
      </c>
    </row>
    <row r="2219" spans="1:15" s="13" customFormat="1" ht="19.5" customHeight="1" x14ac:dyDescent="0.25">
      <c r="A2219" s="11" t="s">
        <v>4159</v>
      </c>
      <c r="B2219" s="11" t="s">
        <v>4160</v>
      </c>
      <c r="C2219" s="12">
        <v>46112</v>
      </c>
      <c r="D2219" s="12">
        <v>46112</v>
      </c>
      <c r="E2219" s="11" t="s">
        <v>6</v>
      </c>
      <c r="F2219" s="11" t="s">
        <v>4161</v>
      </c>
      <c r="G2219" s="11" t="s">
        <v>4162</v>
      </c>
      <c r="H2219" s="11" t="s">
        <v>4163</v>
      </c>
      <c r="I2219" s="11" t="s">
        <v>49</v>
      </c>
      <c r="J2219" s="11">
        <v>-189.64</v>
      </c>
      <c r="K2219" s="11"/>
      <c r="L2219" s="11">
        <v>189.64</v>
      </c>
      <c r="M2219" s="14">
        <v>-189.64</v>
      </c>
      <c r="N2219" s="11" t="s">
        <v>4164</v>
      </c>
      <c r="O2219" s="11" t="s">
        <v>234</v>
      </c>
    </row>
    <row r="2220" spans="1:15" s="13" customFormat="1" ht="19.5" customHeight="1" x14ac:dyDescent="0.25">
      <c r="A2220" s="11" t="s">
        <v>4165</v>
      </c>
      <c r="B2220" s="11" t="s">
        <v>4163</v>
      </c>
      <c r="C2220" s="12">
        <v>46042</v>
      </c>
      <c r="D2220" s="12">
        <v>46042</v>
      </c>
      <c r="E2220" s="11" t="s">
        <v>6</v>
      </c>
      <c r="F2220" s="11" t="s">
        <v>4161</v>
      </c>
      <c r="G2220" s="11" t="s">
        <v>4163</v>
      </c>
      <c r="H2220" s="11" t="s">
        <v>4166</v>
      </c>
      <c r="I2220" s="11" t="s">
        <v>49</v>
      </c>
      <c r="J2220" s="11">
        <v>189.64</v>
      </c>
      <c r="K2220" s="11">
        <v>189.64</v>
      </c>
      <c r="L2220" s="11"/>
      <c r="M2220" s="14">
        <v>189.64</v>
      </c>
      <c r="N2220" s="11" t="s">
        <v>4164</v>
      </c>
      <c r="O2220" s="11" t="s">
        <v>50</v>
      </c>
    </row>
    <row r="2221" spans="1:15" s="13" customFormat="1" ht="19.5" customHeight="1" x14ac:dyDescent="0.25">
      <c r="A2221" s="11" t="s">
        <v>4167</v>
      </c>
      <c r="B2221" s="11" t="s">
        <v>4168</v>
      </c>
      <c r="C2221" s="12">
        <v>46112</v>
      </c>
      <c r="D2221" s="12">
        <v>46112</v>
      </c>
      <c r="E2221" s="11" t="s">
        <v>6</v>
      </c>
      <c r="F2221" s="11" t="s">
        <v>4169</v>
      </c>
      <c r="G2221" s="11" t="s">
        <v>4170</v>
      </c>
      <c r="H2221" s="11" t="s">
        <v>4171</v>
      </c>
      <c r="I2221" s="11" t="s">
        <v>49</v>
      </c>
      <c r="J2221" s="11">
        <v>-197.64</v>
      </c>
      <c r="K2221" s="11"/>
      <c r="L2221" s="11">
        <v>197.64</v>
      </c>
      <c r="M2221" s="14">
        <v>-197.64</v>
      </c>
      <c r="N2221" s="11" t="s">
        <v>4172</v>
      </c>
      <c r="O2221" s="11" t="s">
        <v>234</v>
      </c>
    </row>
    <row r="2222" spans="1:15" s="13" customFormat="1" ht="19.5" customHeight="1" x14ac:dyDescent="0.25">
      <c r="A2222" s="11" t="s">
        <v>4173</v>
      </c>
      <c r="B2222" s="11" t="s">
        <v>4171</v>
      </c>
      <c r="C2222" s="12">
        <v>46043</v>
      </c>
      <c r="D2222" s="12">
        <v>46043</v>
      </c>
      <c r="E2222" s="11" t="s">
        <v>6</v>
      </c>
      <c r="F2222" s="11" t="s">
        <v>4169</v>
      </c>
      <c r="G2222" s="11" t="s">
        <v>4171</v>
      </c>
      <c r="H2222" s="11" t="s">
        <v>4174</v>
      </c>
      <c r="I2222" s="11" t="s">
        <v>49</v>
      </c>
      <c r="J2222" s="11">
        <v>197.64</v>
      </c>
      <c r="K2222" s="11">
        <v>197.64</v>
      </c>
      <c r="L2222" s="11"/>
      <c r="M2222" s="14">
        <v>197.64</v>
      </c>
      <c r="N2222" s="11" t="s">
        <v>4172</v>
      </c>
      <c r="O2222" s="11" t="s">
        <v>50</v>
      </c>
    </row>
    <row r="2223" spans="1:15" s="13" customFormat="1" ht="19.5" customHeight="1" x14ac:dyDescent="0.25">
      <c r="A2223" s="11" t="s">
        <v>4175</v>
      </c>
      <c r="B2223" s="11" t="s">
        <v>4176</v>
      </c>
      <c r="C2223" s="12">
        <v>46112</v>
      </c>
      <c r="D2223" s="12">
        <v>46112</v>
      </c>
      <c r="E2223" s="11" t="s">
        <v>6</v>
      </c>
      <c r="F2223" s="11" t="s">
        <v>4177</v>
      </c>
      <c r="G2223" s="11" t="s">
        <v>4178</v>
      </c>
      <c r="H2223" s="11" t="s">
        <v>4179</v>
      </c>
      <c r="I2223" s="11" t="s">
        <v>49</v>
      </c>
      <c r="J2223" s="11">
        <v>-0.01</v>
      </c>
      <c r="K2223" s="11"/>
      <c r="L2223" s="11">
        <v>0.01</v>
      </c>
      <c r="M2223" s="14">
        <v>-0.01</v>
      </c>
      <c r="N2223" s="11" t="s">
        <v>4180</v>
      </c>
      <c r="O2223" s="11" t="s">
        <v>234</v>
      </c>
    </row>
    <row r="2224" spans="1:15" s="13" customFormat="1" ht="19.5" customHeight="1" x14ac:dyDescent="0.25">
      <c r="A2224" s="11" t="s">
        <v>4181</v>
      </c>
      <c r="B2224" s="11" t="s">
        <v>4181</v>
      </c>
      <c r="C2224" s="12">
        <v>45964</v>
      </c>
      <c r="D2224" s="12">
        <v>45964</v>
      </c>
      <c r="E2224" s="11" t="s">
        <v>6</v>
      </c>
      <c r="F2224" s="11" t="s">
        <v>4182</v>
      </c>
      <c r="G2224" s="11" t="s">
        <v>4181</v>
      </c>
      <c r="H2224" s="11"/>
      <c r="I2224" s="11" t="s">
        <v>49</v>
      </c>
      <c r="J2224" s="11">
        <v>55</v>
      </c>
      <c r="K2224" s="11">
        <v>55</v>
      </c>
      <c r="L2224" s="11"/>
      <c r="M2224" s="11">
        <v>55</v>
      </c>
      <c r="N2224" s="11" t="s">
        <v>4183</v>
      </c>
      <c r="O2224" s="11" t="s">
        <v>50</v>
      </c>
    </row>
    <row r="2225" spans="1:15" s="13" customFormat="1" ht="19.5" customHeight="1" x14ac:dyDescent="0.25">
      <c r="A2225" s="11" t="s">
        <v>4184</v>
      </c>
      <c r="B2225" s="11" t="s">
        <v>4184</v>
      </c>
      <c r="C2225" s="12">
        <v>45964</v>
      </c>
      <c r="D2225" s="12">
        <v>45964</v>
      </c>
      <c r="E2225" s="11" t="s">
        <v>6</v>
      </c>
      <c r="F2225" s="11" t="s">
        <v>4185</v>
      </c>
      <c r="G2225" s="11" t="s">
        <v>4184</v>
      </c>
      <c r="H2225" s="11"/>
      <c r="I2225" s="11" t="s">
        <v>49</v>
      </c>
      <c r="J2225" s="11">
        <v>48.6</v>
      </c>
      <c r="K2225" s="11">
        <v>48.6</v>
      </c>
      <c r="L2225" s="11"/>
      <c r="M2225" s="11">
        <v>48.6</v>
      </c>
      <c r="N2225" s="11" t="s">
        <v>4186</v>
      </c>
      <c r="O2225" s="11" t="s">
        <v>50</v>
      </c>
    </row>
    <row r="2226" spans="1:15" s="13" customFormat="1" ht="19.5" customHeight="1" x14ac:dyDescent="0.25">
      <c r="A2226" s="11" t="s">
        <v>4179</v>
      </c>
      <c r="B2226" s="11" t="s">
        <v>4179</v>
      </c>
      <c r="C2226" s="12">
        <v>46043</v>
      </c>
      <c r="D2226" s="12">
        <v>46043</v>
      </c>
      <c r="E2226" s="11" t="s">
        <v>6</v>
      </c>
      <c r="F2226" s="11" t="s">
        <v>4177</v>
      </c>
      <c r="G2226" s="11" t="s">
        <v>4179</v>
      </c>
      <c r="H2226" s="11"/>
      <c r="I2226" s="11" t="s">
        <v>49</v>
      </c>
      <c r="J2226" s="11">
        <v>4098.12</v>
      </c>
      <c r="K2226" s="11">
        <v>4098.12</v>
      </c>
      <c r="L2226" s="11"/>
      <c r="M2226" s="14">
        <v>4098.12</v>
      </c>
      <c r="N2226" s="11" t="s">
        <v>4180</v>
      </c>
      <c r="O2226" s="11" t="s">
        <v>50</v>
      </c>
    </row>
    <row r="2227" spans="1:15" s="13" customFormat="1" ht="19.5" customHeight="1" x14ac:dyDescent="0.25">
      <c r="A2227" s="11" t="s">
        <v>4187</v>
      </c>
      <c r="B2227" s="11" t="s">
        <v>4187</v>
      </c>
      <c r="C2227" s="12">
        <v>46042</v>
      </c>
      <c r="D2227" s="11"/>
      <c r="E2227" s="11" t="s">
        <v>6</v>
      </c>
      <c r="F2227" s="11" t="s">
        <v>4177</v>
      </c>
      <c r="G2227" s="11" t="s">
        <v>4179</v>
      </c>
      <c r="H2227" s="11"/>
      <c r="I2227" s="11" t="s">
        <v>49</v>
      </c>
      <c r="J2227" s="11">
        <v>-1752</v>
      </c>
      <c r="K2227" s="11"/>
      <c r="L2227" s="11">
        <v>1752</v>
      </c>
      <c r="M2227" s="14">
        <v>-1752</v>
      </c>
      <c r="N2227" s="11" t="s">
        <v>4180</v>
      </c>
      <c r="O2227" s="11" t="s">
        <v>234</v>
      </c>
    </row>
    <row r="2228" spans="1:15" s="13" customFormat="1" ht="19.5" customHeight="1" x14ac:dyDescent="0.25">
      <c r="A2228" s="11" t="s">
        <v>4188</v>
      </c>
      <c r="B2228" s="11" t="s">
        <v>4188</v>
      </c>
      <c r="C2228" s="12">
        <v>46042</v>
      </c>
      <c r="D2228" s="11"/>
      <c r="E2228" s="11" t="s">
        <v>6</v>
      </c>
      <c r="F2228" s="11" t="s">
        <v>4177</v>
      </c>
      <c r="G2228" s="11" t="s">
        <v>4179</v>
      </c>
      <c r="H2228" s="11"/>
      <c r="I2228" s="11" t="s">
        <v>49</v>
      </c>
      <c r="J2228" s="11">
        <v>-2346.11</v>
      </c>
      <c r="K2228" s="11"/>
      <c r="L2228" s="11">
        <v>2346.11</v>
      </c>
      <c r="M2228" s="14">
        <v>-2346.11</v>
      </c>
      <c r="N2228" s="11" t="s">
        <v>4180</v>
      </c>
      <c r="O2228" s="11" t="s">
        <v>234</v>
      </c>
    </row>
    <row r="2229" spans="1:15" s="13" customFormat="1" ht="19.5" customHeight="1" x14ac:dyDescent="0.25">
      <c r="A2229" s="11" t="s">
        <v>4189</v>
      </c>
      <c r="B2229" s="11" t="s">
        <v>4190</v>
      </c>
      <c r="C2229" s="12">
        <v>46112</v>
      </c>
      <c r="D2229" s="12">
        <v>46112</v>
      </c>
      <c r="E2229" s="11" t="s">
        <v>6</v>
      </c>
      <c r="F2229" s="11" t="s">
        <v>4191</v>
      </c>
      <c r="G2229" s="11" t="s">
        <v>4192</v>
      </c>
      <c r="H2229" s="11" t="s">
        <v>4193</v>
      </c>
      <c r="I2229" s="11" t="s">
        <v>49</v>
      </c>
      <c r="J2229" s="11">
        <v>-140.49</v>
      </c>
      <c r="K2229" s="11"/>
      <c r="L2229" s="11">
        <v>140.49</v>
      </c>
      <c r="M2229" s="14">
        <v>-140.49</v>
      </c>
      <c r="N2229" s="11" t="s">
        <v>4194</v>
      </c>
      <c r="O2229" s="11" t="s">
        <v>234</v>
      </c>
    </row>
    <row r="2230" spans="1:15" s="13" customFormat="1" ht="19.5" customHeight="1" x14ac:dyDescent="0.25">
      <c r="A2230" s="11" t="s">
        <v>4195</v>
      </c>
      <c r="B2230" s="11" t="s">
        <v>4193</v>
      </c>
      <c r="C2230" s="12">
        <v>46044</v>
      </c>
      <c r="D2230" s="12">
        <v>46044</v>
      </c>
      <c r="E2230" s="11" t="s">
        <v>6</v>
      </c>
      <c r="F2230" s="11" t="s">
        <v>4191</v>
      </c>
      <c r="G2230" s="11" t="s">
        <v>4193</v>
      </c>
      <c r="H2230" s="11" t="s">
        <v>4196</v>
      </c>
      <c r="I2230" s="11" t="s">
        <v>49</v>
      </c>
      <c r="J2230" s="11">
        <v>140.49</v>
      </c>
      <c r="K2230" s="11">
        <v>140.49</v>
      </c>
      <c r="L2230" s="11"/>
      <c r="M2230" s="14">
        <v>140.49</v>
      </c>
      <c r="N2230" s="11" t="s">
        <v>4194</v>
      </c>
      <c r="O2230" s="11" t="s">
        <v>50</v>
      </c>
    </row>
    <row r="2231" spans="1:15" s="13" customFormat="1" ht="19.5" customHeight="1" x14ac:dyDescent="0.25">
      <c r="A2231" s="11" t="s">
        <v>4197</v>
      </c>
      <c r="B2231" s="11" t="s">
        <v>4198</v>
      </c>
      <c r="C2231" s="12">
        <v>46112</v>
      </c>
      <c r="D2231" s="12">
        <v>46112</v>
      </c>
      <c r="E2231" s="11" t="s">
        <v>6</v>
      </c>
      <c r="F2231" s="11" t="s">
        <v>4199</v>
      </c>
      <c r="G2231" s="11" t="s">
        <v>4200</v>
      </c>
      <c r="H2231" s="11" t="s">
        <v>4201</v>
      </c>
      <c r="I2231" s="11" t="s">
        <v>49</v>
      </c>
      <c r="J2231" s="11">
        <v>-121.9</v>
      </c>
      <c r="K2231" s="11"/>
      <c r="L2231" s="11">
        <v>121.9</v>
      </c>
      <c r="M2231" s="14">
        <v>-121.9</v>
      </c>
      <c r="N2231" s="11" t="s">
        <v>4202</v>
      </c>
      <c r="O2231" s="11" t="s">
        <v>234</v>
      </c>
    </row>
    <row r="2232" spans="1:15" s="13" customFormat="1" ht="19.5" customHeight="1" x14ac:dyDescent="0.25">
      <c r="A2232" s="11" t="s">
        <v>4203</v>
      </c>
      <c r="B2232" s="11" t="s">
        <v>4203</v>
      </c>
      <c r="C2232" s="12">
        <v>45964</v>
      </c>
      <c r="D2232" s="12">
        <v>45964</v>
      </c>
      <c r="E2232" s="11" t="s">
        <v>6</v>
      </c>
      <c r="F2232" s="11" t="s">
        <v>4204</v>
      </c>
      <c r="G2232" s="11" t="s">
        <v>4203</v>
      </c>
      <c r="H2232" s="11"/>
      <c r="I2232" s="11" t="s">
        <v>49</v>
      </c>
      <c r="J2232" s="11">
        <v>48.6</v>
      </c>
      <c r="K2232" s="11">
        <v>48.6</v>
      </c>
      <c r="L2232" s="11"/>
      <c r="M2232" s="11">
        <v>48.6</v>
      </c>
      <c r="N2232" s="11" t="s">
        <v>4205</v>
      </c>
      <c r="O2232" s="11" t="s">
        <v>50</v>
      </c>
    </row>
    <row r="2233" spans="1:15" s="13" customFormat="1" ht="19.5" customHeight="1" x14ac:dyDescent="0.25">
      <c r="A2233" s="11" t="s">
        <v>4206</v>
      </c>
      <c r="B2233" s="11" t="s">
        <v>4201</v>
      </c>
      <c r="C2233" s="12">
        <v>46044</v>
      </c>
      <c r="D2233" s="12">
        <v>46044</v>
      </c>
      <c r="E2233" s="11" t="s">
        <v>6</v>
      </c>
      <c r="F2233" s="11" t="s">
        <v>4199</v>
      </c>
      <c r="G2233" s="11" t="s">
        <v>4201</v>
      </c>
      <c r="H2233" s="11" t="s">
        <v>4207</v>
      </c>
      <c r="I2233" s="11" t="s">
        <v>49</v>
      </c>
      <c r="J2233" s="11">
        <v>121.9</v>
      </c>
      <c r="K2233" s="11">
        <v>121.9</v>
      </c>
      <c r="L2233" s="11"/>
      <c r="M2233" s="14">
        <v>121.9</v>
      </c>
      <c r="N2233" s="11" t="s">
        <v>4202</v>
      </c>
      <c r="O2233" s="11" t="s">
        <v>50</v>
      </c>
    </row>
    <row r="2234" spans="1:15" s="13" customFormat="1" ht="19.5" customHeight="1" x14ac:dyDescent="0.25">
      <c r="A2234" s="11" t="s">
        <v>4208</v>
      </c>
      <c r="B2234" s="11" t="s">
        <v>4209</v>
      </c>
      <c r="C2234" s="12">
        <v>46112</v>
      </c>
      <c r="D2234" s="12">
        <v>46112</v>
      </c>
      <c r="E2234" s="11" t="s">
        <v>6</v>
      </c>
      <c r="F2234" s="11" t="s">
        <v>4210</v>
      </c>
      <c r="G2234" s="11" t="s">
        <v>4211</v>
      </c>
      <c r="H2234" s="11" t="s">
        <v>4212</v>
      </c>
      <c r="I2234" s="11" t="s">
        <v>49</v>
      </c>
      <c r="J2234" s="11">
        <v>-213.3</v>
      </c>
      <c r="K2234" s="11"/>
      <c r="L2234" s="11">
        <v>213.3</v>
      </c>
      <c r="M2234" s="14">
        <v>-213.3</v>
      </c>
      <c r="N2234" s="11" t="s">
        <v>4213</v>
      </c>
      <c r="O2234" s="11" t="s">
        <v>234</v>
      </c>
    </row>
    <row r="2235" spans="1:15" s="13" customFormat="1" ht="19.5" customHeight="1" x14ac:dyDescent="0.25">
      <c r="A2235" s="11" t="s">
        <v>4214</v>
      </c>
      <c r="B2235" s="11" t="s">
        <v>4212</v>
      </c>
      <c r="C2235" s="12">
        <v>46044</v>
      </c>
      <c r="D2235" s="12">
        <v>46044</v>
      </c>
      <c r="E2235" s="11" t="s">
        <v>6</v>
      </c>
      <c r="F2235" s="11" t="s">
        <v>4210</v>
      </c>
      <c r="G2235" s="11" t="s">
        <v>4212</v>
      </c>
      <c r="H2235" s="11" t="s">
        <v>4215</v>
      </c>
      <c r="I2235" s="11" t="s">
        <v>49</v>
      </c>
      <c r="J2235" s="11">
        <v>213.3</v>
      </c>
      <c r="K2235" s="11">
        <v>213.3</v>
      </c>
      <c r="L2235" s="11"/>
      <c r="M2235" s="14">
        <v>213.3</v>
      </c>
      <c r="N2235" s="11" t="s">
        <v>4213</v>
      </c>
      <c r="O2235" s="11" t="s">
        <v>50</v>
      </c>
    </row>
    <row r="2236" spans="1:15" s="13" customFormat="1" ht="19.5" customHeight="1" x14ac:dyDescent="0.25">
      <c r="A2236" s="11" t="s">
        <v>4216</v>
      </c>
      <c r="B2236" s="11" t="s">
        <v>4217</v>
      </c>
      <c r="C2236" s="12">
        <v>46112</v>
      </c>
      <c r="D2236" s="12">
        <v>46112</v>
      </c>
      <c r="E2236" s="11" t="s">
        <v>6</v>
      </c>
      <c r="F2236" s="11" t="s">
        <v>1370</v>
      </c>
      <c r="G2236" s="11" t="s">
        <v>4218</v>
      </c>
      <c r="H2236" s="11" t="s">
        <v>4219</v>
      </c>
      <c r="I2236" s="11" t="s">
        <v>49</v>
      </c>
      <c r="J2236" s="11">
        <v>-561.25</v>
      </c>
      <c r="K2236" s="11"/>
      <c r="L2236" s="11">
        <v>561.25</v>
      </c>
      <c r="M2236" s="14">
        <v>-561.25</v>
      </c>
      <c r="N2236" s="11" t="s">
        <v>4220</v>
      </c>
      <c r="O2236" s="11" t="s">
        <v>234</v>
      </c>
    </row>
    <row r="2237" spans="1:15" s="13" customFormat="1" ht="19.5" customHeight="1" x14ac:dyDescent="0.25">
      <c r="A2237" s="11" t="s">
        <v>4221</v>
      </c>
      <c r="B2237" s="11" t="s">
        <v>4219</v>
      </c>
      <c r="C2237" s="12">
        <v>46044</v>
      </c>
      <c r="D2237" s="12">
        <v>46044</v>
      </c>
      <c r="E2237" s="11" t="s">
        <v>6</v>
      </c>
      <c r="F2237" s="11" t="s">
        <v>1370</v>
      </c>
      <c r="G2237" s="11" t="s">
        <v>4219</v>
      </c>
      <c r="H2237" s="11" t="s">
        <v>4222</v>
      </c>
      <c r="I2237" s="11" t="s">
        <v>49</v>
      </c>
      <c r="J2237" s="11">
        <v>561.25</v>
      </c>
      <c r="K2237" s="11">
        <v>561.25</v>
      </c>
      <c r="L2237" s="11"/>
      <c r="M2237" s="14">
        <v>561.25</v>
      </c>
      <c r="N2237" s="11" t="s">
        <v>4220</v>
      </c>
      <c r="O2237" s="11" t="s">
        <v>50</v>
      </c>
    </row>
    <row r="2238" spans="1:15" s="13" customFormat="1" ht="19.5" customHeight="1" x14ac:dyDescent="0.25">
      <c r="A2238" s="11" t="s">
        <v>4223</v>
      </c>
      <c r="B2238" s="11" t="s">
        <v>4224</v>
      </c>
      <c r="C2238" s="12">
        <v>46112</v>
      </c>
      <c r="D2238" s="12">
        <v>46112</v>
      </c>
      <c r="E2238" s="11" t="s">
        <v>6</v>
      </c>
      <c r="F2238" s="11" t="s">
        <v>830</v>
      </c>
      <c r="G2238" s="11" t="s">
        <v>4225</v>
      </c>
      <c r="H2238" s="11" t="s">
        <v>4226</v>
      </c>
      <c r="I2238" s="11" t="s">
        <v>49</v>
      </c>
      <c r="J2238" s="11">
        <v>-291</v>
      </c>
      <c r="K2238" s="11"/>
      <c r="L2238" s="11">
        <v>291</v>
      </c>
      <c r="M2238" s="14">
        <v>-291</v>
      </c>
      <c r="N2238" s="11" t="s">
        <v>4227</v>
      </c>
      <c r="O2238" s="11" t="s">
        <v>234</v>
      </c>
    </row>
    <row r="2239" spans="1:15" s="13" customFormat="1" ht="19.5" customHeight="1" x14ac:dyDescent="0.25">
      <c r="A2239" s="11" t="s">
        <v>4228</v>
      </c>
      <c r="B2239" s="11" t="s">
        <v>4226</v>
      </c>
      <c r="C2239" s="12">
        <v>46041</v>
      </c>
      <c r="D2239" s="12">
        <v>46041</v>
      </c>
      <c r="E2239" s="11" t="s">
        <v>6</v>
      </c>
      <c r="F2239" s="11" t="s">
        <v>830</v>
      </c>
      <c r="G2239" s="11" t="s">
        <v>4226</v>
      </c>
      <c r="H2239" s="11" t="s">
        <v>4229</v>
      </c>
      <c r="I2239" s="11" t="s">
        <v>49</v>
      </c>
      <c r="J2239" s="11">
        <v>291</v>
      </c>
      <c r="K2239" s="11">
        <v>291</v>
      </c>
      <c r="L2239" s="11"/>
      <c r="M2239" s="14">
        <v>291</v>
      </c>
      <c r="N2239" s="11" t="s">
        <v>4227</v>
      </c>
      <c r="O2239" s="11" t="s">
        <v>50</v>
      </c>
    </row>
    <row r="2240" spans="1:15" s="13" customFormat="1" ht="19.5" customHeight="1" x14ac:dyDescent="0.25">
      <c r="A2240" s="11" t="s">
        <v>4230</v>
      </c>
      <c r="B2240" s="11" t="s">
        <v>4231</v>
      </c>
      <c r="C2240" s="12">
        <v>46112</v>
      </c>
      <c r="D2240" s="11"/>
      <c r="E2240" s="11" t="s">
        <v>6</v>
      </c>
      <c r="F2240" s="11" t="s">
        <v>4232</v>
      </c>
      <c r="G2240" s="11" t="s">
        <v>4233</v>
      </c>
      <c r="H2240" s="11" t="s">
        <v>4233</v>
      </c>
      <c r="I2240" s="11" t="s">
        <v>49</v>
      </c>
      <c r="J2240" s="11">
        <v>-53.91</v>
      </c>
      <c r="K2240" s="11"/>
      <c r="L2240" s="11">
        <v>53.91</v>
      </c>
      <c r="M2240" s="14">
        <v>-53.91</v>
      </c>
      <c r="N2240" s="11" t="s">
        <v>4234</v>
      </c>
      <c r="O2240" s="11" t="s">
        <v>234</v>
      </c>
    </row>
    <row r="2241" spans="1:15" s="13" customFormat="1" ht="19.5" customHeight="1" x14ac:dyDescent="0.25">
      <c r="A2241" s="11" t="s">
        <v>4230</v>
      </c>
      <c r="B2241" s="11" t="s">
        <v>4231</v>
      </c>
      <c r="C2241" s="12">
        <v>46112</v>
      </c>
      <c r="D2241" s="11"/>
      <c r="E2241" s="11" t="s">
        <v>6</v>
      </c>
      <c r="F2241" s="11" t="s">
        <v>1032</v>
      </c>
      <c r="G2241" s="11" t="s">
        <v>4233</v>
      </c>
      <c r="H2241" s="11" t="s">
        <v>4233</v>
      </c>
      <c r="I2241" s="11" t="s">
        <v>49</v>
      </c>
      <c r="J2241" s="11">
        <v>-384.2</v>
      </c>
      <c r="K2241" s="11"/>
      <c r="L2241" s="11">
        <v>384.2</v>
      </c>
      <c r="M2241" s="14">
        <v>-384.2</v>
      </c>
      <c r="N2241" s="11" t="s">
        <v>4234</v>
      </c>
      <c r="O2241" s="11" t="s">
        <v>234</v>
      </c>
    </row>
    <row r="2242" spans="1:15" s="13" customFormat="1" ht="19.5" customHeight="1" x14ac:dyDescent="0.25">
      <c r="A2242" s="11" t="s">
        <v>4230</v>
      </c>
      <c r="B2242" s="11" t="s">
        <v>4231</v>
      </c>
      <c r="C2242" s="12">
        <v>46112</v>
      </c>
      <c r="D2242" s="11"/>
      <c r="E2242" s="11" t="s">
        <v>6</v>
      </c>
      <c r="F2242" s="11" t="s">
        <v>4235</v>
      </c>
      <c r="G2242" s="11" t="s">
        <v>4233</v>
      </c>
      <c r="H2242" s="11" t="s">
        <v>4233</v>
      </c>
      <c r="I2242" s="11" t="s">
        <v>49</v>
      </c>
      <c r="J2242" s="11">
        <v>-75.5</v>
      </c>
      <c r="K2242" s="11"/>
      <c r="L2242" s="11">
        <v>75.5</v>
      </c>
      <c r="M2242" s="14">
        <v>-75.5</v>
      </c>
      <c r="N2242" s="11" t="s">
        <v>4234</v>
      </c>
      <c r="O2242" s="11" t="s">
        <v>234</v>
      </c>
    </row>
    <row r="2243" spans="1:15" s="13" customFormat="1" ht="19.5" customHeight="1" x14ac:dyDescent="0.25">
      <c r="A2243" s="11" t="s">
        <v>4230</v>
      </c>
      <c r="B2243" s="11" t="s">
        <v>4231</v>
      </c>
      <c r="C2243" s="12">
        <v>46112</v>
      </c>
      <c r="D2243" s="11"/>
      <c r="E2243" s="11" t="s">
        <v>6</v>
      </c>
      <c r="F2243" s="11" t="s">
        <v>4236</v>
      </c>
      <c r="G2243" s="11" t="s">
        <v>4233</v>
      </c>
      <c r="H2243" s="11" t="s">
        <v>4233</v>
      </c>
      <c r="I2243" s="11" t="s">
        <v>49</v>
      </c>
      <c r="J2243" s="11">
        <v>-326.89</v>
      </c>
      <c r="K2243" s="11"/>
      <c r="L2243" s="11">
        <v>326.89</v>
      </c>
      <c r="M2243" s="14">
        <v>-326.89</v>
      </c>
      <c r="N2243" s="11" t="s">
        <v>4234</v>
      </c>
      <c r="O2243" s="11" t="s">
        <v>234</v>
      </c>
    </row>
    <row r="2244" spans="1:15" s="13" customFormat="1" ht="19.5" customHeight="1" x14ac:dyDescent="0.25">
      <c r="A2244" s="11" t="s">
        <v>4230</v>
      </c>
      <c r="B2244" s="11" t="s">
        <v>4231</v>
      </c>
      <c r="C2244" s="12">
        <v>46112</v>
      </c>
      <c r="D2244" s="11"/>
      <c r="E2244" s="11" t="s">
        <v>6</v>
      </c>
      <c r="F2244" s="11" t="s">
        <v>4237</v>
      </c>
      <c r="G2244" s="11" t="s">
        <v>4233</v>
      </c>
      <c r="H2244" s="11" t="s">
        <v>4233</v>
      </c>
      <c r="I2244" s="11" t="s">
        <v>49</v>
      </c>
      <c r="J2244" s="11">
        <v>-81.52</v>
      </c>
      <c r="K2244" s="11"/>
      <c r="L2244" s="11">
        <v>81.52</v>
      </c>
      <c r="M2244" s="14">
        <v>-81.52</v>
      </c>
      <c r="N2244" s="11" t="s">
        <v>4234</v>
      </c>
      <c r="O2244" s="11" t="s">
        <v>234</v>
      </c>
    </row>
    <row r="2245" spans="1:15" s="13" customFormat="1" ht="19.5" customHeight="1" x14ac:dyDescent="0.25">
      <c r="A2245" s="11" t="s">
        <v>4230</v>
      </c>
      <c r="B2245" s="11" t="s">
        <v>4231</v>
      </c>
      <c r="C2245" s="12">
        <v>46112</v>
      </c>
      <c r="D2245" s="11"/>
      <c r="E2245" s="11" t="s">
        <v>6</v>
      </c>
      <c r="F2245" s="11" t="s">
        <v>4238</v>
      </c>
      <c r="G2245" s="11" t="s">
        <v>4233</v>
      </c>
      <c r="H2245" s="11" t="s">
        <v>4233</v>
      </c>
      <c r="I2245" s="11" t="s">
        <v>49</v>
      </c>
      <c r="J2245" s="11">
        <v>-75.5</v>
      </c>
      <c r="K2245" s="11"/>
      <c r="L2245" s="11">
        <v>75.5</v>
      </c>
      <c r="M2245" s="14">
        <v>-75.5</v>
      </c>
      <c r="N2245" s="11" t="s">
        <v>4234</v>
      </c>
      <c r="O2245" s="11" t="s">
        <v>234</v>
      </c>
    </row>
    <row r="2246" spans="1:15" s="13" customFormat="1" ht="19.5" customHeight="1" x14ac:dyDescent="0.25">
      <c r="A2246" s="11" t="s">
        <v>4239</v>
      </c>
      <c r="B2246" s="11" t="s">
        <v>4240</v>
      </c>
      <c r="C2246" s="12">
        <v>46048</v>
      </c>
      <c r="D2246" s="12">
        <v>46048</v>
      </c>
      <c r="E2246" s="11" t="s">
        <v>6</v>
      </c>
      <c r="F2246" s="11" t="s">
        <v>4232</v>
      </c>
      <c r="G2246" s="11" t="s">
        <v>4240</v>
      </c>
      <c r="H2246" s="11" t="s">
        <v>4241</v>
      </c>
      <c r="I2246" s="11" t="s">
        <v>49</v>
      </c>
      <c r="J2246" s="11">
        <v>53.91</v>
      </c>
      <c r="K2246" s="11">
        <v>53.91</v>
      </c>
      <c r="L2246" s="11"/>
      <c r="M2246" s="14">
        <v>53.91</v>
      </c>
      <c r="N2246" s="11" t="s">
        <v>4234</v>
      </c>
      <c r="O2246" s="11" t="s">
        <v>50</v>
      </c>
    </row>
    <row r="2247" spans="1:15" s="13" customFormat="1" ht="19.5" customHeight="1" x14ac:dyDescent="0.25">
      <c r="A2247" s="11" t="s">
        <v>4242</v>
      </c>
      <c r="B2247" s="11" t="s">
        <v>4243</v>
      </c>
      <c r="C2247" s="12">
        <v>46048</v>
      </c>
      <c r="D2247" s="12">
        <v>46048</v>
      </c>
      <c r="E2247" s="11" t="s">
        <v>6</v>
      </c>
      <c r="F2247" s="11" t="s">
        <v>1032</v>
      </c>
      <c r="G2247" s="11" t="s">
        <v>4243</v>
      </c>
      <c r="H2247" s="11" t="s">
        <v>4244</v>
      </c>
      <c r="I2247" s="11" t="s">
        <v>49</v>
      </c>
      <c r="J2247" s="11">
        <v>384.2</v>
      </c>
      <c r="K2247" s="11">
        <v>384.2</v>
      </c>
      <c r="L2247" s="11"/>
      <c r="M2247" s="14">
        <v>384.2</v>
      </c>
      <c r="N2247" s="11" t="s">
        <v>4234</v>
      </c>
      <c r="O2247" s="11" t="s">
        <v>50</v>
      </c>
    </row>
    <row r="2248" spans="1:15" s="13" customFormat="1" ht="19.5" customHeight="1" x14ac:dyDescent="0.25">
      <c r="A2248" s="11" t="s">
        <v>4245</v>
      </c>
      <c r="B2248" s="11" t="s">
        <v>4245</v>
      </c>
      <c r="C2248" s="12">
        <v>46048</v>
      </c>
      <c r="D2248" s="12">
        <v>46048</v>
      </c>
      <c r="E2248" s="11" t="s">
        <v>6</v>
      </c>
      <c r="F2248" s="11" t="s">
        <v>4235</v>
      </c>
      <c r="G2248" s="11" t="s">
        <v>4245</v>
      </c>
      <c r="H2248" s="11"/>
      <c r="I2248" s="11" t="s">
        <v>49</v>
      </c>
      <c r="J2248" s="11">
        <v>75.5</v>
      </c>
      <c r="K2248" s="11">
        <v>75.5</v>
      </c>
      <c r="L2248" s="11"/>
      <c r="M2248" s="14">
        <v>75.5</v>
      </c>
      <c r="N2248" s="11" t="s">
        <v>4234</v>
      </c>
      <c r="O2248" s="11" t="s">
        <v>50</v>
      </c>
    </row>
    <row r="2249" spans="1:15" s="13" customFormat="1" ht="19.5" customHeight="1" x14ac:dyDescent="0.25">
      <c r="A2249" s="11" t="s">
        <v>4246</v>
      </c>
      <c r="B2249" s="11" t="s">
        <v>4247</v>
      </c>
      <c r="C2249" s="12">
        <v>46048</v>
      </c>
      <c r="D2249" s="12">
        <v>46048</v>
      </c>
      <c r="E2249" s="11" t="s">
        <v>6</v>
      </c>
      <c r="F2249" s="11" t="s">
        <v>4236</v>
      </c>
      <c r="G2249" s="11" t="s">
        <v>4247</v>
      </c>
      <c r="H2249" s="11" t="s">
        <v>4248</v>
      </c>
      <c r="I2249" s="11" t="s">
        <v>49</v>
      </c>
      <c r="J2249" s="11">
        <v>326.89</v>
      </c>
      <c r="K2249" s="11">
        <v>326.89</v>
      </c>
      <c r="L2249" s="11"/>
      <c r="M2249" s="14">
        <v>326.89</v>
      </c>
      <c r="N2249" s="11" t="s">
        <v>4234</v>
      </c>
      <c r="O2249" s="11" t="s">
        <v>50</v>
      </c>
    </row>
    <row r="2250" spans="1:15" s="13" customFormat="1" ht="19.5" customHeight="1" x14ac:dyDescent="0.25">
      <c r="A2250" s="11" t="s">
        <v>4249</v>
      </c>
      <c r="B2250" s="11" t="s">
        <v>4249</v>
      </c>
      <c r="C2250" s="12">
        <v>46048</v>
      </c>
      <c r="D2250" s="12">
        <v>46048</v>
      </c>
      <c r="E2250" s="11" t="s">
        <v>6</v>
      </c>
      <c r="F2250" s="11" t="s">
        <v>4237</v>
      </c>
      <c r="G2250" s="11" t="s">
        <v>4249</v>
      </c>
      <c r="H2250" s="11"/>
      <c r="I2250" s="11" t="s">
        <v>49</v>
      </c>
      <c r="J2250" s="11">
        <v>81.52</v>
      </c>
      <c r="K2250" s="11">
        <v>81.52</v>
      </c>
      <c r="L2250" s="11"/>
      <c r="M2250" s="14">
        <v>81.52</v>
      </c>
      <c r="N2250" s="11" t="s">
        <v>4234</v>
      </c>
      <c r="O2250" s="11" t="s">
        <v>50</v>
      </c>
    </row>
    <row r="2251" spans="1:15" s="13" customFormat="1" ht="19.5" customHeight="1" x14ac:dyDescent="0.25">
      <c r="A2251" s="11" t="s">
        <v>4250</v>
      </c>
      <c r="B2251" s="11" t="s">
        <v>4250</v>
      </c>
      <c r="C2251" s="12">
        <v>46048</v>
      </c>
      <c r="D2251" s="12">
        <v>46048</v>
      </c>
      <c r="E2251" s="11" t="s">
        <v>6</v>
      </c>
      <c r="F2251" s="11" t="s">
        <v>4238</v>
      </c>
      <c r="G2251" s="11" t="s">
        <v>4250</v>
      </c>
      <c r="H2251" s="11"/>
      <c r="I2251" s="11" t="s">
        <v>49</v>
      </c>
      <c r="J2251" s="11">
        <v>75.5</v>
      </c>
      <c r="K2251" s="11">
        <v>75.5</v>
      </c>
      <c r="L2251" s="11"/>
      <c r="M2251" s="14">
        <v>75.5</v>
      </c>
      <c r="N2251" s="11" t="s">
        <v>4234</v>
      </c>
      <c r="O2251" s="11" t="s">
        <v>50</v>
      </c>
    </row>
    <row r="2252" spans="1:15" s="13" customFormat="1" ht="19.5" customHeight="1" x14ac:dyDescent="0.25">
      <c r="A2252" s="11" t="s">
        <v>4251</v>
      </c>
      <c r="B2252" s="11" t="s">
        <v>4252</v>
      </c>
      <c r="C2252" s="12">
        <v>46112</v>
      </c>
      <c r="D2252" s="12">
        <v>46112</v>
      </c>
      <c r="E2252" s="11" t="s">
        <v>6</v>
      </c>
      <c r="F2252" s="11" t="s">
        <v>4253</v>
      </c>
      <c r="G2252" s="11" t="s">
        <v>4254</v>
      </c>
      <c r="H2252" s="11" t="s">
        <v>4255</v>
      </c>
      <c r="I2252" s="11" t="s">
        <v>49</v>
      </c>
      <c r="J2252" s="11">
        <v>-68.67</v>
      </c>
      <c r="K2252" s="11"/>
      <c r="L2252" s="11">
        <v>68.67</v>
      </c>
      <c r="M2252" s="14">
        <v>-68.67</v>
      </c>
      <c r="N2252" s="11" t="s">
        <v>4256</v>
      </c>
      <c r="O2252" s="11" t="s">
        <v>234</v>
      </c>
    </row>
    <row r="2253" spans="1:15" s="13" customFormat="1" ht="19.5" customHeight="1" x14ac:dyDescent="0.25">
      <c r="A2253" s="11" t="s">
        <v>4230</v>
      </c>
      <c r="B2253" s="11" t="s">
        <v>4231</v>
      </c>
      <c r="C2253" s="12">
        <v>46112</v>
      </c>
      <c r="D2253" s="11"/>
      <c r="E2253" s="11" t="s">
        <v>6</v>
      </c>
      <c r="F2253" s="11" t="s">
        <v>4253</v>
      </c>
      <c r="G2253" s="11" t="s">
        <v>4233</v>
      </c>
      <c r="H2253" s="11" t="s">
        <v>4233</v>
      </c>
      <c r="I2253" s="11" t="s">
        <v>49</v>
      </c>
      <c r="J2253" s="11">
        <v>-106.38</v>
      </c>
      <c r="K2253" s="11"/>
      <c r="L2253" s="11">
        <v>106.38</v>
      </c>
      <c r="M2253" s="14">
        <v>-106.38</v>
      </c>
      <c r="N2253" s="11" t="s">
        <v>4256</v>
      </c>
      <c r="O2253" s="11" t="s">
        <v>234</v>
      </c>
    </row>
    <row r="2254" spans="1:15" s="13" customFormat="1" ht="19.5" customHeight="1" x14ac:dyDescent="0.25">
      <c r="A2254" s="11" t="s">
        <v>4257</v>
      </c>
      <c r="B2254" s="11" t="s">
        <v>4255</v>
      </c>
      <c r="C2254" s="12">
        <v>46048</v>
      </c>
      <c r="D2254" s="12">
        <v>46048</v>
      </c>
      <c r="E2254" s="11" t="s">
        <v>6</v>
      </c>
      <c r="F2254" s="11" t="s">
        <v>4253</v>
      </c>
      <c r="G2254" s="11" t="s">
        <v>4255</v>
      </c>
      <c r="H2254" s="11" t="s">
        <v>4258</v>
      </c>
      <c r="I2254" s="11" t="s">
        <v>49</v>
      </c>
      <c r="J2254" s="11">
        <v>175.05</v>
      </c>
      <c r="K2254" s="11">
        <v>175.05</v>
      </c>
      <c r="L2254" s="11"/>
      <c r="M2254" s="14">
        <v>175.05</v>
      </c>
      <c r="N2254" s="11" t="s">
        <v>4256</v>
      </c>
      <c r="O2254" s="11" t="s">
        <v>50</v>
      </c>
    </row>
    <row r="2255" spans="1:15" s="13" customFormat="1" ht="19.5" customHeight="1" x14ac:dyDescent="0.25">
      <c r="A2255" s="11" t="s">
        <v>4259</v>
      </c>
      <c r="B2255" s="11" t="s">
        <v>4260</v>
      </c>
      <c r="C2255" s="12">
        <v>46112</v>
      </c>
      <c r="D2255" s="12">
        <v>46112</v>
      </c>
      <c r="E2255" s="11" t="s">
        <v>6</v>
      </c>
      <c r="F2255" s="11" t="s">
        <v>4261</v>
      </c>
      <c r="G2255" s="11" t="s">
        <v>4262</v>
      </c>
      <c r="H2255" s="11" t="s">
        <v>4263</v>
      </c>
      <c r="I2255" s="11" t="s">
        <v>49</v>
      </c>
      <c r="J2255" s="11">
        <v>-229.43</v>
      </c>
      <c r="K2255" s="11"/>
      <c r="L2255" s="11">
        <v>229.43</v>
      </c>
      <c r="M2255" s="14">
        <v>-229.43</v>
      </c>
      <c r="N2255" s="11" t="s">
        <v>4264</v>
      </c>
      <c r="O2255" s="11" t="s">
        <v>234</v>
      </c>
    </row>
    <row r="2256" spans="1:15" s="13" customFormat="1" ht="19.5" customHeight="1" x14ac:dyDescent="0.25">
      <c r="A2256" s="11" t="s">
        <v>4265</v>
      </c>
      <c r="B2256" s="11" t="s">
        <v>4263</v>
      </c>
      <c r="C2256" s="12">
        <v>46048</v>
      </c>
      <c r="D2256" s="12">
        <v>46048</v>
      </c>
      <c r="E2256" s="11" t="s">
        <v>6</v>
      </c>
      <c r="F2256" s="11" t="s">
        <v>4261</v>
      </c>
      <c r="G2256" s="11" t="s">
        <v>4263</v>
      </c>
      <c r="H2256" s="11" t="s">
        <v>4266</v>
      </c>
      <c r="I2256" s="11" t="s">
        <v>49</v>
      </c>
      <c r="J2256" s="11">
        <v>229.43</v>
      </c>
      <c r="K2256" s="11">
        <v>229.43</v>
      </c>
      <c r="L2256" s="11"/>
      <c r="M2256" s="14">
        <v>229.43</v>
      </c>
      <c r="N2256" s="11" t="s">
        <v>4264</v>
      </c>
      <c r="O2256" s="11" t="s">
        <v>50</v>
      </c>
    </row>
    <row r="2257" spans="1:15" s="13" customFormat="1" ht="19.5" customHeight="1" x14ac:dyDescent="0.25">
      <c r="A2257" s="11" t="s">
        <v>4267</v>
      </c>
      <c r="B2257" s="11" t="s">
        <v>4268</v>
      </c>
      <c r="C2257" s="12">
        <v>46112</v>
      </c>
      <c r="D2257" s="12">
        <v>46112</v>
      </c>
      <c r="E2257" s="11" t="s">
        <v>6</v>
      </c>
      <c r="F2257" s="11" t="s">
        <v>4269</v>
      </c>
      <c r="G2257" s="11" t="s">
        <v>4270</v>
      </c>
      <c r="H2257" s="11" t="s">
        <v>4271</v>
      </c>
      <c r="I2257" s="11" t="s">
        <v>49</v>
      </c>
      <c r="J2257" s="11">
        <v>-75.5</v>
      </c>
      <c r="K2257" s="11"/>
      <c r="L2257" s="11">
        <v>75.5</v>
      </c>
      <c r="M2257" s="14">
        <v>-75.5</v>
      </c>
      <c r="N2257" s="11" t="s">
        <v>4272</v>
      </c>
      <c r="O2257" s="11" t="s">
        <v>234</v>
      </c>
    </row>
    <row r="2258" spans="1:15" s="13" customFormat="1" ht="19.5" customHeight="1" x14ac:dyDescent="0.25">
      <c r="A2258" s="11" t="s">
        <v>4273</v>
      </c>
      <c r="B2258" s="11" t="s">
        <v>4271</v>
      </c>
      <c r="C2258" s="12">
        <v>46049</v>
      </c>
      <c r="D2258" s="12">
        <v>46049</v>
      </c>
      <c r="E2258" s="11" t="s">
        <v>6</v>
      </c>
      <c r="F2258" s="11" t="s">
        <v>4269</v>
      </c>
      <c r="G2258" s="11" t="s">
        <v>4271</v>
      </c>
      <c r="H2258" s="11" t="s">
        <v>4274</v>
      </c>
      <c r="I2258" s="11" t="s">
        <v>49</v>
      </c>
      <c r="J2258" s="11">
        <v>75.5</v>
      </c>
      <c r="K2258" s="11">
        <v>75.5</v>
      </c>
      <c r="L2258" s="11"/>
      <c r="M2258" s="14">
        <v>75.5</v>
      </c>
      <c r="N2258" s="11" t="s">
        <v>4272</v>
      </c>
      <c r="O2258" s="11" t="s">
        <v>50</v>
      </c>
    </row>
    <row r="2259" spans="1:15" s="13" customFormat="1" ht="19.5" customHeight="1" x14ac:dyDescent="0.25">
      <c r="A2259" s="11" t="s">
        <v>4275</v>
      </c>
      <c r="B2259" s="11" t="s">
        <v>4276</v>
      </c>
      <c r="C2259" s="12">
        <v>46112</v>
      </c>
      <c r="D2259" s="12">
        <v>46112</v>
      </c>
      <c r="E2259" s="11" t="s">
        <v>6</v>
      </c>
      <c r="F2259" s="11" t="s">
        <v>4277</v>
      </c>
      <c r="G2259" s="11" t="s">
        <v>4278</v>
      </c>
      <c r="H2259" s="11" t="s">
        <v>4279</v>
      </c>
      <c r="I2259" s="11" t="s">
        <v>49</v>
      </c>
      <c r="J2259" s="11">
        <v>-91.26</v>
      </c>
      <c r="K2259" s="11"/>
      <c r="L2259" s="11">
        <v>91.26</v>
      </c>
      <c r="M2259" s="14">
        <v>-91.26</v>
      </c>
      <c r="N2259" s="11" t="s">
        <v>4280</v>
      </c>
      <c r="O2259" s="11" t="s">
        <v>234</v>
      </c>
    </row>
    <row r="2260" spans="1:15" s="13" customFormat="1" ht="19.5" customHeight="1" x14ac:dyDescent="0.25">
      <c r="A2260" s="11" t="s">
        <v>4281</v>
      </c>
      <c r="B2260" s="11" t="s">
        <v>4279</v>
      </c>
      <c r="C2260" s="12">
        <v>46049</v>
      </c>
      <c r="D2260" s="12">
        <v>46049</v>
      </c>
      <c r="E2260" s="11" t="s">
        <v>6</v>
      </c>
      <c r="F2260" s="11" t="s">
        <v>4277</v>
      </c>
      <c r="G2260" s="11" t="s">
        <v>4279</v>
      </c>
      <c r="H2260" s="11" t="s">
        <v>4282</v>
      </c>
      <c r="I2260" s="11" t="s">
        <v>49</v>
      </c>
      <c r="J2260" s="11">
        <v>91.26</v>
      </c>
      <c r="K2260" s="11">
        <v>91.26</v>
      </c>
      <c r="L2260" s="11"/>
      <c r="M2260" s="14">
        <v>91.26</v>
      </c>
      <c r="N2260" s="11" t="s">
        <v>4280</v>
      </c>
      <c r="O2260" s="11" t="s">
        <v>50</v>
      </c>
    </row>
    <row r="2261" spans="1:15" s="13" customFormat="1" ht="19.5" customHeight="1" x14ac:dyDescent="0.25">
      <c r="A2261" s="11" t="s">
        <v>4283</v>
      </c>
      <c r="B2261" s="11" t="s">
        <v>4284</v>
      </c>
      <c r="C2261" s="12">
        <v>46112</v>
      </c>
      <c r="D2261" s="12">
        <v>46112</v>
      </c>
      <c r="E2261" s="11" t="s">
        <v>6</v>
      </c>
      <c r="F2261" s="11" t="s">
        <v>658</v>
      </c>
      <c r="G2261" s="11" t="s">
        <v>4285</v>
      </c>
      <c r="H2261" s="11" t="s">
        <v>4286</v>
      </c>
      <c r="I2261" s="11" t="s">
        <v>49</v>
      </c>
      <c r="J2261" s="11">
        <v>-172.14</v>
      </c>
      <c r="K2261" s="11"/>
      <c r="L2261" s="11">
        <v>172.14</v>
      </c>
      <c r="M2261" s="14">
        <v>-172.14</v>
      </c>
      <c r="N2261" s="11" t="s">
        <v>4287</v>
      </c>
      <c r="O2261" s="11" t="s">
        <v>234</v>
      </c>
    </row>
    <row r="2262" spans="1:15" s="13" customFormat="1" ht="19.5" customHeight="1" x14ac:dyDescent="0.25">
      <c r="A2262" s="11" t="s">
        <v>4288</v>
      </c>
      <c r="B2262" s="11" t="s">
        <v>4286</v>
      </c>
      <c r="C2262" s="12">
        <v>46051</v>
      </c>
      <c r="D2262" s="12">
        <v>46051</v>
      </c>
      <c r="E2262" s="11" t="s">
        <v>6</v>
      </c>
      <c r="F2262" s="11" t="s">
        <v>658</v>
      </c>
      <c r="G2262" s="11" t="s">
        <v>4286</v>
      </c>
      <c r="H2262" s="11" t="s">
        <v>4289</v>
      </c>
      <c r="I2262" s="11" t="s">
        <v>49</v>
      </c>
      <c r="J2262" s="11">
        <v>172.14</v>
      </c>
      <c r="K2262" s="11">
        <v>172.14</v>
      </c>
      <c r="L2262" s="11"/>
      <c r="M2262" s="14">
        <v>172.14</v>
      </c>
      <c r="N2262" s="11" t="s">
        <v>4287</v>
      </c>
      <c r="O2262" s="11" t="s">
        <v>50</v>
      </c>
    </row>
    <row r="2263" spans="1:15" s="13" customFormat="1" ht="19.5" customHeight="1" x14ac:dyDescent="0.25">
      <c r="A2263" s="11" t="s">
        <v>4290</v>
      </c>
      <c r="B2263" s="11" t="s">
        <v>4291</v>
      </c>
      <c r="C2263" s="12">
        <v>46112</v>
      </c>
      <c r="D2263" s="12">
        <v>46112</v>
      </c>
      <c r="E2263" s="11" t="s">
        <v>6</v>
      </c>
      <c r="F2263" s="11" t="s">
        <v>137</v>
      </c>
      <c r="G2263" s="11" t="s">
        <v>4292</v>
      </c>
      <c r="H2263" s="11" t="s">
        <v>4293</v>
      </c>
      <c r="I2263" s="11" t="s">
        <v>49</v>
      </c>
      <c r="J2263" s="11">
        <v>-251.94</v>
      </c>
      <c r="K2263" s="11"/>
      <c r="L2263" s="11">
        <v>251.94</v>
      </c>
      <c r="M2263" s="14">
        <v>-251.94</v>
      </c>
      <c r="N2263" s="11" t="s">
        <v>4294</v>
      </c>
      <c r="O2263" s="11" t="s">
        <v>234</v>
      </c>
    </row>
    <row r="2264" spans="1:15" s="13" customFormat="1" ht="19.5" customHeight="1" x14ac:dyDescent="0.25">
      <c r="A2264" s="11" t="s">
        <v>4295</v>
      </c>
      <c r="B2264" s="11" t="s">
        <v>4293</v>
      </c>
      <c r="C2264" s="12">
        <v>46052</v>
      </c>
      <c r="D2264" s="12">
        <v>46052</v>
      </c>
      <c r="E2264" s="11" t="s">
        <v>6</v>
      </c>
      <c r="F2264" s="11" t="s">
        <v>137</v>
      </c>
      <c r="G2264" s="11" t="s">
        <v>4293</v>
      </c>
      <c r="H2264" s="11" t="s">
        <v>4296</v>
      </c>
      <c r="I2264" s="11" t="s">
        <v>49</v>
      </c>
      <c r="J2264" s="11">
        <v>251.94</v>
      </c>
      <c r="K2264" s="11">
        <v>251.94</v>
      </c>
      <c r="L2264" s="11"/>
      <c r="M2264" s="14">
        <v>251.94</v>
      </c>
      <c r="N2264" s="11" t="s">
        <v>4294</v>
      </c>
      <c r="O2264" s="11" t="s">
        <v>50</v>
      </c>
    </row>
    <row r="2265" spans="1:15" s="13" customFormat="1" ht="19.5" customHeight="1" x14ac:dyDescent="0.25">
      <c r="A2265" s="11" t="s">
        <v>4297</v>
      </c>
      <c r="B2265" s="11" t="s">
        <v>4298</v>
      </c>
      <c r="C2265" s="12">
        <v>46112</v>
      </c>
      <c r="D2265" s="12">
        <v>46112</v>
      </c>
      <c r="E2265" s="11" t="s">
        <v>6</v>
      </c>
      <c r="F2265" s="11" t="s">
        <v>4299</v>
      </c>
      <c r="G2265" s="11" t="s">
        <v>4300</v>
      </c>
      <c r="H2265" s="11" t="s">
        <v>4301</v>
      </c>
      <c r="I2265" s="11" t="s">
        <v>49</v>
      </c>
      <c r="J2265" s="11">
        <v>-81.52</v>
      </c>
      <c r="K2265" s="11"/>
      <c r="L2265" s="11">
        <v>81.52</v>
      </c>
      <c r="M2265" s="14">
        <v>-81.52</v>
      </c>
      <c r="N2265" s="11" t="s">
        <v>4302</v>
      </c>
      <c r="O2265" s="11" t="s">
        <v>234</v>
      </c>
    </row>
    <row r="2266" spans="1:15" s="13" customFormat="1" ht="19.5" customHeight="1" x14ac:dyDescent="0.25">
      <c r="A2266" s="11" t="s">
        <v>4303</v>
      </c>
      <c r="B2266" s="11" t="s">
        <v>4301</v>
      </c>
      <c r="C2266" s="12">
        <v>46052</v>
      </c>
      <c r="D2266" s="12">
        <v>46052</v>
      </c>
      <c r="E2266" s="11" t="s">
        <v>6</v>
      </c>
      <c r="F2266" s="11" t="s">
        <v>4299</v>
      </c>
      <c r="G2266" s="11" t="s">
        <v>4301</v>
      </c>
      <c r="H2266" s="11" t="s">
        <v>4304</v>
      </c>
      <c r="I2266" s="11" t="s">
        <v>49</v>
      </c>
      <c r="J2266" s="11">
        <v>81.52</v>
      </c>
      <c r="K2266" s="11">
        <v>81.52</v>
      </c>
      <c r="L2266" s="11"/>
      <c r="M2266" s="14">
        <v>81.52</v>
      </c>
      <c r="N2266" s="11" t="s">
        <v>4302</v>
      </c>
      <c r="O2266" s="11" t="s">
        <v>50</v>
      </c>
    </row>
    <row r="2267" spans="1:15" s="13" customFormat="1" ht="19.5" customHeight="1" x14ac:dyDescent="0.25">
      <c r="A2267" s="11" t="s">
        <v>4305</v>
      </c>
      <c r="B2267" s="11" t="s">
        <v>4306</v>
      </c>
      <c r="C2267" s="12">
        <v>46112</v>
      </c>
      <c r="D2267" s="12">
        <v>46112</v>
      </c>
      <c r="E2267" s="11" t="s">
        <v>6</v>
      </c>
      <c r="F2267" s="11" t="s">
        <v>4307</v>
      </c>
      <c r="G2267" s="11" t="s">
        <v>4308</v>
      </c>
      <c r="H2267" s="11" t="s">
        <v>4309</v>
      </c>
      <c r="I2267" s="11" t="s">
        <v>49</v>
      </c>
      <c r="J2267" s="11">
        <v>-69.290000000000006</v>
      </c>
      <c r="K2267" s="11"/>
      <c r="L2267" s="11">
        <v>69.290000000000006</v>
      </c>
      <c r="M2267" s="14">
        <v>-69.290000000000006</v>
      </c>
      <c r="N2267" s="11" t="s">
        <v>4310</v>
      </c>
      <c r="O2267" s="11" t="s">
        <v>234</v>
      </c>
    </row>
    <row r="2268" spans="1:15" s="13" customFormat="1" ht="19.5" customHeight="1" x14ac:dyDescent="0.25">
      <c r="A2268" s="11" t="s">
        <v>4311</v>
      </c>
      <c r="B2268" s="11" t="s">
        <v>4309</v>
      </c>
      <c r="C2268" s="12">
        <v>46052</v>
      </c>
      <c r="D2268" s="12">
        <v>46052</v>
      </c>
      <c r="E2268" s="11" t="s">
        <v>6</v>
      </c>
      <c r="F2268" s="11" t="s">
        <v>4307</v>
      </c>
      <c r="G2268" s="11" t="s">
        <v>4309</v>
      </c>
      <c r="H2268" s="11" t="s">
        <v>4312</v>
      </c>
      <c r="I2268" s="11" t="s">
        <v>49</v>
      </c>
      <c r="J2268" s="11">
        <v>69.290000000000006</v>
      </c>
      <c r="K2268" s="11">
        <v>69.290000000000006</v>
      </c>
      <c r="L2268" s="11"/>
      <c r="M2268" s="14">
        <v>69.290000000000006</v>
      </c>
      <c r="N2268" s="11" t="s">
        <v>4310</v>
      </c>
      <c r="O2268" s="11" t="s">
        <v>50</v>
      </c>
    </row>
    <row r="2269" spans="1:15" s="13" customFormat="1" ht="19.5" customHeight="1" x14ac:dyDescent="0.25">
      <c r="A2269" s="11" t="s">
        <v>4313</v>
      </c>
      <c r="B2269" s="11" t="s">
        <v>4314</v>
      </c>
      <c r="C2269" s="12">
        <v>46112</v>
      </c>
      <c r="D2269" s="12">
        <v>46112</v>
      </c>
      <c r="E2269" s="11" t="s">
        <v>6</v>
      </c>
      <c r="F2269" s="11" t="s">
        <v>1580</v>
      </c>
      <c r="G2269" s="11" t="s">
        <v>4315</v>
      </c>
      <c r="H2269" s="11" t="s">
        <v>4316</v>
      </c>
      <c r="I2269" s="11" t="s">
        <v>49</v>
      </c>
      <c r="J2269" s="11">
        <v>-516.78</v>
      </c>
      <c r="K2269" s="11"/>
      <c r="L2269" s="11">
        <v>516.78</v>
      </c>
      <c r="M2269" s="14">
        <v>-516.78</v>
      </c>
      <c r="N2269" s="11" t="s">
        <v>4317</v>
      </c>
      <c r="O2269" s="11" t="s">
        <v>234</v>
      </c>
    </row>
    <row r="2270" spans="1:15" s="13" customFormat="1" ht="19.5" customHeight="1" x14ac:dyDescent="0.25">
      <c r="A2270" s="11" t="s">
        <v>4318</v>
      </c>
      <c r="B2270" s="11" t="s">
        <v>4316</v>
      </c>
      <c r="C2270" s="12">
        <v>46055</v>
      </c>
      <c r="D2270" s="12">
        <v>46055</v>
      </c>
      <c r="E2270" s="11" t="s">
        <v>6</v>
      </c>
      <c r="F2270" s="11" t="s">
        <v>1580</v>
      </c>
      <c r="G2270" s="11" t="s">
        <v>4316</v>
      </c>
      <c r="H2270" s="11" t="s">
        <v>4319</v>
      </c>
      <c r="I2270" s="11" t="s">
        <v>49</v>
      </c>
      <c r="J2270" s="11">
        <v>516.78</v>
      </c>
      <c r="K2270" s="11">
        <v>516.78</v>
      </c>
      <c r="L2270" s="11"/>
      <c r="M2270" s="14">
        <v>516.78</v>
      </c>
      <c r="N2270" s="11" t="s">
        <v>4317</v>
      </c>
      <c r="O2270" s="11" t="s">
        <v>75</v>
      </c>
    </row>
    <row r="2271" spans="1:15" s="13" customFormat="1" ht="19.5" customHeight="1" x14ac:dyDescent="0.25">
      <c r="A2271" s="11" t="s">
        <v>4320</v>
      </c>
      <c r="B2271" s="11" t="s">
        <v>4321</v>
      </c>
      <c r="C2271" s="12">
        <v>46112</v>
      </c>
      <c r="D2271" s="12">
        <v>46112</v>
      </c>
      <c r="E2271" s="11" t="s">
        <v>6</v>
      </c>
      <c r="F2271" s="11" t="s">
        <v>4322</v>
      </c>
      <c r="G2271" s="11" t="s">
        <v>4323</v>
      </c>
      <c r="H2271" s="11" t="s">
        <v>4324</v>
      </c>
      <c r="I2271" s="11" t="s">
        <v>49</v>
      </c>
      <c r="J2271" s="11">
        <v>-94.05</v>
      </c>
      <c r="K2271" s="11"/>
      <c r="L2271" s="11">
        <v>94.05</v>
      </c>
      <c r="M2271" s="14">
        <v>-94.05</v>
      </c>
      <c r="N2271" s="11" t="s">
        <v>4325</v>
      </c>
      <c r="O2271" s="11" t="s">
        <v>234</v>
      </c>
    </row>
    <row r="2272" spans="1:15" s="13" customFormat="1" ht="19.5" customHeight="1" x14ac:dyDescent="0.25">
      <c r="A2272" s="11" t="s">
        <v>4326</v>
      </c>
      <c r="B2272" s="11" t="s">
        <v>4324</v>
      </c>
      <c r="C2272" s="12">
        <v>46055</v>
      </c>
      <c r="D2272" s="12">
        <v>46055</v>
      </c>
      <c r="E2272" s="11" t="s">
        <v>6</v>
      </c>
      <c r="F2272" s="11" t="s">
        <v>4322</v>
      </c>
      <c r="G2272" s="11" t="s">
        <v>4324</v>
      </c>
      <c r="H2272" s="11" t="s">
        <v>4327</v>
      </c>
      <c r="I2272" s="11" t="s">
        <v>49</v>
      </c>
      <c r="J2272" s="11">
        <v>94.05</v>
      </c>
      <c r="K2272" s="11">
        <v>94.05</v>
      </c>
      <c r="L2272" s="11"/>
      <c r="M2272" s="14">
        <v>94.05</v>
      </c>
      <c r="N2272" s="11" t="s">
        <v>4325</v>
      </c>
      <c r="O2272" s="11" t="s">
        <v>75</v>
      </c>
    </row>
    <row r="2273" spans="1:15" s="13" customFormat="1" ht="19.5" customHeight="1" x14ac:dyDescent="0.25">
      <c r="A2273" s="11" t="s">
        <v>4328</v>
      </c>
      <c r="B2273" s="11" t="s">
        <v>4329</v>
      </c>
      <c r="C2273" s="12">
        <v>46112</v>
      </c>
      <c r="D2273" s="12">
        <v>46112</v>
      </c>
      <c r="E2273" s="11" t="s">
        <v>6</v>
      </c>
      <c r="F2273" s="11" t="s">
        <v>4330</v>
      </c>
      <c r="G2273" s="11" t="s">
        <v>4331</v>
      </c>
      <c r="H2273" s="11" t="s">
        <v>4332</v>
      </c>
      <c r="I2273" s="11" t="s">
        <v>49</v>
      </c>
      <c r="J2273" s="11">
        <v>-119</v>
      </c>
      <c r="K2273" s="11"/>
      <c r="L2273" s="11">
        <v>119</v>
      </c>
      <c r="M2273" s="14">
        <v>-119</v>
      </c>
      <c r="N2273" s="11" t="s">
        <v>4333</v>
      </c>
      <c r="O2273" s="11" t="s">
        <v>234</v>
      </c>
    </row>
    <row r="2274" spans="1:15" s="13" customFormat="1" ht="19.5" customHeight="1" x14ac:dyDescent="0.25">
      <c r="A2274" s="11" t="s">
        <v>4334</v>
      </c>
      <c r="B2274" s="11" t="s">
        <v>4332</v>
      </c>
      <c r="C2274" s="12">
        <v>46055</v>
      </c>
      <c r="D2274" s="12">
        <v>46055</v>
      </c>
      <c r="E2274" s="11" t="s">
        <v>6</v>
      </c>
      <c r="F2274" s="11" t="s">
        <v>4330</v>
      </c>
      <c r="G2274" s="11" t="s">
        <v>4332</v>
      </c>
      <c r="H2274" s="11" t="s">
        <v>4335</v>
      </c>
      <c r="I2274" s="11" t="s">
        <v>49</v>
      </c>
      <c r="J2274" s="11">
        <v>119</v>
      </c>
      <c r="K2274" s="11">
        <v>119</v>
      </c>
      <c r="L2274" s="11"/>
      <c r="M2274" s="14">
        <v>119</v>
      </c>
      <c r="N2274" s="11" t="s">
        <v>4333</v>
      </c>
      <c r="O2274" s="11" t="s">
        <v>75</v>
      </c>
    </row>
    <row r="2275" spans="1:15" s="13" customFormat="1" ht="19.5" customHeight="1" x14ac:dyDescent="0.25">
      <c r="A2275" s="11" t="s">
        <v>4336</v>
      </c>
      <c r="B2275" s="11" t="s">
        <v>4337</v>
      </c>
      <c r="C2275" s="12">
        <v>46112</v>
      </c>
      <c r="D2275" s="12">
        <v>46112</v>
      </c>
      <c r="E2275" s="11" t="s">
        <v>6</v>
      </c>
      <c r="F2275" s="11" t="s">
        <v>310</v>
      </c>
      <c r="G2275" s="11" t="s">
        <v>4338</v>
      </c>
      <c r="H2275" s="11" t="s">
        <v>4339</v>
      </c>
      <c r="I2275" s="11" t="s">
        <v>49</v>
      </c>
      <c r="J2275" s="11">
        <v>-94.05</v>
      </c>
      <c r="K2275" s="11"/>
      <c r="L2275" s="11">
        <v>94.05</v>
      </c>
      <c r="M2275" s="14">
        <v>-94.05</v>
      </c>
      <c r="N2275" s="11" t="s">
        <v>4340</v>
      </c>
      <c r="O2275" s="11" t="s">
        <v>234</v>
      </c>
    </row>
    <row r="2276" spans="1:15" s="13" customFormat="1" ht="19.5" customHeight="1" x14ac:dyDescent="0.25">
      <c r="A2276" s="11" t="s">
        <v>4341</v>
      </c>
      <c r="B2276" s="11" t="s">
        <v>4339</v>
      </c>
      <c r="C2276" s="12">
        <v>46055</v>
      </c>
      <c r="D2276" s="12">
        <v>46055</v>
      </c>
      <c r="E2276" s="11" t="s">
        <v>6</v>
      </c>
      <c r="F2276" s="11" t="s">
        <v>310</v>
      </c>
      <c r="G2276" s="11" t="s">
        <v>4339</v>
      </c>
      <c r="H2276" s="11" t="s">
        <v>4342</v>
      </c>
      <c r="I2276" s="11" t="s">
        <v>49</v>
      </c>
      <c r="J2276" s="11">
        <v>94.05</v>
      </c>
      <c r="K2276" s="11">
        <v>94.05</v>
      </c>
      <c r="L2276" s="11"/>
      <c r="M2276" s="14">
        <v>94.05</v>
      </c>
      <c r="N2276" s="11" t="s">
        <v>4340</v>
      </c>
      <c r="O2276" s="11" t="s">
        <v>75</v>
      </c>
    </row>
    <row r="2277" spans="1:15" s="13" customFormat="1" ht="19.5" customHeight="1" x14ac:dyDescent="0.25">
      <c r="A2277" s="11" t="s">
        <v>4343</v>
      </c>
      <c r="B2277" s="11" t="s">
        <v>4344</v>
      </c>
      <c r="C2277" s="12">
        <v>46112</v>
      </c>
      <c r="D2277" s="12">
        <v>46112</v>
      </c>
      <c r="E2277" s="11" t="s">
        <v>6</v>
      </c>
      <c r="F2277" s="11" t="s">
        <v>4345</v>
      </c>
      <c r="G2277" s="11" t="s">
        <v>4346</v>
      </c>
      <c r="H2277" s="11" t="s">
        <v>4347</v>
      </c>
      <c r="I2277" s="11" t="s">
        <v>49</v>
      </c>
      <c r="J2277" s="11">
        <v>-315.99</v>
      </c>
      <c r="K2277" s="11"/>
      <c r="L2277" s="11">
        <v>315.99</v>
      </c>
      <c r="M2277" s="14">
        <v>-315.99</v>
      </c>
      <c r="N2277" s="11" t="s">
        <v>4348</v>
      </c>
      <c r="O2277" s="11" t="s">
        <v>234</v>
      </c>
    </row>
    <row r="2278" spans="1:15" s="13" customFormat="1" ht="19.5" customHeight="1" x14ac:dyDescent="0.25">
      <c r="A2278" s="11" t="s">
        <v>4349</v>
      </c>
      <c r="B2278" s="11" t="s">
        <v>4347</v>
      </c>
      <c r="C2278" s="12">
        <v>46055</v>
      </c>
      <c r="D2278" s="12">
        <v>46055</v>
      </c>
      <c r="E2278" s="11" t="s">
        <v>6</v>
      </c>
      <c r="F2278" s="11" t="s">
        <v>4345</v>
      </c>
      <c r="G2278" s="11" t="s">
        <v>4347</v>
      </c>
      <c r="H2278" s="11" t="s">
        <v>4350</v>
      </c>
      <c r="I2278" s="11" t="s">
        <v>49</v>
      </c>
      <c r="J2278" s="11">
        <v>315.99</v>
      </c>
      <c r="K2278" s="11">
        <v>315.99</v>
      </c>
      <c r="L2278" s="11"/>
      <c r="M2278" s="14">
        <v>315.99</v>
      </c>
      <c r="N2278" s="11" t="s">
        <v>4348</v>
      </c>
      <c r="O2278" s="11" t="s">
        <v>75</v>
      </c>
    </row>
    <row r="2279" spans="1:15" s="13" customFormat="1" ht="19.5" customHeight="1" x14ac:dyDescent="0.25">
      <c r="A2279" s="11" t="s">
        <v>4351</v>
      </c>
      <c r="B2279" s="11" t="s">
        <v>4352</v>
      </c>
      <c r="C2279" s="12">
        <v>46112</v>
      </c>
      <c r="D2279" s="12">
        <v>46112</v>
      </c>
      <c r="E2279" s="11" t="s">
        <v>6</v>
      </c>
      <c r="F2279" s="11" t="s">
        <v>4353</v>
      </c>
      <c r="G2279" s="11" t="s">
        <v>4354</v>
      </c>
      <c r="H2279" s="11" t="s">
        <v>4355</v>
      </c>
      <c r="I2279" s="11" t="s">
        <v>49</v>
      </c>
      <c r="J2279" s="11">
        <v>-172.8</v>
      </c>
      <c r="K2279" s="11"/>
      <c r="L2279" s="11">
        <v>172.8</v>
      </c>
      <c r="M2279" s="14">
        <v>-172.8</v>
      </c>
      <c r="N2279" s="11" t="s">
        <v>4356</v>
      </c>
      <c r="O2279" s="11" t="s">
        <v>234</v>
      </c>
    </row>
    <row r="2280" spans="1:15" s="13" customFormat="1" ht="19.5" customHeight="1" x14ac:dyDescent="0.25">
      <c r="A2280" s="11" t="s">
        <v>4357</v>
      </c>
      <c r="B2280" s="11" t="s">
        <v>4355</v>
      </c>
      <c r="C2280" s="12">
        <v>46055</v>
      </c>
      <c r="D2280" s="12">
        <v>46055</v>
      </c>
      <c r="E2280" s="11" t="s">
        <v>6</v>
      </c>
      <c r="F2280" s="11" t="s">
        <v>4353</v>
      </c>
      <c r="G2280" s="11" t="s">
        <v>4355</v>
      </c>
      <c r="H2280" s="11" t="s">
        <v>4358</v>
      </c>
      <c r="I2280" s="11" t="s">
        <v>49</v>
      </c>
      <c r="J2280" s="11">
        <v>172.8</v>
      </c>
      <c r="K2280" s="11">
        <v>172.8</v>
      </c>
      <c r="L2280" s="11"/>
      <c r="M2280" s="14">
        <v>172.8</v>
      </c>
      <c r="N2280" s="11" t="s">
        <v>4356</v>
      </c>
      <c r="O2280" s="11" t="s">
        <v>75</v>
      </c>
    </row>
    <row r="2281" spans="1:15" s="13" customFormat="1" ht="19.5" customHeight="1" x14ac:dyDescent="0.25">
      <c r="A2281" s="11" t="s">
        <v>4359</v>
      </c>
      <c r="B2281" s="11" t="s">
        <v>4360</v>
      </c>
      <c r="C2281" s="12">
        <v>46112</v>
      </c>
      <c r="D2281" s="12">
        <v>46112</v>
      </c>
      <c r="E2281" s="11" t="s">
        <v>6</v>
      </c>
      <c r="F2281" s="11" t="s">
        <v>4361</v>
      </c>
      <c r="G2281" s="11" t="s">
        <v>4362</v>
      </c>
      <c r="H2281" s="11" t="s">
        <v>4363</v>
      </c>
      <c r="I2281" s="11" t="s">
        <v>49</v>
      </c>
      <c r="J2281" s="11">
        <v>-251.25</v>
      </c>
      <c r="K2281" s="11"/>
      <c r="L2281" s="11">
        <v>251.25</v>
      </c>
      <c r="M2281" s="14">
        <v>-251.25</v>
      </c>
      <c r="N2281" s="11" t="s">
        <v>4364</v>
      </c>
      <c r="O2281" s="11" t="s">
        <v>234</v>
      </c>
    </row>
    <row r="2282" spans="1:15" s="13" customFormat="1" ht="19.5" customHeight="1" x14ac:dyDescent="0.25">
      <c r="A2282" s="11" t="s">
        <v>4365</v>
      </c>
      <c r="B2282" s="11" t="s">
        <v>4363</v>
      </c>
      <c r="C2282" s="12">
        <v>46055</v>
      </c>
      <c r="D2282" s="12">
        <v>46055</v>
      </c>
      <c r="E2282" s="11" t="s">
        <v>6</v>
      </c>
      <c r="F2282" s="11" t="s">
        <v>4361</v>
      </c>
      <c r="G2282" s="11" t="s">
        <v>4363</v>
      </c>
      <c r="H2282" s="11" t="s">
        <v>4366</v>
      </c>
      <c r="I2282" s="11" t="s">
        <v>49</v>
      </c>
      <c r="J2282" s="11">
        <v>251.25</v>
      </c>
      <c r="K2282" s="11">
        <v>251.25</v>
      </c>
      <c r="L2282" s="11"/>
      <c r="M2282" s="14">
        <v>251.25</v>
      </c>
      <c r="N2282" s="11" t="s">
        <v>4364</v>
      </c>
      <c r="O2282" s="11" t="s">
        <v>75</v>
      </c>
    </row>
    <row r="2283" spans="1:15" s="13" customFormat="1" ht="19.5" customHeight="1" x14ac:dyDescent="0.25">
      <c r="A2283" s="11" t="s">
        <v>4367</v>
      </c>
      <c r="B2283" s="11" t="s">
        <v>4368</v>
      </c>
      <c r="C2283" s="12">
        <v>46112</v>
      </c>
      <c r="D2283" s="12">
        <v>46112</v>
      </c>
      <c r="E2283" s="11" t="s">
        <v>6</v>
      </c>
      <c r="F2283" s="11" t="s">
        <v>4369</v>
      </c>
      <c r="G2283" s="11" t="s">
        <v>4370</v>
      </c>
      <c r="H2283" s="11" t="s">
        <v>4371</v>
      </c>
      <c r="I2283" s="11" t="s">
        <v>49</v>
      </c>
      <c r="J2283" s="11">
        <v>-147.6</v>
      </c>
      <c r="K2283" s="11"/>
      <c r="L2283" s="11">
        <v>147.6</v>
      </c>
      <c r="M2283" s="14">
        <v>-147.6</v>
      </c>
      <c r="N2283" s="11" t="s">
        <v>4372</v>
      </c>
      <c r="O2283" s="11" t="s">
        <v>234</v>
      </c>
    </row>
    <row r="2284" spans="1:15" s="13" customFormat="1" ht="19.5" customHeight="1" x14ac:dyDescent="0.25">
      <c r="A2284" s="11" t="s">
        <v>4373</v>
      </c>
      <c r="B2284" s="11" t="s">
        <v>4371</v>
      </c>
      <c r="C2284" s="12">
        <v>46055</v>
      </c>
      <c r="D2284" s="12">
        <v>46055</v>
      </c>
      <c r="E2284" s="11" t="s">
        <v>6</v>
      </c>
      <c r="F2284" s="11" t="s">
        <v>4369</v>
      </c>
      <c r="G2284" s="11" t="s">
        <v>4371</v>
      </c>
      <c r="H2284" s="11" t="s">
        <v>4374</v>
      </c>
      <c r="I2284" s="11" t="s">
        <v>49</v>
      </c>
      <c r="J2284" s="11">
        <v>147.6</v>
      </c>
      <c r="K2284" s="11">
        <v>147.6</v>
      </c>
      <c r="L2284" s="11"/>
      <c r="M2284" s="14">
        <v>147.6</v>
      </c>
      <c r="N2284" s="11" t="s">
        <v>4372</v>
      </c>
      <c r="O2284" s="11" t="s">
        <v>75</v>
      </c>
    </row>
    <row r="2285" spans="1:15" s="13" customFormat="1" ht="19.5" customHeight="1" x14ac:dyDescent="0.25">
      <c r="A2285" s="11" t="s">
        <v>4375</v>
      </c>
      <c r="B2285" s="11" t="s">
        <v>4376</v>
      </c>
      <c r="C2285" s="12">
        <v>46112</v>
      </c>
      <c r="D2285" s="12">
        <v>46112</v>
      </c>
      <c r="E2285" s="11" t="s">
        <v>6</v>
      </c>
      <c r="F2285" s="11" t="s">
        <v>4377</v>
      </c>
      <c r="G2285" s="11" t="s">
        <v>4378</v>
      </c>
      <c r="H2285" s="11" t="s">
        <v>4379</v>
      </c>
      <c r="I2285" s="11" t="s">
        <v>49</v>
      </c>
      <c r="J2285" s="11">
        <v>-41.31</v>
      </c>
      <c r="K2285" s="11"/>
      <c r="L2285" s="11">
        <v>41.31</v>
      </c>
      <c r="M2285" s="14">
        <v>-41.31</v>
      </c>
      <c r="N2285" s="11" t="s">
        <v>4380</v>
      </c>
      <c r="O2285" s="11" t="s">
        <v>234</v>
      </c>
    </row>
    <row r="2286" spans="1:15" s="13" customFormat="1" ht="19.5" customHeight="1" x14ac:dyDescent="0.25">
      <c r="A2286" s="11" t="s">
        <v>4381</v>
      </c>
      <c r="B2286" s="11" t="s">
        <v>4379</v>
      </c>
      <c r="C2286" s="12">
        <v>46055</v>
      </c>
      <c r="D2286" s="12">
        <v>46055</v>
      </c>
      <c r="E2286" s="11" t="s">
        <v>6</v>
      </c>
      <c r="F2286" s="11" t="s">
        <v>4377</v>
      </c>
      <c r="G2286" s="11" t="s">
        <v>4379</v>
      </c>
      <c r="H2286" s="11" t="s">
        <v>4382</v>
      </c>
      <c r="I2286" s="11" t="s">
        <v>49</v>
      </c>
      <c r="J2286" s="11">
        <v>41.31</v>
      </c>
      <c r="K2286" s="11">
        <v>41.31</v>
      </c>
      <c r="L2286" s="11"/>
      <c r="M2286" s="14">
        <v>41.31</v>
      </c>
      <c r="N2286" s="11" t="s">
        <v>4380</v>
      </c>
      <c r="O2286" s="11" t="s">
        <v>75</v>
      </c>
    </row>
    <row r="2287" spans="1:15" s="13" customFormat="1" ht="19.5" customHeight="1" x14ac:dyDescent="0.25">
      <c r="A2287" s="11" t="s">
        <v>4383</v>
      </c>
      <c r="B2287" s="11" t="s">
        <v>4384</v>
      </c>
      <c r="C2287" s="12">
        <v>46112</v>
      </c>
      <c r="D2287" s="12">
        <v>46112</v>
      </c>
      <c r="E2287" s="11" t="s">
        <v>6</v>
      </c>
      <c r="F2287" s="11" t="s">
        <v>4385</v>
      </c>
      <c r="G2287" s="11" t="s">
        <v>4386</v>
      </c>
      <c r="H2287" s="11" t="s">
        <v>4387</v>
      </c>
      <c r="I2287" s="11" t="s">
        <v>49</v>
      </c>
      <c r="J2287" s="11">
        <v>-335.47</v>
      </c>
      <c r="K2287" s="11"/>
      <c r="L2287" s="11">
        <v>335.47</v>
      </c>
      <c r="M2287" s="14">
        <v>-335.47</v>
      </c>
      <c r="N2287" s="11" t="s">
        <v>4388</v>
      </c>
      <c r="O2287" s="11" t="s">
        <v>234</v>
      </c>
    </row>
    <row r="2288" spans="1:15" s="13" customFormat="1" ht="19.5" customHeight="1" x14ac:dyDescent="0.25">
      <c r="A2288" s="11" t="s">
        <v>4389</v>
      </c>
      <c r="B2288" s="11" t="s">
        <v>4387</v>
      </c>
      <c r="C2288" s="12">
        <v>46055</v>
      </c>
      <c r="D2288" s="12">
        <v>46055</v>
      </c>
      <c r="E2288" s="11" t="s">
        <v>6</v>
      </c>
      <c r="F2288" s="11" t="s">
        <v>4385</v>
      </c>
      <c r="G2288" s="11" t="s">
        <v>4387</v>
      </c>
      <c r="H2288" s="11" t="s">
        <v>4390</v>
      </c>
      <c r="I2288" s="11" t="s">
        <v>49</v>
      </c>
      <c r="J2288" s="11">
        <v>335.47</v>
      </c>
      <c r="K2288" s="11">
        <v>335.47</v>
      </c>
      <c r="L2288" s="11"/>
      <c r="M2288" s="14">
        <v>335.47</v>
      </c>
      <c r="N2288" s="11" t="s">
        <v>4388</v>
      </c>
      <c r="O2288" s="11" t="s">
        <v>75</v>
      </c>
    </row>
    <row r="2289" spans="1:15" s="13" customFormat="1" ht="19.5" customHeight="1" x14ac:dyDescent="0.25">
      <c r="A2289" s="11" t="s">
        <v>4391</v>
      </c>
      <c r="B2289" s="11" t="s">
        <v>4392</v>
      </c>
      <c r="C2289" s="12">
        <v>46112</v>
      </c>
      <c r="D2289" s="12">
        <v>46112</v>
      </c>
      <c r="E2289" s="11" t="s">
        <v>6</v>
      </c>
      <c r="F2289" s="11" t="s">
        <v>4393</v>
      </c>
      <c r="G2289" s="11" t="s">
        <v>4394</v>
      </c>
      <c r="H2289" s="11" t="s">
        <v>4395</v>
      </c>
      <c r="I2289" s="11" t="s">
        <v>49</v>
      </c>
      <c r="J2289" s="11">
        <v>-284.23</v>
      </c>
      <c r="K2289" s="11"/>
      <c r="L2289" s="11">
        <v>284.23</v>
      </c>
      <c r="M2289" s="14">
        <v>-284.23</v>
      </c>
      <c r="N2289" s="11" t="s">
        <v>4396</v>
      </c>
      <c r="O2289" s="11" t="s">
        <v>234</v>
      </c>
    </row>
    <row r="2290" spans="1:15" s="13" customFormat="1" ht="19.5" customHeight="1" x14ac:dyDescent="0.25">
      <c r="A2290" s="11" t="s">
        <v>4395</v>
      </c>
      <c r="B2290" s="11" t="s">
        <v>4395</v>
      </c>
      <c r="C2290" s="12">
        <v>46055</v>
      </c>
      <c r="D2290" s="12">
        <v>46055</v>
      </c>
      <c r="E2290" s="11" t="s">
        <v>6</v>
      </c>
      <c r="F2290" s="11" t="s">
        <v>4393</v>
      </c>
      <c r="G2290" s="11" t="s">
        <v>4395</v>
      </c>
      <c r="H2290" s="11"/>
      <c r="I2290" s="11" t="s">
        <v>49</v>
      </c>
      <c r="J2290" s="11">
        <v>284.23</v>
      </c>
      <c r="K2290" s="11">
        <v>284.23</v>
      </c>
      <c r="L2290" s="11"/>
      <c r="M2290" s="14">
        <v>284.23</v>
      </c>
      <c r="N2290" s="11" t="s">
        <v>4396</v>
      </c>
      <c r="O2290" s="11" t="s">
        <v>75</v>
      </c>
    </row>
    <row r="2291" spans="1:15" s="13" customFormat="1" ht="19.5" customHeight="1" x14ac:dyDescent="0.25">
      <c r="A2291" s="11" t="s">
        <v>4397</v>
      </c>
      <c r="B2291" s="11" t="s">
        <v>4398</v>
      </c>
      <c r="C2291" s="12">
        <v>46112</v>
      </c>
      <c r="D2291" s="12">
        <v>46112</v>
      </c>
      <c r="E2291" s="11" t="s">
        <v>6</v>
      </c>
      <c r="F2291" s="11" t="s">
        <v>4399</v>
      </c>
      <c r="G2291" s="11" t="s">
        <v>4400</v>
      </c>
      <c r="H2291" s="11" t="s">
        <v>4401</v>
      </c>
      <c r="I2291" s="11" t="s">
        <v>49</v>
      </c>
      <c r="J2291" s="11">
        <v>-130.81</v>
      </c>
      <c r="K2291" s="11"/>
      <c r="L2291" s="11">
        <v>130.81</v>
      </c>
      <c r="M2291" s="14">
        <v>-130.81</v>
      </c>
      <c r="N2291" s="11" t="s">
        <v>4402</v>
      </c>
      <c r="O2291" s="11" t="s">
        <v>234</v>
      </c>
    </row>
    <row r="2292" spans="1:15" s="13" customFormat="1" ht="19.5" customHeight="1" x14ac:dyDescent="0.25">
      <c r="A2292" s="11" t="s">
        <v>4403</v>
      </c>
      <c r="B2292" s="11" t="s">
        <v>4401</v>
      </c>
      <c r="C2292" s="12">
        <v>46055</v>
      </c>
      <c r="D2292" s="12">
        <v>46055</v>
      </c>
      <c r="E2292" s="11" t="s">
        <v>6</v>
      </c>
      <c r="F2292" s="11" t="s">
        <v>4399</v>
      </c>
      <c r="G2292" s="11" t="s">
        <v>4401</v>
      </c>
      <c r="H2292" s="11" t="s">
        <v>4404</v>
      </c>
      <c r="I2292" s="11" t="s">
        <v>49</v>
      </c>
      <c r="J2292" s="11">
        <v>130.81</v>
      </c>
      <c r="K2292" s="11">
        <v>130.81</v>
      </c>
      <c r="L2292" s="11"/>
      <c r="M2292" s="14">
        <v>130.81</v>
      </c>
      <c r="N2292" s="11" t="s">
        <v>4402</v>
      </c>
      <c r="O2292" s="11" t="s">
        <v>75</v>
      </c>
    </row>
    <row r="2293" spans="1:15" s="13" customFormat="1" ht="19.5" customHeight="1" x14ac:dyDescent="0.25">
      <c r="A2293" s="11" t="s">
        <v>4405</v>
      </c>
      <c r="B2293" s="11" t="s">
        <v>4406</v>
      </c>
      <c r="C2293" s="12">
        <v>46112</v>
      </c>
      <c r="D2293" s="12">
        <v>46112</v>
      </c>
      <c r="E2293" s="11" t="s">
        <v>6</v>
      </c>
      <c r="F2293" s="11" t="s">
        <v>1624</v>
      </c>
      <c r="G2293" s="11" t="s">
        <v>4407</v>
      </c>
      <c r="H2293" s="11" t="s">
        <v>4408</v>
      </c>
      <c r="I2293" s="11" t="s">
        <v>49</v>
      </c>
      <c r="J2293" s="11">
        <v>-155</v>
      </c>
      <c r="K2293" s="11"/>
      <c r="L2293" s="11">
        <v>155</v>
      </c>
      <c r="M2293" s="14">
        <v>-155</v>
      </c>
      <c r="N2293" s="11" t="s">
        <v>4409</v>
      </c>
      <c r="O2293" s="11" t="s">
        <v>234</v>
      </c>
    </row>
    <row r="2294" spans="1:15" s="13" customFormat="1" ht="19.5" customHeight="1" x14ac:dyDescent="0.25">
      <c r="A2294" s="11" t="s">
        <v>4410</v>
      </c>
      <c r="B2294" s="11" t="s">
        <v>4408</v>
      </c>
      <c r="C2294" s="12">
        <v>46055</v>
      </c>
      <c r="D2294" s="12">
        <v>46055</v>
      </c>
      <c r="E2294" s="11" t="s">
        <v>6</v>
      </c>
      <c r="F2294" s="11" t="s">
        <v>1624</v>
      </c>
      <c r="G2294" s="11" t="s">
        <v>4408</v>
      </c>
      <c r="H2294" s="11" t="s">
        <v>4411</v>
      </c>
      <c r="I2294" s="11" t="s">
        <v>49</v>
      </c>
      <c r="J2294" s="11">
        <v>155</v>
      </c>
      <c r="K2294" s="11">
        <v>155</v>
      </c>
      <c r="L2294" s="11"/>
      <c r="M2294" s="14">
        <v>155</v>
      </c>
      <c r="N2294" s="11" t="s">
        <v>4409</v>
      </c>
      <c r="O2294" s="11" t="s">
        <v>75</v>
      </c>
    </row>
    <row r="2295" spans="1:15" s="13" customFormat="1" ht="19.5" customHeight="1" x14ac:dyDescent="0.25">
      <c r="A2295" s="11" t="s">
        <v>4412</v>
      </c>
      <c r="B2295" s="11" t="s">
        <v>4413</v>
      </c>
      <c r="C2295" s="12">
        <v>46112</v>
      </c>
      <c r="D2295" s="12">
        <v>46112</v>
      </c>
      <c r="E2295" s="11" t="s">
        <v>6</v>
      </c>
      <c r="F2295" s="11" t="s">
        <v>4414</v>
      </c>
      <c r="G2295" s="11" t="s">
        <v>4415</v>
      </c>
      <c r="H2295" s="11" t="s">
        <v>4416</v>
      </c>
      <c r="I2295" s="11" t="s">
        <v>49</v>
      </c>
      <c r="J2295" s="11">
        <v>-53.91</v>
      </c>
      <c r="K2295" s="11"/>
      <c r="L2295" s="11">
        <v>53.91</v>
      </c>
      <c r="M2295" s="14">
        <v>-53.91</v>
      </c>
      <c r="N2295" s="11" t="s">
        <v>4417</v>
      </c>
      <c r="O2295" s="11" t="s">
        <v>234</v>
      </c>
    </row>
    <row r="2296" spans="1:15" s="13" customFormat="1" ht="19.5" customHeight="1" x14ac:dyDescent="0.25">
      <c r="A2296" s="11" t="s">
        <v>4418</v>
      </c>
      <c r="B2296" s="11" t="s">
        <v>4416</v>
      </c>
      <c r="C2296" s="12">
        <v>46056</v>
      </c>
      <c r="D2296" s="12">
        <v>46056</v>
      </c>
      <c r="E2296" s="11" t="s">
        <v>6</v>
      </c>
      <c r="F2296" s="11" t="s">
        <v>4414</v>
      </c>
      <c r="G2296" s="11" t="s">
        <v>4416</v>
      </c>
      <c r="H2296" s="11" t="s">
        <v>4419</v>
      </c>
      <c r="I2296" s="11" t="s">
        <v>49</v>
      </c>
      <c r="J2296" s="11">
        <v>53.91</v>
      </c>
      <c r="K2296" s="11">
        <v>53.91</v>
      </c>
      <c r="L2296" s="11"/>
      <c r="M2296" s="14">
        <v>53.91</v>
      </c>
      <c r="N2296" s="11" t="s">
        <v>4417</v>
      </c>
      <c r="O2296" s="11" t="s">
        <v>75</v>
      </c>
    </row>
    <row r="2297" spans="1:15" s="13" customFormat="1" ht="19.5" customHeight="1" x14ac:dyDescent="0.25">
      <c r="A2297" s="11" t="s">
        <v>4420</v>
      </c>
      <c r="B2297" s="11" t="s">
        <v>4421</v>
      </c>
      <c r="C2297" s="12">
        <v>46112</v>
      </c>
      <c r="D2297" s="12">
        <v>46112</v>
      </c>
      <c r="E2297" s="11" t="s">
        <v>6</v>
      </c>
      <c r="F2297" s="11" t="s">
        <v>498</v>
      </c>
      <c r="G2297" s="11" t="s">
        <v>4422</v>
      </c>
      <c r="H2297" s="11" t="s">
        <v>4423</v>
      </c>
      <c r="I2297" s="11" t="s">
        <v>49</v>
      </c>
      <c r="J2297" s="11">
        <v>-128.04</v>
      </c>
      <c r="K2297" s="11"/>
      <c r="L2297" s="11">
        <v>128.04</v>
      </c>
      <c r="M2297" s="14">
        <v>-128.04</v>
      </c>
      <c r="N2297" s="11" t="s">
        <v>4424</v>
      </c>
      <c r="O2297" s="11" t="s">
        <v>234</v>
      </c>
    </row>
    <row r="2298" spans="1:15" s="13" customFormat="1" ht="19.5" customHeight="1" x14ac:dyDescent="0.25">
      <c r="A2298" s="11" t="s">
        <v>4425</v>
      </c>
      <c r="B2298" s="11" t="s">
        <v>4423</v>
      </c>
      <c r="C2298" s="12">
        <v>46057</v>
      </c>
      <c r="D2298" s="12">
        <v>46057</v>
      </c>
      <c r="E2298" s="11" t="s">
        <v>6</v>
      </c>
      <c r="F2298" s="11" t="s">
        <v>498</v>
      </c>
      <c r="G2298" s="11" t="s">
        <v>4423</v>
      </c>
      <c r="H2298" s="11" t="s">
        <v>4426</v>
      </c>
      <c r="I2298" s="11" t="s">
        <v>49</v>
      </c>
      <c r="J2298" s="11">
        <v>128.04</v>
      </c>
      <c r="K2298" s="11">
        <v>128.04</v>
      </c>
      <c r="L2298" s="11"/>
      <c r="M2298" s="14">
        <v>128.04</v>
      </c>
      <c r="N2298" s="11" t="s">
        <v>4424</v>
      </c>
      <c r="O2298" s="11" t="s">
        <v>75</v>
      </c>
    </row>
    <row r="2299" spans="1:15" s="13" customFormat="1" ht="19.5" customHeight="1" x14ac:dyDescent="0.25">
      <c r="A2299" s="11" t="s">
        <v>4427</v>
      </c>
      <c r="B2299" s="11" t="s">
        <v>4428</v>
      </c>
      <c r="C2299" s="12">
        <v>46112</v>
      </c>
      <c r="D2299" s="12">
        <v>46112</v>
      </c>
      <c r="E2299" s="11" t="s">
        <v>6</v>
      </c>
      <c r="F2299" s="11" t="s">
        <v>4429</v>
      </c>
      <c r="G2299" s="11" t="s">
        <v>4430</v>
      </c>
      <c r="H2299" s="11" t="s">
        <v>4431</v>
      </c>
      <c r="I2299" s="11" t="s">
        <v>49</v>
      </c>
      <c r="J2299" s="11">
        <v>-452</v>
      </c>
      <c r="K2299" s="11"/>
      <c r="L2299" s="11">
        <v>452</v>
      </c>
      <c r="M2299" s="14">
        <v>-452</v>
      </c>
      <c r="N2299" s="11" t="s">
        <v>4432</v>
      </c>
      <c r="O2299" s="11" t="s">
        <v>234</v>
      </c>
    </row>
    <row r="2300" spans="1:15" s="13" customFormat="1" ht="19.5" customHeight="1" x14ac:dyDescent="0.25">
      <c r="A2300" s="11" t="s">
        <v>4433</v>
      </c>
      <c r="B2300" s="11" t="s">
        <v>4431</v>
      </c>
      <c r="C2300" s="12">
        <v>46058</v>
      </c>
      <c r="D2300" s="12">
        <v>46058</v>
      </c>
      <c r="E2300" s="11" t="s">
        <v>6</v>
      </c>
      <c r="F2300" s="11" t="s">
        <v>4429</v>
      </c>
      <c r="G2300" s="11" t="s">
        <v>4431</v>
      </c>
      <c r="H2300" s="11" t="s">
        <v>4434</v>
      </c>
      <c r="I2300" s="11" t="s">
        <v>49</v>
      </c>
      <c r="J2300" s="11">
        <v>452</v>
      </c>
      <c r="K2300" s="11">
        <v>452</v>
      </c>
      <c r="L2300" s="11"/>
      <c r="M2300" s="14">
        <v>452</v>
      </c>
      <c r="N2300" s="11" t="s">
        <v>4432</v>
      </c>
      <c r="O2300" s="11" t="s">
        <v>75</v>
      </c>
    </row>
    <row r="2301" spans="1:15" s="13" customFormat="1" ht="19.5" customHeight="1" x14ac:dyDescent="0.25">
      <c r="A2301" s="11" t="s">
        <v>4435</v>
      </c>
      <c r="B2301" s="11" t="s">
        <v>4436</v>
      </c>
      <c r="C2301" s="12">
        <v>46112</v>
      </c>
      <c r="D2301" s="12">
        <v>46112</v>
      </c>
      <c r="E2301" s="11" t="s">
        <v>6</v>
      </c>
      <c r="F2301" s="11" t="s">
        <v>2086</v>
      </c>
      <c r="G2301" s="11" t="s">
        <v>4437</v>
      </c>
      <c r="H2301" s="11" t="s">
        <v>4438</v>
      </c>
      <c r="I2301" s="11" t="s">
        <v>49</v>
      </c>
      <c r="J2301" s="11">
        <v>-359.39</v>
      </c>
      <c r="K2301" s="11"/>
      <c r="L2301" s="11">
        <v>359.39</v>
      </c>
      <c r="M2301" s="14">
        <v>-359.39</v>
      </c>
      <c r="N2301" s="11" t="s">
        <v>4439</v>
      </c>
      <c r="O2301" s="11" t="s">
        <v>82</v>
      </c>
    </row>
    <row r="2302" spans="1:15" s="13" customFormat="1" ht="19.5" customHeight="1" x14ac:dyDescent="0.25">
      <c r="A2302" s="11" t="s">
        <v>4438</v>
      </c>
      <c r="B2302" s="11" t="s">
        <v>4438</v>
      </c>
      <c r="C2302" s="12">
        <v>46112</v>
      </c>
      <c r="D2302" s="12">
        <v>46112</v>
      </c>
      <c r="E2302" s="11" t="s">
        <v>6</v>
      </c>
      <c r="F2302" s="11" t="s">
        <v>2086</v>
      </c>
      <c r="G2302" s="11" t="s">
        <v>4438</v>
      </c>
      <c r="H2302" s="11"/>
      <c r="I2302" s="11" t="s">
        <v>49</v>
      </c>
      <c r="J2302" s="11">
        <v>359.39</v>
      </c>
      <c r="K2302" s="11">
        <v>359.39</v>
      </c>
      <c r="L2302" s="11"/>
      <c r="M2302" s="14">
        <v>359.39</v>
      </c>
      <c r="N2302" s="11" t="s">
        <v>4439</v>
      </c>
      <c r="O2302" s="11" t="s">
        <v>50</v>
      </c>
    </row>
    <row r="2303" spans="1:15" s="13" customFormat="1" ht="19.5" customHeight="1" x14ac:dyDescent="0.25">
      <c r="A2303" s="11" t="s">
        <v>4440</v>
      </c>
      <c r="B2303" s="11" t="s">
        <v>4440</v>
      </c>
      <c r="C2303" s="12">
        <v>46100</v>
      </c>
      <c r="D2303" s="12">
        <v>46100</v>
      </c>
      <c r="E2303" s="11" t="s">
        <v>6</v>
      </c>
      <c r="F2303" s="11" t="s">
        <v>1221</v>
      </c>
      <c r="G2303" s="11"/>
      <c r="H2303" s="11"/>
      <c r="I2303" s="11" t="s">
        <v>49</v>
      </c>
      <c r="J2303" s="11">
        <v>-61.62</v>
      </c>
      <c r="K2303" s="11"/>
      <c r="L2303" s="11">
        <v>61.62</v>
      </c>
      <c r="M2303" s="14">
        <v>-61.62</v>
      </c>
      <c r="N2303" s="11" t="s">
        <v>4441</v>
      </c>
      <c r="O2303" s="11" t="s">
        <v>50</v>
      </c>
    </row>
    <row r="2304" spans="1:15" s="13" customFormat="1" ht="19.5" customHeight="1" x14ac:dyDescent="0.25">
      <c r="A2304" s="11" t="s">
        <v>4442</v>
      </c>
      <c r="B2304" s="11" t="s">
        <v>4442</v>
      </c>
      <c r="C2304" s="12">
        <v>46072</v>
      </c>
      <c r="D2304" s="12">
        <v>46072</v>
      </c>
      <c r="E2304" s="11" t="s">
        <v>6</v>
      </c>
      <c r="F2304" s="11" t="s">
        <v>1221</v>
      </c>
      <c r="G2304" s="11" t="s">
        <v>4442</v>
      </c>
      <c r="H2304" s="11"/>
      <c r="I2304" s="11" t="s">
        <v>49</v>
      </c>
      <c r="J2304" s="11">
        <v>61.62</v>
      </c>
      <c r="K2304" s="11">
        <v>61.62</v>
      </c>
      <c r="L2304" s="11"/>
      <c r="M2304" s="14">
        <v>61.62</v>
      </c>
      <c r="N2304" s="11" t="s">
        <v>4441</v>
      </c>
      <c r="O2304" s="11" t="s">
        <v>50</v>
      </c>
    </row>
    <row r="2305" spans="1:15" s="13" customFormat="1" ht="19.5" customHeight="1" x14ac:dyDescent="0.25">
      <c r="A2305" s="11" t="s">
        <v>4443</v>
      </c>
      <c r="B2305" s="11" t="s">
        <v>4443</v>
      </c>
      <c r="C2305" s="12">
        <v>46108</v>
      </c>
      <c r="D2305" s="12">
        <v>46108</v>
      </c>
      <c r="E2305" s="11" t="s">
        <v>6</v>
      </c>
      <c r="F2305" s="11" t="s">
        <v>4444</v>
      </c>
      <c r="G2305" s="11"/>
      <c r="H2305" s="11"/>
      <c r="I2305" s="11" t="s">
        <v>49</v>
      </c>
      <c r="J2305" s="11">
        <v>-219.6</v>
      </c>
      <c r="K2305" s="11"/>
      <c r="L2305" s="11">
        <v>219.6</v>
      </c>
      <c r="M2305" s="14">
        <v>-219.6</v>
      </c>
      <c r="N2305" s="11" t="s">
        <v>4445</v>
      </c>
      <c r="O2305" s="11" t="s">
        <v>50</v>
      </c>
    </row>
    <row r="2306" spans="1:15" s="13" customFormat="1" ht="19.5" customHeight="1" x14ac:dyDescent="0.25">
      <c r="A2306" s="11" t="s">
        <v>4446</v>
      </c>
      <c r="B2306" s="11" t="s">
        <v>4446</v>
      </c>
      <c r="C2306" s="12">
        <v>46093</v>
      </c>
      <c r="D2306" s="12">
        <v>46093</v>
      </c>
      <c r="E2306" s="11" t="s">
        <v>6</v>
      </c>
      <c r="F2306" s="11" t="s">
        <v>4444</v>
      </c>
      <c r="G2306" s="11" t="s">
        <v>4446</v>
      </c>
      <c r="H2306" s="11"/>
      <c r="I2306" s="11" t="s">
        <v>49</v>
      </c>
      <c r="J2306" s="11">
        <v>219.6</v>
      </c>
      <c r="K2306" s="11">
        <v>219.6</v>
      </c>
      <c r="L2306" s="11"/>
      <c r="M2306" s="14">
        <v>219.6</v>
      </c>
      <c r="N2306" s="11" t="s">
        <v>4445</v>
      </c>
      <c r="O2306" s="11" t="s">
        <v>50</v>
      </c>
    </row>
    <row r="2307" spans="1:15" s="13" customFormat="1" ht="19.5" customHeight="1" x14ac:dyDescent="0.25">
      <c r="A2307" s="11" t="s">
        <v>4447</v>
      </c>
      <c r="B2307" s="11" t="s">
        <v>4448</v>
      </c>
      <c r="C2307" s="12">
        <v>46023</v>
      </c>
      <c r="D2307" s="11"/>
      <c r="E2307" s="11" t="s">
        <v>6</v>
      </c>
      <c r="F2307" s="11" t="s">
        <v>2503</v>
      </c>
      <c r="G2307" s="11"/>
      <c r="H2307" s="11" t="s">
        <v>4449</v>
      </c>
      <c r="I2307" s="11" t="s">
        <v>49</v>
      </c>
      <c r="J2307" s="11">
        <v>-204.47</v>
      </c>
      <c r="K2307" s="11"/>
      <c r="L2307" s="11">
        <v>204.47</v>
      </c>
      <c r="M2307" s="14">
        <v>-204.47</v>
      </c>
      <c r="N2307" s="11" t="s">
        <v>4450</v>
      </c>
      <c r="O2307" s="11" t="s">
        <v>234</v>
      </c>
    </row>
    <row r="2308" spans="1:15" s="13" customFormat="1" ht="19.5" customHeight="1" x14ac:dyDescent="0.25">
      <c r="A2308" s="11" t="s">
        <v>4451</v>
      </c>
      <c r="B2308" s="11" t="s">
        <v>4451</v>
      </c>
      <c r="C2308" s="12">
        <v>45994</v>
      </c>
      <c r="D2308" s="12">
        <v>45994</v>
      </c>
      <c r="E2308" s="11" t="s">
        <v>6</v>
      </c>
      <c r="F2308" s="11" t="s">
        <v>2503</v>
      </c>
      <c r="G2308" s="11" t="s">
        <v>4451</v>
      </c>
      <c r="H2308" s="11"/>
      <c r="I2308" s="11" t="s">
        <v>49</v>
      </c>
      <c r="J2308" s="11">
        <v>339.9</v>
      </c>
      <c r="K2308" s="11">
        <v>339.9</v>
      </c>
      <c r="L2308" s="11"/>
      <c r="M2308" s="14">
        <v>339.9</v>
      </c>
      <c r="N2308" s="11" t="s">
        <v>4450</v>
      </c>
      <c r="O2308" s="11" t="s">
        <v>75</v>
      </c>
    </row>
    <row r="2309" spans="1:15" s="13" customFormat="1" ht="19.5" customHeight="1" x14ac:dyDescent="0.25">
      <c r="A2309" s="11" t="s">
        <v>4452</v>
      </c>
      <c r="B2309" s="11" t="s">
        <v>4452</v>
      </c>
      <c r="C2309" s="12">
        <v>46086</v>
      </c>
      <c r="D2309" s="12">
        <v>46086</v>
      </c>
      <c r="E2309" s="11" t="s">
        <v>6</v>
      </c>
      <c r="F2309" s="11" t="s">
        <v>4453</v>
      </c>
      <c r="G2309" s="11" t="s">
        <v>4452</v>
      </c>
      <c r="H2309" s="11"/>
      <c r="I2309" s="11" t="s">
        <v>49</v>
      </c>
      <c r="J2309" s="11">
        <v>1533.93</v>
      </c>
      <c r="K2309" s="11">
        <v>1533.93</v>
      </c>
      <c r="L2309" s="11"/>
      <c r="M2309" s="14">
        <v>1533.93</v>
      </c>
      <c r="N2309" s="11" t="s">
        <v>4454</v>
      </c>
      <c r="O2309" s="11" t="s">
        <v>50</v>
      </c>
    </row>
    <row r="2310" spans="1:15" s="13" customFormat="1" ht="19.5" customHeight="1" x14ac:dyDescent="0.25">
      <c r="A2310" s="11" t="s">
        <v>4455</v>
      </c>
      <c r="B2310" s="11" t="s">
        <v>4455</v>
      </c>
      <c r="C2310" s="12">
        <v>46084</v>
      </c>
      <c r="D2310" s="11"/>
      <c r="E2310" s="11" t="s">
        <v>6</v>
      </c>
      <c r="F2310" s="11" t="s">
        <v>4453</v>
      </c>
      <c r="G2310" s="11" t="s">
        <v>4452</v>
      </c>
      <c r="H2310" s="11"/>
      <c r="I2310" s="11" t="s">
        <v>49</v>
      </c>
      <c r="J2310" s="11">
        <v>-1533.9</v>
      </c>
      <c r="K2310" s="11"/>
      <c r="L2310" s="11">
        <v>1533.9</v>
      </c>
      <c r="M2310" s="14">
        <v>-1533.9</v>
      </c>
      <c r="N2310" s="11" t="s">
        <v>4454</v>
      </c>
      <c r="O2310" s="11" t="s">
        <v>234</v>
      </c>
    </row>
    <row r="2311" spans="1:15" s="13" customFormat="1" ht="19.5" customHeight="1" x14ac:dyDescent="0.25">
      <c r="A2311" s="11" t="s">
        <v>4456</v>
      </c>
      <c r="B2311" s="11" t="s">
        <v>4456</v>
      </c>
      <c r="C2311" s="12">
        <v>46090</v>
      </c>
      <c r="D2311" s="12">
        <v>46090</v>
      </c>
      <c r="E2311" s="11" t="s">
        <v>6</v>
      </c>
      <c r="F2311" s="11" t="s">
        <v>4457</v>
      </c>
      <c r="G2311" s="11" t="s">
        <v>4456</v>
      </c>
      <c r="H2311" s="11"/>
      <c r="I2311" s="11" t="s">
        <v>49</v>
      </c>
      <c r="J2311" s="11">
        <v>97.31</v>
      </c>
      <c r="K2311" s="11">
        <v>97.31</v>
      </c>
      <c r="L2311" s="11"/>
      <c r="M2311" s="14">
        <v>97.31</v>
      </c>
      <c r="N2311" s="11" t="s">
        <v>4458</v>
      </c>
      <c r="O2311" s="11" t="s">
        <v>50</v>
      </c>
    </row>
    <row r="2312" spans="1:15" s="13" customFormat="1" ht="19.5" customHeight="1" x14ac:dyDescent="0.25">
      <c r="A2312" s="11" t="s">
        <v>4459</v>
      </c>
      <c r="B2312" s="11" t="s">
        <v>4459</v>
      </c>
      <c r="C2312" s="12">
        <v>46087</v>
      </c>
      <c r="D2312" s="11"/>
      <c r="E2312" s="11" t="s">
        <v>6</v>
      </c>
      <c r="F2312" s="11" t="s">
        <v>4457</v>
      </c>
      <c r="G2312" s="11" t="s">
        <v>4456</v>
      </c>
      <c r="H2312" s="11"/>
      <c r="I2312" s="11" t="s">
        <v>49</v>
      </c>
      <c r="J2312" s="11">
        <v>-97.3</v>
      </c>
      <c r="K2312" s="11"/>
      <c r="L2312" s="11">
        <v>97.3</v>
      </c>
      <c r="M2312" s="14">
        <v>-97.3</v>
      </c>
      <c r="N2312" s="11" t="s">
        <v>4458</v>
      </c>
      <c r="O2312" s="11" t="s">
        <v>234</v>
      </c>
    </row>
    <row r="2313" spans="1:15" s="13" customFormat="1" ht="19.5" customHeight="1" x14ac:dyDescent="0.25">
      <c r="A2313" s="11" t="s">
        <v>4460</v>
      </c>
      <c r="B2313" s="11" t="s">
        <v>4461</v>
      </c>
      <c r="C2313" s="12">
        <v>46079</v>
      </c>
      <c r="D2313" s="12">
        <v>46079</v>
      </c>
      <c r="E2313" s="11" t="s">
        <v>6</v>
      </c>
      <c r="F2313" s="11" t="s">
        <v>2086</v>
      </c>
      <c r="G2313" s="11" t="s">
        <v>4462</v>
      </c>
      <c r="H2313" s="11" t="s">
        <v>4463</v>
      </c>
      <c r="I2313" s="11" t="s">
        <v>49</v>
      </c>
      <c r="J2313" s="11">
        <v>-359.39</v>
      </c>
      <c r="K2313" s="11"/>
      <c r="L2313" s="11">
        <v>359.39</v>
      </c>
      <c r="M2313" s="14">
        <v>-359.39</v>
      </c>
      <c r="N2313" s="11" t="s">
        <v>4464</v>
      </c>
      <c r="O2313" s="11" t="s">
        <v>82</v>
      </c>
    </row>
    <row r="2314" spans="1:15" s="13" customFormat="1" ht="19.5" customHeight="1" x14ac:dyDescent="0.25">
      <c r="A2314" s="11" t="s">
        <v>4463</v>
      </c>
      <c r="B2314" s="11" t="s">
        <v>4463</v>
      </c>
      <c r="C2314" s="12">
        <v>46079</v>
      </c>
      <c r="D2314" s="12">
        <v>46079</v>
      </c>
      <c r="E2314" s="11" t="s">
        <v>6</v>
      </c>
      <c r="F2314" s="11" t="s">
        <v>2086</v>
      </c>
      <c r="G2314" s="11" t="s">
        <v>4463</v>
      </c>
      <c r="H2314" s="11"/>
      <c r="I2314" s="11" t="s">
        <v>49</v>
      </c>
      <c r="J2314" s="11">
        <v>359.39</v>
      </c>
      <c r="K2314" s="11">
        <v>359.39</v>
      </c>
      <c r="L2314" s="11"/>
      <c r="M2314" s="14">
        <v>359.39</v>
      </c>
      <c r="N2314" s="11" t="s">
        <v>4464</v>
      </c>
      <c r="O2314" s="11" t="s">
        <v>50</v>
      </c>
    </row>
    <row r="2315" spans="1:15" s="13" customFormat="1" ht="19.5" customHeight="1" x14ac:dyDescent="0.25">
      <c r="A2315" s="11" t="s">
        <v>4465</v>
      </c>
      <c r="B2315" s="11" t="s">
        <v>4465</v>
      </c>
      <c r="C2315" s="12">
        <v>45755</v>
      </c>
      <c r="D2315" s="12">
        <v>45755</v>
      </c>
      <c r="E2315" s="11" t="s">
        <v>6</v>
      </c>
      <c r="F2315" s="11" t="s">
        <v>1826</v>
      </c>
      <c r="G2315" s="11" t="s">
        <v>4465</v>
      </c>
      <c r="H2315" s="11"/>
      <c r="I2315" s="11" t="s">
        <v>49</v>
      </c>
      <c r="J2315" s="11">
        <v>14243.08</v>
      </c>
      <c r="K2315" s="11">
        <v>14243.08</v>
      </c>
      <c r="L2315" s="11"/>
      <c r="M2315" s="14">
        <v>14243.08</v>
      </c>
      <c r="N2315" s="11" t="s">
        <v>4466</v>
      </c>
      <c r="O2315" s="11" t="s">
        <v>50</v>
      </c>
    </row>
    <row r="2316" spans="1:15" s="13" customFormat="1" ht="19.5" customHeight="1" x14ac:dyDescent="0.25">
      <c r="A2316" s="11" t="s">
        <v>4467</v>
      </c>
      <c r="B2316" s="11" t="s">
        <v>4467</v>
      </c>
      <c r="C2316" s="12">
        <v>45754</v>
      </c>
      <c r="D2316" s="11"/>
      <c r="E2316" s="11" t="s">
        <v>6</v>
      </c>
      <c r="F2316" s="11" t="s">
        <v>1826</v>
      </c>
      <c r="G2316" s="11" t="s">
        <v>4465</v>
      </c>
      <c r="H2316" s="11"/>
      <c r="I2316" s="11" t="s">
        <v>49</v>
      </c>
      <c r="J2316" s="11">
        <v>-14243.08</v>
      </c>
      <c r="K2316" s="11"/>
      <c r="L2316" s="11">
        <v>14243.08</v>
      </c>
      <c r="M2316" s="14">
        <v>-14243.08</v>
      </c>
      <c r="N2316" s="11" t="s">
        <v>4466</v>
      </c>
      <c r="O2316" s="11" t="s">
        <v>2000</v>
      </c>
    </row>
    <row r="2317" spans="1:15" s="13" customFormat="1" ht="19.5" customHeight="1" x14ac:dyDescent="0.25">
      <c r="A2317" s="11" t="s">
        <v>4468</v>
      </c>
      <c r="B2317" s="11" t="s">
        <v>4468</v>
      </c>
      <c r="C2317" s="12">
        <v>45755</v>
      </c>
      <c r="D2317" s="12">
        <v>45755</v>
      </c>
      <c r="E2317" s="11" t="s">
        <v>6</v>
      </c>
      <c r="F2317" s="11" t="s">
        <v>2525</v>
      </c>
      <c r="G2317" s="11" t="s">
        <v>4468</v>
      </c>
      <c r="H2317" s="11"/>
      <c r="I2317" s="11" t="s">
        <v>49</v>
      </c>
      <c r="J2317" s="11">
        <v>4915.8</v>
      </c>
      <c r="K2317" s="11">
        <v>4915.8</v>
      </c>
      <c r="L2317" s="11"/>
      <c r="M2317" s="14">
        <v>4915.8</v>
      </c>
      <c r="N2317" s="11" t="s">
        <v>4469</v>
      </c>
      <c r="O2317" s="11" t="s">
        <v>50</v>
      </c>
    </row>
    <row r="2318" spans="1:15" s="13" customFormat="1" ht="19.5" customHeight="1" x14ac:dyDescent="0.25">
      <c r="A2318" s="11" t="s">
        <v>4470</v>
      </c>
      <c r="B2318" s="11" t="s">
        <v>4470</v>
      </c>
      <c r="C2318" s="12">
        <v>45754</v>
      </c>
      <c r="D2318" s="11"/>
      <c r="E2318" s="11" t="s">
        <v>6</v>
      </c>
      <c r="F2318" s="11" t="s">
        <v>2525</v>
      </c>
      <c r="G2318" s="11" t="s">
        <v>4468</v>
      </c>
      <c r="H2318" s="11"/>
      <c r="I2318" s="11" t="s">
        <v>49</v>
      </c>
      <c r="J2318" s="11">
        <v>-4915.8</v>
      </c>
      <c r="K2318" s="11"/>
      <c r="L2318" s="11">
        <v>4915.8</v>
      </c>
      <c r="M2318" s="14">
        <v>-4915.8</v>
      </c>
      <c r="N2318" s="11" t="s">
        <v>4469</v>
      </c>
      <c r="O2318" s="11" t="s">
        <v>2000</v>
      </c>
    </row>
    <row r="2319" spans="1:15" s="13" customFormat="1" ht="19.5" customHeight="1" x14ac:dyDescent="0.25">
      <c r="A2319" s="11" t="s">
        <v>4471</v>
      </c>
      <c r="B2319" s="11" t="s">
        <v>4471</v>
      </c>
      <c r="C2319" s="12">
        <v>45754</v>
      </c>
      <c r="D2319" s="11"/>
      <c r="E2319" s="11" t="s">
        <v>6</v>
      </c>
      <c r="F2319" s="11" t="s">
        <v>4472</v>
      </c>
      <c r="G2319" s="11" t="s">
        <v>4473</v>
      </c>
      <c r="H2319" s="11"/>
      <c r="I2319" s="11" t="s">
        <v>49</v>
      </c>
      <c r="J2319" s="11">
        <v>-113.8</v>
      </c>
      <c r="K2319" s="11"/>
      <c r="L2319" s="11">
        <v>113.8</v>
      </c>
      <c r="M2319" s="14">
        <v>-113.8</v>
      </c>
      <c r="N2319" s="11" t="s">
        <v>4474</v>
      </c>
      <c r="O2319" s="11" t="s">
        <v>2000</v>
      </c>
    </row>
    <row r="2320" spans="1:15" s="13" customFormat="1" ht="19.5" customHeight="1" x14ac:dyDescent="0.25">
      <c r="A2320" s="11" t="s">
        <v>4473</v>
      </c>
      <c r="B2320" s="11" t="s">
        <v>4473</v>
      </c>
      <c r="C2320" s="12">
        <v>45754</v>
      </c>
      <c r="D2320" s="12">
        <v>45754</v>
      </c>
      <c r="E2320" s="11" t="s">
        <v>6</v>
      </c>
      <c r="F2320" s="11" t="s">
        <v>4472</v>
      </c>
      <c r="G2320" s="11" t="s">
        <v>4473</v>
      </c>
      <c r="H2320" s="11"/>
      <c r="I2320" s="11" t="s">
        <v>49</v>
      </c>
      <c r="J2320" s="11">
        <v>113.8</v>
      </c>
      <c r="K2320" s="11">
        <v>113.8</v>
      </c>
      <c r="L2320" s="11"/>
      <c r="M2320" s="14">
        <v>113.8</v>
      </c>
      <c r="N2320" s="11" t="s">
        <v>4474</v>
      </c>
      <c r="O2320" s="11" t="s">
        <v>50</v>
      </c>
    </row>
    <row r="2321" spans="1:15" s="13" customFormat="1" ht="19.5" customHeight="1" x14ac:dyDescent="0.25">
      <c r="A2321" s="11" t="s">
        <v>4475</v>
      </c>
      <c r="B2321" s="11" t="s">
        <v>4475</v>
      </c>
      <c r="C2321" s="12">
        <v>45754</v>
      </c>
      <c r="D2321" s="12">
        <v>45754</v>
      </c>
      <c r="E2321" s="11" t="s">
        <v>6</v>
      </c>
      <c r="F2321" s="11" t="s">
        <v>4476</v>
      </c>
      <c r="G2321" s="11" t="s">
        <v>4475</v>
      </c>
      <c r="H2321" s="11"/>
      <c r="I2321" s="11" t="s">
        <v>49</v>
      </c>
      <c r="J2321" s="11">
        <v>10436.379999999999</v>
      </c>
      <c r="K2321" s="11">
        <v>10436.379999999999</v>
      </c>
      <c r="L2321" s="11"/>
      <c r="M2321" s="14">
        <v>10436.379999999999</v>
      </c>
      <c r="N2321" s="11" t="s">
        <v>4477</v>
      </c>
      <c r="O2321" s="11" t="s">
        <v>50</v>
      </c>
    </row>
    <row r="2322" spans="1:15" s="13" customFormat="1" ht="19.5" customHeight="1" x14ac:dyDescent="0.25">
      <c r="A2322" s="11" t="s">
        <v>4478</v>
      </c>
      <c r="B2322" s="11" t="s">
        <v>4478</v>
      </c>
      <c r="C2322" s="12">
        <v>45754</v>
      </c>
      <c r="D2322" s="11"/>
      <c r="E2322" s="11" t="s">
        <v>6</v>
      </c>
      <c r="F2322" s="11" t="s">
        <v>4476</v>
      </c>
      <c r="G2322" s="11" t="s">
        <v>4475</v>
      </c>
      <c r="H2322" s="11"/>
      <c r="I2322" s="11" t="s">
        <v>49</v>
      </c>
      <c r="J2322" s="11">
        <v>-10436.379999999999</v>
      </c>
      <c r="K2322" s="11"/>
      <c r="L2322" s="11">
        <v>10436.379999999999</v>
      </c>
      <c r="M2322" s="14">
        <v>-10436.379999999999</v>
      </c>
      <c r="N2322" s="11" t="s">
        <v>4477</v>
      </c>
      <c r="O2322" s="11" t="s">
        <v>2000</v>
      </c>
    </row>
    <row r="2323" spans="1:15" s="13" customFormat="1" ht="19.5" customHeight="1" x14ac:dyDescent="0.25">
      <c r="A2323" s="11" t="s">
        <v>4479</v>
      </c>
      <c r="B2323" s="11" t="s">
        <v>4479</v>
      </c>
      <c r="C2323" s="12">
        <v>45754</v>
      </c>
      <c r="D2323" s="12">
        <v>45754</v>
      </c>
      <c r="E2323" s="11" t="s">
        <v>6</v>
      </c>
      <c r="F2323" s="11" t="s">
        <v>4480</v>
      </c>
      <c r="G2323" s="11" t="s">
        <v>4479</v>
      </c>
      <c r="H2323" s="11"/>
      <c r="I2323" s="11" t="s">
        <v>49</v>
      </c>
      <c r="J2323" s="11">
        <v>3545</v>
      </c>
      <c r="K2323" s="11">
        <v>3545</v>
      </c>
      <c r="L2323" s="11"/>
      <c r="M2323" s="14">
        <v>3545</v>
      </c>
      <c r="N2323" s="11" t="s">
        <v>4481</v>
      </c>
      <c r="O2323" s="11" t="s">
        <v>50</v>
      </c>
    </row>
    <row r="2324" spans="1:15" s="13" customFormat="1" ht="19.5" customHeight="1" x14ac:dyDescent="0.25">
      <c r="A2324" s="11" t="s">
        <v>4482</v>
      </c>
      <c r="B2324" s="11" t="s">
        <v>4482</v>
      </c>
      <c r="C2324" s="12">
        <v>45754</v>
      </c>
      <c r="D2324" s="11"/>
      <c r="E2324" s="11" t="s">
        <v>6</v>
      </c>
      <c r="F2324" s="11" t="s">
        <v>4480</v>
      </c>
      <c r="G2324" s="11" t="s">
        <v>4479</v>
      </c>
      <c r="H2324" s="11"/>
      <c r="I2324" s="11" t="s">
        <v>49</v>
      </c>
      <c r="J2324" s="11">
        <v>-3545</v>
      </c>
      <c r="K2324" s="11"/>
      <c r="L2324" s="11">
        <v>3545</v>
      </c>
      <c r="M2324" s="14">
        <v>-3545</v>
      </c>
      <c r="N2324" s="11" t="s">
        <v>4481</v>
      </c>
      <c r="O2324" s="11" t="s">
        <v>2000</v>
      </c>
    </row>
    <row r="2325" spans="1:15" s="13" customFormat="1" ht="19.5" customHeight="1" x14ac:dyDescent="0.25">
      <c r="A2325" s="11" t="s">
        <v>4483</v>
      </c>
      <c r="B2325" s="11" t="s">
        <v>4483</v>
      </c>
      <c r="C2325" s="12">
        <v>45741</v>
      </c>
      <c r="D2325" s="12">
        <v>45741</v>
      </c>
      <c r="E2325" s="11" t="s">
        <v>6</v>
      </c>
      <c r="F2325" s="11" t="s">
        <v>4480</v>
      </c>
      <c r="G2325" s="11" t="s">
        <v>4483</v>
      </c>
      <c r="H2325" s="11"/>
      <c r="I2325" s="11" t="s">
        <v>49</v>
      </c>
      <c r="J2325" s="11">
        <v>19027.009999999998</v>
      </c>
      <c r="K2325" s="11">
        <v>19027.009999999998</v>
      </c>
      <c r="L2325" s="11"/>
      <c r="M2325" s="14">
        <v>19027.009999999998</v>
      </c>
      <c r="N2325" s="11" t="s">
        <v>4484</v>
      </c>
      <c r="O2325" s="11" t="s">
        <v>50</v>
      </c>
    </row>
    <row r="2326" spans="1:15" s="13" customFormat="1" ht="19.5" customHeight="1" x14ac:dyDescent="0.25">
      <c r="A2326" s="11" t="s">
        <v>4485</v>
      </c>
      <c r="B2326" s="11" t="s">
        <v>4485</v>
      </c>
      <c r="C2326" s="12">
        <v>45740</v>
      </c>
      <c r="D2326" s="11"/>
      <c r="E2326" s="11" t="s">
        <v>6</v>
      </c>
      <c r="F2326" s="11" t="s">
        <v>4480</v>
      </c>
      <c r="G2326" s="11" t="s">
        <v>4483</v>
      </c>
      <c r="H2326" s="11"/>
      <c r="I2326" s="11" t="s">
        <v>49</v>
      </c>
      <c r="J2326" s="11">
        <v>-19027.009999999998</v>
      </c>
      <c r="K2326" s="11"/>
      <c r="L2326" s="11">
        <v>19027.009999999998</v>
      </c>
      <c r="M2326" s="14">
        <v>-19027.009999999998</v>
      </c>
      <c r="N2326" s="11" t="s">
        <v>4484</v>
      </c>
      <c r="O2326" s="11" t="s">
        <v>2000</v>
      </c>
    </row>
    <row r="2327" spans="1:15" s="13" customFormat="1" ht="19.5" customHeight="1" x14ac:dyDescent="0.25">
      <c r="A2327" s="11" t="s">
        <v>4486</v>
      </c>
      <c r="B2327" s="11" t="s">
        <v>4486</v>
      </c>
      <c r="C2327" s="12">
        <v>45755</v>
      </c>
      <c r="D2327" s="12">
        <v>45755</v>
      </c>
      <c r="E2327" s="11" t="s">
        <v>6</v>
      </c>
      <c r="F2327" s="11" t="s">
        <v>4487</v>
      </c>
      <c r="G2327" s="11" t="s">
        <v>4486</v>
      </c>
      <c r="H2327" s="11"/>
      <c r="I2327" s="11" t="s">
        <v>49</v>
      </c>
      <c r="J2327" s="11">
        <v>175</v>
      </c>
      <c r="K2327" s="11">
        <v>175</v>
      </c>
      <c r="L2327" s="11"/>
      <c r="M2327" s="14">
        <v>175</v>
      </c>
      <c r="N2327" s="11" t="s">
        <v>4488</v>
      </c>
      <c r="O2327" s="11" t="s">
        <v>50</v>
      </c>
    </row>
    <row r="2328" spans="1:15" s="13" customFormat="1" ht="19.5" customHeight="1" x14ac:dyDescent="0.25">
      <c r="A2328" s="11" t="s">
        <v>4489</v>
      </c>
      <c r="B2328" s="11" t="s">
        <v>4489</v>
      </c>
      <c r="C2328" s="12">
        <v>45754</v>
      </c>
      <c r="D2328" s="11"/>
      <c r="E2328" s="11" t="s">
        <v>6</v>
      </c>
      <c r="F2328" s="11" t="s">
        <v>4487</v>
      </c>
      <c r="G2328" s="11" t="s">
        <v>4486</v>
      </c>
      <c r="H2328" s="11"/>
      <c r="I2328" s="11" t="s">
        <v>49</v>
      </c>
      <c r="J2328" s="11">
        <v>-175</v>
      </c>
      <c r="K2328" s="11"/>
      <c r="L2328" s="11">
        <v>175</v>
      </c>
      <c r="M2328" s="14">
        <v>-175</v>
      </c>
      <c r="N2328" s="11" t="s">
        <v>4488</v>
      </c>
      <c r="O2328" s="11" t="s">
        <v>2000</v>
      </c>
    </row>
    <row r="2329" spans="1:15" s="13" customFormat="1" ht="19.5" customHeight="1" x14ac:dyDescent="0.25">
      <c r="A2329" s="11" t="s">
        <v>4490</v>
      </c>
      <c r="B2329" s="11" t="s">
        <v>4490</v>
      </c>
      <c r="C2329" s="12">
        <v>45755</v>
      </c>
      <c r="D2329" s="12">
        <v>45755</v>
      </c>
      <c r="E2329" s="11" t="s">
        <v>6</v>
      </c>
      <c r="F2329" s="11" t="s">
        <v>4491</v>
      </c>
      <c r="G2329" s="11" t="s">
        <v>4490</v>
      </c>
      <c r="H2329" s="11"/>
      <c r="I2329" s="11" t="s">
        <v>49</v>
      </c>
      <c r="J2329" s="11">
        <v>303.02</v>
      </c>
      <c r="K2329" s="11">
        <v>303.02</v>
      </c>
      <c r="L2329" s="11"/>
      <c r="M2329" s="14">
        <v>303.02</v>
      </c>
      <c r="N2329" s="11" t="s">
        <v>4492</v>
      </c>
      <c r="O2329" s="11" t="s">
        <v>50</v>
      </c>
    </row>
    <row r="2330" spans="1:15" s="13" customFormat="1" ht="19.5" customHeight="1" x14ac:dyDescent="0.25">
      <c r="A2330" s="11" t="s">
        <v>4493</v>
      </c>
      <c r="B2330" s="11" t="s">
        <v>4493</v>
      </c>
      <c r="C2330" s="12">
        <v>45754</v>
      </c>
      <c r="D2330" s="11"/>
      <c r="E2330" s="11" t="s">
        <v>6</v>
      </c>
      <c r="F2330" s="11" t="s">
        <v>4491</v>
      </c>
      <c r="G2330" s="11" t="s">
        <v>4490</v>
      </c>
      <c r="H2330" s="11"/>
      <c r="I2330" s="11" t="s">
        <v>49</v>
      </c>
      <c r="J2330" s="11">
        <v>-303.02</v>
      </c>
      <c r="K2330" s="11"/>
      <c r="L2330" s="11">
        <v>303.02</v>
      </c>
      <c r="M2330" s="14">
        <v>-303.02</v>
      </c>
      <c r="N2330" s="11" t="s">
        <v>4492</v>
      </c>
      <c r="O2330" s="11" t="s">
        <v>2000</v>
      </c>
    </row>
    <row r="2331" spans="1:15" s="13" customFormat="1" ht="19.5" customHeight="1" x14ac:dyDescent="0.25">
      <c r="A2331" s="11" t="s">
        <v>4494</v>
      </c>
      <c r="B2331" s="11" t="s">
        <v>4494</v>
      </c>
      <c r="C2331" s="12">
        <v>45754</v>
      </c>
      <c r="D2331" s="11"/>
      <c r="E2331" s="11" t="s">
        <v>6</v>
      </c>
      <c r="F2331" s="11" t="s">
        <v>555</v>
      </c>
      <c r="G2331" s="11" t="s">
        <v>4495</v>
      </c>
      <c r="H2331" s="11"/>
      <c r="I2331" s="11" t="s">
        <v>49</v>
      </c>
      <c r="J2331" s="11">
        <v>-9613.33</v>
      </c>
      <c r="K2331" s="11"/>
      <c r="L2331" s="11">
        <v>9613.33</v>
      </c>
      <c r="M2331" s="14">
        <v>-9613.33</v>
      </c>
      <c r="N2331" s="11" t="s">
        <v>4496</v>
      </c>
      <c r="O2331" s="11" t="s">
        <v>2000</v>
      </c>
    </row>
    <row r="2332" spans="1:15" s="13" customFormat="1" ht="19.5" customHeight="1" x14ac:dyDescent="0.25">
      <c r="A2332" s="11" t="s">
        <v>4495</v>
      </c>
      <c r="B2332" s="11" t="s">
        <v>4495</v>
      </c>
      <c r="C2332" s="12">
        <v>45686</v>
      </c>
      <c r="D2332" s="12">
        <v>45746</v>
      </c>
      <c r="E2332" s="11" t="s">
        <v>6</v>
      </c>
      <c r="F2332" s="11" t="s">
        <v>555</v>
      </c>
      <c r="G2332" s="11" t="s">
        <v>4495</v>
      </c>
      <c r="H2332" s="11"/>
      <c r="I2332" s="11" t="s">
        <v>49</v>
      </c>
      <c r="J2332" s="11">
        <v>9613.33</v>
      </c>
      <c r="K2332" s="11">
        <v>9613.33</v>
      </c>
      <c r="L2332" s="11"/>
      <c r="M2332" s="14">
        <v>9613.33</v>
      </c>
      <c r="N2332" s="11" t="s">
        <v>4496</v>
      </c>
      <c r="O2332" s="11" t="s">
        <v>3299</v>
      </c>
    </row>
    <row r="2333" spans="1:15" s="13" customFormat="1" ht="19.5" customHeight="1" x14ac:dyDescent="0.25">
      <c r="A2333" s="11" t="s">
        <v>4494</v>
      </c>
      <c r="B2333" s="11" t="s">
        <v>4494</v>
      </c>
      <c r="C2333" s="12">
        <v>45754</v>
      </c>
      <c r="D2333" s="11"/>
      <c r="E2333" s="11" t="s">
        <v>6</v>
      </c>
      <c r="F2333" s="11" t="s">
        <v>555</v>
      </c>
      <c r="G2333" s="11" t="s">
        <v>4497</v>
      </c>
      <c r="H2333" s="11"/>
      <c r="I2333" s="11" t="s">
        <v>49</v>
      </c>
      <c r="J2333" s="11">
        <v>-15033.2</v>
      </c>
      <c r="K2333" s="11"/>
      <c r="L2333" s="11">
        <v>15033.2</v>
      </c>
      <c r="M2333" s="14">
        <v>-15033.2</v>
      </c>
      <c r="N2333" s="11" t="s">
        <v>4498</v>
      </c>
      <c r="O2333" s="11" t="s">
        <v>2000</v>
      </c>
    </row>
    <row r="2334" spans="1:15" s="13" customFormat="1" ht="19.5" customHeight="1" x14ac:dyDescent="0.25">
      <c r="A2334" s="11" t="s">
        <v>4497</v>
      </c>
      <c r="B2334" s="11" t="s">
        <v>4497</v>
      </c>
      <c r="C2334" s="12">
        <v>45680</v>
      </c>
      <c r="D2334" s="12">
        <v>45740</v>
      </c>
      <c r="E2334" s="11" t="s">
        <v>6</v>
      </c>
      <c r="F2334" s="11" t="s">
        <v>555</v>
      </c>
      <c r="G2334" s="11" t="s">
        <v>4497</v>
      </c>
      <c r="H2334" s="11"/>
      <c r="I2334" s="11" t="s">
        <v>49</v>
      </c>
      <c r="J2334" s="11">
        <v>15033.2</v>
      </c>
      <c r="K2334" s="11">
        <v>15033.2</v>
      </c>
      <c r="L2334" s="11"/>
      <c r="M2334" s="14">
        <v>15033.2</v>
      </c>
      <c r="N2334" s="11" t="s">
        <v>4498</v>
      </c>
      <c r="O2334" s="11" t="s">
        <v>75</v>
      </c>
    </row>
    <row r="2335" spans="1:15" s="13" customFormat="1" ht="19.5" customHeight="1" x14ac:dyDescent="0.25">
      <c r="A2335" s="11" t="s">
        <v>4499</v>
      </c>
      <c r="B2335" s="11" t="s">
        <v>4499</v>
      </c>
      <c r="C2335" s="12">
        <v>45744</v>
      </c>
      <c r="D2335" s="12">
        <v>45744</v>
      </c>
      <c r="E2335" s="11" t="s">
        <v>6</v>
      </c>
      <c r="F2335" s="11" t="s">
        <v>4500</v>
      </c>
      <c r="G2335" s="11" t="s">
        <v>4499</v>
      </c>
      <c r="H2335" s="11"/>
      <c r="I2335" s="11" t="s">
        <v>49</v>
      </c>
      <c r="J2335" s="11">
        <v>71012.149999999994</v>
      </c>
      <c r="K2335" s="11">
        <v>71012.149999999994</v>
      </c>
      <c r="L2335" s="11"/>
      <c r="M2335" s="14">
        <v>71012.149999999994</v>
      </c>
      <c r="N2335" s="11" t="s">
        <v>4501</v>
      </c>
      <c r="O2335" s="11" t="s">
        <v>50</v>
      </c>
    </row>
    <row r="2336" spans="1:15" s="13" customFormat="1" ht="19.5" customHeight="1" x14ac:dyDescent="0.25">
      <c r="A2336" s="11" t="s">
        <v>4502</v>
      </c>
      <c r="B2336" s="11" t="s">
        <v>4502</v>
      </c>
      <c r="C2336" s="12">
        <v>45744</v>
      </c>
      <c r="D2336" s="11"/>
      <c r="E2336" s="11" t="s">
        <v>6</v>
      </c>
      <c r="F2336" s="11" t="s">
        <v>4500</v>
      </c>
      <c r="G2336" s="11" t="s">
        <v>4499</v>
      </c>
      <c r="H2336" s="11"/>
      <c r="I2336" s="11" t="s">
        <v>49</v>
      </c>
      <c r="J2336" s="11">
        <v>-71012.149999999994</v>
      </c>
      <c r="K2336" s="11"/>
      <c r="L2336" s="11">
        <v>71012.149999999994</v>
      </c>
      <c r="M2336" s="14">
        <v>-71012.149999999994</v>
      </c>
      <c r="N2336" s="11" t="s">
        <v>4501</v>
      </c>
      <c r="O2336" s="11" t="s">
        <v>2000</v>
      </c>
    </row>
    <row r="2337" spans="1:15" s="13" customFormat="1" ht="19.5" customHeight="1" x14ac:dyDescent="0.25">
      <c r="A2337" s="11" t="s">
        <v>4503</v>
      </c>
      <c r="B2337" s="11" t="s">
        <v>4503</v>
      </c>
      <c r="C2337" s="12">
        <v>45747</v>
      </c>
      <c r="D2337" s="12">
        <v>45747</v>
      </c>
      <c r="E2337" s="11" t="s">
        <v>6</v>
      </c>
      <c r="F2337" s="11" t="s">
        <v>607</v>
      </c>
      <c r="G2337" s="11" t="s">
        <v>4503</v>
      </c>
      <c r="H2337" s="11"/>
      <c r="I2337" s="11" t="s">
        <v>49</v>
      </c>
      <c r="J2337" s="11">
        <v>20105.66</v>
      </c>
      <c r="K2337" s="11">
        <v>20105.66</v>
      </c>
      <c r="L2337" s="11"/>
      <c r="M2337" s="14">
        <v>20105.66</v>
      </c>
      <c r="N2337" s="11" t="s">
        <v>4504</v>
      </c>
      <c r="O2337" s="11" t="s">
        <v>50</v>
      </c>
    </row>
    <row r="2338" spans="1:15" s="13" customFormat="1" ht="19.5" customHeight="1" x14ac:dyDescent="0.25">
      <c r="A2338" s="11" t="s">
        <v>4505</v>
      </c>
      <c r="B2338" s="11" t="s">
        <v>4505</v>
      </c>
      <c r="C2338" s="12">
        <v>45744</v>
      </c>
      <c r="D2338" s="11"/>
      <c r="E2338" s="11" t="s">
        <v>6</v>
      </c>
      <c r="F2338" s="11" t="s">
        <v>607</v>
      </c>
      <c r="G2338" s="11" t="s">
        <v>4503</v>
      </c>
      <c r="H2338" s="11"/>
      <c r="I2338" s="11" t="s">
        <v>49</v>
      </c>
      <c r="J2338" s="11">
        <v>-20105.66</v>
      </c>
      <c r="K2338" s="11"/>
      <c r="L2338" s="11">
        <v>20105.66</v>
      </c>
      <c r="M2338" s="14">
        <v>-20105.66</v>
      </c>
      <c r="N2338" s="11" t="s">
        <v>4504</v>
      </c>
      <c r="O2338" s="11" t="s">
        <v>2000</v>
      </c>
    </row>
    <row r="2339" spans="1:15" s="13" customFormat="1" ht="19.5" customHeight="1" x14ac:dyDescent="0.25">
      <c r="A2339" s="11" t="s">
        <v>4506</v>
      </c>
      <c r="B2339" s="11" t="s">
        <v>4506</v>
      </c>
      <c r="C2339" s="12">
        <v>45744</v>
      </c>
      <c r="D2339" s="12">
        <v>45744</v>
      </c>
      <c r="E2339" s="11" t="s">
        <v>6</v>
      </c>
      <c r="F2339" s="11" t="s">
        <v>4507</v>
      </c>
      <c r="G2339" s="11" t="s">
        <v>4506</v>
      </c>
      <c r="H2339" s="11"/>
      <c r="I2339" s="11" t="s">
        <v>49</v>
      </c>
      <c r="J2339" s="11">
        <v>1469.73</v>
      </c>
      <c r="K2339" s="11">
        <v>1469.73</v>
      </c>
      <c r="L2339" s="11"/>
      <c r="M2339" s="14">
        <v>1469.73</v>
      </c>
      <c r="N2339" s="11" t="s">
        <v>4508</v>
      </c>
      <c r="O2339" s="11" t="s">
        <v>50</v>
      </c>
    </row>
    <row r="2340" spans="1:15" s="13" customFormat="1" ht="19.5" customHeight="1" x14ac:dyDescent="0.25">
      <c r="A2340" s="11" t="s">
        <v>4509</v>
      </c>
      <c r="B2340" s="11" t="s">
        <v>4509</v>
      </c>
      <c r="C2340" s="12">
        <v>45721</v>
      </c>
      <c r="D2340" s="12">
        <v>45721</v>
      </c>
      <c r="E2340" s="11" t="s">
        <v>6</v>
      </c>
      <c r="F2340" s="11" t="s">
        <v>4507</v>
      </c>
      <c r="G2340" s="11"/>
      <c r="H2340" s="11"/>
      <c r="I2340" s="11" t="s">
        <v>49</v>
      </c>
      <c r="J2340" s="11">
        <v>-1469.73</v>
      </c>
      <c r="K2340" s="11"/>
      <c r="L2340" s="11">
        <v>1469.73</v>
      </c>
      <c r="M2340" s="14">
        <v>-1469.73</v>
      </c>
      <c r="N2340" s="11" t="s">
        <v>4508</v>
      </c>
      <c r="O2340" s="11" t="s">
        <v>50</v>
      </c>
    </row>
    <row r="2341" spans="1:15" s="13" customFormat="1" ht="19.5" customHeight="1" x14ac:dyDescent="0.25">
      <c r="A2341" s="11" t="s">
        <v>4510</v>
      </c>
      <c r="B2341" s="11" t="s">
        <v>4511</v>
      </c>
      <c r="C2341" s="12">
        <v>45744</v>
      </c>
      <c r="D2341" s="12">
        <v>45744</v>
      </c>
      <c r="E2341" s="11" t="s">
        <v>6</v>
      </c>
      <c r="F2341" s="11" t="s">
        <v>593</v>
      </c>
      <c r="G2341" s="11" t="s">
        <v>4512</v>
      </c>
      <c r="H2341" s="11" t="s">
        <v>4513</v>
      </c>
      <c r="I2341" s="11" t="s">
        <v>49</v>
      </c>
      <c r="J2341" s="11">
        <v>-8440.34</v>
      </c>
      <c r="K2341" s="11"/>
      <c r="L2341" s="11">
        <v>8440.34</v>
      </c>
      <c r="M2341" s="14">
        <v>-8440.34</v>
      </c>
      <c r="N2341" s="11" t="s">
        <v>4514</v>
      </c>
      <c r="O2341" s="11" t="s">
        <v>2706</v>
      </c>
    </row>
    <row r="2342" spans="1:15" s="13" customFormat="1" ht="19.5" customHeight="1" x14ac:dyDescent="0.25">
      <c r="A2342" s="11" t="s">
        <v>4515</v>
      </c>
      <c r="B2342" s="11" t="s">
        <v>4515</v>
      </c>
      <c r="C2342" s="12">
        <v>45728</v>
      </c>
      <c r="D2342" s="12">
        <v>45773</v>
      </c>
      <c r="E2342" s="11" t="s">
        <v>6</v>
      </c>
      <c r="F2342" s="11" t="s">
        <v>593</v>
      </c>
      <c r="G2342" s="11" t="s">
        <v>4515</v>
      </c>
      <c r="H2342" s="11"/>
      <c r="I2342" s="11" t="s">
        <v>49</v>
      </c>
      <c r="J2342" s="11">
        <v>2110.09</v>
      </c>
      <c r="K2342" s="11">
        <v>2110.09</v>
      </c>
      <c r="L2342" s="11"/>
      <c r="M2342" s="14">
        <v>2110.09</v>
      </c>
      <c r="N2342" s="11" t="s">
        <v>4514</v>
      </c>
      <c r="O2342" s="11" t="s">
        <v>50</v>
      </c>
    </row>
    <row r="2343" spans="1:15" s="13" customFormat="1" ht="19.5" customHeight="1" x14ac:dyDescent="0.25">
      <c r="A2343" s="11" t="s">
        <v>4515</v>
      </c>
      <c r="B2343" s="11" t="s">
        <v>4515</v>
      </c>
      <c r="C2343" s="12">
        <v>45728</v>
      </c>
      <c r="D2343" s="12">
        <v>45783</v>
      </c>
      <c r="E2343" s="11" t="s">
        <v>6</v>
      </c>
      <c r="F2343" s="11" t="s">
        <v>593</v>
      </c>
      <c r="G2343" s="11" t="s">
        <v>4515</v>
      </c>
      <c r="H2343" s="11"/>
      <c r="I2343" s="11" t="s">
        <v>49</v>
      </c>
      <c r="J2343" s="11">
        <v>2110.09</v>
      </c>
      <c r="K2343" s="11">
        <v>2110.09</v>
      </c>
      <c r="L2343" s="11"/>
      <c r="M2343" s="14">
        <v>2110.09</v>
      </c>
      <c r="N2343" s="11" t="s">
        <v>4514</v>
      </c>
      <c r="O2343" s="11" t="s">
        <v>50</v>
      </c>
    </row>
    <row r="2344" spans="1:15" s="13" customFormat="1" ht="19.5" customHeight="1" x14ac:dyDescent="0.25">
      <c r="A2344" s="11" t="s">
        <v>4515</v>
      </c>
      <c r="B2344" s="11" t="s">
        <v>4515</v>
      </c>
      <c r="C2344" s="12">
        <v>45728</v>
      </c>
      <c r="D2344" s="12">
        <v>45793</v>
      </c>
      <c r="E2344" s="11" t="s">
        <v>6</v>
      </c>
      <c r="F2344" s="11" t="s">
        <v>593</v>
      </c>
      <c r="G2344" s="11" t="s">
        <v>4515</v>
      </c>
      <c r="H2344" s="11"/>
      <c r="I2344" s="11" t="s">
        <v>49</v>
      </c>
      <c r="J2344" s="11">
        <v>2110.09</v>
      </c>
      <c r="K2344" s="11">
        <v>2110.09</v>
      </c>
      <c r="L2344" s="11"/>
      <c r="M2344" s="14">
        <v>2110.09</v>
      </c>
      <c r="N2344" s="11" t="s">
        <v>4514</v>
      </c>
      <c r="O2344" s="11" t="s">
        <v>50</v>
      </c>
    </row>
    <row r="2345" spans="1:15" s="13" customFormat="1" ht="19.5" customHeight="1" x14ac:dyDescent="0.25">
      <c r="A2345" s="11" t="s">
        <v>4515</v>
      </c>
      <c r="B2345" s="11" t="s">
        <v>4515</v>
      </c>
      <c r="C2345" s="12">
        <v>45728</v>
      </c>
      <c r="D2345" s="12">
        <v>45803</v>
      </c>
      <c r="E2345" s="11" t="s">
        <v>6</v>
      </c>
      <c r="F2345" s="11" t="s">
        <v>593</v>
      </c>
      <c r="G2345" s="11" t="s">
        <v>4515</v>
      </c>
      <c r="H2345" s="11"/>
      <c r="I2345" s="11" t="s">
        <v>49</v>
      </c>
      <c r="J2345" s="11">
        <v>2110.0700000000002</v>
      </c>
      <c r="K2345" s="11">
        <v>2110.0700000000002</v>
      </c>
      <c r="L2345" s="11"/>
      <c r="M2345" s="14">
        <v>2110.0700000000002</v>
      </c>
      <c r="N2345" s="11" t="s">
        <v>4514</v>
      </c>
      <c r="O2345" s="11" t="s">
        <v>50</v>
      </c>
    </row>
    <row r="2346" spans="1:15" s="13" customFormat="1" ht="19.5" customHeight="1" x14ac:dyDescent="0.25">
      <c r="A2346" s="11" t="s">
        <v>4516</v>
      </c>
      <c r="B2346" s="11" t="s">
        <v>4517</v>
      </c>
      <c r="C2346" s="12">
        <v>45744</v>
      </c>
      <c r="D2346" s="12">
        <v>45744</v>
      </c>
      <c r="E2346" s="11" t="s">
        <v>6</v>
      </c>
      <c r="F2346" s="11" t="s">
        <v>593</v>
      </c>
      <c r="G2346" s="11" t="s">
        <v>4518</v>
      </c>
      <c r="H2346" s="11" t="s">
        <v>4519</v>
      </c>
      <c r="I2346" s="11" t="s">
        <v>49</v>
      </c>
      <c r="J2346" s="11">
        <v>-9624.44</v>
      </c>
      <c r="K2346" s="11"/>
      <c r="L2346" s="11">
        <v>9624.44</v>
      </c>
      <c r="M2346" s="14">
        <v>-9624.44</v>
      </c>
      <c r="N2346" s="11" t="s">
        <v>4520</v>
      </c>
      <c r="O2346" s="11" t="s">
        <v>2706</v>
      </c>
    </row>
    <row r="2347" spans="1:15" s="13" customFormat="1" ht="19.5" customHeight="1" x14ac:dyDescent="0.25">
      <c r="A2347" s="11" t="s">
        <v>4521</v>
      </c>
      <c r="B2347" s="11" t="s">
        <v>4521</v>
      </c>
      <c r="C2347" s="12">
        <v>45729</v>
      </c>
      <c r="D2347" s="12">
        <v>45774</v>
      </c>
      <c r="E2347" s="11" t="s">
        <v>6</v>
      </c>
      <c r="F2347" s="11" t="s">
        <v>593</v>
      </c>
      <c r="G2347" s="11" t="s">
        <v>4521</v>
      </c>
      <c r="H2347" s="11"/>
      <c r="I2347" s="11" t="s">
        <v>49</v>
      </c>
      <c r="J2347" s="11">
        <v>2406.11</v>
      </c>
      <c r="K2347" s="11">
        <v>2406.11</v>
      </c>
      <c r="L2347" s="11"/>
      <c r="M2347" s="14">
        <v>2406.11</v>
      </c>
      <c r="N2347" s="11" t="s">
        <v>4520</v>
      </c>
      <c r="O2347" s="11" t="s">
        <v>50</v>
      </c>
    </row>
    <row r="2348" spans="1:15" s="13" customFormat="1" ht="19.5" customHeight="1" x14ac:dyDescent="0.25">
      <c r="A2348" s="11" t="s">
        <v>4521</v>
      </c>
      <c r="B2348" s="11" t="s">
        <v>4521</v>
      </c>
      <c r="C2348" s="12">
        <v>45729</v>
      </c>
      <c r="D2348" s="12">
        <v>45784</v>
      </c>
      <c r="E2348" s="11" t="s">
        <v>6</v>
      </c>
      <c r="F2348" s="11" t="s">
        <v>593</v>
      </c>
      <c r="G2348" s="11" t="s">
        <v>4521</v>
      </c>
      <c r="H2348" s="11"/>
      <c r="I2348" s="11" t="s">
        <v>49</v>
      </c>
      <c r="J2348" s="11">
        <v>2406.11</v>
      </c>
      <c r="K2348" s="11">
        <v>2406.11</v>
      </c>
      <c r="L2348" s="11"/>
      <c r="M2348" s="14">
        <v>2406.11</v>
      </c>
      <c r="N2348" s="11" t="s">
        <v>4520</v>
      </c>
      <c r="O2348" s="11" t="s">
        <v>50</v>
      </c>
    </row>
    <row r="2349" spans="1:15" s="13" customFormat="1" ht="19.5" customHeight="1" x14ac:dyDescent="0.25">
      <c r="A2349" s="11" t="s">
        <v>4521</v>
      </c>
      <c r="B2349" s="11" t="s">
        <v>4521</v>
      </c>
      <c r="C2349" s="12">
        <v>45729</v>
      </c>
      <c r="D2349" s="12">
        <v>45794</v>
      </c>
      <c r="E2349" s="11" t="s">
        <v>6</v>
      </c>
      <c r="F2349" s="11" t="s">
        <v>593</v>
      </c>
      <c r="G2349" s="11" t="s">
        <v>4521</v>
      </c>
      <c r="H2349" s="11"/>
      <c r="I2349" s="11" t="s">
        <v>49</v>
      </c>
      <c r="J2349" s="11">
        <v>2406.11</v>
      </c>
      <c r="K2349" s="11">
        <v>2406.11</v>
      </c>
      <c r="L2349" s="11"/>
      <c r="M2349" s="14">
        <v>2406.11</v>
      </c>
      <c r="N2349" s="11" t="s">
        <v>4520</v>
      </c>
      <c r="O2349" s="11" t="s">
        <v>50</v>
      </c>
    </row>
    <row r="2350" spans="1:15" s="13" customFormat="1" ht="19.5" customHeight="1" x14ac:dyDescent="0.25">
      <c r="A2350" s="11" t="s">
        <v>4521</v>
      </c>
      <c r="B2350" s="11" t="s">
        <v>4521</v>
      </c>
      <c r="C2350" s="12">
        <v>45729</v>
      </c>
      <c r="D2350" s="12">
        <v>45804</v>
      </c>
      <c r="E2350" s="11" t="s">
        <v>6</v>
      </c>
      <c r="F2350" s="11" t="s">
        <v>593</v>
      </c>
      <c r="G2350" s="11" t="s">
        <v>4521</v>
      </c>
      <c r="H2350" s="11"/>
      <c r="I2350" s="11" t="s">
        <v>49</v>
      </c>
      <c r="J2350" s="11">
        <v>2406.11</v>
      </c>
      <c r="K2350" s="11">
        <v>2406.11</v>
      </c>
      <c r="L2350" s="11"/>
      <c r="M2350" s="14">
        <v>2406.11</v>
      </c>
      <c r="N2350" s="11" t="s">
        <v>4520</v>
      </c>
      <c r="O2350" s="11" t="s">
        <v>50</v>
      </c>
    </row>
    <row r="2351" spans="1:15" s="13" customFormat="1" ht="19.5" customHeight="1" x14ac:dyDescent="0.25">
      <c r="A2351" s="11" t="s">
        <v>4522</v>
      </c>
      <c r="B2351" s="11" t="s">
        <v>4522</v>
      </c>
      <c r="C2351" s="12">
        <v>45700</v>
      </c>
      <c r="D2351" s="12">
        <v>45700</v>
      </c>
      <c r="E2351" s="11" t="s">
        <v>6</v>
      </c>
      <c r="F2351" s="11" t="s">
        <v>4507</v>
      </c>
      <c r="G2351" s="11" t="s">
        <v>4522</v>
      </c>
      <c r="H2351" s="11"/>
      <c r="I2351" s="11" t="s">
        <v>49</v>
      </c>
      <c r="J2351" s="11">
        <v>293.95</v>
      </c>
      <c r="K2351" s="11">
        <v>293.95</v>
      </c>
      <c r="L2351" s="11"/>
      <c r="M2351" s="14">
        <v>293.95</v>
      </c>
      <c r="N2351" s="11" t="s">
        <v>4523</v>
      </c>
      <c r="O2351" s="11" t="s">
        <v>3299</v>
      </c>
    </row>
    <row r="2352" spans="1:15" s="13" customFormat="1" ht="19.5" customHeight="1" x14ac:dyDescent="0.25">
      <c r="A2352" s="11" t="s">
        <v>4524</v>
      </c>
      <c r="B2352" s="11" t="s">
        <v>4525</v>
      </c>
      <c r="C2352" s="12">
        <v>45698</v>
      </c>
      <c r="D2352" s="11"/>
      <c r="E2352" s="11" t="s">
        <v>6</v>
      </c>
      <c r="F2352" s="11" t="s">
        <v>4507</v>
      </c>
      <c r="G2352" s="11" t="s">
        <v>4522</v>
      </c>
      <c r="H2352" s="11" t="s">
        <v>4522</v>
      </c>
      <c r="I2352" s="11" t="s">
        <v>49</v>
      </c>
      <c r="J2352" s="11">
        <v>-0.04</v>
      </c>
      <c r="K2352" s="11"/>
      <c r="L2352" s="11">
        <v>0.04</v>
      </c>
      <c r="M2352" s="14">
        <v>-0.04</v>
      </c>
      <c r="N2352" s="11" t="s">
        <v>4523</v>
      </c>
      <c r="O2352" s="11" t="s">
        <v>2706</v>
      </c>
    </row>
    <row r="2353" spans="1:15" s="13" customFormat="1" ht="19.5" customHeight="1" x14ac:dyDescent="0.25">
      <c r="A2353" s="11" t="s">
        <v>4526</v>
      </c>
      <c r="B2353" s="11" t="s">
        <v>4526</v>
      </c>
      <c r="C2353" s="12">
        <v>45698</v>
      </c>
      <c r="D2353" s="12">
        <v>45698</v>
      </c>
      <c r="E2353" s="11" t="s">
        <v>6</v>
      </c>
      <c r="F2353" s="11" t="s">
        <v>4507</v>
      </c>
      <c r="G2353" s="11"/>
      <c r="H2353" s="11"/>
      <c r="I2353" s="11" t="s">
        <v>49</v>
      </c>
      <c r="J2353" s="11">
        <v>-293.91000000000003</v>
      </c>
      <c r="K2353" s="11"/>
      <c r="L2353" s="11">
        <v>293.91000000000003</v>
      </c>
      <c r="M2353" s="14">
        <v>-293.91000000000003</v>
      </c>
      <c r="N2353" s="11" t="s">
        <v>4523</v>
      </c>
      <c r="O2353" s="11" t="s">
        <v>75</v>
      </c>
    </row>
    <row r="2354" spans="1:15" s="13" customFormat="1" ht="19.5" customHeight="1" x14ac:dyDescent="0.25">
      <c r="A2354" s="11" t="s">
        <v>4527</v>
      </c>
      <c r="B2354" s="11" t="s">
        <v>4528</v>
      </c>
      <c r="C2354" s="12">
        <v>45701</v>
      </c>
      <c r="D2354" s="11"/>
      <c r="E2354" s="11" t="s">
        <v>6</v>
      </c>
      <c r="F2354" s="11" t="s">
        <v>4529</v>
      </c>
      <c r="G2354" s="11" t="s">
        <v>4530</v>
      </c>
      <c r="H2354" s="11" t="s">
        <v>4530</v>
      </c>
      <c r="I2354" s="11" t="s">
        <v>49</v>
      </c>
      <c r="J2354" s="11">
        <v>-0.03</v>
      </c>
      <c r="K2354" s="11"/>
      <c r="L2354" s="11">
        <v>0.03</v>
      </c>
      <c r="M2354" s="14">
        <v>-0.03</v>
      </c>
      <c r="N2354" s="11" t="s">
        <v>4531</v>
      </c>
      <c r="O2354" s="11" t="s">
        <v>2706</v>
      </c>
    </row>
    <row r="2355" spans="1:15" s="13" customFormat="1" ht="19.5" customHeight="1" x14ac:dyDescent="0.25">
      <c r="A2355" s="11" t="s">
        <v>4530</v>
      </c>
      <c r="B2355" s="11" t="s">
        <v>4530</v>
      </c>
      <c r="C2355" s="12">
        <v>45701</v>
      </c>
      <c r="D2355" s="12">
        <v>45701</v>
      </c>
      <c r="E2355" s="11" t="s">
        <v>6</v>
      </c>
      <c r="F2355" s="11" t="s">
        <v>4529</v>
      </c>
      <c r="G2355" s="11" t="s">
        <v>4530</v>
      </c>
      <c r="H2355" s="11"/>
      <c r="I2355" s="11" t="s">
        <v>49</v>
      </c>
      <c r="J2355" s="11">
        <v>2505.7199999999998</v>
      </c>
      <c r="K2355" s="11">
        <v>2505.7199999999998</v>
      </c>
      <c r="L2355" s="11"/>
      <c r="M2355" s="14">
        <v>2505.7199999999998</v>
      </c>
      <c r="N2355" s="11" t="s">
        <v>4531</v>
      </c>
      <c r="O2355" s="11" t="s">
        <v>3299</v>
      </c>
    </row>
    <row r="2356" spans="1:15" s="13" customFormat="1" ht="19.5" customHeight="1" x14ac:dyDescent="0.25">
      <c r="A2356" s="11" t="s">
        <v>4532</v>
      </c>
      <c r="B2356" s="11" t="s">
        <v>4532</v>
      </c>
      <c r="C2356" s="12">
        <v>45658</v>
      </c>
      <c r="D2356" s="12">
        <v>45645</v>
      </c>
      <c r="E2356" s="11" t="s">
        <v>6</v>
      </c>
      <c r="F2356" s="11" t="s">
        <v>4529</v>
      </c>
      <c r="G2356" s="11" t="s">
        <v>4532</v>
      </c>
      <c r="H2356" s="11"/>
      <c r="I2356" s="11" t="s">
        <v>49</v>
      </c>
      <c r="J2356" s="11">
        <v>-53.54</v>
      </c>
      <c r="K2356" s="11"/>
      <c r="L2356" s="11">
        <v>53.54</v>
      </c>
      <c r="M2356" s="14">
        <v>-53.54</v>
      </c>
      <c r="N2356" s="11" t="s">
        <v>4531</v>
      </c>
      <c r="O2356" s="11" t="s">
        <v>234</v>
      </c>
    </row>
    <row r="2357" spans="1:15" s="13" customFormat="1" ht="19.5" customHeight="1" x14ac:dyDescent="0.25">
      <c r="A2357" s="11" t="s">
        <v>4533</v>
      </c>
      <c r="B2357" s="11" t="s">
        <v>4533</v>
      </c>
      <c r="C2357" s="12">
        <v>45658</v>
      </c>
      <c r="D2357" s="12">
        <v>45645</v>
      </c>
      <c r="E2357" s="11" t="s">
        <v>6</v>
      </c>
      <c r="F2357" s="11" t="s">
        <v>4529</v>
      </c>
      <c r="G2357" s="11" t="s">
        <v>4533</v>
      </c>
      <c r="H2357" s="11"/>
      <c r="I2357" s="11" t="s">
        <v>49</v>
      </c>
      <c r="J2357" s="11">
        <v>-2452.15</v>
      </c>
      <c r="K2357" s="11"/>
      <c r="L2357" s="11">
        <v>2452.15</v>
      </c>
      <c r="M2357" s="14">
        <v>-2452.15</v>
      </c>
      <c r="N2357" s="11" t="s">
        <v>4531</v>
      </c>
      <c r="O2357" s="11" t="s">
        <v>234</v>
      </c>
    </row>
    <row r="2358" spans="1:15" s="13" customFormat="1" ht="19.5" customHeight="1" x14ac:dyDescent="0.25">
      <c r="A2358" s="11" t="s">
        <v>4534</v>
      </c>
      <c r="B2358" s="11" t="s">
        <v>4534</v>
      </c>
      <c r="C2358" s="12">
        <v>45729</v>
      </c>
      <c r="D2358" s="11"/>
      <c r="E2358" s="11" t="s">
        <v>6</v>
      </c>
      <c r="F2358" s="11" t="s">
        <v>4535</v>
      </c>
      <c r="G2358" s="11" t="s">
        <v>4536</v>
      </c>
      <c r="H2358" s="11"/>
      <c r="I2358" s="11" t="s">
        <v>49</v>
      </c>
      <c r="J2358" s="11">
        <v>-356.04</v>
      </c>
      <c r="K2358" s="11"/>
      <c r="L2358" s="11">
        <v>356.04</v>
      </c>
      <c r="M2358" s="14">
        <v>-356.04</v>
      </c>
      <c r="N2358" s="11" t="s">
        <v>4537</v>
      </c>
      <c r="O2358" s="11" t="s">
        <v>234</v>
      </c>
    </row>
    <row r="2359" spans="1:15" s="13" customFormat="1" ht="19.5" customHeight="1" x14ac:dyDescent="0.25">
      <c r="A2359" s="11" t="s">
        <v>4536</v>
      </c>
      <c r="B2359" s="11" t="s">
        <v>4536</v>
      </c>
      <c r="C2359" s="12">
        <v>45729</v>
      </c>
      <c r="D2359" s="12">
        <v>45729</v>
      </c>
      <c r="E2359" s="11" t="s">
        <v>6</v>
      </c>
      <c r="F2359" s="11" t="s">
        <v>4535</v>
      </c>
      <c r="G2359" s="11" t="s">
        <v>4536</v>
      </c>
      <c r="H2359" s="11"/>
      <c r="I2359" s="11" t="s">
        <v>49</v>
      </c>
      <c r="J2359" s="11">
        <v>356.04</v>
      </c>
      <c r="K2359" s="11">
        <v>356.04</v>
      </c>
      <c r="L2359" s="11"/>
      <c r="M2359" s="14">
        <v>356.04</v>
      </c>
      <c r="N2359" s="11" t="s">
        <v>4537</v>
      </c>
      <c r="O2359" s="11" t="s">
        <v>50</v>
      </c>
    </row>
    <row r="2360" spans="1:15" s="13" customFormat="1" ht="19.5" customHeight="1" x14ac:dyDescent="0.25">
      <c r="A2360" s="11" t="s">
        <v>4538</v>
      </c>
      <c r="B2360" s="11" t="s">
        <v>4538</v>
      </c>
      <c r="C2360" s="12">
        <v>45726</v>
      </c>
      <c r="D2360" s="12">
        <v>45726</v>
      </c>
      <c r="E2360" s="11" t="s">
        <v>6</v>
      </c>
      <c r="F2360" s="11" t="s">
        <v>4539</v>
      </c>
      <c r="G2360" s="11" t="s">
        <v>4538</v>
      </c>
      <c r="H2360" s="11"/>
      <c r="I2360" s="11" t="s">
        <v>49</v>
      </c>
      <c r="J2360" s="11">
        <v>18992.34</v>
      </c>
      <c r="K2360" s="11">
        <v>18992.34</v>
      </c>
      <c r="L2360" s="11"/>
      <c r="M2360" s="14">
        <v>18992.34</v>
      </c>
      <c r="N2360" s="11" t="s">
        <v>4540</v>
      </c>
      <c r="O2360" s="11" t="s">
        <v>50</v>
      </c>
    </row>
    <row r="2361" spans="1:15" s="13" customFormat="1" ht="19.5" customHeight="1" x14ac:dyDescent="0.25">
      <c r="A2361" s="11" t="s">
        <v>4541</v>
      </c>
      <c r="B2361" s="11" t="s">
        <v>4541</v>
      </c>
      <c r="C2361" s="12">
        <v>45726</v>
      </c>
      <c r="D2361" s="11"/>
      <c r="E2361" s="11" t="s">
        <v>6</v>
      </c>
      <c r="F2361" s="11" t="s">
        <v>4539</v>
      </c>
      <c r="G2361" s="11" t="s">
        <v>4538</v>
      </c>
      <c r="H2361" s="11"/>
      <c r="I2361" s="11" t="s">
        <v>49</v>
      </c>
      <c r="J2361" s="11">
        <v>-18992.34</v>
      </c>
      <c r="K2361" s="11"/>
      <c r="L2361" s="11">
        <v>18992.34</v>
      </c>
      <c r="M2361" s="14">
        <v>-18992.34</v>
      </c>
      <c r="N2361" s="11" t="s">
        <v>4540</v>
      </c>
      <c r="O2361" s="11" t="s">
        <v>2706</v>
      </c>
    </row>
    <row r="2362" spans="1:15" s="13" customFormat="1" ht="19.5" customHeight="1" x14ac:dyDescent="0.25">
      <c r="A2362" s="11" t="s">
        <v>4542</v>
      </c>
      <c r="B2362" s="11" t="s">
        <v>4542</v>
      </c>
      <c r="C2362" s="12">
        <v>45744</v>
      </c>
      <c r="D2362" s="12">
        <v>45744</v>
      </c>
      <c r="E2362" s="11" t="s">
        <v>6</v>
      </c>
      <c r="F2362" s="11" t="s">
        <v>4539</v>
      </c>
      <c r="G2362" s="11" t="s">
        <v>4542</v>
      </c>
      <c r="H2362" s="11"/>
      <c r="I2362" s="11" t="s">
        <v>49</v>
      </c>
      <c r="J2362" s="11">
        <v>40311.86</v>
      </c>
      <c r="K2362" s="11">
        <v>40311.86</v>
      </c>
      <c r="L2362" s="11"/>
      <c r="M2362" s="14">
        <v>40311.86</v>
      </c>
      <c r="N2362" s="11" t="s">
        <v>4543</v>
      </c>
      <c r="O2362" s="11" t="s">
        <v>50</v>
      </c>
    </row>
    <row r="2363" spans="1:15" s="13" customFormat="1" ht="19.5" customHeight="1" x14ac:dyDescent="0.25">
      <c r="A2363" s="11" t="s">
        <v>4544</v>
      </c>
      <c r="B2363" s="11" t="s">
        <v>4544</v>
      </c>
      <c r="C2363" s="12">
        <v>45744</v>
      </c>
      <c r="D2363" s="11"/>
      <c r="E2363" s="11" t="s">
        <v>6</v>
      </c>
      <c r="F2363" s="11" t="s">
        <v>4539</v>
      </c>
      <c r="G2363" s="11" t="s">
        <v>4542</v>
      </c>
      <c r="H2363" s="11"/>
      <c r="I2363" s="11" t="s">
        <v>49</v>
      </c>
      <c r="J2363" s="11">
        <v>-5311.86</v>
      </c>
      <c r="K2363" s="11"/>
      <c r="L2363" s="11">
        <v>5311.86</v>
      </c>
      <c r="M2363" s="14">
        <v>-5311.86</v>
      </c>
      <c r="N2363" s="11" t="s">
        <v>4543</v>
      </c>
      <c r="O2363" s="11" t="s">
        <v>2706</v>
      </c>
    </row>
    <row r="2364" spans="1:15" s="13" customFormat="1" ht="19.5" customHeight="1" x14ac:dyDescent="0.25">
      <c r="A2364" s="11" t="s">
        <v>4545</v>
      </c>
      <c r="B2364" s="11" t="s">
        <v>4545</v>
      </c>
      <c r="C2364" s="12">
        <v>45744</v>
      </c>
      <c r="D2364" s="11"/>
      <c r="E2364" s="11" t="s">
        <v>6</v>
      </c>
      <c r="F2364" s="11" t="s">
        <v>4539</v>
      </c>
      <c r="G2364" s="11" t="s">
        <v>4542</v>
      </c>
      <c r="H2364" s="11"/>
      <c r="I2364" s="11" t="s">
        <v>49</v>
      </c>
      <c r="J2364" s="11">
        <v>-35000</v>
      </c>
      <c r="K2364" s="11"/>
      <c r="L2364" s="11">
        <v>35000</v>
      </c>
      <c r="M2364" s="14">
        <v>-35000</v>
      </c>
      <c r="N2364" s="11" t="s">
        <v>4543</v>
      </c>
      <c r="O2364" s="11" t="s">
        <v>2706</v>
      </c>
    </row>
    <row r="2365" spans="1:15" s="13" customFormat="1" ht="19.5" customHeight="1" x14ac:dyDescent="0.25">
      <c r="A2365" s="11" t="s">
        <v>4546</v>
      </c>
      <c r="B2365" s="11" t="s">
        <v>4546</v>
      </c>
      <c r="C2365" s="12">
        <v>45722</v>
      </c>
      <c r="D2365" s="12">
        <v>45722</v>
      </c>
      <c r="E2365" s="11" t="s">
        <v>6</v>
      </c>
      <c r="F2365" s="11" t="s">
        <v>607</v>
      </c>
      <c r="G2365" s="11" t="s">
        <v>4546</v>
      </c>
      <c r="H2365" s="11"/>
      <c r="I2365" s="11" t="s">
        <v>49</v>
      </c>
      <c r="J2365" s="11">
        <v>3909.01</v>
      </c>
      <c r="K2365" s="11">
        <v>3909.01</v>
      </c>
      <c r="L2365" s="11"/>
      <c r="M2365" s="14">
        <v>3909.01</v>
      </c>
      <c r="N2365" s="11" t="s">
        <v>4547</v>
      </c>
      <c r="O2365" s="11" t="s">
        <v>50</v>
      </c>
    </row>
    <row r="2366" spans="1:15" s="13" customFormat="1" ht="19.5" customHeight="1" x14ac:dyDescent="0.25">
      <c r="A2366" s="11" t="s">
        <v>4548</v>
      </c>
      <c r="B2366" s="11" t="s">
        <v>4548</v>
      </c>
      <c r="C2366" s="12">
        <v>45722</v>
      </c>
      <c r="D2366" s="11"/>
      <c r="E2366" s="11" t="s">
        <v>6</v>
      </c>
      <c r="F2366" s="11" t="s">
        <v>607</v>
      </c>
      <c r="G2366" s="11" t="s">
        <v>4546</v>
      </c>
      <c r="H2366" s="11"/>
      <c r="I2366" s="11" t="s">
        <v>49</v>
      </c>
      <c r="J2366" s="11">
        <v>-3909.01</v>
      </c>
      <c r="K2366" s="11"/>
      <c r="L2366" s="11">
        <v>3909.01</v>
      </c>
      <c r="M2366" s="14">
        <v>-3909.01</v>
      </c>
      <c r="N2366" s="11" t="s">
        <v>4547</v>
      </c>
      <c r="O2366" s="11" t="s">
        <v>2706</v>
      </c>
    </row>
    <row r="2367" spans="1:15" s="13" customFormat="1" ht="19.5" customHeight="1" x14ac:dyDescent="0.25">
      <c r="A2367" s="11" t="s">
        <v>4549</v>
      </c>
      <c r="B2367" s="11" t="s">
        <v>4549</v>
      </c>
      <c r="C2367" s="12">
        <v>45743</v>
      </c>
      <c r="D2367" s="12">
        <v>45743</v>
      </c>
      <c r="E2367" s="11" t="s">
        <v>6</v>
      </c>
      <c r="F2367" s="11" t="s">
        <v>3724</v>
      </c>
      <c r="G2367" s="11" t="s">
        <v>4549</v>
      </c>
      <c r="H2367" s="11"/>
      <c r="I2367" s="11" t="s">
        <v>49</v>
      </c>
      <c r="J2367" s="11">
        <v>29375.55</v>
      </c>
      <c r="K2367" s="11">
        <v>29375.55</v>
      </c>
      <c r="L2367" s="11"/>
      <c r="M2367" s="14">
        <v>29375.55</v>
      </c>
      <c r="N2367" s="11" t="s">
        <v>4550</v>
      </c>
      <c r="O2367" s="11" t="s">
        <v>50</v>
      </c>
    </row>
    <row r="2368" spans="1:15" s="13" customFormat="1" ht="19.5" customHeight="1" x14ac:dyDescent="0.25">
      <c r="A2368" s="11" t="s">
        <v>4551</v>
      </c>
      <c r="B2368" s="11" t="s">
        <v>4551</v>
      </c>
      <c r="C2368" s="12">
        <v>45742</v>
      </c>
      <c r="D2368" s="11"/>
      <c r="E2368" s="11" t="s">
        <v>6</v>
      </c>
      <c r="F2368" s="11" t="s">
        <v>3724</v>
      </c>
      <c r="G2368" s="11" t="s">
        <v>4549</v>
      </c>
      <c r="H2368" s="11"/>
      <c r="I2368" s="11" t="s">
        <v>49</v>
      </c>
      <c r="J2368" s="11">
        <v>-29375.55</v>
      </c>
      <c r="K2368" s="11"/>
      <c r="L2368" s="11">
        <v>29375.55</v>
      </c>
      <c r="M2368" s="14">
        <v>-29375.55</v>
      </c>
      <c r="N2368" s="11" t="s">
        <v>4550</v>
      </c>
      <c r="O2368" s="11" t="s">
        <v>2706</v>
      </c>
    </row>
    <row r="2369" spans="1:15" s="13" customFormat="1" ht="19.5" customHeight="1" x14ac:dyDescent="0.25">
      <c r="A2369" s="11" t="s">
        <v>4552</v>
      </c>
      <c r="B2369" s="11" t="s">
        <v>4552</v>
      </c>
      <c r="C2369" s="12">
        <v>45734</v>
      </c>
      <c r="D2369" s="12">
        <v>45734</v>
      </c>
      <c r="E2369" s="11" t="s">
        <v>6</v>
      </c>
      <c r="F2369" s="11" t="s">
        <v>1521</v>
      </c>
      <c r="G2369" s="11" t="s">
        <v>4552</v>
      </c>
      <c r="H2369" s="11"/>
      <c r="I2369" s="11" t="s">
        <v>49</v>
      </c>
      <c r="J2369" s="11">
        <v>18648.75</v>
      </c>
      <c r="K2369" s="11">
        <v>18648.75</v>
      </c>
      <c r="L2369" s="11"/>
      <c r="M2369" s="14">
        <v>18648.75</v>
      </c>
      <c r="N2369" s="11" t="s">
        <v>4553</v>
      </c>
      <c r="O2369" s="11" t="s">
        <v>50</v>
      </c>
    </row>
    <row r="2370" spans="1:15" s="13" customFormat="1" ht="19.5" customHeight="1" x14ac:dyDescent="0.25">
      <c r="A2370" s="11" t="s">
        <v>4554</v>
      </c>
      <c r="B2370" s="11" t="s">
        <v>4554</v>
      </c>
      <c r="C2370" s="12">
        <v>45734</v>
      </c>
      <c r="D2370" s="11"/>
      <c r="E2370" s="11" t="s">
        <v>6</v>
      </c>
      <c r="F2370" s="11" t="s">
        <v>1521</v>
      </c>
      <c r="G2370" s="11" t="s">
        <v>4552</v>
      </c>
      <c r="H2370" s="11"/>
      <c r="I2370" s="11" t="s">
        <v>49</v>
      </c>
      <c r="J2370" s="11">
        <v>-18648.75</v>
      </c>
      <c r="K2370" s="11"/>
      <c r="L2370" s="11">
        <v>18648.75</v>
      </c>
      <c r="M2370" s="14">
        <v>-18648.75</v>
      </c>
      <c r="N2370" s="11" t="s">
        <v>4553</v>
      </c>
      <c r="O2370" s="11" t="s">
        <v>2706</v>
      </c>
    </row>
    <row r="2371" spans="1:15" s="13" customFormat="1" ht="19.5" customHeight="1" x14ac:dyDescent="0.25">
      <c r="A2371" s="11" t="s">
        <v>4555</v>
      </c>
      <c r="B2371" s="11" t="s">
        <v>4555</v>
      </c>
      <c r="C2371" s="12">
        <v>45747</v>
      </c>
      <c r="D2371" s="12">
        <v>45747</v>
      </c>
      <c r="E2371" s="11" t="s">
        <v>6</v>
      </c>
      <c r="F2371" s="11" t="s">
        <v>4556</v>
      </c>
      <c r="G2371" s="11" t="s">
        <v>4555</v>
      </c>
      <c r="H2371" s="11"/>
      <c r="I2371" s="11" t="s">
        <v>49</v>
      </c>
      <c r="J2371" s="11">
        <v>12593.71</v>
      </c>
      <c r="K2371" s="11">
        <v>12593.71</v>
      </c>
      <c r="L2371" s="11"/>
      <c r="M2371" s="14">
        <v>12593.71</v>
      </c>
      <c r="N2371" s="11" t="s">
        <v>4557</v>
      </c>
      <c r="O2371" s="11" t="s">
        <v>50</v>
      </c>
    </row>
    <row r="2372" spans="1:15" s="13" customFormat="1" ht="19.5" customHeight="1" x14ac:dyDescent="0.25">
      <c r="A2372" s="11" t="s">
        <v>4558</v>
      </c>
      <c r="B2372" s="11" t="s">
        <v>4558</v>
      </c>
      <c r="C2372" s="12">
        <v>45744</v>
      </c>
      <c r="D2372" s="11"/>
      <c r="E2372" s="11" t="s">
        <v>6</v>
      </c>
      <c r="F2372" s="11" t="s">
        <v>4556</v>
      </c>
      <c r="G2372" s="11" t="s">
        <v>4555</v>
      </c>
      <c r="H2372" s="11"/>
      <c r="I2372" s="11" t="s">
        <v>49</v>
      </c>
      <c r="J2372" s="11">
        <v>-12593.71</v>
      </c>
      <c r="K2372" s="11"/>
      <c r="L2372" s="11">
        <v>12593.71</v>
      </c>
      <c r="M2372" s="14">
        <v>-12593.71</v>
      </c>
      <c r="N2372" s="11" t="s">
        <v>4557</v>
      </c>
      <c r="O2372" s="11" t="s">
        <v>2706</v>
      </c>
    </row>
    <row r="2373" spans="1:15" s="13" customFormat="1" ht="19.5" customHeight="1" x14ac:dyDescent="0.25">
      <c r="A2373" s="11" t="s">
        <v>4559</v>
      </c>
      <c r="B2373" s="11" t="s">
        <v>4559</v>
      </c>
      <c r="C2373" s="12">
        <v>45721</v>
      </c>
      <c r="D2373" s="12">
        <v>45721</v>
      </c>
      <c r="E2373" s="11" t="s">
        <v>6</v>
      </c>
      <c r="F2373" s="11" t="s">
        <v>4560</v>
      </c>
      <c r="G2373" s="11" t="s">
        <v>4559</v>
      </c>
      <c r="H2373" s="11"/>
      <c r="I2373" s="11" t="s">
        <v>49</v>
      </c>
      <c r="J2373" s="11">
        <v>12176.52</v>
      </c>
      <c r="K2373" s="11">
        <v>12176.52</v>
      </c>
      <c r="L2373" s="11"/>
      <c r="M2373" s="14">
        <v>12176.52</v>
      </c>
      <c r="N2373" s="11" t="s">
        <v>4561</v>
      </c>
      <c r="O2373" s="11" t="s">
        <v>50</v>
      </c>
    </row>
    <row r="2374" spans="1:15" s="13" customFormat="1" ht="19.5" customHeight="1" x14ac:dyDescent="0.25">
      <c r="A2374" s="11" t="s">
        <v>4562</v>
      </c>
      <c r="B2374" s="11" t="s">
        <v>4562</v>
      </c>
      <c r="C2374" s="12">
        <v>45721</v>
      </c>
      <c r="D2374" s="11"/>
      <c r="E2374" s="11" t="s">
        <v>6</v>
      </c>
      <c r="F2374" s="11" t="s">
        <v>4560</v>
      </c>
      <c r="G2374" s="11" t="s">
        <v>4559</v>
      </c>
      <c r="H2374" s="11"/>
      <c r="I2374" s="11" t="s">
        <v>49</v>
      </c>
      <c r="J2374" s="11">
        <v>-1300</v>
      </c>
      <c r="K2374" s="11"/>
      <c r="L2374" s="11">
        <v>1300</v>
      </c>
      <c r="M2374" s="14">
        <v>-1300</v>
      </c>
      <c r="N2374" s="11" t="s">
        <v>4561</v>
      </c>
      <c r="O2374" s="11" t="s">
        <v>2706</v>
      </c>
    </row>
    <row r="2375" spans="1:15" s="13" customFormat="1" ht="19.5" customHeight="1" x14ac:dyDescent="0.25">
      <c r="A2375" s="11" t="s">
        <v>4563</v>
      </c>
      <c r="B2375" s="11" t="s">
        <v>4563</v>
      </c>
      <c r="C2375" s="12">
        <v>45720</v>
      </c>
      <c r="D2375" s="11"/>
      <c r="E2375" s="11" t="s">
        <v>6</v>
      </c>
      <c r="F2375" s="11" t="s">
        <v>4560</v>
      </c>
      <c r="G2375" s="11" t="s">
        <v>4559</v>
      </c>
      <c r="H2375" s="11"/>
      <c r="I2375" s="11" t="s">
        <v>49</v>
      </c>
      <c r="J2375" s="11">
        <v>-10876.52</v>
      </c>
      <c r="K2375" s="11"/>
      <c r="L2375" s="11">
        <v>10876.52</v>
      </c>
      <c r="M2375" s="14">
        <v>-10876.52</v>
      </c>
      <c r="N2375" s="11" t="s">
        <v>4561</v>
      </c>
      <c r="O2375" s="11" t="s">
        <v>2706</v>
      </c>
    </row>
    <row r="2376" spans="1:15" s="13" customFormat="1" ht="19.5" customHeight="1" x14ac:dyDescent="0.25">
      <c r="A2376" s="11" t="s">
        <v>4564</v>
      </c>
      <c r="B2376" s="11" t="s">
        <v>4564</v>
      </c>
      <c r="C2376" s="12">
        <v>45721</v>
      </c>
      <c r="D2376" s="12">
        <v>45721</v>
      </c>
      <c r="E2376" s="11" t="s">
        <v>6</v>
      </c>
      <c r="F2376" s="11" t="s">
        <v>119</v>
      </c>
      <c r="G2376" s="11" t="s">
        <v>4564</v>
      </c>
      <c r="H2376" s="11"/>
      <c r="I2376" s="11" t="s">
        <v>49</v>
      </c>
      <c r="J2376" s="11">
        <v>63.72</v>
      </c>
      <c r="K2376" s="11">
        <v>63.72</v>
      </c>
      <c r="L2376" s="11"/>
      <c r="M2376" s="14">
        <v>63.72</v>
      </c>
      <c r="N2376" s="11" t="s">
        <v>4565</v>
      </c>
      <c r="O2376" s="11" t="s">
        <v>50</v>
      </c>
    </row>
    <row r="2377" spans="1:15" s="13" customFormat="1" ht="19.5" customHeight="1" x14ac:dyDescent="0.25">
      <c r="A2377" s="11" t="s">
        <v>4566</v>
      </c>
      <c r="B2377" s="11" t="s">
        <v>4566</v>
      </c>
      <c r="C2377" s="12">
        <v>45700</v>
      </c>
      <c r="D2377" s="12">
        <v>45700</v>
      </c>
      <c r="E2377" s="11" t="s">
        <v>6</v>
      </c>
      <c r="F2377" s="11" t="s">
        <v>119</v>
      </c>
      <c r="G2377" s="11"/>
      <c r="H2377" s="11"/>
      <c r="I2377" s="11" t="s">
        <v>49</v>
      </c>
      <c r="J2377" s="11">
        <v>-63.72</v>
      </c>
      <c r="K2377" s="11"/>
      <c r="L2377" s="11">
        <v>63.72</v>
      </c>
      <c r="M2377" s="14">
        <v>-63.72</v>
      </c>
      <c r="N2377" s="11" t="s">
        <v>4565</v>
      </c>
      <c r="O2377" s="11" t="s">
        <v>75</v>
      </c>
    </row>
    <row r="2378" spans="1:15" s="13" customFormat="1" ht="19.5" customHeight="1" x14ac:dyDescent="0.25">
      <c r="A2378" s="11" t="s">
        <v>4567</v>
      </c>
      <c r="B2378" s="11" t="s">
        <v>4567</v>
      </c>
      <c r="C2378" s="12">
        <v>45721</v>
      </c>
      <c r="D2378" s="12">
        <v>45721</v>
      </c>
      <c r="E2378" s="11" t="s">
        <v>6</v>
      </c>
      <c r="F2378" s="11" t="s">
        <v>4568</v>
      </c>
      <c r="G2378" s="11" t="s">
        <v>4567</v>
      </c>
      <c r="H2378" s="11"/>
      <c r="I2378" s="11" t="s">
        <v>49</v>
      </c>
      <c r="J2378" s="11">
        <v>4789.49</v>
      </c>
      <c r="K2378" s="11">
        <v>4789.49</v>
      </c>
      <c r="L2378" s="11"/>
      <c r="M2378" s="14">
        <v>4789.49</v>
      </c>
      <c r="N2378" s="11" t="s">
        <v>4569</v>
      </c>
      <c r="O2378" s="11" t="s">
        <v>50</v>
      </c>
    </row>
    <row r="2379" spans="1:15" s="13" customFormat="1" ht="19.5" customHeight="1" x14ac:dyDescent="0.25">
      <c r="A2379" s="11" t="s">
        <v>4570</v>
      </c>
      <c r="B2379" s="11" t="s">
        <v>4570</v>
      </c>
      <c r="C2379" s="12">
        <v>45720</v>
      </c>
      <c r="D2379" s="11"/>
      <c r="E2379" s="11" t="s">
        <v>6</v>
      </c>
      <c r="F2379" s="11" t="s">
        <v>4568</v>
      </c>
      <c r="G2379" s="11" t="s">
        <v>4567</v>
      </c>
      <c r="H2379" s="11"/>
      <c r="I2379" s="11" t="s">
        <v>49</v>
      </c>
      <c r="J2379" s="11">
        <v>-4789.49</v>
      </c>
      <c r="K2379" s="11"/>
      <c r="L2379" s="11">
        <v>4789.49</v>
      </c>
      <c r="M2379" s="14">
        <v>-4789.49</v>
      </c>
      <c r="N2379" s="11" t="s">
        <v>4569</v>
      </c>
      <c r="O2379" s="11" t="s">
        <v>2706</v>
      </c>
    </row>
    <row r="2380" spans="1:15" s="13" customFormat="1" ht="19.5" customHeight="1" x14ac:dyDescent="0.25">
      <c r="A2380" s="11" t="s">
        <v>4571</v>
      </c>
      <c r="B2380" s="11" t="s">
        <v>4571</v>
      </c>
      <c r="C2380" s="12">
        <v>45721</v>
      </c>
      <c r="D2380" s="11"/>
      <c r="E2380" s="11" t="s">
        <v>6</v>
      </c>
      <c r="F2380" s="11" t="s">
        <v>4572</v>
      </c>
      <c r="G2380" s="11" t="s">
        <v>4573</v>
      </c>
      <c r="H2380" s="11"/>
      <c r="I2380" s="11" t="s">
        <v>49</v>
      </c>
      <c r="J2380" s="11">
        <v>-919.12</v>
      </c>
      <c r="K2380" s="11"/>
      <c r="L2380" s="11">
        <v>919.12</v>
      </c>
      <c r="M2380" s="14">
        <v>-919.12</v>
      </c>
      <c r="N2380" s="11" t="s">
        <v>4574</v>
      </c>
      <c r="O2380" s="11" t="s">
        <v>2706</v>
      </c>
    </row>
    <row r="2381" spans="1:15" s="13" customFormat="1" ht="19.5" customHeight="1" x14ac:dyDescent="0.25">
      <c r="A2381" s="11" t="s">
        <v>4573</v>
      </c>
      <c r="B2381" s="11" t="s">
        <v>4573</v>
      </c>
      <c r="C2381" s="12">
        <v>45721</v>
      </c>
      <c r="D2381" s="12">
        <v>45721</v>
      </c>
      <c r="E2381" s="11" t="s">
        <v>6</v>
      </c>
      <c r="F2381" s="11" t="s">
        <v>4572</v>
      </c>
      <c r="G2381" s="11" t="s">
        <v>4573</v>
      </c>
      <c r="H2381" s="11"/>
      <c r="I2381" s="11" t="s">
        <v>49</v>
      </c>
      <c r="J2381" s="11">
        <v>919.12</v>
      </c>
      <c r="K2381" s="11">
        <v>919.12</v>
      </c>
      <c r="L2381" s="11"/>
      <c r="M2381" s="14">
        <v>919.12</v>
      </c>
      <c r="N2381" s="11" t="s">
        <v>4574</v>
      </c>
      <c r="O2381" s="11" t="s">
        <v>50</v>
      </c>
    </row>
    <row r="2382" spans="1:15" s="13" customFormat="1" ht="19.5" customHeight="1" x14ac:dyDescent="0.25">
      <c r="A2382" s="11" t="s">
        <v>4575</v>
      </c>
      <c r="B2382" s="11" t="s">
        <v>4575</v>
      </c>
      <c r="C2382" s="12">
        <v>45722</v>
      </c>
      <c r="D2382" s="12">
        <v>45722</v>
      </c>
      <c r="E2382" s="11" t="s">
        <v>6</v>
      </c>
      <c r="F2382" s="11" t="s">
        <v>4476</v>
      </c>
      <c r="G2382" s="11" t="s">
        <v>4575</v>
      </c>
      <c r="H2382" s="11"/>
      <c r="I2382" s="11" t="s">
        <v>49</v>
      </c>
      <c r="J2382" s="11">
        <v>8017.01</v>
      </c>
      <c r="K2382" s="11">
        <v>8017.01</v>
      </c>
      <c r="L2382" s="11"/>
      <c r="M2382" s="14">
        <v>8017.01</v>
      </c>
      <c r="N2382" s="11" t="s">
        <v>4576</v>
      </c>
      <c r="O2382" s="11" t="s">
        <v>50</v>
      </c>
    </row>
    <row r="2383" spans="1:15" s="13" customFormat="1" ht="19.5" customHeight="1" x14ac:dyDescent="0.25">
      <c r="A2383" s="11" t="s">
        <v>4577</v>
      </c>
      <c r="B2383" s="11" t="s">
        <v>4577</v>
      </c>
      <c r="C2383" s="12">
        <v>45722</v>
      </c>
      <c r="D2383" s="11"/>
      <c r="E2383" s="11" t="s">
        <v>6</v>
      </c>
      <c r="F2383" s="11" t="s">
        <v>4476</v>
      </c>
      <c r="G2383" s="11" t="s">
        <v>4575</v>
      </c>
      <c r="H2383" s="11"/>
      <c r="I2383" s="11" t="s">
        <v>49</v>
      </c>
      <c r="J2383" s="11">
        <v>-8017.01</v>
      </c>
      <c r="K2383" s="11"/>
      <c r="L2383" s="11">
        <v>8017.01</v>
      </c>
      <c r="M2383" s="14">
        <v>-8017.01</v>
      </c>
      <c r="N2383" s="11" t="s">
        <v>4576</v>
      </c>
      <c r="O2383" s="11" t="s">
        <v>2706</v>
      </c>
    </row>
    <row r="2384" spans="1:15" s="13" customFormat="1" ht="19.5" customHeight="1" x14ac:dyDescent="0.25">
      <c r="A2384" s="11" t="s">
        <v>4578</v>
      </c>
      <c r="B2384" s="11" t="s">
        <v>4578</v>
      </c>
      <c r="C2384" s="12">
        <v>45722</v>
      </c>
      <c r="D2384" s="12">
        <v>45722</v>
      </c>
      <c r="E2384" s="11" t="s">
        <v>6</v>
      </c>
      <c r="F2384" s="11" t="s">
        <v>4560</v>
      </c>
      <c r="G2384" s="11" t="s">
        <v>4578</v>
      </c>
      <c r="H2384" s="11"/>
      <c r="I2384" s="11" t="s">
        <v>49</v>
      </c>
      <c r="J2384" s="11">
        <v>11137.65</v>
      </c>
      <c r="K2384" s="11">
        <v>11137.65</v>
      </c>
      <c r="L2384" s="11"/>
      <c r="M2384" s="14">
        <v>11137.65</v>
      </c>
      <c r="N2384" s="11" t="s">
        <v>4579</v>
      </c>
      <c r="O2384" s="11" t="s">
        <v>50</v>
      </c>
    </row>
    <row r="2385" spans="1:15" s="13" customFormat="1" ht="19.5" customHeight="1" x14ac:dyDescent="0.25">
      <c r="A2385" s="11" t="s">
        <v>4580</v>
      </c>
      <c r="B2385" s="11" t="s">
        <v>4580</v>
      </c>
      <c r="C2385" s="12">
        <v>45722</v>
      </c>
      <c r="D2385" s="11"/>
      <c r="E2385" s="11" t="s">
        <v>6</v>
      </c>
      <c r="F2385" s="11" t="s">
        <v>4560</v>
      </c>
      <c r="G2385" s="11" t="s">
        <v>4578</v>
      </c>
      <c r="H2385" s="11"/>
      <c r="I2385" s="11" t="s">
        <v>49</v>
      </c>
      <c r="J2385" s="11">
        <v>-11137.65</v>
      </c>
      <c r="K2385" s="11"/>
      <c r="L2385" s="11">
        <v>11137.65</v>
      </c>
      <c r="M2385" s="14">
        <v>-11137.65</v>
      </c>
      <c r="N2385" s="11" t="s">
        <v>4579</v>
      </c>
      <c r="O2385" s="11" t="s">
        <v>2706</v>
      </c>
    </row>
    <row r="2386" spans="1:15" s="13" customFormat="1" ht="19.5" customHeight="1" x14ac:dyDescent="0.25">
      <c r="A2386" s="11" t="s">
        <v>4581</v>
      </c>
      <c r="B2386" s="11" t="s">
        <v>4581</v>
      </c>
      <c r="C2386" s="12">
        <v>45722</v>
      </c>
      <c r="D2386" s="12">
        <v>45722</v>
      </c>
      <c r="E2386" s="11" t="s">
        <v>6</v>
      </c>
      <c r="F2386" s="11" t="s">
        <v>275</v>
      </c>
      <c r="G2386" s="11" t="s">
        <v>4581</v>
      </c>
      <c r="H2386" s="11"/>
      <c r="I2386" s="11" t="s">
        <v>49</v>
      </c>
      <c r="J2386" s="11">
        <v>4567.2299999999996</v>
      </c>
      <c r="K2386" s="11">
        <v>4567.2299999999996</v>
      </c>
      <c r="L2386" s="11"/>
      <c r="M2386" s="14">
        <v>4567.2299999999996</v>
      </c>
      <c r="N2386" s="11" t="s">
        <v>4582</v>
      </c>
      <c r="O2386" s="11" t="s">
        <v>50</v>
      </c>
    </row>
    <row r="2387" spans="1:15" s="13" customFormat="1" ht="19.5" customHeight="1" x14ac:dyDescent="0.25">
      <c r="A2387" s="11" t="s">
        <v>4583</v>
      </c>
      <c r="B2387" s="11" t="s">
        <v>4583</v>
      </c>
      <c r="C2387" s="12">
        <v>45722</v>
      </c>
      <c r="D2387" s="11"/>
      <c r="E2387" s="11" t="s">
        <v>6</v>
      </c>
      <c r="F2387" s="11" t="s">
        <v>275</v>
      </c>
      <c r="G2387" s="11" t="s">
        <v>4581</v>
      </c>
      <c r="H2387" s="11"/>
      <c r="I2387" s="11" t="s">
        <v>49</v>
      </c>
      <c r="J2387" s="11">
        <v>-4567.2299999999996</v>
      </c>
      <c r="K2387" s="11"/>
      <c r="L2387" s="11">
        <v>4567.2299999999996</v>
      </c>
      <c r="M2387" s="14">
        <v>-4567.2299999999996</v>
      </c>
      <c r="N2387" s="11" t="s">
        <v>4582</v>
      </c>
      <c r="O2387" s="11" t="s">
        <v>2706</v>
      </c>
    </row>
    <row r="2388" spans="1:15" s="13" customFormat="1" ht="19.5" customHeight="1" x14ac:dyDescent="0.25">
      <c r="A2388" s="11" t="s">
        <v>4584</v>
      </c>
      <c r="B2388" s="11" t="s">
        <v>4584</v>
      </c>
      <c r="C2388" s="12">
        <v>45722</v>
      </c>
      <c r="D2388" s="12">
        <v>45722</v>
      </c>
      <c r="E2388" s="11" t="s">
        <v>6</v>
      </c>
      <c r="F2388" s="11" t="s">
        <v>4507</v>
      </c>
      <c r="G2388" s="11" t="s">
        <v>4584</v>
      </c>
      <c r="H2388" s="11"/>
      <c r="I2388" s="11" t="s">
        <v>49</v>
      </c>
      <c r="J2388" s="11">
        <v>15203.24</v>
      </c>
      <c r="K2388" s="11">
        <v>15203.24</v>
      </c>
      <c r="L2388" s="11"/>
      <c r="M2388" s="14">
        <v>15203.24</v>
      </c>
      <c r="N2388" s="11" t="s">
        <v>4585</v>
      </c>
      <c r="O2388" s="11" t="s">
        <v>50</v>
      </c>
    </row>
    <row r="2389" spans="1:15" s="13" customFormat="1" ht="19.5" customHeight="1" x14ac:dyDescent="0.25">
      <c r="A2389" s="11" t="s">
        <v>4586</v>
      </c>
      <c r="B2389" s="11" t="s">
        <v>4586</v>
      </c>
      <c r="C2389" s="12">
        <v>45722</v>
      </c>
      <c r="D2389" s="11"/>
      <c r="E2389" s="11" t="s">
        <v>6</v>
      </c>
      <c r="F2389" s="11" t="s">
        <v>4507</v>
      </c>
      <c r="G2389" s="11" t="s">
        <v>4584</v>
      </c>
      <c r="H2389" s="11"/>
      <c r="I2389" s="11" t="s">
        <v>49</v>
      </c>
      <c r="J2389" s="11">
        <v>-15203.24</v>
      </c>
      <c r="K2389" s="11"/>
      <c r="L2389" s="11">
        <v>15203.24</v>
      </c>
      <c r="M2389" s="14">
        <v>-15203.24</v>
      </c>
      <c r="N2389" s="11" t="s">
        <v>4585</v>
      </c>
      <c r="O2389" s="11" t="s">
        <v>2706</v>
      </c>
    </row>
    <row r="2390" spans="1:15" s="13" customFormat="1" ht="19.5" customHeight="1" x14ac:dyDescent="0.25">
      <c r="A2390" s="11" t="s">
        <v>4587</v>
      </c>
      <c r="B2390" s="11" t="s">
        <v>4587</v>
      </c>
      <c r="C2390" s="12">
        <v>45723</v>
      </c>
      <c r="D2390" s="12">
        <v>45723</v>
      </c>
      <c r="E2390" s="11" t="s">
        <v>6</v>
      </c>
      <c r="F2390" s="11" t="s">
        <v>3315</v>
      </c>
      <c r="G2390" s="11" t="s">
        <v>4587</v>
      </c>
      <c r="H2390" s="11"/>
      <c r="I2390" s="11" t="s">
        <v>49</v>
      </c>
      <c r="J2390" s="11">
        <v>11464.68</v>
      </c>
      <c r="K2390" s="11">
        <v>11464.68</v>
      </c>
      <c r="L2390" s="11"/>
      <c r="M2390" s="14">
        <v>11464.68</v>
      </c>
      <c r="N2390" s="11" t="s">
        <v>4588</v>
      </c>
      <c r="O2390" s="11" t="s">
        <v>50</v>
      </c>
    </row>
    <row r="2391" spans="1:15" s="13" customFormat="1" ht="19.5" customHeight="1" x14ac:dyDescent="0.25">
      <c r="A2391" s="11" t="s">
        <v>4589</v>
      </c>
      <c r="B2391" s="11" t="s">
        <v>4589</v>
      </c>
      <c r="C2391" s="12">
        <v>45723</v>
      </c>
      <c r="D2391" s="11"/>
      <c r="E2391" s="11" t="s">
        <v>6</v>
      </c>
      <c r="F2391" s="11" t="s">
        <v>3315</v>
      </c>
      <c r="G2391" s="11" t="s">
        <v>4587</v>
      </c>
      <c r="H2391" s="11"/>
      <c r="I2391" s="11" t="s">
        <v>49</v>
      </c>
      <c r="J2391" s="11">
        <v>-11464.68</v>
      </c>
      <c r="K2391" s="11"/>
      <c r="L2391" s="11">
        <v>11464.68</v>
      </c>
      <c r="M2391" s="14">
        <v>-11464.68</v>
      </c>
      <c r="N2391" s="11" t="s">
        <v>4588</v>
      </c>
      <c r="O2391" s="11" t="s">
        <v>2706</v>
      </c>
    </row>
    <row r="2392" spans="1:15" s="13" customFormat="1" ht="19.5" customHeight="1" x14ac:dyDescent="0.25">
      <c r="A2392" s="11" t="s">
        <v>4590</v>
      </c>
      <c r="B2392" s="11" t="s">
        <v>4590</v>
      </c>
      <c r="C2392" s="12">
        <v>45723</v>
      </c>
      <c r="D2392" s="12">
        <v>45723</v>
      </c>
      <c r="E2392" s="11" t="s">
        <v>6</v>
      </c>
      <c r="F2392" s="11" t="s">
        <v>834</v>
      </c>
      <c r="G2392" s="11" t="s">
        <v>4590</v>
      </c>
      <c r="H2392" s="11"/>
      <c r="I2392" s="11" t="s">
        <v>49</v>
      </c>
      <c r="J2392" s="11">
        <v>35.4</v>
      </c>
      <c r="K2392" s="11">
        <v>35.4</v>
      </c>
      <c r="L2392" s="11"/>
      <c r="M2392" s="14">
        <v>35.4</v>
      </c>
      <c r="N2392" s="11" t="s">
        <v>4591</v>
      </c>
      <c r="O2392" s="11" t="s">
        <v>50</v>
      </c>
    </row>
    <row r="2393" spans="1:15" s="13" customFormat="1" ht="19.5" customHeight="1" x14ac:dyDescent="0.25">
      <c r="A2393" s="11" t="s">
        <v>4592</v>
      </c>
      <c r="B2393" s="11" t="s">
        <v>4592</v>
      </c>
      <c r="C2393" s="12">
        <v>45722</v>
      </c>
      <c r="D2393" s="12">
        <v>45722</v>
      </c>
      <c r="E2393" s="11" t="s">
        <v>6</v>
      </c>
      <c r="F2393" s="11" t="s">
        <v>834</v>
      </c>
      <c r="G2393" s="11"/>
      <c r="H2393" s="11"/>
      <c r="I2393" s="11" t="s">
        <v>49</v>
      </c>
      <c r="J2393" s="11">
        <v>-35.4</v>
      </c>
      <c r="K2393" s="11"/>
      <c r="L2393" s="11">
        <v>35.4</v>
      </c>
      <c r="M2393" s="14">
        <v>-35.4</v>
      </c>
      <c r="N2393" s="11" t="s">
        <v>4591</v>
      </c>
      <c r="O2393" s="11" t="s">
        <v>75</v>
      </c>
    </row>
    <row r="2394" spans="1:15" s="13" customFormat="1" ht="19.5" customHeight="1" x14ac:dyDescent="0.25">
      <c r="A2394" s="11" t="s">
        <v>4593</v>
      </c>
      <c r="B2394" s="11" t="s">
        <v>4593</v>
      </c>
      <c r="C2394" s="12">
        <v>45726</v>
      </c>
      <c r="D2394" s="12">
        <v>45726</v>
      </c>
      <c r="E2394" s="11" t="s">
        <v>6</v>
      </c>
      <c r="F2394" s="11" t="s">
        <v>4594</v>
      </c>
      <c r="G2394" s="11" t="s">
        <v>4593</v>
      </c>
      <c r="H2394" s="11"/>
      <c r="I2394" s="11" t="s">
        <v>49</v>
      </c>
      <c r="J2394" s="11">
        <v>9440.5499999999993</v>
      </c>
      <c r="K2394" s="11">
        <v>9440.5499999999993</v>
      </c>
      <c r="L2394" s="11"/>
      <c r="M2394" s="14">
        <v>9440.5499999999993</v>
      </c>
      <c r="N2394" s="11" t="s">
        <v>4595</v>
      </c>
      <c r="O2394" s="11" t="s">
        <v>50</v>
      </c>
    </row>
    <row r="2395" spans="1:15" s="13" customFormat="1" ht="19.5" customHeight="1" x14ac:dyDescent="0.25">
      <c r="A2395" s="11" t="s">
        <v>4596</v>
      </c>
      <c r="B2395" s="11" t="s">
        <v>4596</v>
      </c>
      <c r="C2395" s="12">
        <v>45723</v>
      </c>
      <c r="D2395" s="11"/>
      <c r="E2395" s="11" t="s">
        <v>6</v>
      </c>
      <c r="F2395" s="11" t="s">
        <v>4594</v>
      </c>
      <c r="G2395" s="11" t="s">
        <v>4593</v>
      </c>
      <c r="H2395" s="11"/>
      <c r="I2395" s="11" t="s">
        <v>49</v>
      </c>
      <c r="J2395" s="11">
        <v>-9440.5499999999993</v>
      </c>
      <c r="K2395" s="11"/>
      <c r="L2395" s="11">
        <v>9440.5499999999993</v>
      </c>
      <c r="M2395" s="14">
        <v>-9440.5499999999993</v>
      </c>
      <c r="N2395" s="11" t="s">
        <v>4595</v>
      </c>
      <c r="O2395" s="11" t="s">
        <v>2706</v>
      </c>
    </row>
    <row r="2396" spans="1:15" s="13" customFormat="1" ht="19.5" customHeight="1" x14ac:dyDescent="0.25">
      <c r="A2396" s="11" t="s">
        <v>4597</v>
      </c>
      <c r="B2396" s="11" t="s">
        <v>4597</v>
      </c>
      <c r="C2396" s="12">
        <v>45726</v>
      </c>
      <c r="D2396" s="12">
        <v>45726</v>
      </c>
      <c r="E2396" s="11" t="s">
        <v>6</v>
      </c>
      <c r="F2396" s="11" t="s">
        <v>4598</v>
      </c>
      <c r="G2396" s="11" t="s">
        <v>4597</v>
      </c>
      <c r="H2396" s="11"/>
      <c r="I2396" s="11" t="s">
        <v>49</v>
      </c>
      <c r="J2396" s="11">
        <v>28264.84</v>
      </c>
      <c r="K2396" s="11">
        <v>28264.84</v>
      </c>
      <c r="L2396" s="11"/>
      <c r="M2396" s="14">
        <v>28264.84</v>
      </c>
      <c r="N2396" s="11" t="s">
        <v>4599</v>
      </c>
      <c r="O2396" s="11" t="s">
        <v>50</v>
      </c>
    </row>
    <row r="2397" spans="1:15" s="13" customFormat="1" ht="19.5" customHeight="1" x14ac:dyDescent="0.25">
      <c r="A2397" s="11" t="s">
        <v>4600</v>
      </c>
      <c r="B2397" s="11" t="s">
        <v>4600</v>
      </c>
      <c r="C2397" s="12">
        <v>45723</v>
      </c>
      <c r="D2397" s="11"/>
      <c r="E2397" s="11" t="s">
        <v>6</v>
      </c>
      <c r="F2397" s="11" t="s">
        <v>4598</v>
      </c>
      <c r="G2397" s="11" t="s">
        <v>4597</v>
      </c>
      <c r="H2397" s="11"/>
      <c r="I2397" s="11" t="s">
        <v>49</v>
      </c>
      <c r="J2397" s="11">
        <v>-25957.33</v>
      </c>
      <c r="K2397" s="11"/>
      <c r="L2397" s="11">
        <v>25957.33</v>
      </c>
      <c r="M2397" s="14">
        <v>-25957.33</v>
      </c>
      <c r="N2397" s="11" t="s">
        <v>4599</v>
      </c>
      <c r="O2397" s="11" t="s">
        <v>2706</v>
      </c>
    </row>
    <row r="2398" spans="1:15" s="13" customFormat="1" ht="19.5" customHeight="1" x14ac:dyDescent="0.25">
      <c r="A2398" s="11" t="s">
        <v>4601</v>
      </c>
      <c r="B2398" s="11" t="s">
        <v>4601</v>
      </c>
      <c r="C2398" s="12">
        <v>45721</v>
      </c>
      <c r="D2398" s="12">
        <v>45721</v>
      </c>
      <c r="E2398" s="11" t="s">
        <v>6</v>
      </c>
      <c r="F2398" s="11" t="s">
        <v>4598</v>
      </c>
      <c r="G2398" s="11"/>
      <c r="H2398" s="11"/>
      <c r="I2398" s="11" t="s">
        <v>49</v>
      </c>
      <c r="J2398" s="11">
        <v>-2307.5100000000002</v>
      </c>
      <c r="K2398" s="11"/>
      <c r="L2398" s="11">
        <v>2307.5100000000002</v>
      </c>
      <c r="M2398" s="14">
        <v>-2307.5100000000002</v>
      </c>
      <c r="N2398" s="11" t="s">
        <v>4599</v>
      </c>
      <c r="O2398" s="11" t="s">
        <v>50</v>
      </c>
    </row>
    <row r="2399" spans="1:15" s="13" customFormat="1" ht="19.5" customHeight="1" x14ac:dyDescent="0.25">
      <c r="A2399" s="11" t="s">
        <v>4602</v>
      </c>
      <c r="B2399" s="11" t="s">
        <v>4602</v>
      </c>
      <c r="C2399" s="12">
        <v>45726</v>
      </c>
      <c r="D2399" s="12">
        <v>45726</v>
      </c>
      <c r="E2399" s="11" t="s">
        <v>6</v>
      </c>
      <c r="F2399" s="11" t="s">
        <v>2927</v>
      </c>
      <c r="G2399" s="11" t="s">
        <v>4602</v>
      </c>
      <c r="H2399" s="11"/>
      <c r="I2399" s="11" t="s">
        <v>49</v>
      </c>
      <c r="J2399" s="11">
        <v>47462.38</v>
      </c>
      <c r="K2399" s="11">
        <v>47462.38</v>
      </c>
      <c r="L2399" s="11"/>
      <c r="M2399" s="14">
        <v>47462.38</v>
      </c>
      <c r="N2399" s="11" t="s">
        <v>4603</v>
      </c>
      <c r="O2399" s="11" t="s">
        <v>50</v>
      </c>
    </row>
    <row r="2400" spans="1:15" s="13" customFormat="1" ht="19.5" customHeight="1" x14ac:dyDescent="0.25">
      <c r="A2400" s="11" t="s">
        <v>4604</v>
      </c>
      <c r="B2400" s="11" t="s">
        <v>4604</v>
      </c>
      <c r="C2400" s="12">
        <v>45724</v>
      </c>
      <c r="D2400" s="11"/>
      <c r="E2400" s="11" t="s">
        <v>6</v>
      </c>
      <c r="F2400" s="11" t="s">
        <v>2927</v>
      </c>
      <c r="G2400" s="11" t="s">
        <v>4602</v>
      </c>
      <c r="H2400" s="11"/>
      <c r="I2400" s="11" t="s">
        <v>49</v>
      </c>
      <c r="J2400" s="11">
        <v>-20000</v>
      </c>
      <c r="K2400" s="11"/>
      <c r="L2400" s="11">
        <v>20000</v>
      </c>
      <c r="M2400" s="14">
        <v>-20000</v>
      </c>
      <c r="N2400" s="11" t="s">
        <v>4603</v>
      </c>
      <c r="O2400" s="11" t="s">
        <v>2706</v>
      </c>
    </row>
    <row r="2401" spans="1:15" s="13" customFormat="1" ht="19.5" customHeight="1" x14ac:dyDescent="0.25">
      <c r="A2401" s="11" t="s">
        <v>4605</v>
      </c>
      <c r="B2401" s="11" t="s">
        <v>4605</v>
      </c>
      <c r="C2401" s="12">
        <v>45724</v>
      </c>
      <c r="D2401" s="11"/>
      <c r="E2401" s="11" t="s">
        <v>6</v>
      </c>
      <c r="F2401" s="11" t="s">
        <v>2927</v>
      </c>
      <c r="G2401" s="11" t="s">
        <v>4602</v>
      </c>
      <c r="H2401" s="11"/>
      <c r="I2401" s="11" t="s">
        <v>49</v>
      </c>
      <c r="J2401" s="11">
        <v>-27462.38</v>
      </c>
      <c r="K2401" s="11"/>
      <c r="L2401" s="11">
        <v>27462.38</v>
      </c>
      <c r="M2401" s="14">
        <v>-27462.38</v>
      </c>
      <c r="N2401" s="11" t="s">
        <v>4603</v>
      </c>
      <c r="O2401" s="11" t="s">
        <v>2706</v>
      </c>
    </row>
    <row r="2402" spans="1:15" s="13" customFormat="1" ht="19.5" customHeight="1" x14ac:dyDescent="0.25">
      <c r="A2402" s="11" t="s">
        <v>4606</v>
      </c>
      <c r="B2402" s="11" t="s">
        <v>4606</v>
      </c>
      <c r="C2402" s="12">
        <v>45727</v>
      </c>
      <c r="D2402" s="12">
        <v>45727</v>
      </c>
      <c r="E2402" s="11" t="s">
        <v>6</v>
      </c>
      <c r="F2402" s="11" t="s">
        <v>4607</v>
      </c>
      <c r="G2402" s="11" t="s">
        <v>4606</v>
      </c>
      <c r="H2402" s="11"/>
      <c r="I2402" s="11" t="s">
        <v>49</v>
      </c>
      <c r="J2402" s="11">
        <v>3785.49</v>
      </c>
      <c r="K2402" s="11">
        <v>3785.49</v>
      </c>
      <c r="L2402" s="11"/>
      <c r="M2402" s="14">
        <v>3785.49</v>
      </c>
      <c r="N2402" s="11" t="s">
        <v>4608</v>
      </c>
      <c r="O2402" s="11" t="s">
        <v>50</v>
      </c>
    </row>
    <row r="2403" spans="1:15" s="13" customFormat="1" ht="19.5" customHeight="1" x14ac:dyDescent="0.25">
      <c r="A2403" s="11" t="s">
        <v>4609</v>
      </c>
      <c r="B2403" s="11" t="s">
        <v>4609</v>
      </c>
      <c r="C2403" s="12">
        <v>45726</v>
      </c>
      <c r="D2403" s="11"/>
      <c r="E2403" s="11" t="s">
        <v>6</v>
      </c>
      <c r="F2403" s="11" t="s">
        <v>4607</v>
      </c>
      <c r="G2403" s="11" t="s">
        <v>4606</v>
      </c>
      <c r="H2403" s="11"/>
      <c r="I2403" s="11" t="s">
        <v>49</v>
      </c>
      <c r="J2403" s="11">
        <v>-3785.49</v>
      </c>
      <c r="K2403" s="11"/>
      <c r="L2403" s="11">
        <v>3785.49</v>
      </c>
      <c r="M2403" s="14">
        <v>-3785.49</v>
      </c>
      <c r="N2403" s="11" t="s">
        <v>4608</v>
      </c>
      <c r="O2403" s="11" t="s">
        <v>2706</v>
      </c>
    </row>
    <row r="2404" spans="1:15" s="13" customFormat="1" ht="19.5" customHeight="1" x14ac:dyDescent="0.25">
      <c r="A2404" s="11" t="s">
        <v>4610</v>
      </c>
      <c r="B2404" s="11" t="s">
        <v>4610</v>
      </c>
      <c r="C2404" s="12">
        <v>45727</v>
      </c>
      <c r="D2404" s="12">
        <v>45727</v>
      </c>
      <c r="E2404" s="11" t="s">
        <v>6</v>
      </c>
      <c r="F2404" s="11" t="s">
        <v>4607</v>
      </c>
      <c r="G2404" s="11" t="s">
        <v>4610</v>
      </c>
      <c r="H2404" s="11"/>
      <c r="I2404" s="11" t="s">
        <v>49</v>
      </c>
      <c r="J2404" s="11">
        <v>6650.67</v>
      </c>
      <c r="K2404" s="11">
        <v>6650.67</v>
      </c>
      <c r="L2404" s="11"/>
      <c r="M2404" s="14">
        <v>6650.67</v>
      </c>
      <c r="N2404" s="11" t="s">
        <v>4611</v>
      </c>
      <c r="O2404" s="11" t="s">
        <v>50</v>
      </c>
    </row>
    <row r="2405" spans="1:15" s="13" customFormat="1" ht="19.5" customHeight="1" x14ac:dyDescent="0.25">
      <c r="A2405" s="11" t="s">
        <v>4612</v>
      </c>
      <c r="B2405" s="11" t="s">
        <v>4612</v>
      </c>
      <c r="C2405" s="12">
        <v>45726</v>
      </c>
      <c r="D2405" s="11"/>
      <c r="E2405" s="11" t="s">
        <v>6</v>
      </c>
      <c r="F2405" s="11" t="s">
        <v>4607</v>
      </c>
      <c r="G2405" s="11" t="s">
        <v>4610</v>
      </c>
      <c r="H2405" s="11"/>
      <c r="I2405" s="11" t="s">
        <v>49</v>
      </c>
      <c r="J2405" s="11">
        <v>-6650.67</v>
      </c>
      <c r="K2405" s="11"/>
      <c r="L2405" s="11">
        <v>6650.67</v>
      </c>
      <c r="M2405" s="14">
        <v>-6650.67</v>
      </c>
      <c r="N2405" s="11" t="s">
        <v>4611</v>
      </c>
      <c r="O2405" s="11" t="s">
        <v>2706</v>
      </c>
    </row>
    <row r="2406" spans="1:15" s="13" customFormat="1" ht="19.5" customHeight="1" x14ac:dyDescent="0.25">
      <c r="A2406" s="11" t="s">
        <v>4613</v>
      </c>
      <c r="B2406" s="11" t="s">
        <v>4613</v>
      </c>
      <c r="C2406" s="12">
        <v>45727</v>
      </c>
      <c r="D2406" s="12">
        <v>45727</v>
      </c>
      <c r="E2406" s="11" t="s">
        <v>6</v>
      </c>
      <c r="F2406" s="11" t="s">
        <v>4614</v>
      </c>
      <c r="G2406" s="11" t="s">
        <v>4613</v>
      </c>
      <c r="H2406" s="11"/>
      <c r="I2406" s="11" t="s">
        <v>49</v>
      </c>
      <c r="J2406" s="11">
        <v>99168.15</v>
      </c>
      <c r="K2406" s="11">
        <v>99168.15</v>
      </c>
      <c r="L2406" s="11"/>
      <c r="M2406" s="14">
        <v>99168.15</v>
      </c>
      <c r="N2406" s="11" t="s">
        <v>4615</v>
      </c>
      <c r="O2406" s="11" t="s">
        <v>50</v>
      </c>
    </row>
    <row r="2407" spans="1:15" s="13" customFormat="1" ht="19.5" customHeight="1" x14ac:dyDescent="0.25">
      <c r="A2407" s="11" t="s">
        <v>4616</v>
      </c>
      <c r="B2407" s="11" t="s">
        <v>4616</v>
      </c>
      <c r="C2407" s="12">
        <v>45726</v>
      </c>
      <c r="D2407" s="11"/>
      <c r="E2407" s="11" t="s">
        <v>6</v>
      </c>
      <c r="F2407" s="11" t="s">
        <v>4614</v>
      </c>
      <c r="G2407" s="11" t="s">
        <v>4613</v>
      </c>
      <c r="H2407" s="11"/>
      <c r="I2407" s="11" t="s">
        <v>49</v>
      </c>
      <c r="J2407" s="11">
        <v>-5000</v>
      </c>
      <c r="K2407" s="11"/>
      <c r="L2407" s="11">
        <v>5000</v>
      </c>
      <c r="M2407" s="14">
        <v>-5000</v>
      </c>
      <c r="N2407" s="11" t="s">
        <v>4615</v>
      </c>
      <c r="O2407" s="11" t="s">
        <v>2706</v>
      </c>
    </row>
    <row r="2408" spans="1:15" s="13" customFormat="1" ht="19.5" customHeight="1" x14ac:dyDescent="0.25">
      <c r="A2408" s="11" t="s">
        <v>4617</v>
      </c>
      <c r="B2408" s="11" t="s">
        <v>4617</v>
      </c>
      <c r="C2408" s="12">
        <v>45726</v>
      </c>
      <c r="D2408" s="11"/>
      <c r="E2408" s="11" t="s">
        <v>6</v>
      </c>
      <c r="F2408" s="11" t="s">
        <v>4614</v>
      </c>
      <c r="G2408" s="11" t="s">
        <v>4613</v>
      </c>
      <c r="H2408" s="11"/>
      <c r="I2408" s="11" t="s">
        <v>49</v>
      </c>
      <c r="J2408" s="11">
        <v>-19168.150000000001</v>
      </c>
      <c r="K2408" s="11"/>
      <c r="L2408" s="11">
        <v>19168.150000000001</v>
      </c>
      <c r="M2408" s="14">
        <v>-19168.150000000001</v>
      </c>
      <c r="N2408" s="11" t="s">
        <v>4615</v>
      </c>
      <c r="O2408" s="11" t="s">
        <v>2706</v>
      </c>
    </row>
    <row r="2409" spans="1:15" s="13" customFormat="1" ht="19.5" customHeight="1" x14ac:dyDescent="0.25">
      <c r="A2409" s="11" t="s">
        <v>4618</v>
      </c>
      <c r="B2409" s="11" t="s">
        <v>4618</v>
      </c>
      <c r="C2409" s="12">
        <v>45726</v>
      </c>
      <c r="D2409" s="11"/>
      <c r="E2409" s="11" t="s">
        <v>6</v>
      </c>
      <c r="F2409" s="11" t="s">
        <v>4614</v>
      </c>
      <c r="G2409" s="11" t="s">
        <v>4613</v>
      </c>
      <c r="H2409" s="11"/>
      <c r="I2409" s="11" t="s">
        <v>49</v>
      </c>
      <c r="J2409" s="11">
        <v>-75000</v>
      </c>
      <c r="K2409" s="11"/>
      <c r="L2409" s="11">
        <v>75000</v>
      </c>
      <c r="M2409" s="14">
        <v>-75000</v>
      </c>
      <c r="N2409" s="11" t="s">
        <v>4615</v>
      </c>
      <c r="O2409" s="11" t="s">
        <v>2706</v>
      </c>
    </row>
    <row r="2410" spans="1:15" s="13" customFormat="1" ht="19.5" customHeight="1" x14ac:dyDescent="0.25">
      <c r="A2410" s="11" t="s">
        <v>4619</v>
      </c>
      <c r="B2410" s="11" t="s">
        <v>4619</v>
      </c>
      <c r="C2410" s="12">
        <v>45727</v>
      </c>
      <c r="D2410" s="12">
        <v>45727</v>
      </c>
      <c r="E2410" s="11" t="s">
        <v>6</v>
      </c>
      <c r="F2410" s="11" t="s">
        <v>4620</v>
      </c>
      <c r="G2410" s="11" t="s">
        <v>4619</v>
      </c>
      <c r="H2410" s="11"/>
      <c r="I2410" s="11" t="s">
        <v>49</v>
      </c>
      <c r="J2410" s="11">
        <v>6118.71</v>
      </c>
      <c r="K2410" s="11">
        <v>6118.71</v>
      </c>
      <c r="L2410" s="11"/>
      <c r="M2410" s="14">
        <v>6118.71</v>
      </c>
      <c r="N2410" s="11" t="s">
        <v>4621</v>
      </c>
      <c r="O2410" s="11" t="s">
        <v>50</v>
      </c>
    </row>
    <row r="2411" spans="1:15" s="13" customFormat="1" ht="19.5" customHeight="1" x14ac:dyDescent="0.25">
      <c r="A2411" s="11" t="s">
        <v>4622</v>
      </c>
      <c r="B2411" s="11" t="s">
        <v>4622</v>
      </c>
      <c r="C2411" s="12">
        <v>45726</v>
      </c>
      <c r="D2411" s="11"/>
      <c r="E2411" s="11" t="s">
        <v>6</v>
      </c>
      <c r="F2411" s="11" t="s">
        <v>4620</v>
      </c>
      <c r="G2411" s="11" t="s">
        <v>4619</v>
      </c>
      <c r="H2411" s="11"/>
      <c r="I2411" s="11" t="s">
        <v>49</v>
      </c>
      <c r="J2411" s="11">
        <v>-6118.71</v>
      </c>
      <c r="K2411" s="11"/>
      <c r="L2411" s="11">
        <v>6118.71</v>
      </c>
      <c r="M2411" s="14">
        <v>-6118.71</v>
      </c>
      <c r="N2411" s="11" t="s">
        <v>4621</v>
      </c>
      <c r="O2411" s="11" t="s">
        <v>2706</v>
      </c>
    </row>
    <row r="2412" spans="1:15" s="13" customFormat="1" ht="19.5" customHeight="1" x14ac:dyDescent="0.25">
      <c r="A2412" s="11" t="s">
        <v>4623</v>
      </c>
      <c r="B2412" s="11" t="s">
        <v>4623</v>
      </c>
      <c r="C2412" s="12">
        <v>45747</v>
      </c>
      <c r="D2412" s="12">
        <v>45747</v>
      </c>
      <c r="E2412" s="11" t="s">
        <v>6</v>
      </c>
      <c r="F2412" s="11" t="s">
        <v>4594</v>
      </c>
      <c r="G2412" s="11" t="s">
        <v>4623</v>
      </c>
      <c r="H2412" s="11"/>
      <c r="I2412" s="11" t="s">
        <v>49</v>
      </c>
      <c r="J2412" s="11">
        <v>5364.61</v>
      </c>
      <c r="K2412" s="11">
        <v>5364.61</v>
      </c>
      <c r="L2412" s="11"/>
      <c r="M2412" s="14">
        <v>5364.61</v>
      </c>
      <c r="N2412" s="11" t="s">
        <v>4624</v>
      </c>
      <c r="O2412" s="11" t="s">
        <v>50</v>
      </c>
    </row>
    <row r="2413" spans="1:15" s="13" customFormat="1" ht="19.5" customHeight="1" x14ac:dyDescent="0.25">
      <c r="A2413" s="11" t="s">
        <v>4625</v>
      </c>
      <c r="B2413" s="11" t="s">
        <v>4625</v>
      </c>
      <c r="C2413" s="12">
        <v>45744</v>
      </c>
      <c r="D2413" s="11"/>
      <c r="E2413" s="11" t="s">
        <v>6</v>
      </c>
      <c r="F2413" s="11" t="s">
        <v>4594</v>
      </c>
      <c r="G2413" s="11" t="s">
        <v>4623</v>
      </c>
      <c r="H2413" s="11"/>
      <c r="I2413" s="11" t="s">
        <v>49</v>
      </c>
      <c r="J2413" s="11">
        <v>-5364.61</v>
      </c>
      <c r="K2413" s="11"/>
      <c r="L2413" s="11">
        <v>5364.61</v>
      </c>
      <c r="M2413" s="14">
        <v>-5364.61</v>
      </c>
      <c r="N2413" s="11" t="s">
        <v>4624</v>
      </c>
      <c r="O2413" s="11" t="s">
        <v>2706</v>
      </c>
    </row>
    <row r="2414" spans="1:15" s="13" customFormat="1" ht="19.5" customHeight="1" x14ac:dyDescent="0.25">
      <c r="A2414" s="11" t="s">
        <v>4626</v>
      </c>
      <c r="B2414" s="11" t="s">
        <v>4626</v>
      </c>
      <c r="C2414" s="12">
        <v>45747</v>
      </c>
      <c r="D2414" s="12">
        <v>45747</v>
      </c>
      <c r="E2414" s="11" t="s">
        <v>6</v>
      </c>
      <c r="F2414" s="11" t="s">
        <v>4627</v>
      </c>
      <c r="G2414" s="11" t="s">
        <v>4626</v>
      </c>
      <c r="H2414" s="11"/>
      <c r="I2414" s="11" t="s">
        <v>49</v>
      </c>
      <c r="J2414" s="11">
        <v>22767.43</v>
      </c>
      <c r="K2414" s="11">
        <v>22767.43</v>
      </c>
      <c r="L2414" s="11"/>
      <c r="M2414" s="14">
        <v>22767.43</v>
      </c>
      <c r="N2414" s="11" t="s">
        <v>4628</v>
      </c>
      <c r="O2414" s="11" t="s">
        <v>50</v>
      </c>
    </row>
    <row r="2415" spans="1:15" s="13" customFormat="1" ht="19.5" customHeight="1" x14ac:dyDescent="0.25">
      <c r="A2415" s="11" t="s">
        <v>4629</v>
      </c>
      <c r="B2415" s="11" t="s">
        <v>4629</v>
      </c>
      <c r="C2415" s="12">
        <v>45744</v>
      </c>
      <c r="D2415" s="11"/>
      <c r="E2415" s="11" t="s">
        <v>6</v>
      </c>
      <c r="F2415" s="11" t="s">
        <v>4627</v>
      </c>
      <c r="G2415" s="11" t="s">
        <v>4626</v>
      </c>
      <c r="H2415" s="11"/>
      <c r="I2415" s="11" t="s">
        <v>49</v>
      </c>
      <c r="J2415" s="11">
        <v>-6500</v>
      </c>
      <c r="K2415" s="11"/>
      <c r="L2415" s="11">
        <v>6500</v>
      </c>
      <c r="M2415" s="14">
        <v>-6500</v>
      </c>
      <c r="N2415" s="11" t="s">
        <v>4628</v>
      </c>
      <c r="O2415" s="11" t="s">
        <v>2706</v>
      </c>
    </row>
    <row r="2416" spans="1:15" s="13" customFormat="1" ht="19.5" customHeight="1" x14ac:dyDescent="0.25">
      <c r="A2416" s="11" t="s">
        <v>4630</v>
      </c>
      <c r="B2416" s="11" t="s">
        <v>4630</v>
      </c>
      <c r="C2416" s="12">
        <v>45744</v>
      </c>
      <c r="D2416" s="11"/>
      <c r="E2416" s="11" t="s">
        <v>6</v>
      </c>
      <c r="F2416" s="11" t="s">
        <v>4627</v>
      </c>
      <c r="G2416" s="11" t="s">
        <v>4626</v>
      </c>
      <c r="H2416" s="11"/>
      <c r="I2416" s="11" t="s">
        <v>49</v>
      </c>
      <c r="J2416" s="11">
        <v>-16267.43</v>
      </c>
      <c r="K2416" s="11"/>
      <c r="L2416" s="11">
        <v>16267.43</v>
      </c>
      <c r="M2416" s="14">
        <v>-16267.43</v>
      </c>
      <c r="N2416" s="11" t="s">
        <v>4628</v>
      </c>
      <c r="O2416" s="11" t="s">
        <v>2706</v>
      </c>
    </row>
    <row r="2417" spans="1:15" s="13" customFormat="1" ht="19.5" customHeight="1" x14ac:dyDescent="0.25">
      <c r="A2417" s="11" t="s">
        <v>4631</v>
      </c>
      <c r="B2417" s="11" t="s">
        <v>4631</v>
      </c>
      <c r="C2417" s="12">
        <v>45747</v>
      </c>
      <c r="D2417" s="12">
        <v>45747</v>
      </c>
      <c r="E2417" s="11" t="s">
        <v>6</v>
      </c>
      <c r="F2417" s="11" t="s">
        <v>4598</v>
      </c>
      <c r="G2417" s="11" t="s">
        <v>4631</v>
      </c>
      <c r="H2417" s="11"/>
      <c r="I2417" s="11" t="s">
        <v>49</v>
      </c>
      <c r="J2417" s="11">
        <v>19459.23</v>
      </c>
      <c r="K2417" s="11">
        <v>19459.23</v>
      </c>
      <c r="L2417" s="11"/>
      <c r="M2417" s="14">
        <v>19459.23</v>
      </c>
      <c r="N2417" s="11" t="s">
        <v>4632</v>
      </c>
      <c r="O2417" s="11" t="s">
        <v>50</v>
      </c>
    </row>
    <row r="2418" spans="1:15" s="13" customFormat="1" ht="19.5" customHeight="1" x14ac:dyDescent="0.25">
      <c r="A2418" s="11" t="s">
        <v>4633</v>
      </c>
      <c r="B2418" s="11" t="s">
        <v>4633</v>
      </c>
      <c r="C2418" s="12">
        <v>45744</v>
      </c>
      <c r="D2418" s="11"/>
      <c r="E2418" s="11" t="s">
        <v>6</v>
      </c>
      <c r="F2418" s="11" t="s">
        <v>4598</v>
      </c>
      <c r="G2418" s="11" t="s">
        <v>4631</v>
      </c>
      <c r="H2418" s="11"/>
      <c r="I2418" s="11" t="s">
        <v>49</v>
      </c>
      <c r="J2418" s="11">
        <v>-19459.23</v>
      </c>
      <c r="K2418" s="11"/>
      <c r="L2418" s="11">
        <v>19459.23</v>
      </c>
      <c r="M2418" s="14">
        <v>-19459.23</v>
      </c>
      <c r="N2418" s="11" t="s">
        <v>4632</v>
      </c>
      <c r="O2418" s="11" t="s">
        <v>2706</v>
      </c>
    </row>
    <row r="2419" spans="1:15" s="13" customFormat="1" ht="19.5" customHeight="1" x14ac:dyDescent="0.25">
      <c r="A2419" s="11" t="s">
        <v>4634</v>
      </c>
      <c r="B2419" s="11" t="s">
        <v>4634</v>
      </c>
      <c r="C2419" s="12">
        <v>45747</v>
      </c>
      <c r="D2419" s="12">
        <v>45747</v>
      </c>
      <c r="E2419" s="11" t="s">
        <v>6</v>
      </c>
      <c r="F2419" s="11" t="s">
        <v>4560</v>
      </c>
      <c r="G2419" s="11" t="s">
        <v>4634</v>
      </c>
      <c r="H2419" s="11"/>
      <c r="I2419" s="11" t="s">
        <v>49</v>
      </c>
      <c r="J2419" s="11">
        <v>11727.99</v>
      </c>
      <c r="K2419" s="11">
        <v>11727.99</v>
      </c>
      <c r="L2419" s="11"/>
      <c r="M2419" s="14">
        <v>11727.99</v>
      </c>
      <c r="N2419" s="11" t="s">
        <v>4635</v>
      </c>
      <c r="O2419" s="11" t="s">
        <v>50</v>
      </c>
    </row>
    <row r="2420" spans="1:15" s="13" customFormat="1" ht="19.5" customHeight="1" x14ac:dyDescent="0.25">
      <c r="A2420" s="11" t="s">
        <v>4636</v>
      </c>
      <c r="B2420" s="11" t="s">
        <v>4636</v>
      </c>
      <c r="C2420" s="12">
        <v>45744</v>
      </c>
      <c r="D2420" s="11"/>
      <c r="E2420" s="11" t="s">
        <v>6</v>
      </c>
      <c r="F2420" s="11" t="s">
        <v>4560</v>
      </c>
      <c r="G2420" s="11" t="s">
        <v>4634</v>
      </c>
      <c r="H2420" s="11"/>
      <c r="I2420" s="11" t="s">
        <v>49</v>
      </c>
      <c r="J2420" s="11">
        <v>-5577.99</v>
      </c>
      <c r="K2420" s="11"/>
      <c r="L2420" s="11">
        <v>5577.99</v>
      </c>
      <c r="M2420" s="14">
        <v>-5577.99</v>
      </c>
      <c r="N2420" s="11" t="s">
        <v>4635</v>
      </c>
      <c r="O2420" s="11" t="s">
        <v>2706</v>
      </c>
    </row>
    <row r="2421" spans="1:15" s="13" customFormat="1" ht="19.5" customHeight="1" x14ac:dyDescent="0.25">
      <c r="A2421" s="11" t="s">
        <v>4637</v>
      </c>
      <c r="B2421" s="11" t="s">
        <v>4637</v>
      </c>
      <c r="C2421" s="12">
        <v>45744</v>
      </c>
      <c r="D2421" s="11"/>
      <c r="E2421" s="11" t="s">
        <v>6</v>
      </c>
      <c r="F2421" s="11" t="s">
        <v>4560</v>
      </c>
      <c r="G2421" s="11" t="s">
        <v>4634</v>
      </c>
      <c r="H2421" s="11"/>
      <c r="I2421" s="11" t="s">
        <v>49</v>
      </c>
      <c r="J2421" s="11">
        <v>-6150</v>
      </c>
      <c r="K2421" s="11"/>
      <c r="L2421" s="11">
        <v>6150</v>
      </c>
      <c r="M2421" s="14">
        <v>-6150</v>
      </c>
      <c r="N2421" s="11" t="s">
        <v>4635</v>
      </c>
      <c r="O2421" s="11" t="s">
        <v>2706</v>
      </c>
    </row>
    <row r="2422" spans="1:15" s="13" customFormat="1" ht="19.5" customHeight="1" x14ac:dyDescent="0.25">
      <c r="A2422" s="11" t="s">
        <v>4638</v>
      </c>
      <c r="B2422" s="11" t="s">
        <v>4638</v>
      </c>
      <c r="C2422" s="12">
        <v>45747</v>
      </c>
      <c r="D2422" s="12">
        <v>45747</v>
      </c>
      <c r="E2422" s="11" t="s">
        <v>6</v>
      </c>
      <c r="F2422" s="11" t="s">
        <v>4639</v>
      </c>
      <c r="G2422" s="11" t="s">
        <v>4638</v>
      </c>
      <c r="H2422" s="11"/>
      <c r="I2422" s="11" t="s">
        <v>49</v>
      </c>
      <c r="J2422" s="11">
        <v>27128.61</v>
      </c>
      <c r="K2422" s="11">
        <v>27128.61</v>
      </c>
      <c r="L2422" s="11"/>
      <c r="M2422" s="14">
        <v>27128.61</v>
      </c>
      <c r="N2422" s="11" t="s">
        <v>4640</v>
      </c>
      <c r="O2422" s="11" t="s">
        <v>50</v>
      </c>
    </row>
    <row r="2423" spans="1:15" s="13" customFormat="1" ht="19.5" customHeight="1" x14ac:dyDescent="0.25">
      <c r="A2423" s="11" t="s">
        <v>4641</v>
      </c>
      <c r="B2423" s="11" t="s">
        <v>4641</v>
      </c>
      <c r="C2423" s="12">
        <v>45744</v>
      </c>
      <c r="D2423" s="11"/>
      <c r="E2423" s="11" t="s">
        <v>6</v>
      </c>
      <c r="F2423" s="11" t="s">
        <v>4639</v>
      </c>
      <c r="G2423" s="11" t="s">
        <v>4638</v>
      </c>
      <c r="H2423" s="11"/>
      <c r="I2423" s="11" t="s">
        <v>49</v>
      </c>
      <c r="J2423" s="11">
        <v>-27128.61</v>
      </c>
      <c r="K2423" s="11"/>
      <c r="L2423" s="11">
        <v>27128.61</v>
      </c>
      <c r="M2423" s="14">
        <v>-27128.61</v>
      </c>
      <c r="N2423" s="11" t="s">
        <v>4640</v>
      </c>
      <c r="O2423" s="11" t="s">
        <v>2706</v>
      </c>
    </row>
    <row r="2424" spans="1:15" s="13" customFormat="1" ht="19.5" customHeight="1" x14ac:dyDescent="0.25">
      <c r="A2424" s="11" t="s">
        <v>4642</v>
      </c>
      <c r="B2424" s="11" t="s">
        <v>4642</v>
      </c>
      <c r="C2424" s="12">
        <v>45747</v>
      </c>
      <c r="D2424" s="12">
        <v>45747</v>
      </c>
      <c r="E2424" s="11" t="s">
        <v>6</v>
      </c>
      <c r="F2424" s="11" t="s">
        <v>3573</v>
      </c>
      <c r="G2424" s="11" t="s">
        <v>4642</v>
      </c>
      <c r="H2424" s="11"/>
      <c r="I2424" s="11" t="s">
        <v>49</v>
      </c>
      <c r="J2424" s="11">
        <v>13746.86</v>
      </c>
      <c r="K2424" s="11">
        <v>13746.86</v>
      </c>
      <c r="L2424" s="11"/>
      <c r="M2424" s="14">
        <v>13746.86</v>
      </c>
      <c r="N2424" s="11" t="s">
        <v>4643</v>
      </c>
      <c r="O2424" s="11" t="s">
        <v>50</v>
      </c>
    </row>
    <row r="2425" spans="1:15" s="13" customFormat="1" ht="19.5" customHeight="1" x14ac:dyDescent="0.25">
      <c r="A2425" s="11" t="s">
        <v>4644</v>
      </c>
      <c r="B2425" s="11" t="s">
        <v>4644</v>
      </c>
      <c r="C2425" s="12">
        <v>45744</v>
      </c>
      <c r="D2425" s="11"/>
      <c r="E2425" s="11" t="s">
        <v>6</v>
      </c>
      <c r="F2425" s="11" t="s">
        <v>3573</v>
      </c>
      <c r="G2425" s="11" t="s">
        <v>4642</v>
      </c>
      <c r="H2425" s="11"/>
      <c r="I2425" s="11" t="s">
        <v>49</v>
      </c>
      <c r="J2425" s="11">
        <v>-13746.86</v>
      </c>
      <c r="K2425" s="11"/>
      <c r="L2425" s="11">
        <v>13746.86</v>
      </c>
      <c r="M2425" s="14">
        <v>-13746.86</v>
      </c>
      <c r="N2425" s="11" t="s">
        <v>4643</v>
      </c>
      <c r="O2425" s="11" t="s">
        <v>2706</v>
      </c>
    </row>
    <row r="2426" spans="1:15" s="13" customFormat="1" ht="19.5" customHeight="1" x14ac:dyDescent="0.25">
      <c r="A2426" s="11" t="s">
        <v>4645</v>
      </c>
      <c r="B2426" s="11" t="s">
        <v>4645</v>
      </c>
      <c r="C2426" s="12">
        <v>45747</v>
      </c>
      <c r="D2426" s="12">
        <v>45747</v>
      </c>
      <c r="E2426" s="11" t="s">
        <v>6</v>
      </c>
      <c r="F2426" s="11" t="s">
        <v>4646</v>
      </c>
      <c r="G2426" s="11" t="s">
        <v>4645</v>
      </c>
      <c r="H2426" s="11"/>
      <c r="I2426" s="11" t="s">
        <v>49</v>
      </c>
      <c r="J2426" s="11">
        <v>3930.17</v>
      </c>
      <c r="K2426" s="11">
        <v>3930.17</v>
      </c>
      <c r="L2426" s="11"/>
      <c r="M2426" s="14">
        <v>3930.17</v>
      </c>
      <c r="N2426" s="11" t="s">
        <v>4647</v>
      </c>
      <c r="O2426" s="11" t="s">
        <v>50</v>
      </c>
    </row>
    <row r="2427" spans="1:15" s="13" customFormat="1" ht="19.5" customHeight="1" x14ac:dyDescent="0.25">
      <c r="A2427" s="11" t="s">
        <v>4648</v>
      </c>
      <c r="B2427" s="11" t="s">
        <v>4648</v>
      </c>
      <c r="C2427" s="12">
        <v>45744</v>
      </c>
      <c r="D2427" s="11"/>
      <c r="E2427" s="11" t="s">
        <v>6</v>
      </c>
      <c r="F2427" s="11" t="s">
        <v>4646</v>
      </c>
      <c r="G2427" s="11" t="s">
        <v>4645</v>
      </c>
      <c r="H2427" s="11"/>
      <c r="I2427" s="11" t="s">
        <v>49</v>
      </c>
      <c r="J2427" s="11">
        <v>-3930.17</v>
      </c>
      <c r="K2427" s="11"/>
      <c r="L2427" s="11">
        <v>3930.17</v>
      </c>
      <c r="M2427" s="14">
        <v>-3930.17</v>
      </c>
      <c r="N2427" s="11" t="s">
        <v>4647</v>
      </c>
      <c r="O2427" s="11" t="s">
        <v>2706</v>
      </c>
    </row>
    <row r="2428" spans="1:15" s="13" customFormat="1" ht="19.5" customHeight="1" x14ac:dyDescent="0.25">
      <c r="A2428" s="11" t="s">
        <v>4649</v>
      </c>
      <c r="B2428" s="11" t="s">
        <v>4649</v>
      </c>
      <c r="C2428" s="12">
        <v>45747</v>
      </c>
      <c r="D2428" s="12">
        <v>45747</v>
      </c>
      <c r="E2428" s="11" t="s">
        <v>6</v>
      </c>
      <c r="F2428" s="11" t="s">
        <v>1920</v>
      </c>
      <c r="G2428" s="11" t="s">
        <v>4649</v>
      </c>
      <c r="H2428" s="11"/>
      <c r="I2428" s="11" t="s">
        <v>49</v>
      </c>
      <c r="J2428" s="11">
        <v>8226.92</v>
      </c>
      <c r="K2428" s="11">
        <v>8226.92</v>
      </c>
      <c r="L2428" s="11"/>
      <c r="M2428" s="14">
        <v>8226.92</v>
      </c>
      <c r="N2428" s="11" t="s">
        <v>4650</v>
      </c>
      <c r="O2428" s="11" t="s">
        <v>50</v>
      </c>
    </row>
    <row r="2429" spans="1:15" s="13" customFormat="1" ht="19.5" customHeight="1" x14ac:dyDescent="0.25">
      <c r="A2429" s="11" t="s">
        <v>4651</v>
      </c>
      <c r="B2429" s="11" t="s">
        <v>4651</v>
      </c>
      <c r="C2429" s="12">
        <v>45744</v>
      </c>
      <c r="D2429" s="11"/>
      <c r="E2429" s="11" t="s">
        <v>6</v>
      </c>
      <c r="F2429" s="11" t="s">
        <v>1920</v>
      </c>
      <c r="G2429" s="11" t="s">
        <v>4649</v>
      </c>
      <c r="H2429" s="11"/>
      <c r="I2429" s="11" t="s">
        <v>49</v>
      </c>
      <c r="J2429" s="11">
        <v>-8226.92</v>
      </c>
      <c r="K2429" s="11"/>
      <c r="L2429" s="11">
        <v>8226.92</v>
      </c>
      <c r="M2429" s="14">
        <v>-8226.92</v>
      </c>
      <c r="N2429" s="11" t="s">
        <v>4650</v>
      </c>
      <c r="O2429" s="11" t="s">
        <v>2706</v>
      </c>
    </row>
    <row r="2430" spans="1:15" s="13" customFormat="1" ht="19.5" customHeight="1" x14ac:dyDescent="0.25">
      <c r="A2430" s="11" t="s">
        <v>4652</v>
      </c>
      <c r="B2430" s="11" t="s">
        <v>4652</v>
      </c>
      <c r="C2430" s="12">
        <v>45747</v>
      </c>
      <c r="D2430" s="12">
        <v>45747</v>
      </c>
      <c r="E2430" s="11" t="s">
        <v>6</v>
      </c>
      <c r="F2430" s="11" t="s">
        <v>4568</v>
      </c>
      <c r="G2430" s="11" t="s">
        <v>4652</v>
      </c>
      <c r="H2430" s="11"/>
      <c r="I2430" s="11" t="s">
        <v>49</v>
      </c>
      <c r="J2430" s="11">
        <v>4318.3999999999996</v>
      </c>
      <c r="K2430" s="11">
        <v>4318.3999999999996</v>
      </c>
      <c r="L2430" s="11"/>
      <c r="M2430" s="14">
        <v>4318.3999999999996</v>
      </c>
      <c r="N2430" s="11" t="s">
        <v>4653</v>
      </c>
      <c r="O2430" s="11" t="s">
        <v>50</v>
      </c>
    </row>
    <row r="2431" spans="1:15" s="13" customFormat="1" ht="19.5" customHeight="1" x14ac:dyDescent="0.25">
      <c r="A2431" s="11" t="s">
        <v>4654</v>
      </c>
      <c r="B2431" s="11" t="s">
        <v>4654</v>
      </c>
      <c r="C2431" s="12">
        <v>45744</v>
      </c>
      <c r="D2431" s="11"/>
      <c r="E2431" s="11" t="s">
        <v>6</v>
      </c>
      <c r="F2431" s="11" t="s">
        <v>4568</v>
      </c>
      <c r="G2431" s="11" t="s">
        <v>4652</v>
      </c>
      <c r="H2431" s="11"/>
      <c r="I2431" s="11" t="s">
        <v>49</v>
      </c>
      <c r="J2431" s="11">
        <v>-4318.3999999999996</v>
      </c>
      <c r="K2431" s="11"/>
      <c r="L2431" s="11">
        <v>4318.3999999999996</v>
      </c>
      <c r="M2431" s="14">
        <v>-4318.3999999999996</v>
      </c>
      <c r="N2431" s="11" t="s">
        <v>4653</v>
      </c>
      <c r="O2431" s="11" t="s">
        <v>2706</v>
      </c>
    </row>
    <row r="2432" spans="1:15" s="13" customFormat="1" ht="19.5" customHeight="1" x14ac:dyDescent="0.25">
      <c r="A2432" s="11" t="s">
        <v>4655</v>
      </c>
      <c r="B2432" s="11" t="s">
        <v>4655</v>
      </c>
      <c r="C2432" s="12">
        <v>45747</v>
      </c>
      <c r="D2432" s="12">
        <v>45747</v>
      </c>
      <c r="E2432" s="11" t="s">
        <v>6</v>
      </c>
      <c r="F2432" s="11" t="s">
        <v>4656</v>
      </c>
      <c r="G2432" s="11" t="s">
        <v>4655</v>
      </c>
      <c r="H2432" s="11"/>
      <c r="I2432" s="11" t="s">
        <v>49</v>
      </c>
      <c r="J2432" s="11">
        <v>293.67</v>
      </c>
      <c r="K2432" s="11">
        <v>293.67</v>
      </c>
      <c r="L2432" s="11"/>
      <c r="M2432" s="14">
        <v>293.67</v>
      </c>
      <c r="N2432" s="11" t="s">
        <v>4657</v>
      </c>
      <c r="O2432" s="11" t="s">
        <v>50</v>
      </c>
    </row>
    <row r="2433" spans="1:15" s="13" customFormat="1" ht="19.5" customHeight="1" x14ac:dyDescent="0.25">
      <c r="A2433" s="11" t="s">
        <v>4658</v>
      </c>
      <c r="B2433" s="11" t="s">
        <v>4658</v>
      </c>
      <c r="C2433" s="12">
        <v>45727</v>
      </c>
      <c r="D2433" s="12">
        <v>45727</v>
      </c>
      <c r="E2433" s="11" t="s">
        <v>6</v>
      </c>
      <c r="F2433" s="11" t="s">
        <v>4656</v>
      </c>
      <c r="G2433" s="11"/>
      <c r="H2433" s="11"/>
      <c r="I2433" s="11" t="s">
        <v>49</v>
      </c>
      <c r="J2433" s="11">
        <v>-293.67</v>
      </c>
      <c r="K2433" s="11"/>
      <c r="L2433" s="11">
        <v>293.67</v>
      </c>
      <c r="M2433" s="14">
        <v>-293.67</v>
      </c>
      <c r="N2433" s="11" t="s">
        <v>4657</v>
      </c>
      <c r="O2433" s="11" t="s">
        <v>50</v>
      </c>
    </row>
    <row r="2434" spans="1:15" s="13" customFormat="1" ht="19.5" customHeight="1" x14ac:dyDescent="0.25">
      <c r="A2434" s="11" t="s">
        <v>4659</v>
      </c>
      <c r="B2434" s="11" t="s">
        <v>4659</v>
      </c>
      <c r="C2434" s="12">
        <v>45747</v>
      </c>
      <c r="D2434" s="12">
        <v>45747</v>
      </c>
      <c r="E2434" s="11" t="s">
        <v>6</v>
      </c>
      <c r="F2434" s="11" t="s">
        <v>4598</v>
      </c>
      <c r="G2434" s="11" t="s">
        <v>4659</v>
      </c>
      <c r="H2434" s="11"/>
      <c r="I2434" s="11" t="s">
        <v>49</v>
      </c>
      <c r="J2434" s="11">
        <v>10948.61</v>
      </c>
      <c r="K2434" s="11">
        <v>10948.61</v>
      </c>
      <c r="L2434" s="11"/>
      <c r="M2434" s="14">
        <v>10948.61</v>
      </c>
      <c r="N2434" s="11" t="s">
        <v>4660</v>
      </c>
      <c r="O2434" s="11" t="s">
        <v>50</v>
      </c>
    </row>
    <row r="2435" spans="1:15" s="13" customFormat="1" ht="19.5" customHeight="1" x14ac:dyDescent="0.25">
      <c r="A2435" s="11" t="s">
        <v>4661</v>
      </c>
      <c r="B2435" s="11" t="s">
        <v>4661</v>
      </c>
      <c r="C2435" s="12">
        <v>45744</v>
      </c>
      <c r="D2435" s="11"/>
      <c r="E2435" s="11" t="s">
        <v>6</v>
      </c>
      <c r="F2435" s="11" t="s">
        <v>4598</v>
      </c>
      <c r="G2435" s="11" t="s">
        <v>4659</v>
      </c>
      <c r="H2435" s="11"/>
      <c r="I2435" s="11" t="s">
        <v>49</v>
      </c>
      <c r="J2435" s="11">
        <v>-10948.61</v>
      </c>
      <c r="K2435" s="11"/>
      <c r="L2435" s="11">
        <v>10948.61</v>
      </c>
      <c r="M2435" s="14">
        <v>-10948.61</v>
      </c>
      <c r="N2435" s="11" t="s">
        <v>4660</v>
      </c>
      <c r="O2435" s="11" t="s">
        <v>2706</v>
      </c>
    </row>
    <row r="2436" spans="1:15" s="13" customFormat="1" ht="19.5" customHeight="1" x14ac:dyDescent="0.25">
      <c r="A2436" s="11" t="s">
        <v>4662</v>
      </c>
      <c r="B2436" s="11" t="s">
        <v>4662</v>
      </c>
      <c r="C2436" s="12">
        <v>45728</v>
      </c>
      <c r="D2436" s="12">
        <v>45728</v>
      </c>
      <c r="E2436" s="11" t="s">
        <v>6</v>
      </c>
      <c r="F2436" s="11" t="s">
        <v>4627</v>
      </c>
      <c r="G2436" s="11" t="s">
        <v>4662</v>
      </c>
      <c r="H2436" s="11"/>
      <c r="I2436" s="11" t="s">
        <v>49</v>
      </c>
      <c r="J2436" s="11">
        <v>10218.870000000001</v>
      </c>
      <c r="K2436" s="11">
        <v>10218.870000000001</v>
      </c>
      <c r="L2436" s="11"/>
      <c r="M2436" s="14">
        <v>10218.870000000001</v>
      </c>
      <c r="N2436" s="11" t="s">
        <v>4663</v>
      </c>
      <c r="O2436" s="11" t="s">
        <v>50</v>
      </c>
    </row>
    <row r="2437" spans="1:15" s="13" customFormat="1" ht="19.5" customHeight="1" x14ac:dyDescent="0.25">
      <c r="A2437" s="11" t="s">
        <v>4664</v>
      </c>
      <c r="B2437" s="11" t="s">
        <v>4664</v>
      </c>
      <c r="C2437" s="12">
        <v>45728</v>
      </c>
      <c r="D2437" s="11"/>
      <c r="E2437" s="11" t="s">
        <v>6</v>
      </c>
      <c r="F2437" s="11" t="s">
        <v>4627</v>
      </c>
      <c r="G2437" s="11" t="s">
        <v>4662</v>
      </c>
      <c r="H2437" s="11"/>
      <c r="I2437" s="11" t="s">
        <v>49</v>
      </c>
      <c r="J2437" s="11">
        <v>-10218.870000000001</v>
      </c>
      <c r="K2437" s="11"/>
      <c r="L2437" s="11">
        <v>10218.870000000001</v>
      </c>
      <c r="M2437" s="14">
        <v>-10218.870000000001</v>
      </c>
      <c r="N2437" s="11" t="s">
        <v>4663</v>
      </c>
      <c r="O2437" s="11" t="s">
        <v>2706</v>
      </c>
    </row>
    <row r="2438" spans="1:15" s="13" customFormat="1" ht="19.5" customHeight="1" x14ac:dyDescent="0.25">
      <c r="A2438" s="11" t="s">
        <v>4665</v>
      </c>
      <c r="B2438" s="11" t="s">
        <v>4665</v>
      </c>
      <c r="C2438" s="12">
        <v>45728</v>
      </c>
      <c r="D2438" s="12">
        <v>45728</v>
      </c>
      <c r="E2438" s="11" t="s">
        <v>6</v>
      </c>
      <c r="F2438" s="11" t="s">
        <v>3623</v>
      </c>
      <c r="G2438" s="11" t="s">
        <v>4665</v>
      </c>
      <c r="H2438" s="11"/>
      <c r="I2438" s="11" t="s">
        <v>49</v>
      </c>
      <c r="J2438" s="11">
        <v>3560.06</v>
      </c>
      <c r="K2438" s="11">
        <v>3560.06</v>
      </c>
      <c r="L2438" s="11"/>
      <c r="M2438" s="14">
        <v>3560.06</v>
      </c>
      <c r="N2438" s="11" t="s">
        <v>4666</v>
      </c>
      <c r="O2438" s="11" t="s">
        <v>50</v>
      </c>
    </row>
    <row r="2439" spans="1:15" s="13" customFormat="1" ht="19.5" customHeight="1" x14ac:dyDescent="0.25">
      <c r="A2439" s="11" t="s">
        <v>4667</v>
      </c>
      <c r="B2439" s="11" t="s">
        <v>4667</v>
      </c>
      <c r="C2439" s="12">
        <v>45727</v>
      </c>
      <c r="D2439" s="11"/>
      <c r="E2439" s="11" t="s">
        <v>6</v>
      </c>
      <c r="F2439" s="11" t="s">
        <v>3623</v>
      </c>
      <c r="G2439" s="11" t="s">
        <v>4665</v>
      </c>
      <c r="H2439" s="11"/>
      <c r="I2439" s="11" t="s">
        <v>49</v>
      </c>
      <c r="J2439" s="11">
        <v>-3560.06</v>
      </c>
      <c r="K2439" s="11"/>
      <c r="L2439" s="11">
        <v>3560.06</v>
      </c>
      <c r="M2439" s="14">
        <v>-3560.06</v>
      </c>
      <c r="N2439" s="11" t="s">
        <v>4666</v>
      </c>
      <c r="O2439" s="11" t="s">
        <v>2706</v>
      </c>
    </row>
    <row r="2440" spans="1:15" s="13" customFormat="1" ht="19.5" customHeight="1" x14ac:dyDescent="0.25">
      <c r="A2440" s="11" t="s">
        <v>4668</v>
      </c>
      <c r="B2440" s="11" t="s">
        <v>4668</v>
      </c>
      <c r="C2440" s="12">
        <v>45728</v>
      </c>
      <c r="D2440" s="12">
        <v>45728</v>
      </c>
      <c r="E2440" s="11" t="s">
        <v>6</v>
      </c>
      <c r="F2440" s="11" t="s">
        <v>1247</v>
      </c>
      <c r="G2440" s="11" t="s">
        <v>4668</v>
      </c>
      <c r="H2440" s="11"/>
      <c r="I2440" s="11" t="s">
        <v>49</v>
      </c>
      <c r="J2440" s="11">
        <v>913.39</v>
      </c>
      <c r="K2440" s="11">
        <v>913.39</v>
      </c>
      <c r="L2440" s="11"/>
      <c r="M2440" s="14">
        <v>913.39</v>
      </c>
      <c r="N2440" s="11" t="s">
        <v>4669</v>
      </c>
      <c r="O2440" s="11" t="s">
        <v>50</v>
      </c>
    </row>
    <row r="2441" spans="1:15" s="13" customFormat="1" ht="19.5" customHeight="1" x14ac:dyDescent="0.25">
      <c r="A2441" s="11" t="s">
        <v>4670</v>
      </c>
      <c r="B2441" s="11" t="s">
        <v>4670</v>
      </c>
      <c r="C2441" s="12">
        <v>45727</v>
      </c>
      <c r="D2441" s="11"/>
      <c r="E2441" s="11" t="s">
        <v>6</v>
      </c>
      <c r="F2441" s="11" t="s">
        <v>1247</v>
      </c>
      <c r="G2441" s="11" t="s">
        <v>4668</v>
      </c>
      <c r="H2441" s="11"/>
      <c r="I2441" s="11" t="s">
        <v>49</v>
      </c>
      <c r="J2441" s="11">
        <v>-913.39</v>
      </c>
      <c r="K2441" s="11"/>
      <c r="L2441" s="11">
        <v>913.39</v>
      </c>
      <c r="M2441" s="14">
        <v>-913.39</v>
      </c>
      <c r="N2441" s="11" t="s">
        <v>4669</v>
      </c>
      <c r="O2441" s="11" t="s">
        <v>2706</v>
      </c>
    </row>
    <row r="2442" spans="1:15" s="13" customFormat="1" ht="19.5" customHeight="1" x14ac:dyDescent="0.25">
      <c r="A2442" s="11" t="s">
        <v>4671</v>
      </c>
      <c r="B2442" s="11" t="s">
        <v>4671</v>
      </c>
      <c r="C2442" s="12">
        <v>45728</v>
      </c>
      <c r="D2442" s="12">
        <v>45728</v>
      </c>
      <c r="E2442" s="11" t="s">
        <v>6</v>
      </c>
      <c r="F2442" s="11" t="s">
        <v>3573</v>
      </c>
      <c r="G2442" s="11" t="s">
        <v>4671</v>
      </c>
      <c r="H2442" s="11"/>
      <c r="I2442" s="11" t="s">
        <v>49</v>
      </c>
      <c r="J2442" s="11">
        <v>17540</v>
      </c>
      <c r="K2442" s="11">
        <v>17540</v>
      </c>
      <c r="L2442" s="11"/>
      <c r="M2442" s="14">
        <v>17540</v>
      </c>
      <c r="N2442" s="11" t="s">
        <v>4672</v>
      </c>
      <c r="O2442" s="11" t="s">
        <v>50</v>
      </c>
    </row>
    <row r="2443" spans="1:15" s="13" customFormat="1" ht="19.5" customHeight="1" x14ac:dyDescent="0.25">
      <c r="A2443" s="11" t="s">
        <v>4673</v>
      </c>
      <c r="B2443" s="11" t="s">
        <v>4673</v>
      </c>
      <c r="C2443" s="12">
        <v>45727</v>
      </c>
      <c r="D2443" s="12">
        <v>45727</v>
      </c>
      <c r="E2443" s="11" t="s">
        <v>6</v>
      </c>
      <c r="F2443" s="11" t="s">
        <v>3573</v>
      </c>
      <c r="G2443" s="11"/>
      <c r="H2443" s="11"/>
      <c r="I2443" s="11" t="s">
        <v>49</v>
      </c>
      <c r="J2443" s="11">
        <v>-951.55</v>
      </c>
      <c r="K2443" s="11"/>
      <c r="L2443" s="11">
        <v>951.55</v>
      </c>
      <c r="M2443" s="14">
        <v>-951.55</v>
      </c>
      <c r="N2443" s="11" t="s">
        <v>4672</v>
      </c>
      <c r="O2443" s="11" t="s">
        <v>50</v>
      </c>
    </row>
    <row r="2444" spans="1:15" s="13" customFormat="1" ht="19.5" customHeight="1" x14ac:dyDescent="0.25">
      <c r="A2444" s="11" t="s">
        <v>4674</v>
      </c>
      <c r="B2444" s="11" t="s">
        <v>4674</v>
      </c>
      <c r="C2444" s="12">
        <v>45727</v>
      </c>
      <c r="D2444" s="11"/>
      <c r="E2444" s="11" t="s">
        <v>6</v>
      </c>
      <c r="F2444" s="11" t="s">
        <v>3573</v>
      </c>
      <c r="G2444" s="11" t="s">
        <v>4671</v>
      </c>
      <c r="H2444" s="11"/>
      <c r="I2444" s="11" t="s">
        <v>49</v>
      </c>
      <c r="J2444" s="11">
        <v>-16165.41</v>
      </c>
      <c r="K2444" s="11"/>
      <c r="L2444" s="11">
        <v>16165.41</v>
      </c>
      <c r="M2444" s="14">
        <v>-16165.41</v>
      </c>
      <c r="N2444" s="11" t="s">
        <v>4672</v>
      </c>
      <c r="O2444" s="11" t="s">
        <v>2706</v>
      </c>
    </row>
    <row r="2445" spans="1:15" s="13" customFormat="1" ht="19.5" customHeight="1" x14ac:dyDescent="0.25">
      <c r="A2445" s="11" t="s">
        <v>4675</v>
      </c>
      <c r="B2445" s="11" t="s">
        <v>4675</v>
      </c>
      <c r="C2445" s="12">
        <v>45720</v>
      </c>
      <c r="D2445" s="12">
        <v>45720</v>
      </c>
      <c r="E2445" s="11" t="s">
        <v>6</v>
      </c>
      <c r="F2445" s="11" t="s">
        <v>3573</v>
      </c>
      <c r="G2445" s="11"/>
      <c r="H2445" s="11"/>
      <c r="I2445" s="11" t="s">
        <v>49</v>
      </c>
      <c r="J2445" s="11">
        <v>-423.04</v>
      </c>
      <c r="K2445" s="11"/>
      <c r="L2445" s="11">
        <v>423.04</v>
      </c>
      <c r="M2445" s="14">
        <v>-423.04</v>
      </c>
      <c r="N2445" s="11" t="s">
        <v>4672</v>
      </c>
      <c r="O2445" s="11" t="s">
        <v>50</v>
      </c>
    </row>
    <row r="2446" spans="1:15" s="13" customFormat="1" ht="19.5" customHeight="1" x14ac:dyDescent="0.25">
      <c r="A2446" s="11" t="s">
        <v>4676</v>
      </c>
      <c r="B2446" s="11" t="s">
        <v>4676</v>
      </c>
      <c r="C2446" s="12">
        <v>45728</v>
      </c>
      <c r="D2446" s="12">
        <v>45728</v>
      </c>
      <c r="E2446" s="11" t="s">
        <v>6</v>
      </c>
      <c r="F2446" s="11" t="s">
        <v>4677</v>
      </c>
      <c r="G2446" s="11" t="s">
        <v>4676</v>
      </c>
      <c r="H2446" s="11"/>
      <c r="I2446" s="11" t="s">
        <v>49</v>
      </c>
      <c r="J2446" s="11">
        <v>983.98</v>
      </c>
      <c r="K2446" s="11">
        <v>983.98</v>
      </c>
      <c r="L2446" s="11"/>
      <c r="M2446" s="14">
        <v>983.98</v>
      </c>
      <c r="N2446" s="11" t="s">
        <v>4678</v>
      </c>
      <c r="O2446" s="11" t="s">
        <v>50</v>
      </c>
    </row>
    <row r="2447" spans="1:15" s="13" customFormat="1" ht="19.5" customHeight="1" x14ac:dyDescent="0.25">
      <c r="A2447" s="11" t="s">
        <v>4679</v>
      </c>
      <c r="B2447" s="11" t="s">
        <v>4679</v>
      </c>
      <c r="C2447" s="12">
        <v>45727</v>
      </c>
      <c r="D2447" s="11"/>
      <c r="E2447" s="11" t="s">
        <v>6</v>
      </c>
      <c r="F2447" s="11" t="s">
        <v>4677</v>
      </c>
      <c r="G2447" s="11" t="s">
        <v>4676</v>
      </c>
      <c r="H2447" s="11"/>
      <c r="I2447" s="11" t="s">
        <v>49</v>
      </c>
      <c r="J2447" s="11">
        <v>-983.98</v>
      </c>
      <c r="K2447" s="11"/>
      <c r="L2447" s="11">
        <v>983.98</v>
      </c>
      <c r="M2447" s="14">
        <v>-983.98</v>
      </c>
      <c r="N2447" s="11" t="s">
        <v>4678</v>
      </c>
      <c r="O2447" s="11" t="s">
        <v>2706</v>
      </c>
    </row>
    <row r="2448" spans="1:15" s="13" customFormat="1" ht="19.5" customHeight="1" x14ac:dyDescent="0.25">
      <c r="A2448" s="11" t="s">
        <v>4680</v>
      </c>
      <c r="B2448" s="11" t="s">
        <v>4680</v>
      </c>
      <c r="C2448" s="12">
        <v>45728</v>
      </c>
      <c r="D2448" s="12">
        <v>45728</v>
      </c>
      <c r="E2448" s="11" t="s">
        <v>6</v>
      </c>
      <c r="F2448" s="11" t="s">
        <v>4646</v>
      </c>
      <c r="G2448" s="11" t="s">
        <v>4680</v>
      </c>
      <c r="H2448" s="11"/>
      <c r="I2448" s="11" t="s">
        <v>49</v>
      </c>
      <c r="J2448" s="11">
        <v>6698.56</v>
      </c>
      <c r="K2448" s="11">
        <v>6698.56</v>
      </c>
      <c r="L2448" s="11"/>
      <c r="M2448" s="14">
        <v>6698.56</v>
      </c>
      <c r="N2448" s="11" t="s">
        <v>4681</v>
      </c>
      <c r="O2448" s="11" t="s">
        <v>50</v>
      </c>
    </row>
    <row r="2449" spans="1:15" s="13" customFormat="1" ht="19.5" customHeight="1" x14ac:dyDescent="0.25">
      <c r="A2449" s="11" t="s">
        <v>4682</v>
      </c>
      <c r="B2449" s="11" t="s">
        <v>4682</v>
      </c>
      <c r="C2449" s="12">
        <v>45727</v>
      </c>
      <c r="D2449" s="11"/>
      <c r="E2449" s="11" t="s">
        <v>6</v>
      </c>
      <c r="F2449" s="11" t="s">
        <v>4646</v>
      </c>
      <c r="G2449" s="11" t="s">
        <v>4680</v>
      </c>
      <c r="H2449" s="11"/>
      <c r="I2449" s="11" t="s">
        <v>49</v>
      </c>
      <c r="J2449" s="11">
        <v>-6698.56</v>
      </c>
      <c r="K2449" s="11"/>
      <c r="L2449" s="11">
        <v>6698.56</v>
      </c>
      <c r="M2449" s="14">
        <v>-6698.56</v>
      </c>
      <c r="N2449" s="11" t="s">
        <v>4681</v>
      </c>
      <c r="O2449" s="11" t="s">
        <v>2706</v>
      </c>
    </row>
    <row r="2450" spans="1:15" s="13" customFormat="1" ht="19.5" customHeight="1" x14ac:dyDescent="0.25">
      <c r="A2450" s="11" t="s">
        <v>4683</v>
      </c>
      <c r="B2450" s="11" t="s">
        <v>4683</v>
      </c>
      <c r="C2450" s="12">
        <v>45729</v>
      </c>
      <c r="D2450" s="12">
        <v>45729</v>
      </c>
      <c r="E2450" s="11" t="s">
        <v>6</v>
      </c>
      <c r="F2450" s="11" t="s">
        <v>4560</v>
      </c>
      <c r="G2450" s="11" t="s">
        <v>4683</v>
      </c>
      <c r="H2450" s="11"/>
      <c r="I2450" s="11" t="s">
        <v>49</v>
      </c>
      <c r="J2450" s="11">
        <v>4507.5</v>
      </c>
      <c r="K2450" s="11">
        <v>4507.5</v>
      </c>
      <c r="L2450" s="11"/>
      <c r="M2450" s="14">
        <v>4507.5</v>
      </c>
      <c r="N2450" s="11" t="s">
        <v>4684</v>
      </c>
      <c r="O2450" s="11" t="s">
        <v>50</v>
      </c>
    </row>
    <row r="2451" spans="1:15" s="13" customFormat="1" ht="19.5" customHeight="1" x14ac:dyDescent="0.25">
      <c r="A2451" s="11" t="s">
        <v>4685</v>
      </c>
      <c r="B2451" s="11" t="s">
        <v>4685</v>
      </c>
      <c r="C2451" s="12">
        <v>45729</v>
      </c>
      <c r="D2451" s="11"/>
      <c r="E2451" s="11" t="s">
        <v>6</v>
      </c>
      <c r="F2451" s="11" t="s">
        <v>4560</v>
      </c>
      <c r="G2451" s="11" t="s">
        <v>4683</v>
      </c>
      <c r="H2451" s="11"/>
      <c r="I2451" s="11" t="s">
        <v>49</v>
      </c>
      <c r="J2451" s="11">
        <v>-4507.5</v>
      </c>
      <c r="K2451" s="11"/>
      <c r="L2451" s="11">
        <v>4507.5</v>
      </c>
      <c r="M2451" s="14">
        <v>-4507.5</v>
      </c>
      <c r="N2451" s="11" t="s">
        <v>4684</v>
      </c>
      <c r="O2451" s="11" t="s">
        <v>2706</v>
      </c>
    </row>
    <row r="2452" spans="1:15" s="13" customFormat="1" ht="19.5" customHeight="1" x14ac:dyDescent="0.25">
      <c r="A2452" s="11" t="s">
        <v>4686</v>
      </c>
      <c r="B2452" s="11" t="s">
        <v>4686</v>
      </c>
      <c r="C2452" s="12">
        <v>45729</v>
      </c>
      <c r="D2452" s="12">
        <v>45729</v>
      </c>
      <c r="E2452" s="11" t="s">
        <v>6</v>
      </c>
      <c r="F2452" s="11" t="s">
        <v>3315</v>
      </c>
      <c r="G2452" s="11" t="s">
        <v>4686</v>
      </c>
      <c r="H2452" s="11"/>
      <c r="I2452" s="11" t="s">
        <v>49</v>
      </c>
      <c r="J2452" s="11">
        <v>14536.42</v>
      </c>
      <c r="K2452" s="11">
        <v>14536.42</v>
      </c>
      <c r="L2452" s="11"/>
      <c r="M2452" s="14">
        <v>14536.42</v>
      </c>
      <c r="N2452" s="11" t="s">
        <v>4687</v>
      </c>
      <c r="O2452" s="11" t="s">
        <v>50</v>
      </c>
    </row>
    <row r="2453" spans="1:15" s="13" customFormat="1" ht="19.5" customHeight="1" x14ac:dyDescent="0.25">
      <c r="A2453" s="11" t="s">
        <v>4688</v>
      </c>
      <c r="B2453" s="11" t="s">
        <v>4688</v>
      </c>
      <c r="C2453" s="12">
        <v>45729</v>
      </c>
      <c r="D2453" s="11"/>
      <c r="E2453" s="11" t="s">
        <v>6</v>
      </c>
      <c r="F2453" s="11" t="s">
        <v>3315</v>
      </c>
      <c r="G2453" s="11" t="s">
        <v>4686</v>
      </c>
      <c r="H2453" s="11"/>
      <c r="I2453" s="11" t="s">
        <v>49</v>
      </c>
      <c r="J2453" s="11">
        <v>-14536.42</v>
      </c>
      <c r="K2453" s="11"/>
      <c r="L2453" s="11">
        <v>14536.42</v>
      </c>
      <c r="M2453" s="14">
        <v>-14536.42</v>
      </c>
      <c r="N2453" s="11" t="s">
        <v>4687</v>
      </c>
      <c r="O2453" s="11" t="s">
        <v>2706</v>
      </c>
    </row>
    <row r="2454" spans="1:15" s="13" customFormat="1" ht="19.5" customHeight="1" x14ac:dyDescent="0.25">
      <c r="A2454" s="11" t="s">
        <v>4689</v>
      </c>
      <c r="B2454" s="11" t="s">
        <v>4689</v>
      </c>
      <c r="C2454" s="12">
        <v>45729</v>
      </c>
      <c r="D2454" s="12">
        <v>45729</v>
      </c>
      <c r="E2454" s="11" t="s">
        <v>6</v>
      </c>
      <c r="F2454" s="11" t="s">
        <v>4690</v>
      </c>
      <c r="G2454" s="11" t="s">
        <v>4689</v>
      </c>
      <c r="H2454" s="11"/>
      <c r="I2454" s="11" t="s">
        <v>49</v>
      </c>
      <c r="J2454" s="11">
        <v>834.73</v>
      </c>
      <c r="K2454" s="11">
        <v>834.73</v>
      </c>
      <c r="L2454" s="11"/>
      <c r="M2454" s="14">
        <v>834.73</v>
      </c>
      <c r="N2454" s="11" t="s">
        <v>4691</v>
      </c>
      <c r="O2454" s="11" t="s">
        <v>50</v>
      </c>
    </row>
    <row r="2455" spans="1:15" s="13" customFormat="1" ht="19.5" customHeight="1" x14ac:dyDescent="0.25">
      <c r="A2455" s="11" t="s">
        <v>4692</v>
      </c>
      <c r="B2455" s="11" t="s">
        <v>4692</v>
      </c>
      <c r="C2455" s="12">
        <v>45727</v>
      </c>
      <c r="D2455" s="11"/>
      <c r="E2455" s="11" t="s">
        <v>6</v>
      </c>
      <c r="F2455" s="11" t="s">
        <v>4690</v>
      </c>
      <c r="G2455" s="11" t="s">
        <v>4689</v>
      </c>
      <c r="H2455" s="11"/>
      <c r="I2455" s="11" t="s">
        <v>49</v>
      </c>
      <c r="J2455" s="11">
        <v>-834.73</v>
      </c>
      <c r="K2455" s="11"/>
      <c r="L2455" s="11">
        <v>834.73</v>
      </c>
      <c r="M2455" s="14">
        <v>-834.73</v>
      </c>
      <c r="N2455" s="11" t="s">
        <v>4691</v>
      </c>
      <c r="O2455" s="11" t="s">
        <v>2706</v>
      </c>
    </row>
    <row r="2456" spans="1:15" s="13" customFormat="1" ht="19.5" customHeight="1" x14ac:dyDescent="0.25">
      <c r="A2456" s="11" t="s">
        <v>4693</v>
      </c>
      <c r="B2456" s="11" t="s">
        <v>4694</v>
      </c>
      <c r="C2456" s="12">
        <v>45730</v>
      </c>
      <c r="D2456" s="11"/>
      <c r="E2456" s="11" t="s">
        <v>6</v>
      </c>
      <c r="F2456" s="11" t="s">
        <v>3188</v>
      </c>
      <c r="G2456" s="11" t="s">
        <v>4695</v>
      </c>
      <c r="H2456" s="11" t="s">
        <v>4695</v>
      </c>
      <c r="I2456" s="11" t="s">
        <v>49</v>
      </c>
      <c r="J2456" s="11">
        <v>-0.01</v>
      </c>
      <c r="K2456" s="11"/>
      <c r="L2456" s="11">
        <v>0.01</v>
      </c>
      <c r="M2456" s="14">
        <v>-0.01</v>
      </c>
      <c r="N2456" s="11" t="s">
        <v>4696</v>
      </c>
      <c r="O2456" s="11" t="s">
        <v>2706</v>
      </c>
    </row>
    <row r="2457" spans="1:15" s="13" customFormat="1" ht="19.5" customHeight="1" x14ac:dyDescent="0.25">
      <c r="A2457" s="11" t="s">
        <v>4695</v>
      </c>
      <c r="B2457" s="11" t="s">
        <v>4695</v>
      </c>
      <c r="C2457" s="12">
        <v>45730</v>
      </c>
      <c r="D2457" s="12">
        <v>45730</v>
      </c>
      <c r="E2457" s="11" t="s">
        <v>6</v>
      </c>
      <c r="F2457" s="11" t="s">
        <v>3188</v>
      </c>
      <c r="G2457" s="11" t="s">
        <v>4697</v>
      </c>
      <c r="H2457" s="11"/>
      <c r="I2457" s="11" t="s">
        <v>49</v>
      </c>
      <c r="J2457" s="11">
        <v>6488.78</v>
      </c>
      <c r="K2457" s="11">
        <v>6488.78</v>
      </c>
      <c r="L2457" s="11"/>
      <c r="M2457" s="14">
        <v>6488.78</v>
      </c>
      <c r="N2457" s="11" t="s">
        <v>4696</v>
      </c>
      <c r="O2457" s="11" t="s">
        <v>50</v>
      </c>
    </row>
    <row r="2458" spans="1:15" s="13" customFormat="1" ht="19.5" customHeight="1" x14ac:dyDescent="0.25">
      <c r="A2458" s="11" t="s">
        <v>4698</v>
      </c>
      <c r="B2458" s="11" t="s">
        <v>4698</v>
      </c>
      <c r="C2458" s="12">
        <v>45729</v>
      </c>
      <c r="D2458" s="11"/>
      <c r="E2458" s="11" t="s">
        <v>6</v>
      </c>
      <c r="F2458" s="11" t="s">
        <v>3188</v>
      </c>
      <c r="G2458" s="11" t="s">
        <v>4697</v>
      </c>
      <c r="H2458" s="11"/>
      <c r="I2458" s="11" t="s">
        <v>49</v>
      </c>
      <c r="J2458" s="11">
        <v>-6488.77</v>
      </c>
      <c r="K2458" s="11"/>
      <c r="L2458" s="11">
        <v>6488.77</v>
      </c>
      <c r="M2458" s="14">
        <v>-6488.77</v>
      </c>
      <c r="N2458" s="11" t="s">
        <v>4696</v>
      </c>
      <c r="O2458" s="11" t="s">
        <v>2706</v>
      </c>
    </row>
    <row r="2459" spans="1:15" s="13" customFormat="1" ht="19.5" customHeight="1" x14ac:dyDescent="0.25">
      <c r="A2459" s="11" t="s">
        <v>4699</v>
      </c>
      <c r="B2459" s="11" t="s">
        <v>4699</v>
      </c>
      <c r="C2459" s="12">
        <v>45730</v>
      </c>
      <c r="D2459" s="12">
        <v>45730</v>
      </c>
      <c r="E2459" s="11" t="s">
        <v>6</v>
      </c>
      <c r="F2459" s="11" t="s">
        <v>1920</v>
      </c>
      <c r="G2459" s="11" t="s">
        <v>4699</v>
      </c>
      <c r="H2459" s="11"/>
      <c r="I2459" s="11" t="s">
        <v>49</v>
      </c>
      <c r="J2459" s="11">
        <v>7701.28</v>
      </c>
      <c r="K2459" s="11">
        <v>7701.28</v>
      </c>
      <c r="L2459" s="11"/>
      <c r="M2459" s="14">
        <v>7701.28</v>
      </c>
      <c r="N2459" s="11" t="s">
        <v>4700</v>
      </c>
      <c r="O2459" s="11" t="s">
        <v>50</v>
      </c>
    </row>
    <row r="2460" spans="1:15" s="13" customFormat="1" ht="19.5" customHeight="1" x14ac:dyDescent="0.25">
      <c r="A2460" s="11" t="s">
        <v>4701</v>
      </c>
      <c r="B2460" s="11" t="s">
        <v>4701</v>
      </c>
      <c r="C2460" s="12">
        <v>45729</v>
      </c>
      <c r="D2460" s="11"/>
      <c r="E2460" s="11" t="s">
        <v>6</v>
      </c>
      <c r="F2460" s="11" t="s">
        <v>1920</v>
      </c>
      <c r="G2460" s="11" t="s">
        <v>4699</v>
      </c>
      <c r="H2460" s="11"/>
      <c r="I2460" s="11" t="s">
        <v>49</v>
      </c>
      <c r="J2460" s="11">
        <v>-990.75</v>
      </c>
      <c r="K2460" s="11"/>
      <c r="L2460" s="11">
        <v>990.75</v>
      </c>
      <c r="M2460" s="14">
        <v>-990.75</v>
      </c>
      <c r="N2460" s="11" t="s">
        <v>4700</v>
      </c>
      <c r="O2460" s="11" t="s">
        <v>2706</v>
      </c>
    </row>
    <row r="2461" spans="1:15" s="13" customFormat="1" ht="19.5" customHeight="1" x14ac:dyDescent="0.25">
      <c r="A2461" s="11" t="s">
        <v>4702</v>
      </c>
      <c r="B2461" s="11" t="s">
        <v>4702</v>
      </c>
      <c r="C2461" s="12">
        <v>45729</v>
      </c>
      <c r="D2461" s="11"/>
      <c r="E2461" s="11" t="s">
        <v>6</v>
      </c>
      <c r="F2461" s="11" t="s">
        <v>1920</v>
      </c>
      <c r="G2461" s="11" t="s">
        <v>4699</v>
      </c>
      <c r="H2461" s="11"/>
      <c r="I2461" s="11" t="s">
        <v>49</v>
      </c>
      <c r="J2461" s="11">
        <v>-6710.53</v>
      </c>
      <c r="K2461" s="11"/>
      <c r="L2461" s="11">
        <v>6710.53</v>
      </c>
      <c r="M2461" s="14">
        <v>-6710.53</v>
      </c>
      <c r="N2461" s="11" t="s">
        <v>4700</v>
      </c>
      <c r="O2461" s="11" t="s">
        <v>2706</v>
      </c>
    </row>
    <row r="2462" spans="1:15" s="13" customFormat="1" ht="19.5" customHeight="1" x14ac:dyDescent="0.25">
      <c r="A2462" s="11" t="s">
        <v>4703</v>
      </c>
      <c r="B2462" s="11" t="s">
        <v>4703</v>
      </c>
      <c r="C2462" s="12">
        <v>45730</v>
      </c>
      <c r="D2462" s="11"/>
      <c r="E2462" s="11" t="s">
        <v>6</v>
      </c>
      <c r="F2462" s="11" t="s">
        <v>4704</v>
      </c>
      <c r="G2462" s="11" t="s">
        <v>4705</v>
      </c>
      <c r="H2462" s="11"/>
      <c r="I2462" s="11" t="s">
        <v>49</v>
      </c>
      <c r="J2462" s="11">
        <v>-834.73</v>
      </c>
      <c r="K2462" s="11"/>
      <c r="L2462" s="11">
        <v>834.73</v>
      </c>
      <c r="M2462" s="14">
        <v>-834.73</v>
      </c>
      <c r="N2462" s="11" t="s">
        <v>4706</v>
      </c>
      <c r="O2462" s="11" t="s">
        <v>2706</v>
      </c>
    </row>
    <row r="2463" spans="1:15" s="13" customFormat="1" ht="19.5" customHeight="1" x14ac:dyDescent="0.25">
      <c r="A2463" s="11" t="s">
        <v>4705</v>
      </c>
      <c r="B2463" s="11" t="s">
        <v>4705</v>
      </c>
      <c r="C2463" s="12">
        <v>45730</v>
      </c>
      <c r="D2463" s="12">
        <v>45730</v>
      </c>
      <c r="E2463" s="11" t="s">
        <v>6</v>
      </c>
      <c r="F2463" s="11" t="s">
        <v>4704</v>
      </c>
      <c r="G2463" s="11" t="s">
        <v>4705</v>
      </c>
      <c r="H2463" s="11"/>
      <c r="I2463" s="11" t="s">
        <v>49</v>
      </c>
      <c r="J2463" s="11">
        <v>834.73</v>
      </c>
      <c r="K2463" s="11">
        <v>834.73</v>
      </c>
      <c r="L2463" s="11"/>
      <c r="M2463" s="14">
        <v>834.73</v>
      </c>
      <c r="N2463" s="11" t="s">
        <v>4706</v>
      </c>
      <c r="O2463" s="11" t="s">
        <v>50</v>
      </c>
    </row>
    <row r="2464" spans="1:15" s="13" customFormat="1" ht="19.5" customHeight="1" x14ac:dyDescent="0.25">
      <c r="A2464" s="11" t="s">
        <v>4707</v>
      </c>
      <c r="B2464" s="11" t="s">
        <v>4707</v>
      </c>
      <c r="C2464" s="12">
        <v>45733</v>
      </c>
      <c r="D2464" s="12">
        <v>45733</v>
      </c>
      <c r="E2464" s="11" t="s">
        <v>6</v>
      </c>
      <c r="F2464" s="11" t="s">
        <v>2525</v>
      </c>
      <c r="G2464" s="11" t="s">
        <v>4707</v>
      </c>
      <c r="H2464" s="11"/>
      <c r="I2464" s="11" t="s">
        <v>49</v>
      </c>
      <c r="J2464" s="11">
        <v>22938.34</v>
      </c>
      <c r="K2464" s="11">
        <v>22938.34</v>
      </c>
      <c r="L2464" s="11"/>
      <c r="M2464" s="14">
        <v>22938.34</v>
      </c>
      <c r="N2464" s="11" t="s">
        <v>4708</v>
      </c>
      <c r="O2464" s="11" t="s">
        <v>50</v>
      </c>
    </row>
    <row r="2465" spans="1:15" s="13" customFormat="1" ht="19.5" customHeight="1" x14ac:dyDescent="0.25">
      <c r="A2465" s="11" t="s">
        <v>4709</v>
      </c>
      <c r="B2465" s="11" t="s">
        <v>4709</v>
      </c>
      <c r="C2465" s="12">
        <v>45731</v>
      </c>
      <c r="D2465" s="11"/>
      <c r="E2465" s="11" t="s">
        <v>6</v>
      </c>
      <c r="F2465" s="11" t="s">
        <v>2525</v>
      </c>
      <c r="G2465" s="11" t="s">
        <v>4707</v>
      </c>
      <c r="H2465" s="11"/>
      <c r="I2465" s="11" t="s">
        <v>49</v>
      </c>
      <c r="J2465" s="11">
        <v>-22938.34</v>
      </c>
      <c r="K2465" s="11"/>
      <c r="L2465" s="11">
        <v>22938.34</v>
      </c>
      <c r="M2465" s="14">
        <v>-22938.34</v>
      </c>
      <c r="N2465" s="11" t="s">
        <v>4708</v>
      </c>
      <c r="O2465" s="11" t="s">
        <v>2706</v>
      </c>
    </row>
    <row r="2466" spans="1:15" s="13" customFormat="1" ht="19.5" customHeight="1" x14ac:dyDescent="0.25">
      <c r="A2466" s="11" t="s">
        <v>4710</v>
      </c>
      <c r="B2466" s="11" t="s">
        <v>4710</v>
      </c>
      <c r="C2466" s="12">
        <v>45734</v>
      </c>
      <c r="D2466" s="12">
        <v>45734</v>
      </c>
      <c r="E2466" s="11" t="s">
        <v>6</v>
      </c>
      <c r="F2466" s="11" t="s">
        <v>3315</v>
      </c>
      <c r="G2466" s="11" t="s">
        <v>4710</v>
      </c>
      <c r="H2466" s="11"/>
      <c r="I2466" s="11" t="s">
        <v>49</v>
      </c>
      <c r="J2466" s="11">
        <v>3547.31</v>
      </c>
      <c r="K2466" s="11">
        <v>3547.31</v>
      </c>
      <c r="L2466" s="11"/>
      <c r="M2466" s="14">
        <v>3547.31</v>
      </c>
      <c r="N2466" s="11" t="s">
        <v>4711</v>
      </c>
      <c r="O2466" s="11" t="s">
        <v>50</v>
      </c>
    </row>
    <row r="2467" spans="1:15" s="13" customFormat="1" ht="19.5" customHeight="1" x14ac:dyDescent="0.25">
      <c r="A2467" s="11" t="s">
        <v>4712</v>
      </c>
      <c r="B2467" s="11" t="s">
        <v>4712</v>
      </c>
      <c r="C2467" s="12">
        <v>45734</v>
      </c>
      <c r="D2467" s="11"/>
      <c r="E2467" s="11" t="s">
        <v>6</v>
      </c>
      <c r="F2467" s="11" t="s">
        <v>3315</v>
      </c>
      <c r="G2467" s="11" t="s">
        <v>4710</v>
      </c>
      <c r="H2467" s="11"/>
      <c r="I2467" s="11" t="s">
        <v>49</v>
      </c>
      <c r="J2467" s="11">
        <v>-3547.31</v>
      </c>
      <c r="K2467" s="11"/>
      <c r="L2467" s="11">
        <v>3547.31</v>
      </c>
      <c r="M2467" s="14">
        <v>-3547.31</v>
      </c>
      <c r="N2467" s="11" t="s">
        <v>4711</v>
      </c>
      <c r="O2467" s="11" t="s">
        <v>2706</v>
      </c>
    </row>
    <row r="2468" spans="1:15" s="13" customFormat="1" ht="19.5" customHeight="1" x14ac:dyDescent="0.25">
      <c r="A2468" s="11" t="s">
        <v>4713</v>
      </c>
      <c r="B2468" s="11" t="s">
        <v>4713</v>
      </c>
      <c r="C2468" s="12">
        <v>45734</v>
      </c>
      <c r="D2468" s="12">
        <v>45734</v>
      </c>
      <c r="E2468" s="11" t="s">
        <v>6</v>
      </c>
      <c r="F2468" s="11" t="s">
        <v>3315</v>
      </c>
      <c r="G2468" s="11" t="s">
        <v>4713</v>
      </c>
      <c r="H2468" s="11"/>
      <c r="I2468" s="11" t="s">
        <v>49</v>
      </c>
      <c r="J2468" s="11">
        <v>12773.89</v>
      </c>
      <c r="K2468" s="11">
        <v>12773.89</v>
      </c>
      <c r="L2468" s="11"/>
      <c r="M2468" s="14">
        <v>12773.89</v>
      </c>
      <c r="N2468" s="11" t="s">
        <v>4714</v>
      </c>
      <c r="O2468" s="11" t="s">
        <v>50</v>
      </c>
    </row>
    <row r="2469" spans="1:15" s="13" customFormat="1" ht="19.5" customHeight="1" x14ac:dyDescent="0.25">
      <c r="A2469" s="11" t="s">
        <v>4715</v>
      </c>
      <c r="B2469" s="11" t="s">
        <v>4715</v>
      </c>
      <c r="C2469" s="12">
        <v>45733</v>
      </c>
      <c r="D2469" s="11"/>
      <c r="E2469" s="11" t="s">
        <v>6</v>
      </c>
      <c r="F2469" s="11" t="s">
        <v>3315</v>
      </c>
      <c r="G2469" s="11" t="s">
        <v>4713</v>
      </c>
      <c r="H2469" s="11"/>
      <c r="I2469" s="11" t="s">
        <v>49</v>
      </c>
      <c r="J2469" s="11">
        <v>-12773.89</v>
      </c>
      <c r="K2469" s="11"/>
      <c r="L2469" s="11">
        <v>12773.89</v>
      </c>
      <c r="M2469" s="14">
        <v>-12773.89</v>
      </c>
      <c r="N2469" s="11" t="s">
        <v>4714</v>
      </c>
      <c r="O2469" s="11" t="s">
        <v>2706</v>
      </c>
    </row>
    <row r="2470" spans="1:15" s="13" customFormat="1" ht="19.5" customHeight="1" x14ac:dyDescent="0.25">
      <c r="A2470" s="11" t="s">
        <v>4716</v>
      </c>
      <c r="B2470" s="11" t="s">
        <v>4716</v>
      </c>
      <c r="C2470" s="12">
        <v>45734</v>
      </c>
      <c r="D2470" s="12">
        <v>45734</v>
      </c>
      <c r="E2470" s="11" t="s">
        <v>6</v>
      </c>
      <c r="F2470" s="11" t="s">
        <v>598</v>
      </c>
      <c r="G2470" s="11" t="s">
        <v>4716</v>
      </c>
      <c r="H2470" s="11"/>
      <c r="I2470" s="11" t="s">
        <v>49</v>
      </c>
      <c r="J2470" s="11">
        <v>4582.95</v>
      </c>
      <c r="K2470" s="11">
        <v>4582.95</v>
      </c>
      <c r="L2470" s="11"/>
      <c r="M2470" s="14">
        <v>4582.95</v>
      </c>
      <c r="N2470" s="11" t="s">
        <v>4717</v>
      </c>
      <c r="O2470" s="11" t="s">
        <v>50</v>
      </c>
    </row>
    <row r="2471" spans="1:15" s="13" customFormat="1" ht="19.5" customHeight="1" x14ac:dyDescent="0.25">
      <c r="A2471" s="11" t="s">
        <v>4718</v>
      </c>
      <c r="B2471" s="11" t="s">
        <v>4718</v>
      </c>
      <c r="C2471" s="12">
        <v>45734</v>
      </c>
      <c r="D2471" s="11"/>
      <c r="E2471" s="11" t="s">
        <v>6</v>
      </c>
      <c r="F2471" s="11" t="s">
        <v>598</v>
      </c>
      <c r="G2471" s="11" t="s">
        <v>4716</v>
      </c>
      <c r="H2471" s="11"/>
      <c r="I2471" s="11" t="s">
        <v>49</v>
      </c>
      <c r="J2471" s="11">
        <v>-4582.95</v>
      </c>
      <c r="K2471" s="11"/>
      <c r="L2471" s="11">
        <v>4582.95</v>
      </c>
      <c r="M2471" s="14">
        <v>-4582.95</v>
      </c>
      <c r="N2471" s="11" t="s">
        <v>4717</v>
      </c>
      <c r="O2471" s="11" t="s">
        <v>2706</v>
      </c>
    </row>
    <row r="2472" spans="1:15" s="13" customFormat="1" ht="19.5" customHeight="1" x14ac:dyDescent="0.25">
      <c r="A2472" s="11" t="s">
        <v>4719</v>
      </c>
      <c r="B2472" s="11" t="s">
        <v>4719</v>
      </c>
      <c r="C2472" s="12">
        <v>45735</v>
      </c>
      <c r="D2472" s="12">
        <v>45735</v>
      </c>
      <c r="E2472" s="11" t="s">
        <v>6</v>
      </c>
      <c r="F2472" s="11" t="s">
        <v>3573</v>
      </c>
      <c r="G2472" s="11" t="s">
        <v>4719</v>
      </c>
      <c r="H2472" s="11"/>
      <c r="I2472" s="11" t="s">
        <v>49</v>
      </c>
      <c r="J2472" s="11">
        <v>6004.57</v>
      </c>
      <c r="K2472" s="11">
        <v>6004.57</v>
      </c>
      <c r="L2472" s="11"/>
      <c r="M2472" s="14">
        <v>6004.57</v>
      </c>
      <c r="N2472" s="11" t="s">
        <v>4720</v>
      </c>
      <c r="O2472" s="11" t="s">
        <v>50</v>
      </c>
    </row>
    <row r="2473" spans="1:15" s="13" customFormat="1" ht="19.5" customHeight="1" x14ac:dyDescent="0.25">
      <c r="A2473" s="11" t="s">
        <v>4721</v>
      </c>
      <c r="B2473" s="11" t="s">
        <v>4721</v>
      </c>
      <c r="C2473" s="12">
        <v>45734</v>
      </c>
      <c r="D2473" s="11"/>
      <c r="E2473" s="11" t="s">
        <v>6</v>
      </c>
      <c r="F2473" s="11" t="s">
        <v>3573</v>
      </c>
      <c r="G2473" s="11" t="s">
        <v>4719</v>
      </c>
      <c r="H2473" s="11"/>
      <c r="I2473" s="11" t="s">
        <v>49</v>
      </c>
      <c r="J2473" s="11">
        <v>-6004.57</v>
      </c>
      <c r="K2473" s="11"/>
      <c r="L2473" s="11">
        <v>6004.57</v>
      </c>
      <c r="M2473" s="14">
        <v>-6004.57</v>
      </c>
      <c r="N2473" s="11" t="s">
        <v>4720</v>
      </c>
      <c r="O2473" s="11" t="s">
        <v>2706</v>
      </c>
    </row>
    <row r="2474" spans="1:15" s="13" customFormat="1" ht="19.5" customHeight="1" x14ac:dyDescent="0.25">
      <c r="A2474" s="11" t="s">
        <v>4722</v>
      </c>
      <c r="B2474" s="11" t="s">
        <v>4722</v>
      </c>
      <c r="C2474" s="12">
        <v>45736</v>
      </c>
      <c r="D2474" s="12">
        <v>45736</v>
      </c>
      <c r="E2474" s="11" t="s">
        <v>6</v>
      </c>
      <c r="F2474" s="11" t="s">
        <v>4598</v>
      </c>
      <c r="G2474" s="11" t="s">
        <v>4722</v>
      </c>
      <c r="H2474" s="11"/>
      <c r="I2474" s="11" t="s">
        <v>49</v>
      </c>
      <c r="J2474" s="11">
        <v>14915.99</v>
      </c>
      <c r="K2474" s="11">
        <v>14915.99</v>
      </c>
      <c r="L2474" s="11"/>
      <c r="M2474" s="14">
        <v>14915.99</v>
      </c>
      <c r="N2474" s="11" t="s">
        <v>4723</v>
      </c>
      <c r="O2474" s="11" t="s">
        <v>50</v>
      </c>
    </row>
    <row r="2475" spans="1:15" s="13" customFormat="1" ht="19.5" customHeight="1" x14ac:dyDescent="0.25">
      <c r="A2475" s="11" t="s">
        <v>4724</v>
      </c>
      <c r="B2475" s="11" t="s">
        <v>4724</v>
      </c>
      <c r="C2475" s="12">
        <v>45736</v>
      </c>
      <c r="D2475" s="11"/>
      <c r="E2475" s="11" t="s">
        <v>6</v>
      </c>
      <c r="F2475" s="11" t="s">
        <v>4598</v>
      </c>
      <c r="G2475" s="11" t="s">
        <v>4722</v>
      </c>
      <c r="H2475" s="11"/>
      <c r="I2475" s="11" t="s">
        <v>49</v>
      </c>
      <c r="J2475" s="11">
        <v>-14915.99</v>
      </c>
      <c r="K2475" s="11"/>
      <c r="L2475" s="11">
        <v>14915.99</v>
      </c>
      <c r="M2475" s="14">
        <v>-14915.99</v>
      </c>
      <c r="N2475" s="11" t="s">
        <v>4723</v>
      </c>
      <c r="O2475" s="11" t="s">
        <v>2706</v>
      </c>
    </row>
    <row r="2476" spans="1:15" s="13" customFormat="1" ht="19.5" customHeight="1" x14ac:dyDescent="0.25">
      <c r="A2476" s="11" t="s">
        <v>4725</v>
      </c>
      <c r="B2476" s="11" t="s">
        <v>4725</v>
      </c>
      <c r="C2476" s="12">
        <v>45736</v>
      </c>
      <c r="D2476" s="12">
        <v>45736</v>
      </c>
      <c r="E2476" s="11" t="s">
        <v>6</v>
      </c>
      <c r="F2476" s="11" t="s">
        <v>4560</v>
      </c>
      <c r="G2476" s="11" t="s">
        <v>4725</v>
      </c>
      <c r="H2476" s="11"/>
      <c r="I2476" s="11" t="s">
        <v>49</v>
      </c>
      <c r="J2476" s="11">
        <v>4655.62</v>
      </c>
      <c r="K2476" s="11">
        <v>4655.62</v>
      </c>
      <c r="L2476" s="11"/>
      <c r="M2476" s="14">
        <v>4655.62</v>
      </c>
      <c r="N2476" s="11" t="s">
        <v>4726</v>
      </c>
      <c r="O2476" s="11" t="s">
        <v>50</v>
      </c>
    </row>
    <row r="2477" spans="1:15" s="13" customFormat="1" ht="19.5" customHeight="1" x14ac:dyDescent="0.25">
      <c r="A2477" s="11" t="s">
        <v>4727</v>
      </c>
      <c r="B2477" s="11" t="s">
        <v>4727</v>
      </c>
      <c r="C2477" s="12">
        <v>45736</v>
      </c>
      <c r="D2477" s="11"/>
      <c r="E2477" s="11" t="s">
        <v>6</v>
      </c>
      <c r="F2477" s="11" t="s">
        <v>4560</v>
      </c>
      <c r="G2477" s="11" t="s">
        <v>4725</v>
      </c>
      <c r="H2477" s="11"/>
      <c r="I2477" s="11" t="s">
        <v>49</v>
      </c>
      <c r="J2477" s="11">
        <v>-4655.62</v>
      </c>
      <c r="K2477" s="11"/>
      <c r="L2477" s="11">
        <v>4655.62</v>
      </c>
      <c r="M2477" s="14">
        <v>-4655.62</v>
      </c>
      <c r="N2477" s="11" t="s">
        <v>4726</v>
      </c>
      <c r="O2477" s="11" t="s">
        <v>2706</v>
      </c>
    </row>
    <row r="2478" spans="1:15" s="13" customFormat="1" ht="19.5" customHeight="1" x14ac:dyDescent="0.25">
      <c r="A2478" s="11" t="s">
        <v>4728</v>
      </c>
      <c r="B2478" s="11" t="s">
        <v>4728</v>
      </c>
      <c r="C2478" s="12">
        <v>45736</v>
      </c>
      <c r="D2478" s="12">
        <v>45736</v>
      </c>
      <c r="E2478" s="11" t="s">
        <v>6</v>
      </c>
      <c r="F2478" s="11" t="s">
        <v>4507</v>
      </c>
      <c r="G2478" s="11" t="s">
        <v>4728</v>
      </c>
      <c r="H2478" s="11"/>
      <c r="I2478" s="11" t="s">
        <v>49</v>
      </c>
      <c r="J2478" s="11">
        <v>56074.28</v>
      </c>
      <c r="K2478" s="11">
        <v>56074.28</v>
      </c>
      <c r="L2478" s="11"/>
      <c r="M2478" s="14">
        <v>56074.28</v>
      </c>
      <c r="N2478" s="11" t="s">
        <v>4729</v>
      </c>
      <c r="O2478" s="11" t="s">
        <v>50</v>
      </c>
    </row>
    <row r="2479" spans="1:15" s="13" customFormat="1" ht="19.5" customHeight="1" x14ac:dyDescent="0.25">
      <c r="A2479" s="11" t="s">
        <v>4730</v>
      </c>
      <c r="B2479" s="11" t="s">
        <v>4730</v>
      </c>
      <c r="C2479" s="12">
        <v>45735</v>
      </c>
      <c r="D2479" s="11"/>
      <c r="E2479" s="11" t="s">
        <v>6</v>
      </c>
      <c r="F2479" s="11" t="s">
        <v>4507</v>
      </c>
      <c r="G2479" s="11" t="s">
        <v>4728</v>
      </c>
      <c r="H2479" s="11"/>
      <c r="I2479" s="11" t="s">
        <v>49</v>
      </c>
      <c r="J2479" s="11">
        <v>-26074.28</v>
      </c>
      <c r="K2479" s="11"/>
      <c r="L2479" s="11">
        <v>26074.28</v>
      </c>
      <c r="M2479" s="14">
        <v>-26074.28</v>
      </c>
      <c r="N2479" s="11" t="s">
        <v>4729</v>
      </c>
      <c r="O2479" s="11" t="s">
        <v>2706</v>
      </c>
    </row>
    <row r="2480" spans="1:15" s="13" customFormat="1" ht="19.5" customHeight="1" x14ac:dyDescent="0.25">
      <c r="A2480" s="11" t="s">
        <v>4731</v>
      </c>
      <c r="B2480" s="11" t="s">
        <v>4731</v>
      </c>
      <c r="C2480" s="12">
        <v>45734</v>
      </c>
      <c r="D2480" s="11"/>
      <c r="E2480" s="11" t="s">
        <v>6</v>
      </c>
      <c r="F2480" s="11" t="s">
        <v>4507</v>
      </c>
      <c r="G2480" s="11" t="s">
        <v>4728</v>
      </c>
      <c r="H2480" s="11"/>
      <c r="I2480" s="11" t="s">
        <v>49</v>
      </c>
      <c r="J2480" s="11">
        <v>-30000</v>
      </c>
      <c r="K2480" s="11"/>
      <c r="L2480" s="11">
        <v>30000</v>
      </c>
      <c r="M2480" s="14">
        <v>-30000</v>
      </c>
      <c r="N2480" s="11" t="s">
        <v>4729</v>
      </c>
      <c r="O2480" s="11" t="s">
        <v>2706</v>
      </c>
    </row>
    <row r="2481" spans="1:15" s="13" customFormat="1" ht="19.5" customHeight="1" x14ac:dyDescent="0.25">
      <c r="A2481" s="11" t="s">
        <v>4732</v>
      </c>
      <c r="B2481" s="11" t="s">
        <v>4732</v>
      </c>
      <c r="C2481" s="12">
        <v>45736</v>
      </c>
      <c r="D2481" s="12">
        <v>45736</v>
      </c>
      <c r="E2481" s="11" t="s">
        <v>6</v>
      </c>
      <c r="F2481" s="11" t="s">
        <v>598</v>
      </c>
      <c r="G2481" s="11" t="s">
        <v>4732</v>
      </c>
      <c r="H2481" s="11"/>
      <c r="I2481" s="11" t="s">
        <v>49</v>
      </c>
      <c r="J2481" s="11">
        <v>4200.18</v>
      </c>
      <c r="K2481" s="11">
        <v>4200.18</v>
      </c>
      <c r="L2481" s="11"/>
      <c r="M2481" s="14">
        <v>4200.18</v>
      </c>
      <c r="N2481" s="11" t="s">
        <v>4733</v>
      </c>
      <c r="O2481" s="11" t="s">
        <v>50</v>
      </c>
    </row>
    <row r="2482" spans="1:15" s="13" customFormat="1" ht="19.5" customHeight="1" x14ac:dyDescent="0.25">
      <c r="A2482" s="11" t="s">
        <v>4734</v>
      </c>
      <c r="B2482" s="11" t="s">
        <v>4734</v>
      </c>
      <c r="C2482" s="12">
        <v>45735</v>
      </c>
      <c r="D2482" s="11"/>
      <c r="E2482" s="11" t="s">
        <v>6</v>
      </c>
      <c r="F2482" s="11" t="s">
        <v>598</v>
      </c>
      <c r="G2482" s="11" t="s">
        <v>4732</v>
      </c>
      <c r="H2482" s="11"/>
      <c r="I2482" s="11" t="s">
        <v>49</v>
      </c>
      <c r="J2482" s="11">
        <v>-4200.18</v>
      </c>
      <c r="K2482" s="11"/>
      <c r="L2482" s="11">
        <v>4200.18</v>
      </c>
      <c r="M2482" s="14">
        <v>-4200.18</v>
      </c>
      <c r="N2482" s="11" t="s">
        <v>4733</v>
      </c>
      <c r="O2482" s="11" t="s">
        <v>2706</v>
      </c>
    </row>
    <row r="2483" spans="1:15" s="13" customFormat="1" ht="19.5" customHeight="1" x14ac:dyDescent="0.25">
      <c r="A2483" s="11" t="s">
        <v>4735</v>
      </c>
      <c r="B2483" s="11" t="s">
        <v>4735</v>
      </c>
      <c r="C2483" s="12">
        <v>45737</v>
      </c>
      <c r="D2483" s="12">
        <v>45737</v>
      </c>
      <c r="E2483" s="11" t="s">
        <v>6</v>
      </c>
      <c r="F2483" s="11" t="s">
        <v>4736</v>
      </c>
      <c r="G2483" s="11" t="s">
        <v>4735</v>
      </c>
      <c r="H2483" s="11"/>
      <c r="I2483" s="11" t="s">
        <v>49</v>
      </c>
      <c r="J2483" s="11">
        <v>8359.1299999999992</v>
      </c>
      <c r="K2483" s="11">
        <v>8359.1299999999992</v>
      </c>
      <c r="L2483" s="11"/>
      <c r="M2483" s="14">
        <v>8359.1299999999992</v>
      </c>
      <c r="N2483" s="11" t="s">
        <v>4737</v>
      </c>
      <c r="O2483" s="11" t="s">
        <v>50</v>
      </c>
    </row>
    <row r="2484" spans="1:15" s="13" customFormat="1" ht="19.5" customHeight="1" x14ac:dyDescent="0.25">
      <c r="A2484" s="11" t="s">
        <v>4738</v>
      </c>
      <c r="B2484" s="11" t="s">
        <v>4738</v>
      </c>
      <c r="C2484" s="12">
        <v>45737</v>
      </c>
      <c r="D2484" s="11"/>
      <c r="E2484" s="11" t="s">
        <v>6</v>
      </c>
      <c r="F2484" s="11" t="s">
        <v>4736</v>
      </c>
      <c r="G2484" s="11" t="s">
        <v>4735</v>
      </c>
      <c r="H2484" s="11"/>
      <c r="I2484" s="11" t="s">
        <v>49</v>
      </c>
      <c r="J2484" s="11">
        <v>-8359.1299999999992</v>
      </c>
      <c r="K2484" s="11"/>
      <c r="L2484" s="11">
        <v>8359.1299999999992</v>
      </c>
      <c r="M2484" s="14">
        <v>-8359.1299999999992</v>
      </c>
      <c r="N2484" s="11" t="s">
        <v>4737</v>
      </c>
      <c r="O2484" s="11" t="s">
        <v>2706</v>
      </c>
    </row>
    <row r="2485" spans="1:15" s="13" customFormat="1" ht="19.5" customHeight="1" x14ac:dyDescent="0.25">
      <c r="A2485" s="11" t="s">
        <v>4739</v>
      </c>
      <c r="B2485" s="11" t="s">
        <v>4739</v>
      </c>
      <c r="C2485" s="12">
        <v>45737</v>
      </c>
      <c r="D2485" s="12">
        <v>45737</v>
      </c>
      <c r="E2485" s="11" t="s">
        <v>6</v>
      </c>
      <c r="F2485" s="11" t="s">
        <v>4740</v>
      </c>
      <c r="G2485" s="11" t="s">
        <v>4739</v>
      </c>
      <c r="H2485" s="11"/>
      <c r="I2485" s="11" t="s">
        <v>49</v>
      </c>
      <c r="J2485" s="11">
        <v>1283.32</v>
      </c>
      <c r="K2485" s="11">
        <v>1283.32</v>
      </c>
      <c r="L2485" s="11"/>
      <c r="M2485" s="14">
        <v>1283.32</v>
      </c>
      <c r="N2485" s="11" t="s">
        <v>4741</v>
      </c>
      <c r="O2485" s="11" t="s">
        <v>50</v>
      </c>
    </row>
    <row r="2486" spans="1:15" s="13" customFormat="1" ht="19.5" customHeight="1" x14ac:dyDescent="0.25">
      <c r="A2486" s="11" t="s">
        <v>4742</v>
      </c>
      <c r="B2486" s="11" t="s">
        <v>4742</v>
      </c>
      <c r="C2486" s="12">
        <v>45737</v>
      </c>
      <c r="D2486" s="11"/>
      <c r="E2486" s="11" t="s">
        <v>6</v>
      </c>
      <c r="F2486" s="11" t="s">
        <v>4740</v>
      </c>
      <c r="G2486" s="11" t="s">
        <v>4739</v>
      </c>
      <c r="H2486" s="11"/>
      <c r="I2486" s="11" t="s">
        <v>49</v>
      </c>
      <c r="J2486" s="11">
        <v>-1283.32</v>
      </c>
      <c r="K2486" s="11"/>
      <c r="L2486" s="11">
        <v>1283.32</v>
      </c>
      <c r="M2486" s="14">
        <v>-1283.32</v>
      </c>
      <c r="N2486" s="11" t="s">
        <v>4741</v>
      </c>
      <c r="O2486" s="11" t="s">
        <v>2706</v>
      </c>
    </row>
    <row r="2487" spans="1:15" s="13" customFormat="1" ht="19.5" customHeight="1" x14ac:dyDescent="0.25">
      <c r="A2487" s="11" t="s">
        <v>4743</v>
      </c>
      <c r="B2487" s="11" t="s">
        <v>4744</v>
      </c>
      <c r="C2487" s="12">
        <v>45737</v>
      </c>
      <c r="D2487" s="11"/>
      <c r="E2487" s="11" t="s">
        <v>6</v>
      </c>
      <c r="F2487" s="11" t="s">
        <v>4745</v>
      </c>
      <c r="G2487" s="11" t="s">
        <v>4746</v>
      </c>
      <c r="H2487" s="11" t="s">
        <v>4746</v>
      </c>
      <c r="I2487" s="11" t="s">
        <v>49</v>
      </c>
      <c r="J2487" s="11">
        <v>-0.01</v>
      </c>
      <c r="K2487" s="11"/>
      <c r="L2487" s="11">
        <v>0.01</v>
      </c>
      <c r="M2487" s="14">
        <v>-0.01</v>
      </c>
      <c r="N2487" s="11" t="s">
        <v>4747</v>
      </c>
      <c r="O2487" s="11" t="s">
        <v>2706</v>
      </c>
    </row>
    <row r="2488" spans="1:15" s="13" customFormat="1" ht="19.5" customHeight="1" x14ac:dyDescent="0.25">
      <c r="A2488" s="11" t="s">
        <v>4746</v>
      </c>
      <c r="B2488" s="11" t="s">
        <v>4746</v>
      </c>
      <c r="C2488" s="12">
        <v>45737</v>
      </c>
      <c r="D2488" s="12">
        <v>45737</v>
      </c>
      <c r="E2488" s="11" t="s">
        <v>6</v>
      </c>
      <c r="F2488" s="11" t="s">
        <v>4745</v>
      </c>
      <c r="G2488" s="11" t="s">
        <v>4746</v>
      </c>
      <c r="H2488" s="11"/>
      <c r="I2488" s="11" t="s">
        <v>49</v>
      </c>
      <c r="J2488" s="11">
        <v>7941.22</v>
      </c>
      <c r="K2488" s="11">
        <v>7941.22</v>
      </c>
      <c r="L2488" s="11"/>
      <c r="M2488" s="14">
        <v>7941.22</v>
      </c>
      <c r="N2488" s="11" t="s">
        <v>4747</v>
      </c>
      <c r="O2488" s="11" t="s">
        <v>50</v>
      </c>
    </row>
    <row r="2489" spans="1:15" s="13" customFormat="1" ht="19.5" customHeight="1" x14ac:dyDescent="0.25">
      <c r="A2489" s="11" t="s">
        <v>4748</v>
      </c>
      <c r="B2489" s="11" t="s">
        <v>4748</v>
      </c>
      <c r="C2489" s="12">
        <v>45730</v>
      </c>
      <c r="D2489" s="11"/>
      <c r="E2489" s="11" t="s">
        <v>6</v>
      </c>
      <c r="F2489" s="11" t="s">
        <v>4745</v>
      </c>
      <c r="G2489" s="11" t="s">
        <v>4746</v>
      </c>
      <c r="H2489" s="11"/>
      <c r="I2489" s="11" t="s">
        <v>49</v>
      </c>
      <c r="J2489" s="11">
        <v>-7941.21</v>
      </c>
      <c r="K2489" s="11"/>
      <c r="L2489" s="11">
        <v>7941.21</v>
      </c>
      <c r="M2489" s="14">
        <v>-7941.21</v>
      </c>
      <c r="N2489" s="11" t="s">
        <v>4747</v>
      </c>
      <c r="O2489" s="11" t="s">
        <v>2706</v>
      </c>
    </row>
    <row r="2490" spans="1:15" s="13" customFormat="1" ht="19.5" customHeight="1" x14ac:dyDescent="0.25">
      <c r="A2490" s="11" t="s">
        <v>4749</v>
      </c>
      <c r="B2490" s="11" t="s">
        <v>4749</v>
      </c>
      <c r="C2490" s="12">
        <v>45754</v>
      </c>
      <c r="D2490" s="11"/>
      <c r="E2490" s="11" t="s">
        <v>6</v>
      </c>
      <c r="F2490" s="11" t="s">
        <v>3152</v>
      </c>
      <c r="G2490" s="11" t="s">
        <v>4750</v>
      </c>
      <c r="H2490" s="11"/>
      <c r="I2490" s="11" t="s">
        <v>49</v>
      </c>
      <c r="J2490" s="11">
        <v>-155.87</v>
      </c>
      <c r="K2490" s="11"/>
      <c r="L2490" s="11">
        <v>155.87</v>
      </c>
      <c r="M2490" s="14">
        <v>-155.87</v>
      </c>
      <c r="N2490" s="11" t="s">
        <v>4751</v>
      </c>
      <c r="O2490" s="11" t="s">
        <v>234</v>
      </c>
    </row>
    <row r="2491" spans="1:15" s="13" customFormat="1" ht="19.5" customHeight="1" x14ac:dyDescent="0.25">
      <c r="A2491" s="11" t="s">
        <v>4750</v>
      </c>
      <c r="B2491" s="11" t="s">
        <v>4750</v>
      </c>
      <c r="C2491" s="12">
        <v>45750</v>
      </c>
      <c r="D2491" s="12">
        <v>45750</v>
      </c>
      <c r="E2491" s="11" t="s">
        <v>6</v>
      </c>
      <c r="F2491" s="11" t="s">
        <v>3152</v>
      </c>
      <c r="G2491" s="11" t="s">
        <v>4750</v>
      </c>
      <c r="H2491" s="11"/>
      <c r="I2491" s="11" t="s">
        <v>49</v>
      </c>
      <c r="J2491" s="11">
        <v>155.87</v>
      </c>
      <c r="K2491" s="11">
        <v>155.87</v>
      </c>
      <c r="L2491" s="11"/>
      <c r="M2491" s="14">
        <v>155.87</v>
      </c>
      <c r="N2491" s="11" t="s">
        <v>4751</v>
      </c>
      <c r="O2491" s="11" t="s">
        <v>75</v>
      </c>
    </row>
    <row r="2492" spans="1:15" s="13" customFormat="1" ht="19.5" customHeight="1" x14ac:dyDescent="0.25">
      <c r="A2492" s="11" t="s">
        <v>4749</v>
      </c>
      <c r="B2492" s="11" t="s">
        <v>4749</v>
      </c>
      <c r="C2492" s="12">
        <v>45754</v>
      </c>
      <c r="D2492" s="11"/>
      <c r="E2492" s="11" t="s">
        <v>6</v>
      </c>
      <c r="F2492" s="11" t="s">
        <v>3152</v>
      </c>
      <c r="G2492" s="11" t="s">
        <v>4752</v>
      </c>
      <c r="H2492" s="11"/>
      <c r="I2492" s="11" t="s">
        <v>49</v>
      </c>
      <c r="J2492" s="11">
        <v>-180.71</v>
      </c>
      <c r="K2492" s="11"/>
      <c r="L2492" s="11">
        <v>180.71</v>
      </c>
      <c r="M2492" s="14">
        <v>-180.71</v>
      </c>
      <c r="N2492" s="11" t="s">
        <v>4753</v>
      </c>
      <c r="O2492" s="11" t="s">
        <v>234</v>
      </c>
    </row>
    <row r="2493" spans="1:15" s="13" customFormat="1" ht="19.5" customHeight="1" x14ac:dyDescent="0.25">
      <c r="A2493" s="11" t="s">
        <v>4752</v>
      </c>
      <c r="B2493" s="11" t="s">
        <v>4752</v>
      </c>
      <c r="C2493" s="12">
        <v>45750</v>
      </c>
      <c r="D2493" s="12">
        <v>45750</v>
      </c>
      <c r="E2493" s="11" t="s">
        <v>6</v>
      </c>
      <c r="F2493" s="11" t="s">
        <v>3152</v>
      </c>
      <c r="G2493" s="11" t="s">
        <v>4752</v>
      </c>
      <c r="H2493" s="11"/>
      <c r="I2493" s="11" t="s">
        <v>49</v>
      </c>
      <c r="J2493" s="11">
        <v>180.71</v>
      </c>
      <c r="K2493" s="11">
        <v>180.71</v>
      </c>
      <c r="L2493" s="11"/>
      <c r="M2493" s="14">
        <v>180.71</v>
      </c>
      <c r="N2493" s="11" t="s">
        <v>4753</v>
      </c>
      <c r="O2493" s="11" t="s">
        <v>75</v>
      </c>
    </row>
    <row r="2494" spans="1:15" s="13" customFormat="1" ht="19.5" customHeight="1" x14ac:dyDescent="0.25">
      <c r="A2494" s="11" t="s">
        <v>4754</v>
      </c>
      <c r="B2494" s="11" t="s">
        <v>4754</v>
      </c>
      <c r="C2494" s="12">
        <v>45740</v>
      </c>
      <c r="D2494" s="12">
        <v>45740</v>
      </c>
      <c r="E2494" s="11" t="s">
        <v>6</v>
      </c>
      <c r="F2494" s="11" t="s">
        <v>4614</v>
      </c>
      <c r="G2494" s="11" t="s">
        <v>4754</v>
      </c>
      <c r="H2494" s="11"/>
      <c r="I2494" s="11" t="s">
        <v>49</v>
      </c>
      <c r="J2494" s="11">
        <v>3780.39</v>
      </c>
      <c r="K2494" s="11">
        <v>3780.39</v>
      </c>
      <c r="L2494" s="11"/>
      <c r="M2494" s="14">
        <v>3780.39</v>
      </c>
      <c r="N2494" s="11" t="s">
        <v>4755</v>
      </c>
      <c r="O2494" s="11" t="s">
        <v>50</v>
      </c>
    </row>
    <row r="2495" spans="1:15" s="13" customFormat="1" ht="19.5" customHeight="1" x14ac:dyDescent="0.25">
      <c r="A2495" s="11" t="s">
        <v>4756</v>
      </c>
      <c r="B2495" s="11" t="s">
        <v>4756</v>
      </c>
      <c r="C2495" s="12">
        <v>45737</v>
      </c>
      <c r="D2495" s="11"/>
      <c r="E2495" s="11" t="s">
        <v>6</v>
      </c>
      <c r="F2495" s="11" t="s">
        <v>4614</v>
      </c>
      <c r="G2495" s="11" t="s">
        <v>4754</v>
      </c>
      <c r="H2495" s="11"/>
      <c r="I2495" s="11" t="s">
        <v>49</v>
      </c>
      <c r="J2495" s="11">
        <v>-222.5</v>
      </c>
      <c r="K2495" s="11"/>
      <c r="L2495" s="11">
        <v>222.5</v>
      </c>
      <c r="M2495" s="14">
        <v>-222.5</v>
      </c>
      <c r="N2495" s="11" t="s">
        <v>4755</v>
      </c>
      <c r="O2495" s="11" t="s">
        <v>2706</v>
      </c>
    </row>
    <row r="2496" spans="1:15" s="13" customFormat="1" ht="19.5" customHeight="1" x14ac:dyDescent="0.25">
      <c r="A2496" s="11" t="s">
        <v>4757</v>
      </c>
      <c r="B2496" s="11" t="s">
        <v>4757</v>
      </c>
      <c r="C2496" s="12">
        <v>45737</v>
      </c>
      <c r="D2496" s="11"/>
      <c r="E2496" s="11" t="s">
        <v>6</v>
      </c>
      <c r="F2496" s="11" t="s">
        <v>4614</v>
      </c>
      <c r="G2496" s="11" t="s">
        <v>4754</v>
      </c>
      <c r="H2496" s="11"/>
      <c r="I2496" s="11" t="s">
        <v>49</v>
      </c>
      <c r="J2496" s="11">
        <v>-239.91</v>
      </c>
      <c r="K2496" s="11"/>
      <c r="L2496" s="11">
        <v>239.91</v>
      </c>
      <c r="M2496" s="14">
        <v>-239.91</v>
      </c>
      <c r="N2496" s="11" t="s">
        <v>4755</v>
      </c>
      <c r="O2496" s="11" t="s">
        <v>2706</v>
      </c>
    </row>
    <row r="2497" spans="1:15" s="13" customFormat="1" ht="19.5" customHeight="1" x14ac:dyDescent="0.25">
      <c r="A2497" s="11" t="s">
        <v>4758</v>
      </c>
      <c r="B2497" s="11" t="s">
        <v>4758</v>
      </c>
      <c r="C2497" s="12">
        <v>45737</v>
      </c>
      <c r="D2497" s="11"/>
      <c r="E2497" s="11" t="s">
        <v>6</v>
      </c>
      <c r="F2497" s="11" t="s">
        <v>4614</v>
      </c>
      <c r="G2497" s="11" t="s">
        <v>4754</v>
      </c>
      <c r="H2497" s="11"/>
      <c r="I2497" s="11" t="s">
        <v>49</v>
      </c>
      <c r="J2497" s="11">
        <v>-3317.98</v>
      </c>
      <c r="K2497" s="11"/>
      <c r="L2497" s="11">
        <v>3317.98</v>
      </c>
      <c r="M2497" s="14">
        <v>-3317.98</v>
      </c>
      <c r="N2497" s="11" t="s">
        <v>4755</v>
      </c>
      <c r="O2497" s="11" t="s">
        <v>2706</v>
      </c>
    </row>
    <row r="2498" spans="1:15" s="13" customFormat="1" ht="19.5" customHeight="1" x14ac:dyDescent="0.25">
      <c r="A2498" s="11" t="s">
        <v>4759</v>
      </c>
      <c r="B2498" s="11" t="s">
        <v>4759</v>
      </c>
      <c r="C2498" s="12">
        <v>45740</v>
      </c>
      <c r="D2498" s="12">
        <v>45740</v>
      </c>
      <c r="E2498" s="11" t="s">
        <v>6</v>
      </c>
      <c r="F2498" s="11" t="s">
        <v>4594</v>
      </c>
      <c r="G2498" s="11" t="s">
        <v>4759</v>
      </c>
      <c r="H2498" s="11"/>
      <c r="I2498" s="11" t="s">
        <v>49</v>
      </c>
      <c r="J2498" s="11">
        <v>47227.5</v>
      </c>
      <c r="K2498" s="11">
        <v>47227.5</v>
      </c>
      <c r="L2498" s="11"/>
      <c r="M2498" s="14">
        <v>47227.5</v>
      </c>
      <c r="N2498" s="11" t="s">
        <v>4760</v>
      </c>
      <c r="O2498" s="11" t="s">
        <v>50</v>
      </c>
    </row>
    <row r="2499" spans="1:15" s="13" customFormat="1" ht="19.5" customHeight="1" x14ac:dyDescent="0.25">
      <c r="A2499" s="11" t="s">
        <v>4761</v>
      </c>
      <c r="B2499" s="11" t="s">
        <v>4761</v>
      </c>
      <c r="C2499" s="12">
        <v>45740</v>
      </c>
      <c r="D2499" s="11"/>
      <c r="E2499" s="11" t="s">
        <v>6</v>
      </c>
      <c r="F2499" s="11" t="s">
        <v>4594</v>
      </c>
      <c r="G2499" s="11" t="s">
        <v>4759</v>
      </c>
      <c r="H2499" s="11"/>
      <c r="I2499" s="11" t="s">
        <v>49</v>
      </c>
      <c r="J2499" s="11">
        <v>-17227.5</v>
      </c>
      <c r="K2499" s="11"/>
      <c r="L2499" s="11">
        <v>17227.5</v>
      </c>
      <c r="M2499" s="14">
        <v>-17227.5</v>
      </c>
      <c r="N2499" s="11" t="s">
        <v>4760</v>
      </c>
      <c r="O2499" s="11" t="s">
        <v>2706</v>
      </c>
    </row>
    <row r="2500" spans="1:15" s="13" customFormat="1" ht="19.5" customHeight="1" x14ac:dyDescent="0.25">
      <c r="A2500" s="11" t="s">
        <v>4762</v>
      </c>
      <c r="B2500" s="11" t="s">
        <v>4762</v>
      </c>
      <c r="C2500" s="12">
        <v>45740</v>
      </c>
      <c r="D2500" s="11"/>
      <c r="E2500" s="11" t="s">
        <v>6</v>
      </c>
      <c r="F2500" s="11" t="s">
        <v>4594</v>
      </c>
      <c r="G2500" s="11" t="s">
        <v>4759</v>
      </c>
      <c r="H2500" s="11"/>
      <c r="I2500" s="11" t="s">
        <v>49</v>
      </c>
      <c r="J2500" s="11">
        <v>-30000</v>
      </c>
      <c r="K2500" s="11"/>
      <c r="L2500" s="11">
        <v>30000</v>
      </c>
      <c r="M2500" s="14">
        <v>-30000</v>
      </c>
      <c r="N2500" s="11" t="s">
        <v>4760</v>
      </c>
      <c r="O2500" s="11" t="s">
        <v>2706</v>
      </c>
    </row>
    <row r="2501" spans="1:15" s="13" customFormat="1" ht="19.5" customHeight="1" x14ac:dyDescent="0.25">
      <c r="A2501" s="11" t="s">
        <v>4763</v>
      </c>
      <c r="B2501" s="11" t="s">
        <v>4763</v>
      </c>
      <c r="C2501" s="12">
        <v>45741</v>
      </c>
      <c r="D2501" s="12">
        <v>45741</v>
      </c>
      <c r="E2501" s="11" t="s">
        <v>6</v>
      </c>
      <c r="F2501" s="11" t="s">
        <v>3573</v>
      </c>
      <c r="G2501" s="11" t="s">
        <v>4763</v>
      </c>
      <c r="H2501" s="11"/>
      <c r="I2501" s="11" t="s">
        <v>49</v>
      </c>
      <c r="J2501" s="11">
        <v>4959.0200000000004</v>
      </c>
      <c r="K2501" s="11">
        <v>4959.0200000000004</v>
      </c>
      <c r="L2501" s="11"/>
      <c r="M2501" s="14">
        <v>4959.0200000000004</v>
      </c>
      <c r="N2501" s="11" t="s">
        <v>4764</v>
      </c>
      <c r="O2501" s="11" t="s">
        <v>50</v>
      </c>
    </row>
    <row r="2502" spans="1:15" s="13" customFormat="1" ht="19.5" customHeight="1" x14ac:dyDescent="0.25">
      <c r="A2502" s="11" t="s">
        <v>4765</v>
      </c>
      <c r="B2502" s="11" t="s">
        <v>4765</v>
      </c>
      <c r="C2502" s="12">
        <v>45740</v>
      </c>
      <c r="D2502" s="11"/>
      <c r="E2502" s="11" t="s">
        <v>6</v>
      </c>
      <c r="F2502" s="11" t="s">
        <v>3573</v>
      </c>
      <c r="G2502" s="11" t="s">
        <v>4763</v>
      </c>
      <c r="H2502" s="11"/>
      <c r="I2502" s="11" t="s">
        <v>49</v>
      </c>
      <c r="J2502" s="11">
        <v>-4959.0200000000004</v>
      </c>
      <c r="K2502" s="11"/>
      <c r="L2502" s="11">
        <v>4959.0200000000004</v>
      </c>
      <c r="M2502" s="14">
        <v>-4959.0200000000004</v>
      </c>
      <c r="N2502" s="11" t="s">
        <v>4764</v>
      </c>
      <c r="O2502" s="11" t="s">
        <v>2706</v>
      </c>
    </row>
    <row r="2503" spans="1:15" s="13" customFormat="1" ht="19.5" customHeight="1" x14ac:dyDescent="0.25">
      <c r="A2503" s="11" t="s">
        <v>4766</v>
      </c>
      <c r="B2503" s="11" t="s">
        <v>4766</v>
      </c>
      <c r="C2503" s="12">
        <v>45742</v>
      </c>
      <c r="D2503" s="12">
        <v>45742</v>
      </c>
      <c r="E2503" s="11" t="s">
        <v>6</v>
      </c>
      <c r="F2503" s="11" t="s">
        <v>2955</v>
      </c>
      <c r="G2503" s="11" t="s">
        <v>4766</v>
      </c>
      <c r="H2503" s="11"/>
      <c r="I2503" s="11" t="s">
        <v>49</v>
      </c>
      <c r="J2503" s="11">
        <v>46292.56</v>
      </c>
      <c r="K2503" s="11">
        <v>46292.56</v>
      </c>
      <c r="L2503" s="11"/>
      <c r="M2503" s="14">
        <v>46292.56</v>
      </c>
      <c r="N2503" s="11" t="s">
        <v>4767</v>
      </c>
      <c r="O2503" s="11" t="s">
        <v>50</v>
      </c>
    </row>
    <row r="2504" spans="1:15" s="13" customFormat="1" ht="19.5" customHeight="1" x14ac:dyDescent="0.25">
      <c r="A2504" s="11" t="s">
        <v>4768</v>
      </c>
      <c r="B2504" s="11" t="s">
        <v>4768</v>
      </c>
      <c r="C2504" s="12">
        <v>45741</v>
      </c>
      <c r="D2504" s="11"/>
      <c r="E2504" s="11" t="s">
        <v>6</v>
      </c>
      <c r="F2504" s="11" t="s">
        <v>2955</v>
      </c>
      <c r="G2504" s="11" t="s">
        <v>4766</v>
      </c>
      <c r="H2504" s="11"/>
      <c r="I2504" s="11" t="s">
        <v>49</v>
      </c>
      <c r="J2504" s="11">
        <v>-46292.56</v>
      </c>
      <c r="K2504" s="11"/>
      <c r="L2504" s="11">
        <v>46292.56</v>
      </c>
      <c r="M2504" s="14">
        <v>-46292.56</v>
      </c>
      <c r="N2504" s="11" t="s">
        <v>4767</v>
      </c>
      <c r="O2504" s="11" t="s">
        <v>2706</v>
      </c>
    </row>
    <row r="2505" spans="1:15" s="13" customFormat="1" ht="19.5" customHeight="1" x14ac:dyDescent="0.25">
      <c r="A2505" s="11" t="s">
        <v>4769</v>
      </c>
      <c r="B2505" s="11" t="s">
        <v>4769</v>
      </c>
      <c r="C2505" s="12">
        <v>45742</v>
      </c>
      <c r="D2505" s="12">
        <v>45742</v>
      </c>
      <c r="E2505" s="11" t="s">
        <v>6</v>
      </c>
      <c r="F2505" s="11" t="s">
        <v>275</v>
      </c>
      <c r="G2505" s="11" t="s">
        <v>4769</v>
      </c>
      <c r="H2505" s="11"/>
      <c r="I2505" s="11" t="s">
        <v>49</v>
      </c>
      <c r="J2505" s="11">
        <v>50991.01</v>
      </c>
      <c r="K2505" s="11">
        <v>50991.01</v>
      </c>
      <c r="L2505" s="11"/>
      <c r="M2505" s="14">
        <v>50991.01</v>
      </c>
      <c r="N2505" s="11" t="s">
        <v>4770</v>
      </c>
      <c r="O2505" s="11" t="s">
        <v>50</v>
      </c>
    </row>
    <row r="2506" spans="1:15" s="13" customFormat="1" ht="19.5" customHeight="1" x14ac:dyDescent="0.25">
      <c r="A2506" s="11" t="s">
        <v>4771</v>
      </c>
      <c r="B2506" s="11" t="s">
        <v>4771</v>
      </c>
      <c r="C2506" s="12">
        <v>45742</v>
      </c>
      <c r="D2506" s="11"/>
      <c r="E2506" s="11" t="s">
        <v>6</v>
      </c>
      <c r="F2506" s="11" t="s">
        <v>275</v>
      </c>
      <c r="G2506" s="11" t="s">
        <v>4769</v>
      </c>
      <c r="H2506" s="11"/>
      <c r="I2506" s="11" t="s">
        <v>49</v>
      </c>
      <c r="J2506" s="11">
        <v>-20991.01</v>
      </c>
      <c r="K2506" s="11"/>
      <c r="L2506" s="11">
        <v>20991.01</v>
      </c>
      <c r="M2506" s="14">
        <v>-20991.01</v>
      </c>
      <c r="N2506" s="11" t="s">
        <v>4770</v>
      </c>
      <c r="O2506" s="11" t="s">
        <v>2706</v>
      </c>
    </row>
    <row r="2507" spans="1:15" s="13" customFormat="1" ht="19.5" customHeight="1" x14ac:dyDescent="0.25">
      <c r="A2507" s="11" t="s">
        <v>4772</v>
      </c>
      <c r="B2507" s="11" t="s">
        <v>4772</v>
      </c>
      <c r="C2507" s="12">
        <v>45742</v>
      </c>
      <c r="D2507" s="11"/>
      <c r="E2507" s="11" t="s">
        <v>6</v>
      </c>
      <c r="F2507" s="11" t="s">
        <v>275</v>
      </c>
      <c r="G2507" s="11" t="s">
        <v>4769</v>
      </c>
      <c r="H2507" s="11"/>
      <c r="I2507" s="11" t="s">
        <v>49</v>
      </c>
      <c r="J2507" s="11">
        <v>-30000</v>
      </c>
      <c r="K2507" s="11"/>
      <c r="L2507" s="11">
        <v>30000</v>
      </c>
      <c r="M2507" s="14">
        <v>-30000</v>
      </c>
      <c r="N2507" s="11" t="s">
        <v>4770</v>
      </c>
      <c r="O2507" s="11" t="s">
        <v>2706</v>
      </c>
    </row>
    <row r="2508" spans="1:15" s="13" customFormat="1" ht="19.5" customHeight="1" x14ac:dyDescent="0.25">
      <c r="A2508" s="11" t="s">
        <v>4773</v>
      </c>
      <c r="B2508" s="11" t="s">
        <v>4773</v>
      </c>
      <c r="C2508" s="12">
        <v>45742</v>
      </c>
      <c r="D2508" s="12">
        <v>45742</v>
      </c>
      <c r="E2508" s="11" t="s">
        <v>6</v>
      </c>
      <c r="F2508" s="11" t="s">
        <v>4774</v>
      </c>
      <c r="G2508" s="11" t="s">
        <v>4773</v>
      </c>
      <c r="H2508" s="11"/>
      <c r="I2508" s="11" t="s">
        <v>49</v>
      </c>
      <c r="J2508" s="11">
        <v>4252.43</v>
      </c>
      <c r="K2508" s="11">
        <v>4252.43</v>
      </c>
      <c r="L2508" s="11"/>
      <c r="M2508" s="14">
        <v>4252.43</v>
      </c>
      <c r="N2508" s="11" t="s">
        <v>4775</v>
      </c>
      <c r="O2508" s="11" t="s">
        <v>50</v>
      </c>
    </row>
    <row r="2509" spans="1:15" s="13" customFormat="1" ht="19.5" customHeight="1" x14ac:dyDescent="0.25">
      <c r="A2509" s="11" t="s">
        <v>4776</v>
      </c>
      <c r="B2509" s="11" t="s">
        <v>4776</v>
      </c>
      <c r="C2509" s="12">
        <v>45742</v>
      </c>
      <c r="D2509" s="11"/>
      <c r="E2509" s="11" t="s">
        <v>6</v>
      </c>
      <c r="F2509" s="11" t="s">
        <v>4774</v>
      </c>
      <c r="G2509" s="11" t="s">
        <v>4773</v>
      </c>
      <c r="H2509" s="11"/>
      <c r="I2509" s="11" t="s">
        <v>49</v>
      </c>
      <c r="J2509" s="11">
        <v>-4252.43</v>
      </c>
      <c r="K2509" s="11"/>
      <c r="L2509" s="11">
        <v>4252.43</v>
      </c>
      <c r="M2509" s="14">
        <v>-4252.43</v>
      </c>
      <c r="N2509" s="11" t="s">
        <v>4775</v>
      </c>
      <c r="O2509" s="11" t="s">
        <v>2706</v>
      </c>
    </row>
    <row r="2510" spans="1:15" s="13" customFormat="1" ht="19.5" customHeight="1" x14ac:dyDescent="0.25">
      <c r="A2510" s="11" t="s">
        <v>4777</v>
      </c>
      <c r="B2510" s="11" t="s">
        <v>4778</v>
      </c>
      <c r="C2510" s="12">
        <v>45743</v>
      </c>
      <c r="D2510" s="11"/>
      <c r="E2510" s="11" t="s">
        <v>6</v>
      </c>
      <c r="F2510" s="11" t="s">
        <v>4476</v>
      </c>
      <c r="G2510" s="11" t="s">
        <v>4779</v>
      </c>
      <c r="H2510" s="11" t="s">
        <v>4780</v>
      </c>
      <c r="I2510" s="11" t="s">
        <v>49</v>
      </c>
      <c r="J2510" s="11">
        <v>-0.3</v>
      </c>
      <c r="K2510" s="11"/>
      <c r="L2510" s="11">
        <v>0.3</v>
      </c>
      <c r="M2510" s="14">
        <v>-0.3</v>
      </c>
      <c r="N2510" s="11" t="s">
        <v>4781</v>
      </c>
      <c r="O2510" s="11" t="s">
        <v>2706</v>
      </c>
    </row>
    <row r="2511" spans="1:15" s="13" customFormat="1" ht="19.5" customHeight="1" x14ac:dyDescent="0.25">
      <c r="A2511" s="11" t="s">
        <v>4780</v>
      </c>
      <c r="B2511" s="11" t="s">
        <v>4780</v>
      </c>
      <c r="C2511" s="12">
        <v>45743</v>
      </c>
      <c r="D2511" s="12">
        <v>45743</v>
      </c>
      <c r="E2511" s="11" t="s">
        <v>6</v>
      </c>
      <c r="F2511" s="11" t="s">
        <v>4476</v>
      </c>
      <c r="G2511" s="11" t="s">
        <v>4780</v>
      </c>
      <c r="H2511" s="11"/>
      <c r="I2511" s="11" t="s">
        <v>49</v>
      </c>
      <c r="J2511" s="11">
        <v>6063.61</v>
      </c>
      <c r="K2511" s="11">
        <v>6063.61</v>
      </c>
      <c r="L2511" s="11"/>
      <c r="M2511" s="14">
        <v>6063.61</v>
      </c>
      <c r="N2511" s="11" t="s">
        <v>4781</v>
      </c>
      <c r="O2511" s="11" t="s">
        <v>50</v>
      </c>
    </row>
    <row r="2512" spans="1:15" s="13" customFormat="1" ht="19.5" customHeight="1" x14ac:dyDescent="0.25">
      <c r="A2512" s="11" t="s">
        <v>4782</v>
      </c>
      <c r="B2512" s="11" t="s">
        <v>4782</v>
      </c>
      <c r="C2512" s="12">
        <v>45743</v>
      </c>
      <c r="D2512" s="11"/>
      <c r="E2512" s="11" t="s">
        <v>6</v>
      </c>
      <c r="F2512" s="11" t="s">
        <v>4476</v>
      </c>
      <c r="G2512" s="11" t="s">
        <v>4780</v>
      </c>
      <c r="H2512" s="11"/>
      <c r="I2512" s="11" t="s">
        <v>49</v>
      </c>
      <c r="J2512" s="11">
        <v>-6063.31</v>
      </c>
      <c r="K2512" s="11"/>
      <c r="L2512" s="11">
        <v>6063.31</v>
      </c>
      <c r="M2512" s="14">
        <v>-6063.31</v>
      </c>
      <c r="N2512" s="11" t="s">
        <v>4781</v>
      </c>
      <c r="O2512" s="11" t="s">
        <v>2706</v>
      </c>
    </row>
    <row r="2513" spans="1:15" s="13" customFormat="1" ht="19.5" customHeight="1" x14ac:dyDescent="0.25">
      <c r="A2513" s="11" t="s">
        <v>4783</v>
      </c>
      <c r="B2513" s="11" t="s">
        <v>4783</v>
      </c>
      <c r="C2513" s="12">
        <v>45743</v>
      </c>
      <c r="D2513" s="12">
        <v>45743</v>
      </c>
      <c r="E2513" s="11" t="s">
        <v>6</v>
      </c>
      <c r="F2513" s="11" t="s">
        <v>2927</v>
      </c>
      <c r="G2513" s="11" t="s">
        <v>4783</v>
      </c>
      <c r="H2513" s="11"/>
      <c r="I2513" s="11" t="s">
        <v>49</v>
      </c>
      <c r="J2513" s="11">
        <v>25441.22</v>
      </c>
      <c r="K2513" s="11">
        <v>25441.22</v>
      </c>
      <c r="L2513" s="11"/>
      <c r="M2513" s="14">
        <v>25441.22</v>
      </c>
      <c r="N2513" s="11" t="s">
        <v>4784</v>
      </c>
      <c r="O2513" s="11" t="s">
        <v>50</v>
      </c>
    </row>
    <row r="2514" spans="1:15" s="13" customFormat="1" ht="19.5" customHeight="1" x14ac:dyDescent="0.25">
      <c r="A2514" s="11" t="s">
        <v>4785</v>
      </c>
      <c r="B2514" s="11" t="s">
        <v>4785</v>
      </c>
      <c r="C2514" s="12">
        <v>45742</v>
      </c>
      <c r="D2514" s="11"/>
      <c r="E2514" s="11" t="s">
        <v>6</v>
      </c>
      <c r="F2514" s="11" t="s">
        <v>2927</v>
      </c>
      <c r="G2514" s="11" t="s">
        <v>4783</v>
      </c>
      <c r="H2514" s="11"/>
      <c r="I2514" s="11" t="s">
        <v>49</v>
      </c>
      <c r="J2514" s="11">
        <v>-25441.22</v>
      </c>
      <c r="K2514" s="11"/>
      <c r="L2514" s="11">
        <v>25441.22</v>
      </c>
      <c r="M2514" s="14">
        <v>-25441.22</v>
      </c>
      <c r="N2514" s="11" t="s">
        <v>4784</v>
      </c>
      <c r="O2514" s="11" t="s">
        <v>2706</v>
      </c>
    </row>
    <row r="2515" spans="1:15" s="13" customFormat="1" ht="19.5" customHeight="1" x14ac:dyDescent="0.25">
      <c r="A2515" s="11" t="s">
        <v>4786</v>
      </c>
      <c r="B2515" s="11" t="s">
        <v>4786</v>
      </c>
      <c r="C2515" s="12">
        <v>45743</v>
      </c>
      <c r="D2515" s="12">
        <v>45743</v>
      </c>
      <c r="E2515" s="11" t="s">
        <v>6</v>
      </c>
      <c r="F2515" s="11" t="s">
        <v>4639</v>
      </c>
      <c r="G2515" s="11" t="s">
        <v>4786</v>
      </c>
      <c r="H2515" s="11"/>
      <c r="I2515" s="11" t="s">
        <v>49</v>
      </c>
      <c r="J2515" s="11">
        <v>16748.23</v>
      </c>
      <c r="K2515" s="11">
        <v>16748.23</v>
      </c>
      <c r="L2515" s="11"/>
      <c r="M2515" s="14">
        <v>16748.23</v>
      </c>
      <c r="N2515" s="11" t="s">
        <v>4787</v>
      </c>
      <c r="O2515" s="11" t="s">
        <v>50</v>
      </c>
    </row>
    <row r="2516" spans="1:15" s="13" customFormat="1" ht="19.5" customHeight="1" x14ac:dyDescent="0.25">
      <c r="A2516" s="11" t="s">
        <v>4788</v>
      </c>
      <c r="B2516" s="11" t="s">
        <v>4788</v>
      </c>
      <c r="C2516" s="12">
        <v>45742</v>
      </c>
      <c r="D2516" s="11"/>
      <c r="E2516" s="11" t="s">
        <v>6</v>
      </c>
      <c r="F2516" s="11" t="s">
        <v>4639</v>
      </c>
      <c r="G2516" s="11" t="s">
        <v>4786</v>
      </c>
      <c r="H2516" s="11"/>
      <c r="I2516" s="11" t="s">
        <v>49</v>
      </c>
      <c r="J2516" s="11">
        <v>-16748.23</v>
      </c>
      <c r="K2516" s="11"/>
      <c r="L2516" s="11">
        <v>16748.23</v>
      </c>
      <c r="M2516" s="14">
        <v>-16748.23</v>
      </c>
      <c r="N2516" s="11" t="s">
        <v>4787</v>
      </c>
      <c r="O2516" s="11" t="s">
        <v>2706</v>
      </c>
    </row>
    <row r="2517" spans="1:15" s="13" customFormat="1" ht="19.5" customHeight="1" x14ac:dyDescent="0.25">
      <c r="A2517" s="11" t="s">
        <v>4789</v>
      </c>
      <c r="B2517" s="11" t="s">
        <v>4789</v>
      </c>
      <c r="C2517" s="12">
        <v>45744</v>
      </c>
      <c r="D2517" s="12">
        <v>45744</v>
      </c>
      <c r="E2517" s="11" t="s">
        <v>6</v>
      </c>
      <c r="F2517" s="11" t="s">
        <v>4790</v>
      </c>
      <c r="G2517" s="11" t="s">
        <v>4789</v>
      </c>
      <c r="H2517" s="11"/>
      <c r="I2517" s="11" t="s">
        <v>49</v>
      </c>
      <c r="J2517" s="11">
        <v>7042.88</v>
      </c>
      <c r="K2517" s="11">
        <v>7042.88</v>
      </c>
      <c r="L2517" s="11"/>
      <c r="M2517" s="14">
        <v>7042.88</v>
      </c>
      <c r="N2517" s="11" t="s">
        <v>4791</v>
      </c>
      <c r="O2517" s="11" t="s">
        <v>50</v>
      </c>
    </row>
    <row r="2518" spans="1:15" s="13" customFormat="1" ht="19.5" customHeight="1" x14ac:dyDescent="0.25">
      <c r="A2518" s="11" t="s">
        <v>4792</v>
      </c>
      <c r="B2518" s="11" t="s">
        <v>4792</v>
      </c>
      <c r="C2518" s="12">
        <v>45744</v>
      </c>
      <c r="D2518" s="11"/>
      <c r="E2518" s="11" t="s">
        <v>6</v>
      </c>
      <c r="F2518" s="11" t="s">
        <v>4790</v>
      </c>
      <c r="G2518" s="11" t="s">
        <v>4789</v>
      </c>
      <c r="H2518" s="11"/>
      <c r="I2518" s="11" t="s">
        <v>49</v>
      </c>
      <c r="J2518" s="11">
        <v>-7042.88</v>
      </c>
      <c r="K2518" s="11"/>
      <c r="L2518" s="11">
        <v>7042.88</v>
      </c>
      <c r="M2518" s="14">
        <v>-7042.88</v>
      </c>
      <c r="N2518" s="11" t="s">
        <v>4791</v>
      </c>
      <c r="O2518" s="11" t="s">
        <v>2706</v>
      </c>
    </row>
    <row r="2519" spans="1:15" s="13" customFormat="1" ht="19.5" customHeight="1" x14ac:dyDescent="0.25">
      <c r="A2519" s="11" t="s">
        <v>4793</v>
      </c>
      <c r="B2519" s="11" t="s">
        <v>4793</v>
      </c>
      <c r="C2519" s="12">
        <v>45744</v>
      </c>
      <c r="D2519" s="12">
        <v>45744</v>
      </c>
      <c r="E2519" s="11" t="s">
        <v>6</v>
      </c>
      <c r="F2519" s="11" t="s">
        <v>4794</v>
      </c>
      <c r="G2519" s="11" t="s">
        <v>4793</v>
      </c>
      <c r="H2519" s="11"/>
      <c r="I2519" s="11" t="s">
        <v>49</v>
      </c>
      <c r="J2519" s="11">
        <v>17146.29</v>
      </c>
      <c r="K2519" s="11">
        <v>17146.29</v>
      </c>
      <c r="L2519" s="11"/>
      <c r="M2519" s="14">
        <v>17146.29</v>
      </c>
      <c r="N2519" s="11" t="s">
        <v>4795</v>
      </c>
      <c r="O2519" s="11" t="s">
        <v>50</v>
      </c>
    </row>
    <row r="2520" spans="1:15" s="13" customFormat="1" ht="19.5" customHeight="1" x14ac:dyDescent="0.25">
      <c r="A2520" s="11" t="s">
        <v>4796</v>
      </c>
      <c r="B2520" s="11" t="s">
        <v>4796</v>
      </c>
      <c r="C2520" s="12">
        <v>45744</v>
      </c>
      <c r="D2520" s="11"/>
      <c r="E2520" s="11" t="s">
        <v>6</v>
      </c>
      <c r="F2520" s="11" t="s">
        <v>4794</v>
      </c>
      <c r="G2520" s="11" t="s">
        <v>4793</v>
      </c>
      <c r="H2520" s="11"/>
      <c r="I2520" s="11" t="s">
        <v>49</v>
      </c>
      <c r="J2520" s="11">
        <v>-17146.29</v>
      </c>
      <c r="K2520" s="11"/>
      <c r="L2520" s="11">
        <v>17146.29</v>
      </c>
      <c r="M2520" s="14">
        <v>-17146.29</v>
      </c>
      <c r="N2520" s="11" t="s">
        <v>4795</v>
      </c>
      <c r="O2520" s="11" t="s">
        <v>2706</v>
      </c>
    </row>
    <row r="2521" spans="1:15" s="13" customFormat="1" ht="19.5" customHeight="1" x14ac:dyDescent="0.25">
      <c r="A2521" s="11" t="s">
        <v>4797</v>
      </c>
      <c r="B2521" s="11" t="s">
        <v>4797</v>
      </c>
      <c r="C2521" s="12">
        <v>45744</v>
      </c>
      <c r="D2521" s="12">
        <v>45744</v>
      </c>
      <c r="E2521" s="11" t="s">
        <v>6</v>
      </c>
      <c r="F2521" s="11" t="s">
        <v>4798</v>
      </c>
      <c r="G2521" s="11" t="s">
        <v>4797</v>
      </c>
      <c r="H2521" s="11"/>
      <c r="I2521" s="11" t="s">
        <v>49</v>
      </c>
      <c r="J2521" s="11">
        <v>41992.06</v>
      </c>
      <c r="K2521" s="11">
        <v>41992.06</v>
      </c>
      <c r="L2521" s="11"/>
      <c r="M2521" s="14">
        <v>41992.06</v>
      </c>
      <c r="N2521" s="11" t="s">
        <v>4799</v>
      </c>
      <c r="O2521" s="11" t="s">
        <v>50</v>
      </c>
    </row>
    <row r="2522" spans="1:15" s="13" customFormat="1" ht="19.5" customHeight="1" x14ac:dyDescent="0.25">
      <c r="A2522" s="11" t="s">
        <v>4800</v>
      </c>
      <c r="B2522" s="11" t="s">
        <v>4800</v>
      </c>
      <c r="C2522" s="12">
        <v>45743</v>
      </c>
      <c r="D2522" s="11"/>
      <c r="E2522" s="11" t="s">
        <v>6</v>
      </c>
      <c r="F2522" s="11" t="s">
        <v>4798</v>
      </c>
      <c r="G2522" s="11" t="s">
        <v>4797</v>
      </c>
      <c r="H2522" s="11"/>
      <c r="I2522" s="11" t="s">
        <v>49</v>
      </c>
      <c r="J2522" s="11">
        <v>-19900</v>
      </c>
      <c r="K2522" s="11"/>
      <c r="L2522" s="11">
        <v>19900</v>
      </c>
      <c r="M2522" s="14">
        <v>-19900</v>
      </c>
      <c r="N2522" s="11" t="s">
        <v>4799</v>
      </c>
      <c r="O2522" s="11" t="s">
        <v>2706</v>
      </c>
    </row>
    <row r="2523" spans="1:15" s="13" customFormat="1" ht="19.5" customHeight="1" x14ac:dyDescent="0.25">
      <c r="A2523" s="11" t="s">
        <v>4801</v>
      </c>
      <c r="B2523" s="11" t="s">
        <v>4801</v>
      </c>
      <c r="C2523" s="12">
        <v>45743</v>
      </c>
      <c r="D2523" s="11"/>
      <c r="E2523" s="11" t="s">
        <v>6</v>
      </c>
      <c r="F2523" s="11" t="s">
        <v>4798</v>
      </c>
      <c r="G2523" s="11" t="s">
        <v>4797</v>
      </c>
      <c r="H2523" s="11"/>
      <c r="I2523" s="11" t="s">
        <v>49</v>
      </c>
      <c r="J2523" s="11">
        <v>-22092.06</v>
      </c>
      <c r="K2523" s="11"/>
      <c r="L2523" s="11">
        <v>22092.06</v>
      </c>
      <c r="M2523" s="14">
        <v>-22092.06</v>
      </c>
      <c r="N2523" s="11" t="s">
        <v>4799</v>
      </c>
      <c r="O2523" s="11" t="s">
        <v>2706</v>
      </c>
    </row>
    <row r="2524" spans="1:15" s="13" customFormat="1" ht="19.5" customHeight="1" x14ac:dyDescent="0.25">
      <c r="A2524" s="11" t="s">
        <v>4802</v>
      </c>
      <c r="B2524" s="11" t="s">
        <v>4802</v>
      </c>
      <c r="C2524" s="12">
        <v>45744</v>
      </c>
      <c r="D2524" s="12">
        <v>45744</v>
      </c>
      <c r="E2524" s="11" t="s">
        <v>6</v>
      </c>
      <c r="F2524" s="11" t="s">
        <v>3315</v>
      </c>
      <c r="G2524" s="11" t="s">
        <v>4802</v>
      </c>
      <c r="H2524" s="11"/>
      <c r="I2524" s="11" t="s">
        <v>49</v>
      </c>
      <c r="J2524" s="11">
        <v>18106.189999999999</v>
      </c>
      <c r="K2524" s="11">
        <v>18106.189999999999</v>
      </c>
      <c r="L2524" s="11"/>
      <c r="M2524" s="14">
        <v>18106.189999999999</v>
      </c>
      <c r="N2524" s="11" t="s">
        <v>4803</v>
      </c>
      <c r="O2524" s="11" t="s">
        <v>50</v>
      </c>
    </row>
    <row r="2525" spans="1:15" s="13" customFormat="1" ht="19.5" customHeight="1" x14ac:dyDescent="0.25">
      <c r="A2525" s="11" t="s">
        <v>4804</v>
      </c>
      <c r="B2525" s="11" t="s">
        <v>4804</v>
      </c>
      <c r="C2525" s="12">
        <v>45743</v>
      </c>
      <c r="D2525" s="11"/>
      <c r="E2525" s="11" t="s">
        <v>6</v>
      </c>
      <c r="F2525" s="11" t="s">
        <v>3315</v>
      </c>
      <c r="G2525" s="11" t="s">
        <v>4802</v>
      </c>
      <c r="H2525" s="11"/>
      <c r="I2525" s="11" t="s">
        <v>49</v>
      </c>
      <c r="J2525" s="11">
        <v>-18106.189999999999</v>
      </c>
      <c r="K2525" s="11"/>
      <c r="L2525" s="11">
        <v>18106.189999999999</v>
      </c>
      <c r="M2525" s="14">
        <v>-18106.189999999999</v>
      </c>
      <c r="N2525" s="11" t="s">
        <v>4803</v>
      </c>
      <c r="O2525" s="11" t="s">
        <v>2706</v>
      </c>
    </row>
    <row r="2526" spans="1:15" s="13" customFormat="1" ht="19.5" customHeight="1" x14ac:dyDescent="0.25">
      <c r="A2526" s="11" t="s">
        <v>4805</v>
      </c>
      <c r="B2526" s="11" t="s">
        <v>4805</v>
      </c>
      <c r="C2526" s="12">
        <v>45744</v>
      </c>
      <c r="D2526" s="12">
        <v>45744</v>
      </c>
      <c r="E2526" s="11" t="s">
        <v>6</v>
      </c>
      <c r="F2526" s="11" t="s">
        <v>4507</v>
      </c>
      <c r="G2526" s="11" t="s">
        <v>4805</v>
      </c>
      <c r="H2526" s="11"/>
      <c r="I2526" s="11" t="s">
        <v>49</v>
      </c>
      <c r="J2526" s="11">
        <v>6612.18</v>
      </c>
      <c r="K2526" s="11">
        <v>6612.18</v>
      </c>
      <c r="L2526" s="11"/>
      <c r="M2526" s="14">
        <v>6612.18</v>
      </c>
      <c r="N2526" s="11" t="s">
        <v>4806</v>
      </c>
      <c r="O2526" s="11" t="s">
        <v>50</v>
      </c>
    </row>
    <row r="2527" spans="1:15" s="13" customFormat="1" ht="19.5" customHeight="1" x14ac:dyDescent="0.25">
      <c r="A2527" s="11" t="s">
        <v>4807</v>
      </c>
      <c r="B2527" s="11" t="s">
        <v>4807</v>
      </c>
      <c r="C2527" s="12">
        <v>45743</v>
      </c>
      <c r="D2527" s="11"/>
      <c r="E2527" s="11" t="s">
        <v>6</v>
      </c>
      <c r="F2527" s="11" t="s">
        <v>4507</v>
      </c>
      <c r="G2527" s="11" t="s">
        <v>4805</v>
      </c>
      <c r="H2527" s="11"/>
      <c r="I2527" s="11" t="s">
        <v>49</v>
      </c>
      <c r="J2527" s="11">
        <v>-6612.18</v>
      </c>
      <c r="K2527" s="11"/>
      <c r="L2527" s="11">
        <v>6612.18</v>
      </c>
      <c r="M2527" s="14">
        <v>-6612.18</v>
      </c>
      <c r="N2527" s="11" t="s">
        <v>4806</v>
      </c>
      <c r="O2527" s="11" t="s">
        <v>2706</v>
      </c>
    </row>
    <row r="2528" spans="1:15" s="13" customFormat="1" ht="19.5" customHeight="1" x14ac:dyDescent="0.25">
      <c r="A2528" s="11" t="s">
        <v>4808</v>
      </c>
      <c r="B2528" s="11" t="s">
        <v>4808</v>
      </c>
      <c r="C2528" s="12">
        <v>45744</v>
      </c>
      <c r="D2528" s="12">
        <v>45744</v>
      </c>
      <c r="E2528" s="11" t="s">
        <v>6</v>
      </c>
      <c r="F2528" s="11" t="s">
        <v>4809</v>
      </c>
      <c r="G2528" s="11" t="s">
        <v>4808</v>
      </c>
      <c r="H2528" s="11"/>
      <c r="I2528" s="11" t="s">
        <v>49</v>
      </c>
      <c r="J2528" s="11">
        <v>21165.74</v>
      </c>
      <c r="K2528" s="11">
        <v>21165.74</v>
      </c>
      <c r="L2528" s="11"/>
      <c r="M2528" s="14">
        <v>21165.74</v>
      </c>
      <c r="N2528" s="11" t="s">
        <v>4810</v>
      </c>
      <c r="O2528" s="11" t="s">
        <v>50</v>
      </c>
    </row>
    <row r="2529" spans="1:15" s="13" customFormat="1" ht="19.5" customHeight="1" x14ac:dyDescent="0.25">
      <c r="A2529" s="11" t="s">
        <v>4811</v>
      </c>
      <c r="B2529" s="11" t="s">
        <v>4811</v>
      </c>
      <c r="C2529" s="12">
        <v>45743</v>
      </c>
      <c r="D2529" s="11"/>
      <c r="E2529" s="11" t="s">
        <v>6</v>
      </c>
      <c r="F2529" s="11" t="s">
        <v>4809</v>
      </c>
      <c r="G2529" s="11" t="s">
        <v>4808</v>
      </c>
      <c r="H2529" s="11"/>
      <c r="I2529" s="11" t="s">
        <v>49</v>
      </c>
      <c r="J2529" s="11">
        <v>-21165.74</v>
      </c>
      <c r="K2529" s="11"/>
      <c r="L2529" s="11">
        <v>21165.74</v>
      </c>
      <c r="M2529" s="14">
        <v>-21165.74</v>
      </c>
      <c r="N2529" s="11" t="s">
        <v>4810</v>
      </c>
      <c r="O2529" s="11" t="s">
        <v>2706</v>
      </c>
    </row>
    <row r="2530" spans="1:15" s="13" customFormat="1" ht="19.5" customHeight="1" x14ac:dyDescent="0.25">
      <c r="A2530" s="11" t="s">
        <v>4812</v>
      </c>
      <c r="B2530" s="11" t="s">
        <v>4812</v>
      </c>
      <c r="C2530" s="12">
        <v>45744</v>
      </c>
      <c r="D2530" s="12">
        <v>45744</v>
      </c>
      <c r="E2530" s="11" t="s">
        <v>6</v>
      </c>
      <c r="F2530" s="11" t="s">
        <v>4572</v>
      </c>
      <c r="G2530" s="11" t="s">
        <v>4812</v>
      </c>
      <c r="H2530" s="11"/>
      <c r="I2530" s="11" t="s">
        <v>49</v>
      </c>
      <c r="J2530" s="11">
        <v>3526.5</v>
      </c>
      <c r="K2530" s="11">
        <v>3526.5</v>
      </c>
      <c r="L2530" s="11"/>
      <c r="M2530" s="14">
        <v>3526.5</v>
      </c>
      <c r="N2530" s="11" t="s">
        <v>4813</v>
      </c>
      <c r="O2530" s="11" t="s">
        <v>50</v>
      </c>
    </row>
    <row r="2531" spans="1:15" s="13" customFormat="1" ht="19.5" customHeight="1" x14ac:dyDescent="0.25">
      <c r="A2531" s="11" t="s">
        <v>4814</v>
      </c>
      <c r="B2531" s="11" t="s">
        <v>4814</v>
      </c>
      <c r="C2531" s="12">
        <v>45743</v>
      </c>
      <c r="D2531" s="11"/>
      <c r="E2531" s="11" t="s">
        <v>6</v>
      </c>
      <c r="F2531" s="11" t="s">
        <v>4572</v>
      </c>
      <c r="G2531" s="11" t="s">
        <v>4812</v>
      </c>
      <c r="H2531" s="11"/>
      <c r="I2531" s="11" t="s">
        <v>49</v>
      </c>
      <c r="J2531" s="11">
        <v>-3526.5</v>
      </c>
      <c r="K2531" s="11"/>
      <c r="L2531" s="11">
        <v>3526.5</v>
      </c>
      <c r="M2531" s="14">
        <v>-3526.5</v>
      </c>
      <c r="N2531" s="11" t="s">
        <v>4813</v>
      </c>
      <c r="O2531" s="11" t="s">
        <v>2706</v>
      </c>
    </row>
    <row r="2532" spans="1:15" s="13" customFormat="1" ht="19.5" customHeight="1" x14ac:dyDescent="0.25">
      <c r="A2532" s="11" t="s">
        <v>4815</v>
      </c>
      <c r="B2532" s="11" t="s">
        <v>4815</v>
      </c>
      <c r="C2532" s="12">
        <v>45744</v>
      </c>
      <c r="D2532" s="12">
        <v>45744</v>
      </c>
      <c r="E2532" s="11" t="s">
        <v>6</v>
      </c>
      <c r="F2532" s="11" t="s">
        <v>4646</v>
      </c>
      <c r="G2532" s="11" t="s">
        <v>4815</v>
      </c>
      <c r="H2532" s="11"/>
      <c r="I2532" s="11" t="s">
        <v>49</v>
      </c>
      <c r="J2532" s="11">
        <v>9644.06</v>
      </c>
      <c r="K2532" s="11">
        <v>9644.06</v>
      </c>
      <c r="L2532" s="11"/>
      <c r="M2532" s="14">
        <v>9644.06</v>
      </c>
      <c r="N2532" s="11" t="s">
        <v>4816</v>
      </c>
      <c r="O2532" s="11" t="s">
        <v>50</v>
      </c>
    </row>
    <row r="2533" spans="1:15" s="13" customFormat="1" ht="19.5" customHeight="1" x14ac:dyDescent="0.25">
      <c r="A2533" s="11" t="s">
        <v>4817</v>
      </c>
      <c r="B2533" s="11" t="s">
        <v>4817</v>
      </c>
      <c r="C2533" s="12">
        <v>45744</v>
      </c>
      <c r="D2533" s="11"/>
      <c r="E2533" s="11" t="s">
        <v>6</v>
      </c>
      <c r="F2533" s="11" t="s">
        <v>4646</v>
      </c>
      <c r="G2533" s="11" t="s">
        <v>4815</v>
      </c>
      <c r="H2533" s="11"/>
      <c r="I2533" s="11" t="s">
        <v>49</v>
      </c>
      <c r="J2533" s="11">
        <v>-9644.06</v>
      </c>
      <c r="K2533" s="11"/>
      <c r="L2533" s="11">
        <v>9644.06</v>
      </c>
      <c r="M2533" s="14">
        <v>-9644.06</v>
      </c>
      <c r="N2533" s="11" t="s">
        <v>4816</v>
      </c>
      <c r="O2533" s="11" t="s">
        <v>2706</v>
      </c>
    </row>
    <row r="2534" spans="1:15" s="13" customFormat="1" ht="19.5" customHeight="1" x14ac:dyDescent="0.25">
      <c r="A2534" s="11" t="s">
        <v>4818</v>
      </c>
      <c r="B2534" s="11" t="s">
        <v>4818</v>
      </c>
      <c r="C2534" s="12">
        <v>45744</v>
      </c>
      <c r="D2534" s="11"/>
      <c r="E2534" s="11" t="s">
        <v>6</v>
      </c>
      <c r="F2534" s="11" t="s">
        <v>4677</v>
      </c>
      <c r="G2534" s="11" t="s">
        <v>4819</v>
      </c>
      <c r="H2534" s="11"/>
      <c r="I2534" s="11" t="s">
        <v>49</v>
      </c>
      <c r="J2534" s="11">
        <v>-1193.07</v>
      </c>
      <c r="K2534" s="11"/>
      <c r="L2534" s="11">
        <v>1193.07</v>
      </c>
      <c r="M2534" s="14">
        <v>-1193.07</v>
      </c>
      <c r="N2534" s="11" t="s">
        <v>4820</v>
      </c>
      <c r="O2534" s="11" t="s">
        <v>2706</v>
      </c>
    </row>
    <row r="2535" spans="1:15" s="13" customFormat="1" ht="19.5" customHeight="1" x14ac:dyDescent="0.25">
      <c r="A2535" s="11" t="s">
        <v>4819</v>
      </c>
      <c r="B2535" s="11" t="s">
        <v>4819</v>
      </c>
      <c r="C2535" s="12">
        <v>45744</v>
      </c>
      <c r="D2535" s="12">
        <v>45744</v>
      </c>
      <c r="E2535" s="11" t="s">
        <v>6</v>
      </c>
      <c r="F2535" s="11" t="s">
        <v>4677</v>
      </c>
      <c r="G2535" s="11" t="s">
        <v>4819</v>
      </c>
      <c r="H2535" s="11"/>
      <c r="I2535" s="11" t="s">
        <v>49</v>
      </c>
      <c r="J2535" s="11">
        <v>1193.07</v>
      </c>
      <c r="K2535" s="11">
        <v>1193.07</v>
      </c>
      <c r="L2535" s="11"/>
      <c r="M2535" s="14">
        <v>1193.07</v>
      </c>
      <c r="N2535" s="11" t="s">
        <v>4820</v>
      </c>
      <c r="O2535" s="11" t="s">
        <v>50</v>
      </c>
    </row>
    <row r="2536" spans="1:15" s="13" customFormat="1" ht="19.5" customHeight="1" x14ac:dyDescent="0.25">
      <c r="A2536" s="11" t="s">
        <v>4821</v>
      </c>
      <c r="B2536" s="11" t="s">
        <v>4821</v>
      </c>
      <c r="C2536" s="12">
        <v>45744</v>
      </c>
      <c r="D2536" s="12">
        <v>45744</v>
      </c>
      <c r="E2536" s="11" t="s">
        <v>6</v>
      </c>
      <c r="F2536" s="11" t="s">
        <v>3573</v>
      </c>
      <c r="G2536" s="11" t="s">
        <v>4821</v>
      </c>
      <c r="H2536" s="11"/>
      <c r="I2536" s="11" t="s">
        <v>49</v>
      </c>
      <c r="J2536" s="11">
        <v>8631.1299999999992</v>
      </c>
      <c r="K2536" s="11">
        <v>8631.1299999999992</v>
      </c>
      <c r="L2536" s="11"/>
      <c r="M2536" s="14">
        <v>8631.1299999999992</v>
      </c>
      <c r="N2536" s="11" t="s">
        <v>4822</v>
      </c>
      <c r="O2536" s="11" t="s">
        <v>50</v>
      </c>
    </row>
    <row r="2537" spans="1:15" s="13" customFormat="1" ht="19.5" customHeight="1" x14ac:dyDescent="0.25">
      <c r="A2537" s="11" t="s">
        <v>4823</v>
      </c>
      <c r="B2537" s="11" t="s">
        <v>4823</v>
      </c>
      <c r="C2537" s="12">
        <v>45743</v>
      </c>
      <c r="D2537" s="11"/>
      <c r="E2537" s="11" t="s">
        <v>6</v>
      </c>
      <c r="F2537" s="11" t="s">
        <v>3573</v>
      </c>
      <c r="G2537" s="11" t="s">
        <v>4821</v>
      </c>
      <c r="H2537" s="11"/>
      <c r="I2537" s="11" t="s">
        <v>49</v>
      </c>
      <c r="J2537" s="11">
        <v>-8631.1299999999992</v>
      </c>
      <c r="K2537" s="11"/>
      <c r="L2537" s="11">
        <v>8631.1299999999992</v>
      </c>
      <c r="M2537" s="14">
        <v>-8631.1299999999992</v>
      </c>
      <c r="N2537" s="11" t="s">
        <v>4822</v>
      </c>
      <c r="O2537" s="11" t="s">
        <v>2706</v>
      </c>
    </row>
    <row r="2538" spans="1:15" s="13" customFormat="1" ht="19.5" customHeight="1" x14ac:dyDescent="0.25">
      <c r="A2538" s="11" t="s">
        <v>4824</v>
      </c>
      <c r="B2538" s="11" t="s">
        <v>4824</v>
      </c>
      <c r="C2538" s="12">
        <v>45743</v>
      </c>
      <c r="D2538" s="12">
        <v>45743</v>
      </c>
      <c r="E2538" s="11" t="s">
        <v>6</v>
      </c>
      <c r="F2538" s="11" t="s">
        <v>4620</v>
      </c>
      <c r="G2538" s="11" t="s">
        <v>4824</v>
      </c>
      <c r="H2538" s="11"/>
      <c r="I2538" s="11" t="s">
        <v>49</v>
      </c>
      <c r="J2538" s="11">
        <v>6441.49</v>
      </c>
      <c r="K2538" s="11">
        <v>6441.49</v>
      </c>
      <c r="L2538" s="11"/>
      <c r="M2538" s="14">
        <v>6441.49</v>
      </c>
      <c r="N2538" s="11" t="s">
        <v>4825</v>
      </c>
      <c r="O2538" s="11" t="s">
        <v>50</v>
      </c>
    </row>
    <row r="2539" spans="1:15" s="13" customFormat="1" ht="19.5" customHeight="1" x14ac:dyDescent="0.25">
      <c r="A2539" s="11" t="s">
        <v>4826</v>
      </c>
      <c r="B2539" s="11" t="s">
        <v>4826</v>
      </c>
      <c r="C2539" s="12">
        <v>45742</v>
      </c>
      <c r="D2539" s="11"/>
      <c r="E2539" s="11" t="s">
        <v>6</v>
      </c>
      <c r="F2539" s="11" t="s">
        <v>4620</v>
      </c>
      <c r="G2539" s="11" t="s">
        <v>4824</v>
      </c>
      <c r="H2539" s="11"/>
      <c r="I2539" s="11" t="s">
        <v>49</v>
      </c>
      <c r="J2539" s="11">
        <v>-6441.49</v>
      </c>
      <c r="K2539" s="11"/>
      <c r="L2539" s="11">
        <v>6441.49</v>
      </c>
      <c r="M2539" s="14">
        <v>-6441.49</v>
      </c>
      <c r="N2539" s="11" t="s">
        <v>4825</v>
      </c>
      <c r="O2539" s="11" t="s">
        <v>2706</v>
      </c>
    </row>
    <row r="2540" spans="1:15" s="13" customFormat="1" ht="19.5" customHeight="1" x14ac:dyDescent="0.25">
      <c r="A2540" s="11" t="s">
        <v>4827</v>
      </c>
      <c r="B2540" s="11" t="s">
        <v>4827</v>
      </c>
      <c r="C2540" s="12">
        <v>45743</v>
      </c>
      <c r="D2540" s="12">
        <v>45743</v>
      </c>
      <c r="E2540" s="11" t="s">
        <v>6</v>
      </c>
      <c r="F2540" s="11" t="s">
        <v>4568</v>
      </c>
      <c r="G2540" s="11" t="s">
        <v>4827</v>
      </c>
      <c r="H2540" s="11"/>
      <c r="I2540" s="11" t="s">
        <v>49</v>
      </c>
      <c r="J2540" s="11">
        <v>4077.87</v>
      </c>
      <c r="K2540" s="11">
        <v>4077.87</v>
      </c>
      <c r="L2540" s="11"/>
      <c r="M2540" s="14">
        <v>4077.87</v>
      </c>
      <c r="N2540" s="11" t="s">
        <v>4828</v>
      </c>
      <c r="O2540" s="11" t="s">
        <v>50</v>
      </c>
    </row>
    <row r="2541" spans="1:15" s="13" customFormat="1" ht="19.5" customHeight="1" x14ac:dyDescent="0.25">
      <c r="A2541" s="11" t="s">
        <v>4829</v>
      </c>
      <c r="B2541" s="11" t="s">
        <v>4829</v>
      </c>
      <c r="C2541" s="12">
        <v>45742</v>
      </c>
      <c r="D2541" s="11"/>
      <c r="E2541" s="11" t="s">
        <v>6</v>
      </c>
      <c r="F2541" s="11" t="s">
        <v>4568</v>
      </c>
      <c r="G2541" s="11" t="s">
        <v>4827</v>
      </c>
      <c r="H2541" s="11"/>
      <c r="I2541" s="11" t="s">
        <v>49</v>
      </c>
      <c r="J2541" s="11">
        <v>-4077.87</v>
      </c>
      <c r="K2541" s="11"/>
      <c r="L2541" s="11">
        <v>4077.87</v>
      </c>
      <c r="M2541" s="14">
        <v>-4077.87</v>
      </c>
      <c r="N2541" s="11" t="s">
        <v>4828</v>
      </c>
      <c r="O2541" s="11" t="s">
        <v>2706</v>
      </c>
    </row>
    <row r="2542" spans="1:15" s="13" customFormat="1" ht="19.5" customHeight="1" x14ac:dyDescent="0.25">
      <c r="A2542" s="11" t="s">
        <v>4830</v>
      </c>
      <c r="B2542" s="11" t="s">
        <v>4831</v>
      </c>
      <c r="C2542" s="12">
        <v>45695</v>
      </c>
      <c r="D2542" s="12">
        <v>45695</v>
      </c>
      <c r="E2542" s="11" t="s">
        <v>6</v>
      </c>
      <c r="F2542" s="11" t="s">
        <v>64</v>
      </c>
      <c r="G2542" s="11" t="s">
        <v>4832</v>
      </c>
      <c r="H2542" s="11" t="s">
        <v>4833</v>
      </c>
      <c r="I2542" s="11" t="s">
        <v>49</v>
      </c>
      <c r="J2542" s="11">
        <v>-50812.07</v>
      </c>
      <c r="K2542" s="11"/>
      <c r="L2542" s="11">
        <v>50812.07</v>
      </c>
      <c r="M2542" s="14">
        <v>-50812.07</v>
      </c>
      <c r="N2542" s="11" t="s">
        <v>4834</v>
      </c>
      <c r="O2542" s="11" t="s">
        <v>2706</v>
      </c>
    </row>
    <row r="2543" spans="1:15" s="13" customFormat="1" ht="19.5" customHeight="1" x14ac:dyDescent="0.25">
      <c r="A2543" s="11" t="s">
        <v>4835</v>
      </c>
      <c r="B2543" s="11" t="s">
        <v>4835</v>
      </c>
      <c r="C2543" s="12">
        <v>45681</v>
      </c>
      <c r="D2543" s="12">
        <v>45726</v>
      </c>
      <c r="E2543" s="11" t="s">
        <v>6</v>
      </c>
      <c r="F2543" s="11" t="s">
        <v>64</v>
      </c>
      <c r="G2543" s="11" t="s">
        <v>4835</v>
      </c>
      <c r="H2543" s="11"/>
      <c r="I2543" s="11" t="s">
        <v>49</v>
      </c>
      <c r="J2543" s="11">
        <v>7255.96</v>
      </c>
      <c r="K2543" s="11">
        <v>7255.96</v>
      </c>
      <c r="L2543" s="11"/>
      <c r="M2543" s="14">
        <v>7255.96</v>
      </c>
      <c r="N2543" s="11" t="s">
        <v>4834</v>
      </c>
      <c r="O2543" s="11" t="s">
        <v>75</v>
      </c>
    </row>
    <row r="2544" spans="1:15" s="13" customFormat="1" ht="19.5" customHeight="1" x14ac:dyDescent="0.25">
      <c r="A2544" s="11" t="s">
        <v>4835</v>
      </c>
      <c r="B2544" s="11" t="s">
        <v>4835</v>
      </c>
      <c r="C2544" s="12">
        <v>45681</v>
      </c>
      <c r="D2544" s="12">
        <v>45733</v>
      </c>
      <c r="E2544" s="11" t="s">
        <v>6</v>
      </c>
      <c r="F2544" s="11" t="s">
        <v>64</v>
      </c>
      <c r="G2544" s="11" t="s">
        <v>4835</v>
      </c>
      <c r="H2544" s="11"/>
      <c r="I2544" s="11" t="s">
        <v>49</v>
      </c>
      <c r="J2544" s="11">
        <v>7255.96</v>
      </c>
      <c r="K2544" s="11">
        <v>7255.96</v>
      </c>
      <c r="L2544" s="11"/>
      <c r="M2544" s="14">
        <v>7255.96</v>
      </c>
      <c r="N2544" s="11" t="s">
        <v>4834</v>
      </c>
      <c r="O2544" s="11" t="s">
        <v>75</v>
      </c>
    </row>
    <row r="2545" spans="1:15" s="13" customFormat="1" ht="19.5" customHeight="1" x14ac:dyDescent="0.25">
      <c r="A2545" s="11" t="s">
        <v>4835</v>
      </c>
      <c r="B2545" s="11" t="s">
        <v>4835</v>
      </c>
      <c r="C2545" s="12">
        <v>45681</v>
      </c>
      <c r="D2545" s="12">
        <v>45740</v>
      </c>
      <c r="E2545" s="11" t="s">
        <v>6</v>
      </c>
      <c r="F2545" s="11" t="s">
        <v>64</v>
      </c>
      <c r="G2545" s="11" t="s">
        <v>4835</v>
      </c>
      <c r="H2545" s="11"/>
      <c r="I2545" s="11" t="s">
        <v>49</v>
      </c>
      <c r="J2545" s="11">
        <v>7255.96</v>
      </c>
      <c r="K2545" s="11">
        <v>7255.96</v>
      </c>
      <c r="L2545" s="11"/>
      <c r="M2545" s="14">
        <v>7255.96</v>
      </c>
      <c r="N2545" s="11" t="s">
        <v>4834</v>
      </c>
      <c r="O2545" s="11" t="s">
        <v>75</v>
      </c>
    </row>
    <row r="2546" spans="1:15" s="13" customFormat="1" ht="19.5" customHeight="1" x14ac:dyDescent="0.25">
      <c r="A2546" s="11" t="s">
        <v>4835</v>
      </c>
      <c r="B2546" s="11" t="s">
        <v>4835</v>
      </c>
      <c r="C2546" s="12">
        <v>45681</v>
      </c>
      <c r="D2546" s="12">
        <v>45747</v>
      </c>
      <c r="E2546" s="11" t="s">
        <v>6</v>
      </c>
      <c r="F2546" s="11" t="s">
        <v>64</v>
      </c>
      <c r="G2546" s="11" t="s">
        <v>4835</v>
      </c>
      <c r="H2546" s="11"/>
      <c r="I2546" s="11" t="s">
        <v>49</v>
      </c>
      <c r="J2546" s="11">
        <v>7255.96</v>
      </c>
      <c r="K2546" s="11">
        <v>7255.96</v>
      </c>
      <c r="L2546" s="11"/>
      <c r="M2546" s="14">
        <v>7255.96</v>
      </c>
      <c r="N2546" s="11" t="s">
        <v>4834</v>
      </c>
      <c r="O2546" s="11" t="s">
        <v>75</v>
      </c>
    </row>
    <row r="2547" spans="1:15" s="13" customFormat="1" ht="19.5" customHeight="1" x14ac:dyDescent="0.25">
      <c r="A2547" s="11" t="s">
        <v>4835</v>
      </c>
      <c r="B2547" s="11" t="s">
        <v>4835</v>
      </c>
      <c r="C2547" s="12">
        <v>45681</v>
      </c>
      <c r="D2547" s="12">
        <v>45754</v>
      </c>
      <c r="E2547" s="11" t="s">
        <v>6</v>
      </c>
      <c r="F2547" s="11" t="s">
        <v>64</v>
      </c>
      <c r="G2547" s="11" t="s">
        <v>4835</v>
      </c>
      <c r="H2547" s="11"/>
      <c r="I2547" s="11" t="s">
        <v>49</v>
      </c>
      <c r="J2547" s="11">
        <v>7255.96</v>
      </c>
      <c r="K2547" s="11">
        <v>7255.96</v>
      </c>
      <c r="L2547" s="11"/>
      <c r="M2547" s="14">
        <v>7255.96</v>
      </c>
      <c r="N2547" s="11" t="s">
        <v>4834</v>
      </c>
      <c r="O2547" s="11" t="s">
        <v>75</v>
      </c>
    </row>
    <row r="2548" spans="1:15" s="13" customFormat="1" ht="19.5" customHeight="1" x14ac:dyDescent="0.25">
      <c r="A2548" s="11" t="s">
        <v>4835</v>
      </c>
      <c r="B2548" s="11" t="s">
        <v>4835</v>
      </c>
      <c r="C2548" s="12">
        <v>45681</v>
      </c>
      <c r="D2548" s="12">
        <v>45761</v>
      </c>
      <c r="E2548" s="11" t="s">
        <v>6</v>
      </c>
      <c r="F2548" s="11" t="s">
        <v>64</v>
      </c>
      <c r="G2548" s="11" t="s">
        <v>4835</v>
      </c>
      <c r="H2548" s="11"/>
      <c r="I2548" s="11" t="s">
        <v>49</v>
      </c>
      <c r="J2548" s="11">
        <v>7255.96</v>
      </c>
      <c r="K2548" s="11">
        <v>7255.96</v>
      </c>
      <c r="L2548" s="11"/>
      <c r="M2548" s="14">
        <v>7255.96</v>
      </c>
      <c r="N2548" s="11" t="s">
        <v>4834</v>
      </c>
      <c r="O2548" s="11" t="s">
        <v>75</v>
      </c>
    </row>
    <row r="2549" spans="1:15" s="13" customFormat="1" ht="19.5" customHeight="1" x14ac:dyDescent="0.25">
      <c r="A2549" s="11" t="s">
        <v>4835</v>
      </c>
      <c r="B2549" s="11" t="s">
        <v>4835</v>
      </c>
      <c r="C2549" s="12">
        <v>45681</v>
      </c>
      <c r="D2549" s="12">
        <v>45771</v>
      </c>
      <c r="E2549" s="11" t="s">
        <v>6</v>
      </c>
      <c r="F2549" s="11" t="s">
        <v>64</v>
      </c>
      <c r="G2549" s="11" t="s">
        <v>4835</v>
      </c>
      <c r="H2549" s="11"/>
      <c r="I2549" s="11" t="s">
        <v>49</v>
      </c>
      <c r="J2549" s="11">
        <v>7276.31</v>
      </c>
      <c r="K2549" s="11">
        <v>7276.31</v>
      </c>
      <c r="L2549" s="11"/>
      <c r="M2549" s="14">
        <v>7276.31</v>
      </c>
      <c r="N2549" s="11" t="s">
        <v>4834</v>
      </c>
      <c r="O2549" s="11" t="s">
        <v>75</v>
      </c>
    </row>
    <row r="2550" spans="1:15" s="13" customFormat="1" ht="19.5" customHeight="1" x14ac:dyDescent="0.25">
      <c r="A2550" s="11" t="s">
        <v>4836</v>
      </c>
      <c r="B2550" s="11" t="s">
        <v>4836</v>
      </c>
      <c r="C2550" s="12">
        <v>45743</v>
      </c>
      <c r="D2550" s="12">
        <v>45743</v>
      </c>
      <c r="E2550" s="11" t="s">
        <v>6</v>
      </c>
      <c r="F2550" s="11" t="s">
        <v>4837</v>
      </c>
      <c r="G2550" s="11" t="s">
        <v>4836</v>
      </c>
      <c r="H2550" s="11"/>
      <c r="I2550" s="11" t="s">
        <v>49</v>
      </c>
      <c r="J2550" s="11">
        <v>18977.8</v>
      </c>
      <c r="K2550" s="11">
        <v>18977.8</v>
      </c>
      <c r="L2550" s="11"/>
      <c r="M2550" s="14">
        <v>18977.8</v>
      </c>
      <c r="N2550" s="11" t="s">
        <v>4838</v>
      </c>
      <c r="O2550" s="11" t="s">
        <v>50</v>
      </c>
    </row>
    <row r="2551" spans="1:15" s="13" customFormat="1" ht="19.5" customHeight="1" x14ac:dyDescent="0.25">
      <c r="A2551" s="11" t="s">
        <v>4839</v>
      </c>
      <c r="B2551" s="11" t="s">
        <v>4839</v>
      </c>
      <c r="C2551" s="12">
        <v>45742</v>
      </c>
      <c r="D2551" s="11"/>
      <c r="E2551" s="11" t="s">
        <v>6</v>
      </c>
      <c r="F2551" s="11" t="s">
        <v>4837</v>
      </c>
      <c r="G2551" s="11" t="s">
        <v>4836</v>
      </c>
      <c r="H2551" s="11"/>
      <c r="I2551" s="11" t="s">
        <v>49</v>
      </c>
      <c r="J2551" s="11">
        <v>-18977.8</v>
      </c>
      <c r="K2551" s="11"/>
      <c r="L2551" s="11">
        <v>18977.8</v>
      </c>
      <c r="M2551" s="14">
        <v>-18977.8</v>
      </c>
      <c r="N2551" s="11" t="s">
        <v>4838</v>
      </c>
      <c r="O2551" s="11" t="s">
        <v>2706</v>
      </c>
    </row>
    <row r="2552" spans="1:15" s="13" customFormat="1" ht="19.5" customHeight="1" x14ac:dyDescent="0.25">
      <c r="A2552" s="11" t="s">
        <v>4840</v>
      </c>
      <c r="B2552" s="11" t="s">
        <v>4840</v>
      </c>
      <c r="C2552" s="12">
        <v>45743</v>
      </c>
      <c r="D2552" s="12">
        <v>45743</v>
      </c>
      <c r="E2552" s="11" t="s">
        <v>6</v>
      </c>
      <c r="F2552" s="11" t="s">
        <v>4607</v>
      </c>
      <c r="G2552" s="11" t="s">
        <v>4840</v>
      </c>
      <c r="H2552" s="11"/>
      <c r="I2552" s="11" t="s">
        <v>49</v>
      </c>
      <c r="J2552" s="11">
        <v>15749.41</v>
      </c>
      <c r="K2552" s="11">
        <v>15749.41</v>
      </c>
      <c r="L2552" s="11"/>
      <c r="M2552" s="14">
        <v>15749.41</v>
      </c>
      <c r="N2552" s="11" t="s">
        <v>4841</v>
      </c>
      <c r="O2552" s="11" t="s">
        <v>50</v>
      </c>
    </row>
    <row r="2553" spans="1:15" s="13" customFormat="1" ht="19.5" customHeight="1" x14ac:dyDescent="0.25">
      <c r="A2553" s="11" t="s">
        <v>4842</v>
      </c>
      <c r="B2553" s="11" t="s">
        <v>4842</v>
      </c>
      <c r="C2553" s="12">
        <v>45742</v>
      </c>
      <c r="D2553" s="11"/>
      <c r="E2553" s="11" t="s">
        <v>6</v>
      </c>
      <c r="F2553" s="11" t="s">
        <v>4607</v>
      </c>
      <c r="G2553" s="11" t="s">
        <v>4840</v>
      </c>
      <c r="H2553" s="11"/>
      <c r="I2553" s="11" t="s">
        <v>49</v>
      </c>
      <c r="J2553" s="11">
        <v>-15749.41</v>
      </c>
      <c r="K2553" s="11"/>
      <c r="L2553" s="11">
        <v>15749.41</v>
      </c>
      <c r="M2553" s="14">
        <v>-15749.41</v>
      </c>
      <c r="N2553" s="11" t="s">
        <v>4841</v>
      </c>
      <c r="O2553" s="11" t="s">
        <v>2706</v>
      </c>
    </row>
    <row r="2554" spans="1:15" s="13" customFormat="1" ht="19.5" customHeight="1" x14ac:dyDescent="0.25">
      <c r="A2554" s="11" t="s">
        <v>4843</v>
      </c>
      <c r="B2554" s="11" t="s">
        <v>4844</v>
      </c>
      <c r="C2554" s="12">
        <v>45695</v>
      </c>
      <c r="D2554" s="12">
        <v>45695</v>
      </c>
      <c r="E2554" s="11" t="s">
        <v>6</v>
      </c>
      <c r="F2554" s="11" t="s">
        <v>64</v>
      </c>
      <c r="G2554" s="11" t="s">
        <v>4845</v>
      </c>
      <c r="H2554" s="11" t="s">
        <v>4846</v>
      </c>
      <c r="I2554" s="11" t="s">
        <v>49</v>
      </c>
      <c r="J2554" s="11">
        <v>-4042.68</v>
      </c>
      <c r="K2554" s="11"/>
      <c r="L2554" s="11">
        <v>4042.68</v>
      </c>
      <c r="M2554" s="14">
        <v>-4042.68</v>
      </c>
      <c r="N2554" s="11" t="s">
        <v>4847</v>
      </c>
      <c r="O2554" s="11" t="s">
        <v>2706</v>
      </c>
    </row>
    <row r="2555" spans="1:15" s="13" customFormat="1" ht="19.5" customHeight="1" x14ac:dyDescent="0.25">
      <c r="A2555" s="11" t="s">
        <v>4848</v>
      </c>
      <c r="B2555" s="11" t="s">
        <v>4848</v>
      </c>
      <c r="C2555" s="12">
        <v>45684</v>
      </c>
      <c r="D2555" s="12">
        <v>45729</v>
      </c>
      <c r="E2555" s="11" t="s">
        <v>6</v>
      </c>
      <c r="F2555" s="11" t="s">
        <v>64</v>
      </c>
      <c r="G2555" s="11" t="s">
        <v>4848</v>
      </c>
      <c r="H2555" s="11"/>
      <c r="I2555" s="11" t="s">
        <v>49</v>
      </c>
      <c r="J2555" s="11">
        <v>2021.34</v>
      </c>
      <c r="K2555" s="11">
        <v>2021.34</v>
      </c>
      <c r="L2555" s="11"/>
      <c r="M2555" s="14">
        <v>2021.34</v>
      </c>
      <c r="N2555" s="11" t="s">
        <v>4847</v>
      </c>
      <c r="O2555" s="11" t="s">
        <v>75</v>
      </c>
    </row>
    <row r="2556" spans="1:15" s="13" customFormat="1" ht="19.5" customHeight="1" x14ac:dyDescent="0.25">
      <c r="A2556" s="11" t="s">
        <v>4848</v>
      </c>
      <c r="B2556" s="11" t="s">
        <v>4848</v>
      </c>
      <c r="C2556" s="12">
        <v>45684</v>
      </c>
      <c r="D2556" s="12">
        <v>45744</v>
      </c>
      <c r="E2556" s="11" t="s">
        <v>6</v>
      </c>
      <c r="F2556" s="11" t="s">
        <v>64</v>
      </c>
      <c r="G2556" s="11" t="s">
        <v>4848</v>
      </c>
      <c r="H2556" s="11"/>
      <c r="I2556" s="11" t="s">
        <v>49</v>
      </c>
      <c r="J2556" s="11">
        <v>2021.34</v>
      </c>
      <c r="K2556" s="11">
        <v>2021.34</v>
      </c>
      <c r="L2556" s="11"/>
      <c r="M2556" s="14">
        <v>2021.34</v>
      </c>
      <c r="N2556" s="11" t="s">
        <v>4847</v>
      </c>
      <c r="O2556" s="11" t="s">
        <v>75</v>
      </c>
    </row>
    <row r="2557" spans="1:15" s="13" customFormat="1" ht="19.5" customHeight="1" x14ac:dyDescent="0.25">
      <c r="A2557" s="11" t="s">
        <v>4849</v>
      </c>
      <c r="B2557" s="11" t="s">
        <v>4849</v>
      </c>
      <c r="C2557" s="12">
        <v>45723</v>
      </c>
      <c r="D2557" s="12">
        <v>45723</v>
      </c>
      <c r="E2557" s="11" t="s">
        <v>6</v>
      </c>
      <c r="F2557" s="11" t="s">
        <v>4850</v>
      </c>
      <c r="G2557" s="11" t="s">
        <v>4849</v>
      </c>
      <c r="H2557" s="11"/>
      <c r="I2557" s="11" t="s">
        <v>49</v>
      </c>
      <c r="J2557" s="11">
        <v>373.54</v>
      </c>
      <c r="K2557" s="11">
        <v>373.54</v>
      </c>
      <c r="L2557" s="11"/>
      <c r="M2557" s="14">
        <v>373.54</v>
      </c>
      <c r="N2557" s="11" t="s">
        <v>4851</v>
      </c>
      <c r="O2557" s="11" t="s">
        <v>50</v>
      </c>
    </row>
    <row r="2558" spans="1:15" s="13" customFormat="1" ht="19.5" customHeight="1" x14ac:dyDescent="0.25">
      <c r="A2558" s="11" t="s">
        <v>4852</v>
      </c>
      <c r="B2558" s="11" t="s">
        <v>4852</v>
      </c>
      <c r="C2558" s="12">
        <v>45722</v>
      </c>
      <c r="D2558" s="11"/>
      <c r="E2558" s="11" t="s">
        <v>6</v>
      </c>
      <c r="F2558" s="11" t="s">
        <v>4850</v>
      </c>
      <c r="G2558" s="11" t="s">
        <v>4849</v>
      </c>
      <c r="H2558" s="11"/>
      <c r="I2558" s="11" t="s">
        <v>49</v>
      </c>
      <c r="J2558" s="11">
        <v>-373.54</v>
      </c>
      <c r="K2558" s="11"/>
      <c r="L2558" s="11">
        <v>373.54</v>
      </c>
      <c r="M2558" s="14">
        <v>-373.54</v>
      </c>
      <c r="N2558" s="11" t="s">
        <v>4851</v>
      </c>
      <c r="O2558" s="11" t="s">
        <v>2000</v>
      </c>
    </row>
    <row r="2559" spans="1:15" s="13" customFormat="1" ht="19.5" customHeight="1" x14ac:dyDescent="0.25">
      <c r="A2559" s="11" t="s">
        <v>4853</v>
      </c>
      <c r="B2559" s="11" t="s">
        <v>4854</v>
      </c>
      <c r="C2559" s="12">
        <v>45720</v>
      </c>
      <c r="D2559" s="11"/>
      <c r="E2559" s="11" t="s">
        <v>6</v>
      </c>
      <c r="F2559" s="11" t="s">
        <v>4627</v>
      </c>
      <c r="G2559" s="11" t="s">
        <v>4855</v>
      </c>
      <c r="H2559" s="11" t="s">
        <v>4855</v>
      </c>
      <c r="I2559" s="11" t="s">
        <v>49</v>
      </c>
      <c r="J2559" s="11">
        <v>-38.56</v>
      </c>
      <c r="K2559" s="11"/>
      <c r="L2559" s="11">
        <v>38.56</v>
      </c>
      <c r="M2559" s="14">
        <v>-38.56</v>
      </c>
      <c r="N2559" s="11" t="s">
        <v>4856</v>
      </c>
      <c r="O2559" s="11" t="s">
        <v>2706</v>
      </c>
    </row>
    <row r="2560" spans="1:15" s="13" customFormat="1" ht="19.5" customHeight="1" x14ac:dyDescent="0.25">
      <c r="A2560" s="11" t="s">
        <v>4855</v>
      </c>
      <c r="B2560" s="11" t="s">
        <v>4855</v>
      </c>
      <c r="C2560" s="12">
        <v>45720</v>
      </c>
      <c r="D2560" s="12">
        <v>45720</v>
      </c>
      <c r="E2560" s="11" t="s">
        <v>6</v>
      </c>
      <c r="F2560" s="11" t="s">
        <v>4627</v>
      </c>
      <c r="G2560" s="11" t="s">
        <v>4855</v>
      </c>
      <c r="H2560" s="11"/>
      <c r="I2560" s="11" t="s">
        <v>49</v>
      </c>
      <c r="J2560" s="11">
        <v>3982.57</v>
      </c>
      <c r="K2560" s="11">
        <v>3982.57</v>
      </c>
      <c r="L2560" s="11"/>
      <c r="M2560" s="14">
        <v>3982.57</v>
      </c>
      <c r="N2560" s="11" t="s">
        <v>4856</v>
      </c>
      <c r="O2560" s="11" t="s">
        <v>50</v>
      </c>
    </row>
    <row r="2561" spans="1:15" s="13" customFormat="1" ht="19.5" customHeight="1" x14ac:dyDescent="0.25">
      <c r="A2561" s="11" t="s">
        <v>4857</v>
      </c>
      <c r="B2561" s="11" t="s">
        <v>4857</v>
      </c>
      <c r="C2561" s="12">
        <v>45719</v>
      </c>
      <c r="D2561" s="11"/>
      <c r="E2561" s="11" t="s">
        <v>6</v>
      </c>
      <c r="F2561" s="11" t="s">
        <v>4627</v>
      </c>
      <c r="G2561" s="11" t="s">
        <v>4855</v>
      </c>
      <c r="H2561" s="11"/>
      <c r="I2561" s="11" t="s">
        <v>49</v>
      </c>
      <c r="J2561" s="11">
        <v>-3944.01</v>
      </c>
      <c r="K2561" s="11"/>
      <c r="L2561" s="11">
        <v>3944.01</v>
      </c>
      <c r="M2561" s="14">
        <v>-3944.01</v>
      </c>
      <c r="N2561" s="11" t="s">
        <v>4856</v>
      </c>
      <c r="O2561" s="11" t="s">
        <v>2706</v>
      </c>
    </row>
    <row r="2562" spans="1:15" s="13" customFormat="1" ht="19.5" customHeight="1" x14ac:dyDescent="0.25">
      <c r="A2562" s="11" t="s">
        <v>4858</v>
      </c>
      <c r="B2562" s="11" t="s">
        <v>4858</v>
      </c>
      <c r="C2562" s="12">
        <v>45744</v>
      </c>
      <c r="D2562" s="11"/>
      <c r="E2562" s="11" t="s">
        <v>6</v>
      </c>
      <c r="F2562" s="11" t="s">
        <v>1831</v>
      </c>
      <c r="G2562" s="11" t="s">
        <v>4859</v>
      </c>
      <c r="H2562" s="11"/>
      <c r="I2562" s="11" t="s">
        <v>49</v>
      </c>
      <c r="J2562" s="11">
        <v>-3746.5</v>
      </c>
      <c r="K2562" s="11"/>
      <c r="L2562" s="11">
        <v>3746.5</v>
      </c>
      <c r="M2562" s="14">
        <v>-3746.5</v>
      </c>
      <c r="N2562" s="11" t="s">
        <v>4860</v>
      </c>
      <c r="O2562" s="11" t="s">
        <v>2706</v>
      </c>
    </row>
    <row r="2563" spans="1:15" s="13" customFormat="1" ht="19.5" customHeight="1" x14ac:dyDescent="0.25">
      <c r="A2563" s="11" t="s">
        <v>4859</v>
      </c>
      <c r="B2563" s="11" t="s">
        <v>4859</v>
      </c>
      <c r="C2563" s="12">
        <v>45686</v>
      </c>
      <c r="D2563" s="12">
        <v>45731</v>
      </c>
      <c r="E2563" s="11" t="s">
        <v>6</v>
      </c>
      <c r="F2563" s="11" t="s">
        <v>1831</v>
      </c>
      <c r="G2563" s="11" t="s">
        <v>4859</v>
      </c>
      <c r="H2563" s="11"/>
      <c r="I2563" s="11" t="s">
        <v>49</v>
      </c>
      <c r="J2563" s="11">
        <v>3746.5</v>
      </c>
      <c r="K2563" s="11">
        <v>3746.5</v>
      </c>
      <c r="L2563" s="11"/>
      <c r="M2563" s="14">
        <v>3746.5</v>
      </c>
      <c r="N2563" s="11" t="s">
        <v>4860</v>
      </c>
      <c r="O2563" s="11" t="s">
        <v>3299</v>
      </c>
    </row>
    <row r="2564" spans="1:15" s="13" customFormat="1" ht="19.5" customHeight="1" x14ac:dyDescent="0.25">
      <c r="A2564" s="11" t="s">
        <v>4858</v>
      </c>
      <c r="B2564" s="11" t="s">
        <v>4858</v>
      </c>
      <c r="C2564" s="12">
        <v>45744</v>
      </c>
      <c r="D2564" s="11"/>
      <c r="E2564" s="11" t="s">
        <v>6</v>
      </c>
      <c r="F2564" s="11" t="s">
        <v>1831</v>
      </c>
      <c r="G2564" s="11" t="s">
        <v>4861</v>
      </c>
      <c r="H2564" s="11"/>
      <c r="I2564" s="11" t="s">
        <v>49</v>
      </c>
      <c r="J2564" s="11">
        <v>-532.41999999999996</v>
      </c>
      <c r="K2564" s="11"/>
      <c r="L2564" s="11">
        <v>532.41999999999996</v>
      </c>
      <c r="M2564" s="14">
        <v>-532.41999999999996</v>
      </c>
      <c r="N2564" s="11" t="s">
        <v>4862</v>
      </c>
      <c r="O2564" s="11" t="s">
        <v>2706</v>
      </c>
    </row>
    <row r="2565" spans="1:15" s="13" customFormat="1" ht="19.5" customHeight="1" x14ac:dyDescent="0.25">
      <c r="A2565" s="11" t="s">
        <v>4861</v>
      </c>
      <c r="B2565" s="11" t="s">
        <v>4861</v>
      </c>
      <c r="C2565" s="12">
        <v>45686</v>
      </c>
      <c r="D2565" s="12">
        <v>45731</v>
      </c>
      <c r="E2565" s="11" t="s">
        <v>6</v>
      </c>
      <c r="F2565" s="11" t="s">
        <v>1831</v>
      </c>
      <c r="G2565" s="11" t="s">
        <v>4861</v>
      </c>
      <c r="H2565" s="11"/>
      <c r="I2565" s="11" t="s">
        <v>49</v>
      </c>
      <c r="J2565" s="11">
        <v>532.41999999999996</v>
      </c>
      <c r="K2565" s="11">
        <v>532.41999999999996</v>
      </c>
      <c r="L2565" s="11"/>
      <c r="M2565" s="14">
        <v>532.41999999999996</v>
      </c>
      <c r="N2565" s="11" t="s">
        <v>4862</v>
      </c>
      <c r="O2565" s="11" t="s">
        <v>3299</v>
      </c>
    </row>
    <row r="2566" spans="1:15" s="13" customFormat="1" ht="19.5" customHeight="1" x14ac:dyDescent="0.25">
      <c r="A2566" s="11" t="s">
        <v>4858</v>
      </c>
      <c r="B2566" s="11" t="s">
        <v>4858</v>
      </c>
      <c r="C2566" s="12">
        <v>45744</v>
      </c>
      <c r="D2566" s="11"/>
      <c r="E2566" s="11" t="s">
        <v>6</v>
      </c>
      <c r="F2566" s="11" t="s">
        <v>1831</v>
      </c>
      <c r="G2566" s="11" t="s">
        <v>4863</v>
      </c>
      <c r="H2566" s="11"/>
      <c r="I2566" s="11" t="s">
        <v>49</v>
      </c>
      <c r="J2566" s="11">
        <v>-1331.04</v>
      </c>
      <c r="K2566" s="11"/>
      <c r="L2566" s="11">
        <v>1331.04</v>
      </c>
      <c r="M2566" s="14">
        <v>-1331.04</v>
      </c>
      <c r="N2566" s="11" t="s">
        <v>4864</v>
      </c>
      <c r="O2566" s="11" t="s">
        <v>2706</v>
      </c>
    </row>
    <row r="2567" spans="1:15" s="13" customFormat="1" ht="19.5" customHeight="1" x14ac:dyDescent="0.25">
      <c r="A2567" s="11" t="s">
        <v>4863</v>
      </c>
      <c r="B2567" s="11" t="s">
        <v>4863</v>
      </c>
      <c r="C2567" s="12">
        <v>45686</v>
      </c>
      <c r="D2567" s="12">
        <v>45731</v>
      </c>
      <c r="E2567" s="11" t="s">
        <v>6</v>
      </c>
      <c r="F2567" s="11" t="s">
        <v>1831</v>
      </c>
      <c r="G2567" s="11" t="s">
        <v>4863</v>
      </c>
      <c r="H2567" s="11"/>
      <c r="I2567" s="11" t="s">
        <v>49</v>
      </c>
      <c r="J2567" s="11">
        <v>1331.04</v>
      </c>
      <c r="K2567" s="11">
        <v>1331.04</v>
      </c>
      <c r="L2567" s="11"/>
      <c r="M2567" s="14">
        <v>1331.04</v>
      </c>
      <c r="N2567" s="11" t="s">
        <v>4864</v>
      </c>
      <c r="O2567" s="11" t="s">
        <v>3299</v>
      </c>
    </row>
    <row r="2568" spans="1:15" s="13" customFormat="1" ht="19.5" customHeight="1" x14ac:dyDescent="0.25">
      <c r="A2568" s="11" t="s">
        <v>4865</v>
      </c>
      <c r="B2568" s="11" t="s">
        <v>4865</v>
      </c>
      <c r="C2568" s="12">
        <v>45959</v>
      </c>
      <c r="D2568" s="12">
        <v>45959</v>
      </c>
      <c r="E2568" s="11" t="s">
        <v>6</v>
      </c>
      <c r="F2568" s="11" t="s">
        <v>4866</v>
      </c>
      <c r="G2568" s="11" t="s">
        <v>4865</v>
      </c>
      <c r="H2568" s="11"/>
      <c r="I2568" s="11" t="s">
        <v>49</v>
      </c>
      <c r="J2568" s="11">
        <v>142.5</v>
      </c>
      <c r="K2568" s="11">
        <v>142.5</v>
      </c>
      <c r="L2568" s="11"/>
      <c r="M2568" s="11">
        <v>142.5</v>
      </c>
      <c r="N2568" s="11" t="s">
        <v>4867</v>
      </c>
      <c r="O2568" s="11" t="s">
        <v>50</v>
      </c>
    </row>
    <row r="2569" spans="1:15" s="13" customFormat="1" ht="19.5" customHeight="1" x14ac:dyDescent="0.25">
      <c r="A2569" s="11" t="s">
        <v>4858</v>
      </c>
      <c r="B2569" s="11" t="s">
        <v>4858</v>
      </c>
      <c r="C2569" s="12">
        <v>45744</v>
      </c>
      <c r="D2569" s="11"/>
      <c r="E2569" s="11" t="s">
        <v>6</v>
      </c>
      <c r="F2569" s="11" t="s">
        <v>1831</v>
      </c>
      <c r="G2569" s="11" t="s">
        <v>4868</v>
      </c>
      <c r="H2569" s="11"/>
      <c r="I2569" s="11" t="s">
        <v>49</v>
      </c>
      <c r="J2569" s="11">
        <v>-1125.72</v>
      </c>
      <c r="K2569" s="11"/>
      <c r="L2569" s="11">
        <v>1125.72</v>
      </c>
      <c r="M2569" s="14">
        <v>-1125.72</v>
      </c>
      <c r="N2569" s="11" t="s">
        <v>4869</v>
      </c>
      <c r="O2569" s="11" t="s">
        <v>2706</v>
      </c>
    </row>
    <row r="2570" spans="1:15" s="13" customFormat="1" ht="19.5" customHeight="1" x14ac:dyDescent="0.25">
      <c r="A2570" s="11" t="s">
        <v>4868</v>
      </c>
      <c r="B2570" s="11" t="s">
        <v>4868</v>
      </c>
      <c r="C2570" s="12">
        <v>45688</v>
      </c>
      <c r="D2570" s="12">
        <v>45733</v>
      </c>
      <c r="E2570" s="11" t="s">
        <v>6</v>
      </c>
      <c r="F2570" s="11" t="s">
        <v>1831</v>
      </c>
      <c r="G2570" s="11" t="s">
        <v>4868</v>
      </c>
      <c r="H2570" s="11"/>
      <c r="I2570" s="11" t="s">
        <v>49</v>
      </c>
      <c r="J2570" s="11">
        <v>1125.72</v>
      </c>
      <c r="K2570" s="11">
        <v>1125.72</v>
      </c>
      <c r="L2570" s="11"/>
      <c r="M2570" s="14">
        <v>1125.72</v>
      </c>
      <c r="N2570" s="11" t="s">
        <v>4869</v>
      </c>
      <c r="O2570" s="11" t="s">
        <v>3299</v>
      </c>
    </row>
    <row r="2571" spans="1:15" s="13" customFormat="1" ht="19.5" customHeight="1" x14ac:dyDescent="0.25">
      <c r="A2571" s="11" t="s">
        <v>4870</v>
      </c>
      <c r="B2571" s="11" t="s">
        <v>4871</v>
      </c>
      <c r="C2571" s="12">
        <v>45747</v>
      </c>
      <c r="D2571" s="12">
        <v>45747</v>
      </c>
      <c r="E2571" s="11" t="s">
        <v>6</v>
      </c>
      <c r="F2571" s="11" t="s">
        <v>4639</v>
      </c>
      <c r="G2571" s="11" t="s">
        <v>4872</v>
      </c>
      <c r="H2571" s="11" t="s">
        <v>4873</v>
      </c>
      <c r="I2571" s="11" t="s">
        <v>49</v>
      </c>
      <c r="J2571" s="11">
        <v>-33.19</v>
      </c>
      <c r="K2571" s="11"/>
      <c r="L2571" s="11">
        <v>33.19</v>
      </c>
      <c r="M2571" s="14">
        <v>-33.19</v>
      </c>
      <c r="N2571" s="11" t="s">
        <v>4874</v>
      </c>
      <c r="O2571" s="11" t="s">
        <v>2000</v>
      </c>
    </row>
    <row r="2572" spans="1:15" s="13" customFormat="1" ht="19.5" customHeight="1" x14ac:dyDescent="0.25">
      <c r="A2572" s="11" t="s">
        <v>4873</v>
      </c>
      <c r="B2572" s="11" t="s">
        <v>4873</v>
      </c>
      <c r="C2572" s="12">
        <v>45728</v>
      </c>
      <c r="D2572" s="12">
        <v>45728</v>
      </c>
      <c r="E2572" s="11" t="s">
        <v>6</v>
      </c>
      <c r="F2572" s="11" t="s">
        <v>4639</v>
      </c>
      <c r="G2572" s="11" t="s">
        <v>4873</v>
      </c>
      <c r="H2572" s="11"/>
      <c r="I2572" s="11" t="s">
        <v>49</v>
      </c>
      <c r="J2572" s="11">
        <v>33.19</v>
      </c>
      <c r="K2572" s="11">
        <v>33.19</v>
      </c>
      <c r="L2572" s="11"/>
      <c r="M2572" s="14">
        <v>33.19</v>
      </c>
      <c r="N2572" s="11" t="s">
        <v>4874</v>
      </c>
      <c r="O2572" s="11" t="s">
        <v>50</v>
      </c>
    </row>
    <row r="2573" spans="1:15" s="13" customFormat="1" ht="19.5" customHeight="1" x14ac:dyDescent="0.25">
      <c r="A2573" s="11" t="s">
        <v>4875</v>
      </c>
      <c r="B2573" s="11" t="s">
        <v>4876</v>
      </c>
      <c r="C2573" s="12">
        <v>45758</v>
      </c>
      <c r="D2573" s="12">
        <v>45758</v>
      </c>
      <c r="E2573" s="11" t="s">
        <v>6</v>
      </c>
      <c r="F2573" s="11" t="s">
        <v>1521</v>
      </c>
      <c r="G2573" s="11" t="s">
        <v>4877</v>
      </c>
      <c r="H2573" s="11" t="s">
        <v>4878</v>
      </c>
      <c r="I2573" s="11" t="s">
        <v>49</v>
      </c>
      <c r="J2573" s="11">
        <v>-17093.22</v>
      </c>
      <c r="K2573" s="11"/>
      <c r="L2573" s="11">
        <v>17093.22</v>
      </c>
      <c r="M2573" s="14">
        <v>-17093.22</v>
      </c>
      <c r="N2573" s="11" t="s">
        <v>4879</v>
      </c>
      <c r="O2573" s="11" t="s">
        <v>75</v>
      </c>
    </row>
    <row r="2574" spans="1:15" s="13" customFormat="1" ht="19.5" customHeight="1" x14ac:dyDescent="0.25">
      <c r="A2574" s="11" t="s">
        <v>4880</v>
      </c>
      <c r="B2574" s="11" t="s">
        <v>4880</v>
      </c>
      <c r="C2574" s="12">
        <v>45743</v>
      </c>
      <c r="D2574" s="12">
        <v>45788</v>
      </c>
      <c r="E2574" s="11" t="s">
        <v>6</v>
      </c>
      <c r="F2574" s="11" t="s">
        <v>1521</v>
      </c>
      <c r="G2574" s="11" t="s">
        <v>4880</v>
      </c>
      <c r="H2574" s="11"/>
      <c r="I2574" s="11" t="s">
        <v>49</v>
      </c>
      <c r="J2574" s="11">
        <v>2847.73</v>
      </c>
      <c r="K2574" s="11">
        <v>2847.73</v>
      </c>
      <c r="L2574" s="11"/>
      <c r="M2574" s="14">
        <v>2847.73</v>
      </c>
      <c r="N2574" s="11" t="s">
        <v>4879</v>
      </c>
      <c r="O2574" s="11" t="s">
        <v>50</v>
      </c>
    </row>
    <row r="2575" spans="1:15" s="13" customFormat="1" ht="19.5" customHeight="1" x14ac:dyDescent="0.25">
      <c r="A2575" s="11" t="s">
        <v>4880</v>
      </c>
      <c r="B2575" s="11" t="s">
        <v>4880</v>
      </c>
      <c r="C2575" s="12">
        <v>45743</v>
      </c>
      <c r="D2575" s="12">
        <v>45795</v>
      </c>
      <c r="E2575" s="11" t="s">
        <v>6</v>
      </c>
      <c r="F2575" s="11" t="s">
        <v>1521</v>
      </c>
      <c r="G2575" s="11" t="s">
        <v>4880</v>
      </c>
      <c r="H2575" s="11"/>
      <c r="I2575" s="11" t="s">
        <v>49</v>
      </c>
      <c r="J2575" s="11">
        <v>2847.73</v>
      </c>
      <c r="K2575" s="11">
        <v>2847.73</v>
      </c>
      <c r="L2575" s="11"/>
      <c r="M2575" s="14">
        <v>2847.73</v>
      </c>
      <c r="N2575" s="11" t="s">
        <v>4879</v>
      </c>
      <c r="O2575" s="11" t="s">
        <v>50</v>
      </c>
    </row>
    <row r="2576" spans="1:15" s="13" customFormat="1" ht="19.5" customHeight="1" x14ac:dyDescent="0.25">
      <c r="A2576" s="11" t="s">
        <v>4880</v>
      </c>
      <c r="B2576" s="11" t="s">
        <v>4880</v>
      </c>
      <c r="C2576" s="12">
        <v>45743</v>
      </c>
      <c r="D2576" s="12">
        <v>45802</v>
      </c>
      <c r="E2576" s="11" t="s">
        <v>6</v>
      </c>
      <c r="F2576" s="11" t="s">
        <v>1521</v>
      </c>
      <c r="G2576" s="11" t="s">
        <v>4880</v>
      </c>
      <c r="H2576" s="11"/>
      <c r="I2576" s="11" t="s">
        <v>49</v>
      </c>
      <c r="J2576" s="11">
        <v>2847.73</v>
      </c>
      <c r="K2576" s="11">
        <v>2847.73</v>
      </c>
      <c r="L2576" s="11"/>
      <c r="M2576" s="14">
        <v>2847.73</v>
      </c>
      <c r="N2576" s="11" t="s">
        <v>4879</v>
      </c>
      <c r="O2576" s="11" t="s">
        <v>50</v>
      </c>
    </row>
    <row r="2577" spans="1:15" s="13" customFormat="1" ht="19.5" customHeight="1" x14ac:dyDescent="0.25">
      <c r="A2577" s="11" t="s">
        <v>4880</v>
      </c>
      <c r="B2577" s="11" t="s">
        <v>4880</v>
      </c>
      <c r="C2577" s="12">
        <v>45743</v>
      </c>
      <c r="D2577" s="12">
        <v>45809</v>
      </c>
      <c r="E2577" s="11" t="s">
        <v>6</v>
      </c>
      <c r="F2577" s="11" t="s">
        <v>1521</v>
      </c>
      <c r="G2577" s="11" t="s">
        <v>4880</v>
      </c>
      <c r="H2577" s="11"/>
      <c r="I2577" s="11" t="s">
        <v>49</v>
      </c>
      <c r="J2577" s="11">
        <v>2847.73</v>
      </c>
      <c r="K2577" s="11">
        <v>2847.73</v>
      </c>
      <c r="L2577" s="11"/>
      <c r="M2577" s="14">
        <v>2847.73</v>
      </c>
      <c r="N2577" s="11" t="s">
        <v>4879</v>
      </c>
      <c r="O2577" s="11" t="s">
        <v>50</v>
      </c>
    </row>
    <row r="2578" spans="1:15" s="13" customFormat="1" ht="19.5" customHeight="1" x14ac:dyDescent="0.25">
      <c r="A2578" s="11" t="s">
        <v>4880</v>
      </c>
      <c r="B2578" s="11" t="s">
        <v>4880</v>
      </c>
      <c r="C2578" s="12">
        <v>45743</v>
      </c>
      <c r="D2578" s="12">
        <v>45816</v>
      </c>
      <c r="E2578" s="11" t="s">
        <v>6</v>
      </c>
      <c r="F2578" s="11" t="s">
        <v>1521</v>
      </c>
      <c r="G2578" s="11" t="s">
        <v>4880</v>
      </c>
      <c r="H2578" s="11"/>
      <c r="I2578" s="11" t="s">
        <v>49</v>
      </c>
      <c r="J2578" s="11">
        <v>2847.73</v>
      </c>
      <c r="K2578" s="11">
        <v>2847.73</v>
      </c>
      <c r="L2578" s="11"/>
      <c r="M2578" s="14">
        <v>2847.73</v>
      </c>
      <c r="N2578" s="11" t="s">
        <v>4879</v>
      </c>
      <c r="O2578" s="11" t="s">
        <v>50</v>
      </c>
    </row>
    <row r="2579" spans="1:15" s="13" customFormat="1" ht="19.5" customHeight="1" x14ac:dyDescent="0.25">
      <c r="A2579" s="11" t="s">
        <v>4880</v>
      </c>
      <c r="B2579" s="11" t="s">
        <v>4880</v>
      </c>
      <c r="C2579" s="12">
        <v>45743</v>
      </c>
      <c r="D2579" s="12">
        <v>45833</v>
      </c>
      <c r="E2579" s="11" t="s">
        <v>6</v>
      </c>
      <c r="F2579" s="11" t="s">
        <v>1521</v>
      </c>
      <c r="G2579" s="11" t="s">
        <v>4880</v>
      </c>
      <c r="H2579" s="11"/>
      <c r="I2579" s="11" t="s">
        <v>49</v>
      </c>
      <c r="J2579" s="11">
        <v>2854.57</v>
      </c>
      <c r="K2579" s="11">
        <v>2854.57</v>
      </c>
      <c r="L2579" s="11"/>
      <c r="M2579" s="14">
        <v>2854.57</v>
      </c>
      <c r="N2579" s="11" t="s">
        <v>4879</v>
      </c>
      <c r="O2579" s="11" t="s">
        <v>50</v>
      </c>
    </row>
    <row r="2580" spans="1:15" s="13" customFormat="1" ht="19.5" customHeight="1" x14ac:dyDescent="0.25">
      <c r="A2580" s="11" t="s">
        <v>4881</v>
      </c>
      <c r="B2580" s="11" t="s">
        <v>4882</v>
      </c>
      <c r="C2580" s="12">
        <v>45758</v>
      </c>
      <c r="D2580" s="12">
        <v>45758</v>
      </c>
      <c r="E2580" s="11" t="s">
        <v>6</v>
      </c>
      <c r="F2580" s="11" t="s">
        <v>64</v>
      </c>
      <c r="G2580" s="11" t="s">
        <v>4883</v>
      </c>
      <c r="H2580" s="11" t="s">
        <v>4884</v>
      </c>
      <c r="I2580" s="11" t="s">
        <v>49</v>
      </c>
      <c r="J2580" s="11">
        <v>-50881.599999999999</v>
      </c>
      <c r="K2580" s="11"/>
      <c r="L2580" s="11">
        <v>50881.599999999999</v>
      </c>
      <c r="M2580" s="14">
        <v>-50881.599999999999</v>
      </c>
      <c r="N2580" s="11" t="s">
        <v>4885</v>
      </c>
      <c r="O2580" s="11" t="s">
        <v>75</v>
      </c>
    </row>
    <row r="2581" spans="1:15" s="13" customFormat="1" ht="19.5" customHeight="1" x14ac:dyDescent="0.25">
      <c r="A2581" s="11" t="s">
        <v>4886</v>
      </c>
      <c r="B2581" s="11" t="s">
        <v>4886</v>
      </c>
      <c r="C2581" s="12">
        <v>45742</v>
      </c>
      <c r="D2581" s="12">
        <v>45787</v>
      </c>
      <c r="E2581" s="11" t="s">
        <v>6</v>
      </c>
      <c r="F2581" s="11" t="s">
        <v>64</v>
      </c>
      <c r="G2581" s="11" t="s">
        <v>4886</v>
      </c>
      <c r="H2581" s="11"/>
      <c r="I2581" s="11" t="s">
        <v>49</v>
      </c>
      <c r="J2581" s="11">
        <v>7265.89</v>
      </c>
      <c r="K2581" s="11">
        <v>7265.89</v>
      </c>
      <c r="L2581" s="11"/>
      <c r="M2581" s="14">
        <v>7265.89</v>
      </c>
      <c r="N2581" s="11" t="s">
        <v>4885</v>
      </c>
      <c r="O2581" s="11" t="s">
        <v>50</v>
      </c>
    </row>
    <row r="2582" spans="1:15" s="13" customFormat="1" ht="19.5" customHeight="1" x14ac:dyDescent="0.25">
      <c r="A2582" s="11" t="s">
        <v>4886</v>
      </c>
      <c r="B2582" s="11" t="s">
        <v>4886</v>
      </c>
      <c r="C2582" s="12">
        <v>45742</v>
      </c>
      <c r="D2582" s="12">
        <v>45794</v>
      </c>
      <c r="E2582" s="11" t="s">
        <v>6</v>
      </c>
      <c r="F2582" s="11" t="s">
        <v>64</v>
      </c>
      <c r="G2582" s="11" t="s">
        <v>4886</v>
      </c>
      <c r="H2582" s="11"/>
      <c r="I2582" s="11" t="s">
        <v>49</v>
      </c>
      <c r="J2582" s="11">
        <v>7265.89</v>
      </c>
      <c r="K2582" s="11">
        <v>7265.89</v>
      </c>
      <c r="L2582" s="11"/>
      <c r="M2582" s="14">
        <v>7265.89</v>
      </c>
      <c r="N2582" s="11" t="s">
        <v>4885</v>
      </c>
      <c r="O2582" s="11" t="s">
        <v>50</v>
      </c>
    </row>
    <row r="2583" spans="1:15" s="13" customFormat="1" ht="19.5" customHeight="1" x14ac:dyDescent="0.25">
      <c r="A2583" s="11" t="s">
        <v>4886</v>
      </c>
      <c r="B2583" s="11" t="s">
        <v>4886</v>
      </c>
      <c r="C2583" s="12">
        <v>45742</v>
      </c>
      <c r="D2583" s="12">
        <v>45801</v>
      </c>
      <c r="E2583" s="11" t="s">
        <v>6</v>
      </c>
      <c r="F2583" s="11" t="s">
        <v>64</v>
      </c>
      <c r="G2583" s="11" t="s">
        <v>4886</v>
      </c>
      <c r="H2583" s="11"/>
      <c r="I2583" s="11" t="s">
        <v>49</v>
      </c>
      <c r="J2583" s="11">
        <v>7265.89</v>
      </c>
      <c r="K2583" s="11">
        <v>7265.89</v>
      </c>
      <c r="L2583" s="11"/>
      <c r="M2583" s="14">
        <v>7265.89</v>
      </c>
      <c r="N2583" s="11" t="s">
        <v>4885</v>
      </c>
      <c r="O2583" s="11" t="s">
        <v>50</v>
      </c>
    </row>
    <row r="2584" spans="1:15" s="13" customFormat="1" ht="19.5" customHeight="1" x14ac:dyDescent="0.25">
      <c r="A2584" s="11" t="s">
        <v>4886</v>
      </c>
      <c r="B2584" s="11" t="s">
        <v>4886</v>
      </c>
      <c r="C2584" s="12">
        <v>45742</v>
      </c>
      <c r="D2584" s="12">
        <v>45808</v>
      </c>
      <c r="E2584" s="11" t="s">
        <v>6</v>
      </c>
      <c r="F2584" s="11" t="s">
        <v>64</v>
      </c>
      <c r="G2584" s="11" t="s">
        <v>4886</v>
      </c>
      <c r="H2584" s="11"/>
      <c r="I2584" s="11" t="s">
        <v>49</v>
      </c>
      <c r="J2584" s="11">
        <v>7265.89</v>
      </c>
      <c r="K2584" s="11">
        <v>7265.89</v>
      </c>
      <c r="L2584" s="11"/>
      <c r="M2584" s="14">
        <v>7265.89</v>
      </c>
      <c r="N2584" s="11" t="s">
        <v>4885</v>
      </c>
      <c r="O2584" s="11" t="s">
        <v>50</v>
      </c>
    </row>
    <row r="2585" spans="1:15" s="13" customFormat="1" ht="19.5" customHeight="1" x14ac:dyDescent="0.25">
      <c r="A2585" s="11" t="s">
        <v>4886</v>
      </c>
      <c r="B2585" s="11" t="s">
        <v>4886</v>
      </c>
      <c r="C2585" s="12">
        <v>45742</v>
      </c>
      <c r="D2585" s="12">
        <v>45815</v>
      </c>
      <c r="E2585" s="11" t="s">
        <v>6</v>
      </c>
      <c r="F2585" s="11" t="s">
        <v>64</v>
      </c>
      <c r="G2585" s="11" t="s">
        <v>4886</v>
      </c>
      <c r="H2585" s="11"/>
      <c r="I2585" s="11" t="s">
        <v>49</v>
      </c>
      <c r="J2585" s="11">
        <v>7265.89</v>
      </c>
      <c r="K2585" s="11">
        <v>7265.89</v>
      </c>
      <c r="L2585" s="11"/>
      <c r="M2585" s="14">
        <v>7265.89</v>
      </c>
      <c r="N2585" s="11" t="s">
        <v>4885</v>
      </c>
      <c r="O2585" s="11" t="s">
        <v>50</v>
      </c>
    </row>
    <row r="2586" spans="1:15" s="13" customFormat="1" ht="19.5" customHeight="1" x14ac:dyDescent="0.25">
      <c r="A2586" s="11" t="s">
        <v>4886</v>
      </c>
      <c r="B2586" s="11" t="s">
        <v>4886</v>
      </c>
      <c r="C2586" s="12">
        <v>45742</v>
      </c>
      <c r="D2586" s="12">
        <v>45822</v>
      </c>
      <c r="E2586" s="11" t="s">
        <v>6</v>
      </c>
      <c r="F2586" s="11" t="s">
        <v>64</v>
      </c>
      <c r="G2586" s="11" t="s">
        <v>4886</v>
      </c>
      <c r="H2586" s="11"/>
      <c r="I2586" s="11" t="s">
        <v>49</v>
      </c>
      <c r="J2586" s="11">
        <v>7265.89</v>
      </c>
      <c r="K2586" s="11">
        <v>7265.89</v>
      </c>
      <c r="L2586" s="11"/>
      <c r="M2586" s="14">
        <v>7265.89</v>
      </c>
      <c r="N2586" s="11" t="s">
        <v>4885</v>
      </c>
      <c r="O2586" s="11" t="s">
        <v>50</v>
      </c>
    </row>
    <row r="2587" spans="1:15" s="13" customFormat="1" ht="19.5" customHeight="1" x14ac:dyDescent="0.25">
      <c r="A2587" s="11" t="s">
        <v>4886</v>
      </c>
      <c r="B2587" s="11" t="s">
        <v>4886</v>
      </c>
      <c r="C2587" s="12">
        <v>45742</v>
      </c>
      <c r="D2587" s="12">
        <v>45832</v>
      </c>
      <c r="E2587" s="11" t="s">
        <v>6</v>
      </c>
      <c r="F2587" s="11" t="s">
        <v>64</v>
      </c>
      <c r="G2587" s="11" t="s">
        <v>4886</v>
      </c>
      <c r="H2587" s="11"/>
      <c r="I2587" s="11" t="s">
        <v>49</v>
      </c>
      <c r="J2587" s="11">
        <v>7286.26</v>
      </c>
      <c r="K2587" s="11">
        <v>7286.26</v>
      </c>
      <c r="L2587" s="11"/>
      <c r="M2587" s="14">
        <v>7286.26</v>
      </c>
      <c r="N2587" s="11" t="s">
        <v>4885</v>
      </c>
      <c r="O2587" s="11" t="s">
        <v>50</v>
      </c>
    </row>
    <row r="2588" spans="1:15" s="13" customFormat="1" ht="19.5" customHeight="1" x14ac:dyDescent="0.25">
      <c r="A2588" s="11" t="s">
        <v>4887</v>
      </c>
      <c r="B2588" s="11" t="s">
        <v>4888</v>
      </c>
      <c r="C2588" s="12">
        <v>45758</v>
      </c>
      <c r="D2588" s="12">
        <v>45758</v>
      </c>
      <c r="E2588" s="11" t="s">
        <v>6</v>
      </c>
      <c r="F2588" s="11" t="s">
        <v>64</v>
      </c>
      <c r="G2588" s="11" t="s">
        <v>4889</v>
      </c>
      <c r="H2588" s="11" t="s">
        <v>4890</v>
      </c>
      <c r="I2588" s="11" t="s">
        <v>49</v>
      </c>
      <c r="J2588" s="11">
        <v>-34047.31</v>
      </c>
      <c r="K2588" s="11"/>
      <c r="L2588" s="11">
        <v>34047.31</v>
      </c>
      <c r="M2588" s="14">
        <v>-34047.31</v>
      </c>
      <c r="N2588" s="11" t="s">
        <v>4891</v>
      </c>
      <c r="O2588" s="11" t="s">
        <v>75</v>
      </c>
    </row>
    <row r="2589" spans="1:15" s="13" customFormat="1" ht="19.5" customHeight="1" x14ac:dyDescent="0.25">
      <c r="A2589" s="11" t="s">
        <v>4892</v>
      </c>
      <c r="B2589" s="11" t="s">
        <v>4892</v>
      </c>
      <c r="C2589" s="12">
        <v>45742</v>
      </c>
      <c r="D2589" s="12">
        <v>45787</v>
      </c>
      <c r="E2589" s="11" t="s">
        <v>6</v>
      </c>
      <c r="F2589" s="11" t="s">
        <v>64</v>
      </c>
      <c r="G2589" s="11" t="s">
        <v>4892</v>
      </c>
      <c r="H2589" s="11"/>
      <c r="I2589" s="11" t="s">
        <v>49</v>
      </c>
      <c r="J2589" s="11">
        <v>4861.96</v>
      </c>
      <c r="K2589" s="11">
        <v>4861.96</v>
      </c>
      <c r="L2589" s="11"/>
      <c r="M2589" s="14">
        <v>4861.96</v>
      </c>
      <c r="N2589" s="11" t="s">
        <v>4891</v>
      </c>
      <c r="O2589" s="11" t="s">
        <v>50</v>
      </c>
    </row>
    <row r="2590" spans="1:15" s="13" customFormat="1" ht="19.5" customHeight="1" x14ac:dyDescent="0.25">
      <c r="A2590" s="11" t="s">
        <v>4892</v>
      </c>
      <c r="B2590" s="11" t="s">
        <v>4892</v>
      </c>
      <c r="C2590" s="12">
        <v>45742</v>
      </c>
      <c r="D2590" s="12">
        <v>45792</v>
      </c>
      <c r="E2590" s="11" t="s">
        <v>6</v>
      </c>
      <c r="F2590" s="11" t="s">
        <v>64</v>
      </c>
      <c r="G2590" s="11" t="s">
        <v>4892</v>
      </c>
      <c r="H2590" s="11"/>
      <c r="I2590" s="11" t="s">
        <v>49</v>
      </c>
      <c r="J2590" s="11">
        <v>4861.96</v>
      </c>
      <c r="K2590" s="11">
        <v>4861.96</v>
      </c>
      <c r="L2590" s="11"/>
      <c r="M2590" s="14">
        <v>4861.96</v>
      </c>
      <c r="N2590" s="11" t="s">
        <v>4891</v>
      </c>
      <c r="O2590" s="11" t="s">
        <v>50</v>
      </c>
    </row>
    <row r="2591" spans="1:15" s="13" customFormat="1" ht="19.5" customHeight="1" x14ac:dyDescent="0.25">
      <c r="A2591" s="11" t="s">
        <v>4892</v>
      </c>
      <c r="B2591" s="11" t="s">
        <v>4892</v>
      </c>
      <c r="C2591" s="12">
        <v>45742</v>
      </c>
      <c r="D2591" s="12">
        <v>45797</v>
      </c>
      <c r="E2591" s="11" t="s">
        <v>6</v>
      </c>
      <c r="F2591" s="11" t="s">
        <v>64</v>
      </c>
      <c r="G2591" s="11" t="s">
        <v>4892</v>
      </c>
      <c r="H2591" s="11"/>
      <c r="I2591" s="11" t="s">
        <v>49</v>
      </c>
      <c r="J2591" s="11">
        <v>4861.96</v>
      </c>
      <c r="K2591" s="11">
        <v>4861.96</v>
      </c>
      <c r="L2591" s="11"/>
      <c r="M2591" s="14">
        <v>4861.96</v>
      </c>
      <c r="N2591" s="11" t="s">
        <v>4891</v>
      </c>
      <c r="O2591" s="11" t="s">
        <v>50</v>
      </c>
    </row>
    <row r="2592" spans="1:15" s="13" customFormat="1" ht="19.5" customHeight="1" x14ac:dyDescent="0.25">
      <c r="A2592" s="11" t="s">
        <v>4892</v>
      </c>
      <c r="B2592" s="11" t="s">
        <v>4892</v>
      </c>
      <c r="C2592" s="12">
        <v>45742</v>
      </c>
      <c r="D2592" s="12">
        <v>45802</v>
      </c>
      <c r="E2592" s="11" t="s">
        <v>6</v>
      </c>
      <c r="F2592" s="11" t="s">
        <v>64</v>
      </c>
      <c r="G2592" s="11" t="s">
        <v>4892</v>
      </c>
      <c r="H2592" s="11"/>
      <c r="I2592" s="11" t="s">
        <v>49</v>
      </c>
      <c r="J2592" s="11">
        <v>4861.96</v>
      </c>
      <c r="K2592" s="11">
        <v>4861.96</v>
      </c>
      <c r="L2592" s="11"/>
      <c r="M2592" s="14">
        <v>4861.96</v>
      </c>
      <c r="N2592" s="11" t="s">
        <v>4891</v>
      </c>
      <c r="O2592" s="11" t="s">
        <v>50</v>
      </c>
    </row>
    <row r="2593" spans="1:15" s="13" customFormat="1" ht="19.5" customHeight="1" x14ac:dyDescent="0.25">
      <c r="A2593" s="11" t="s">
        <v>4892</v>
      </c>
      <c r="B2593" s="11" t="s">
        <v>4892</v>
      </c>
      <c r="C2593" s="12">
        <v>45742</v>
      </c>
      <c r="D2593" s="12">
        <v>45807</v>
      </c>
      <c r="E2593" s="11" t="s">
        <v>6</v>
      </c>
      <c r="F2593" s="11" t="s">
        <v>64</v>
      </c>
      <c r="G2593" s="11" t="s">
        <v>4892</v>
      </c>
      <c r="H2593" s="11"/>
      <c r="I2593" s="11" t="s">
        <v>49</v>
      </c>
      <c r="J2593" s="11">
        <v>4861.96</v>
      </c>
      <c r="K2593" s="11">
        <v>4861.96</v>
      </c>
      <c r="L2593" s="11"/>
      <c r="M2593" s="14">
        <v>4861.96</v>
      </c>
      <c r="N2593" s="11" t="s">
        <v>4891</v>
      </c>
      <c r="O2593" s="11" t="s">
        <v>50</v>
      </c>
    </row>
    <row r="2594" spans="1:15" s="13" customFormat="1" ht="19.5" customHeight="1" x14ac:dyDescent="0.25">
      <c r="A2594" s="11" t="s">
        <v>4892</v>
      </c>
      <c r="B2594" s="11" t="s">
        <v>4892</v>
      </c>
      <c r="C2594" s="12">
        <v>45742</v>
      </c>
      <c r="D2594" s="12">
        <v>45812</v>
      </c>
      <c r="E2594" s="11" t="s">
        <v>6</v>
      </c>
      <c r="F2594" s="11" t="s">
        <v>64</v>
      </c>
      <c r="G2594" s="11" t="s">
        <v>4892</v>
      </c>
      <c r="H2594" s="11"/>
      <c r="I2594" s="11" t="s">
        <v>49</v>
      </c>
      <c r="J2594" s="11">
        <v>4861.96</v>
      </c>
      <c r="K2594" s="11">
        <v>4861.96</v>
      </c>
      <c r="L2594" s="11"/>
      <c r="M2594" s="14">
        <v>4861.96</v>
      </c>
      <c r="N2594" s="11" t="s">
        <v>4891</v>
      </c>
      <c r="O2594" s="11" t="s">
        <v>50</v>
      </c>
    </row>
    <row r="2595" spans="1:15" s="13" customFormat="1" ht="19.5" customHeight="1" x14ac:dyDescent="0.25">
      <c r="A2595" s="11" t="s">
        <v>4892</v>
      </c>
      <c r="B2595" s="11" t="s">
        <v>4892</v>
      </c>
      <c r="C2595" s="12">
        <v>45742</v>
      </c>
      <c r="D2595" s="12">
        <v>45817</v>
      </c>
      <c r="E2595" s="11" t="s">
        <v>6</v>
      </c>
      <c r="F2595" s="11" t="s">
        <v>64</v>
      </c>
      <c r="G2595" s="11" t="s">
        <v>4892</v>
      </c>
      <c r="H2595" s="11"/>
      <c r="I2595" s="11" t="s">
        <v>49</v>
      </c>
      <c r="J2595" s="11">
        <v>4875.55</v>
      </c>
      <c r="K2595" s="11">
        <v>4875.55</v>
      </c>
      <c r="L2595" s="11"/>
      <c r="M2595" s="14">
        <v>4875.55</v>
      </c>
      <c r="N2595" s="11" t="s">
        <v>4891</v>
      </c>
      <c r="O2595" s="11" t="s">
        <v>50</v>
      </c>
    </row>
    <row r="2596" spans="1:15" s="13" customFormat="1" ht="19.5" customHeight="1" x14ac:dyDescent="0.25">
      <c r="A2596" s="11" t="s">
        <v>4893</v>
      </c>
      <c r="B2596" s="11" t="s">
        <v>4894</v>
      </c>
      <c r="C2596" s="12">
        <v>45758</v>
      </c>
      <c r="D2596" s="12">
        <v>45758</v>
      </c>
      <c r="E2596" s="11" t="s">
        <v>6</v>
      </c>
      <c r="F2596" s="11" t="s">
        <v>64</v>
      </c>
      <c r="G2596" s="11" t="s">
        <v>4895</v>
      </c>
      <c r="H2596" s="11" t="s">
        <v>4896</v>
      </c>
      <c r="I2596" s="11" t="s">
        <v>49</v>
      </c>
      <c r="J2596" s="11">
        <v>-99759.95</v>
      </c>
      <c r="K2596" s="11"/>
      <c r="L2596" s="11">
        <v>99759.95</v>
      </c>
      <c r="M2596" s="14">
        <v>-99759.95</v>
      </c>
      <c r="N2596" s="11" t="s">
        <v>4897</v>
      </c>
      <c r="O2596" s="11" t="s">
        <v>75</v>
      </c>
    </row>
    <row r="2597" spans="1:15" s="13" customFormat="1" ht="19.5" customHeight="1" x14ac:dyDescent="0.25">
      <c r="A2597" s="11" t="s">
        <v>4898</v>
      </c>
      <c r="B2597" s="11" t="s">
        <v>4898</v>
      </c>
      <c r="C2597" s="12">
        <v>45742</v>
      </c>
      <c r="D2597" s="12">
        <v>45787</v>
      </c>
      <c r="E2597" s="11" t="s">
        <v>6</v>
      </c>
      <c r="F2597" s="11" t="s">
        <v>64</v>
      </c>
      <c r="G2597" s="11" t="s">
        <v>4898</v>
      </c>
      <c r="H2597" s="11"/>
      <c r="I2597" s="11" t="s">
        <v>49</v>
      </c>
      <c r="J2597" s="11">
        <v>12469.99</v>
      </c>
      <c r="K2597" s="11">
        <v>12469.99</v>
      </c>
      <c r="L2597" s="11"/>
      <c r="M2597" s="14">
        <v>12469.99</v>
      </c>
      <c r="N2597" s="11" t="s">
        <v>4897</v>
      </c>
      <c r="O2597" s="11" t="s">
        <v>50</v>
      </c>
    </row>
    <row r="2598" spans="1:15" s="13" customFormat="1" ht="19.5" customHeight="1" x14ac:dyDescent="0.25">
      <c r="A2598" s="11" t="s">
        <v>4898</v>
      </c>
      <c r="B2598" s="11" t="s">
        <v>4898</v>
      </c>
      <c r="C2598" s="12">
        <v>45742</v>
      </c>
      <c r="D2598" s="12">
        <v>45798</v>
      </c>
      <c r="E2598" s="11" t="s">
        <v>6</v>
      </c>
      <c r="F2598" s="11" t="s">
        <v>64</v>
      </c>
      <c r="G2598" s="11" t="s">
        <v>4898</v>
      </c>
      <c r="H2598" s="11"/>
      <c r="I2598" s="11" t="s">
        <v>49</v>
      </c>
      <c r="J2598" s="11">
        <v>12469.99</v>
      </c>
      <c r="K2598" s="11">
        <v>12469.99</v>
      </c>
      <c r="L2598" s="11"/>
      <c r="M2598" s="14">
        <v>12469.99</v>
      </c>
      <c r="N2598" s="11" t="s">
        <v>4897</v>
      </c>
      <c r="O2598" s="11" t="s">
        <v>50</v>
      </c>
    </row>
    <row r="2599" spans="1:15" s="13" customFormat="1" ht="19.5" customHeight="1" x14ac:dyDescent="0.25">
      <c r="A2599" s="11" t="s">
        <v>4899</v>
      </c>
      <c r="B2599" s="11" t="s">
        <v>4899</v>
      </c>
      <c r="C2599" s="12">
        <v>45958</v>
      </c>
      <c r="D2599" s="12">
        <v>45958</v>
      </c>
      <c r="E2599" s="11" t="s">
        <v>6</v>
      </c>
      <c r="F2599" s="11" t="s">
        <v>64</v>
      </c>
      <c r="G2599" s="11"/>
      <c r="H2599" s="11"/>
      <c r="I2599" s="11" t="s">
        <v>49</v>
      </c>
      <c r="J2599" s="11">
        <v>-1087.49</v>
      </c>
      <c r="K2599" s="11"/>
      <c r="L2599" s="11">
        <v>1087.49</v>
      </c>
      <c r="M2599" s="11">
        <v>-1087.49</v>
      </c>
      <c r="N2599" s="11"/>
      <c r="O2599" s="11" t="s">
        <v>50</v>
      </c>
    </row>
    <row r="2600" spans="1:15" s="13" customFormat="1" ht="19.5" customHeight="1" x14ac:dyDescent="0.25">
      <c r="A2600" s="11" t="s">
        <v>4898</v>
      </c>
      <c r="B2600" s="11" t="s">
        <v>4898</v>
      </c>
      <c r="C2600" s="12">
        <v>45742</v>
      </c>
      <c r="D2600" s="12">
        <v>45809</v>
      </c>
      <c r="E2600" s="11" t="s">
        <v>6</v>
      </c>
      <c r="F2600" s="11" t="s">
        <v>64</v>
      </c>
      <c r="G2600" s="11" t="s">
        <v>4898</v>
      </c>
      <c r="H2600" s="11"/>
      <c r="I2600" s="11" t="s">
        <v>49</v>
      </c>
      <c r="J2600" s="11">
        <v>12469.99</v>
      </c>
      <c r="K2600" s="11">
        <v>12469.99</v>
      </c>
      <c r="L2600" s="11"/>
      <c r="M2600" s="14">
        <v>12469.99</v>
      </c>
      <c r="N2600" s="11" t="s">
        <v>4897</v>
      </c>
      <c r="O2600" s="11" t="s">
        <v>50</v>
      </c>
    </row>
    <row r="2601" spans="1:15" s="13" customFormat="1" ht="19.5" customHeight="1" x14ac:dyDescent="0.25">
      <c r="A2601" s="11" t="s">
        <v>4898</v>
      </c>
      <c r="B2601" s="11" t="s">
        <v>4898</v>
      </c>
      <c r="C2601" s="12">
        <v>45742</v>
      </c>
      <c r="D2601" s="12">
        <v>45820</v>
      </c>
      <c r="E2601" s="11" t="s">
        <v>6</v>
      </c>
      <c r="F2601" s="11" t="s">
        <v>64</v>
      </c>
      <c r="G2601" s="11" t="s">
        <v>4898</v>
      </c>
      <c r="H2601" s="11"/>
      <c r="I2601" s="11" t="s">
        <v>49</v>
      </c>
      <c r="J2601" s="11">
        <v>12469.99</v>
      </c>
      <c r="K2601" s="11">
        <v>12469.99</v>
      </c>
      <c r="L2601" s="11"/>
      <c r="M2601" s="14">
        <v>12469.99</v>
      </c>
      <c r="N2601" s="11" t="s">
        <v>4897</v>
      </c>
      <c r="O2601" s="11" t="s">
        <v>50</v>
      </c>
    </row>
    <row r="2602" spans="1:15" s="13" customFormat="1" ht="19.5" customHeight="1" x14ac:dyDescent="0.25">
      <c r="A2602" s="11" t="s">
        <v>4898</v>
      </c>
      <c r="B2602" s="11" t="s">
        <v>4898</v>
      </c>
      <c r="C2602" s="12">
        <v>45742</v>
      </c>
      <c r="D2602" s="12">
        <v>45831</v>
      </c>
      <c r="E2602" s="11" t="s">
        <v>6</v>
      </c>
      <c r="F2602" s="11" t="s">
        <v>64</v>
      </c>
      <c r="G2602" s="11" t="s">
        <v>4898</v>
      </c>
      <c r="H2602" s="11"/>
      <c r="I2602" s="11" t="s">
        <v>49</v>
      </c>
      <c r="J2602" s="11">
        <v>12469.99</v>
      </c>
      <c r="K2602" s="11">
        <v>12469.99</v>
      </c>
      <c r="L2602" s="11"/>
      <c r="M2602" s="14">
        <v>12469.99</v>
      </c>
      <c r="N2602" s="11" t="s">
        <v>4897</v>
      </c>
      <c r="O2602" s="11" t="s">
        <v>50</v>
      </c>
    </row>
    <row r="2603" spans="1:15" s="13" customFormat="1" ht="19.5" customHeight="1" x14ac:dyDescent="0.25">
      <c r="A2603" s="11" t="s">
        <v>4898</v>
      </c>
      <c r="B2603" s="11" t="s">
        <v>4898</v>
      </c>
      <c r="C2603" s="12">
        <v>45742</v>
      </c>
      <c r="D2603" s="12">
        <v>45842</v>
      </c>
      <c r="E2603" s="11" t="s">
        <v>6</v>
      </c>
      <c r="F2603" s="11" t="s">
        <v>64</v>
      </c>
      <c r="G2603" s="11" t="s">
        <v>4898</v>
      </c>
      <c r="H2603" s="11"/>
      <c r="I2603" s="11" t="s">
        <v>49</v>
      </c>
      <c r="J2603" s="11">
        <v>12469.99</v>
      </c>
      <c r="K2603" s="11">
        <v>12469.99</v>
      </c>
      <c r="L2603" s="11"/>
      <c r="M2603" s="14">
        <v>12469.99</v>
      </c>
      <c r="N2603" s="11" t="s">
        <v>4897</v>
      </c>
      <c r="O2603" s="11" t="s">
        <v>50</v>
      </c>
    </row>
    <row r="2604" spans="1:15" s="13" customFormat="1" ht="19.5" customHeight="1" x14ac:dyDescent="0.25">
      <c r="A2604" s="11" t="s">
        <v>4898</v>
      </c>
      <c r="B2604" s="11" t="s">
        <v>4898</v>
      </c>
      <c r="C2604" s="12">
        <v>45742</v>
      </c>
      <c r="D2604" s="12">
        <v>45853</v>
      </c>
      <c r="E2604" s="11" t="s">
        <v>6</v>
      </c>
      <c r="F2604" s="11" t="s">
        <v>64</v>
      </c>
      <c r="G2604" s="11" t="s">
        <v>4898</v>
      </c>
      <c r="H2604" s="11"/>
      <c r="I2604" s="11" t="s">
        <v>49</v>
      </c>
      <c r="J2604" s="11">
        <v>12469.99</v>
      </c>
      <c r="K2604" s="11">
        <v>12469.99</v>
      </c>
      <c r="L2604" s="11"/>
      <c r="M2604" s="14">
        <v>12469.99</v>
      </c>
      <c r="N2604" s="11" t="s">
        <v>4897</v>
      </c>
      <c r="O2604" s="11" t="s">
        <v>50</v>
      </c>
    </row>
    <row r="2605" spans="1:15" s="13" customFormat="1" ht="19.5" customHeight="1" x14ac:dyDescent="0.25">
      <c r="A2605" s="11" t="s">
        <v>4898</v>
      </c>
      <c r="B2605" s="11" t="s">
        <v>4898</v>
      </c>
      <c r="C2605" s="12">
        <v>45742</v>
      </c>
      <c r="D2605" s="12">
        <v>45864</v>
      </c>
      <c r="E2605" s="11" t="s">
        <v>6</v>
      </c>
      <c r="F2605" s="11" t="s">
        <v>64</v>
      </c>
      <c r="G2605" s="11" t="s">
        <v>4898</v>
      </c>
      <c r="H2605" s="11"/>
      <c r="I2605" s="11" t="s">
        <v>49</v>
      </c>
      <c r="J2605" s="11">
        <v>12470.02</v>
      </c>
      <c r="K2605" s="11">
        <v>12470.02</v>
      </c>
      <c r="L2605" s="11"/>
      <c r="M2605" s="14">
        <v>12470.02</v>
      </c>
      <c r="N2605" s="11" t="s">
        <v>4897</v>
      </c>
      <c r="O2605" s="11" t="s">
        <v>50</v>
      </c>
    </row>
    <row r="2606" spans="1:15" s="13" customFormat="1" ht="19.5" customHeight="1" x14ac:dyDescent="0.25">
      <c r="A2606" s="11" t="s">
        <v>4900</v>
      </c>
      <c r="B2606" s="11" t="s">
        <v>4901</v>
      </c>
      <c r="C2606" s="12">
        <v>45758</v>
      </c>
      <c r="D2606" s="12">
        <v>45758</v>
      </c>
      <c r="E2606" s="11" t="s">
        <v>6</v>
      </c>
      <c r="F2606" s="11" t="s">
        <v>64</v>
      </c>
      <c r="G2606" s="11" t="s">
        <v>4902</v>
      </c>
      <c r="H2606" s="11" t="s">
        <v>4903</v>
      </c>
      <c r="I2606" s="11" t="s">
        <v>49</v>
      </c>
      <c r="J2606" s="11">
        <v>-45187.02</v>
      </c>
      <c r="K2606" s="11"/>
      <c r="L2606" s="11">
        <v>45187.02</v>
      </c>
      <c r="M2606" s="14">
        <v>-45187.02</v>
      </c>
      <c r="N2606" s="11" t="s">
        <v>4904</v>
      </c>
      <c r="O2606" s="11" t="s">
        <v>75</v>
      </c>
    </row>
    <row r="2607" spans="1:15" s="13" customFormat="1" ht="19.5" customHeight="1" x14ac:dyDescent="0.25">
      <c r="A2607" s="11" t="s">
        <v>4905</v>
      </c>
      <c r="B2607" s="11" t="s">
        <v>4905</v>
      </c>
      <c r="C2607" s="12">
        <v>45747</v>
      </c>
      <c r="D2607" s="12">
        <v>45792</v>
      </c>
      <c r="E2607" s="11" t="s">
        <v>6</v>
      </c>
      <c r="F2607" s="11" t="s">
        <v>64</v>
      </c>
      <c r="G2607" s="11" t="s">
        <v>4905</v>
      </c>
      <c r="H2607" s="11"/>
      <c r="I2607" s="11" t="s">
        <v>49</v>
      </c>
      <c r="J2607" s="11">
        <v>6452.71</v>
      </c>
      <c r="K2607" s="11">
        <v>6452.71</v>
      </c>
      <c r="L2607" s="11"/>
      <c r="M2607" s="14">
        <v>6452.71</v>
      </c>
      <c r="N2607" s="11" t="s">
        <v>4904</v>
      </c>
      <c r="O2607" s="11" t="s">
        <v>50</v>
      </c>
    </row>
    <row r="2608" spans="1:15" s="13" customFormat="1" ht="19.5" customHeight="1" x14ac:dyDescent="0.25">
      <c r="A2608" s="11" t="s">
        <v>4905</v>
      </c>
      <c r="B2608" s="11" t="s">
        <v>4905</v>
      </c>
      <c r="C2608" s="12">
        <v>45747</v>
      </c>
      <c r="D2608" s="12">
        <v>45799</v>
      </c>
      <c r="E2608" s="11" t="s">
        <v>6</v>
      </c>
      <c r="F2608" s="11" t="s">
        <v>64</v>
      </c>
      <c r="G2608" s="11" t="s">
        <v>4905</v>
      </c>
      <c r="H2608" s="11"/>
      <c r="I2608" s="11" t="s">
        <v>49</v>
      </c>
      <c r="J2608" s="11">
        <v>6452.71</v>
      </c>
      <c r="K2608" s="11">
        <v>6452.71</v>
      </c>
      <c r="L2608" s="11"/>
      <c r="M2608" s="14">
        <v>6452.71</v>
      </c>
      <c r="N2608" s="11" t="s">
        <v>4904</v>
      </c>
      <c r="O2608" s="11" t="s">
        <v>50</v>
      </c>
    </row>
    <row r="2609" spans="1:15" s="13" customFormat="1" ht="19.5" customHeight="1" x14ac:dyDescent="0.25">
      <c r="A2609" s="11" t="s">
        <v>4905</v>
      </c>
      <c r="B2609" s="11" t="s">
        <v>4905</v>
      </c>
      <c r="C2609" s="12">
        <v>45747</v>
      </c>
      <c r="D2609" s="12">
        <v>45806</v>
      </c>
      <c r="E2609" s="11" t="s">
        <v>6</v>
      </c>
      <c r="F2609" s="11" t="s">
        <v>64</v>
      </c>
      <c r="G2609" s="11" t="s">
        <v>4905</v>
      </c>
      <c r="H2609" s="11"/>
      <c r="I2609" s="11" t="s">
        <v>49</v>
      </c>
      <c r="J2609" s="11">
        <v>6452.71</v>
      </c>
      <c r="K2609" s="11">
        <v>6452.71</v>
      </c>
      <c r="L2609" s="11"/>
      <c r="M2609" s="14">
        <v>6452.71</v>
      </c>
      <c r="N2609" s="11" t="s">
        <v>4904</v>
      </c>
      <c r="O2609" s="11" t="s">
        <v>50</v>
      </c>
    </row>
    <row r="2610" spans="1:15" s="13" customFormat="1" ht="19.5" customHeight="1" x14ac:dyDescent="0.25">
      <c r="A2610" s="11" t="s">
        <v>4905</v>
      </c>
      <c r="B2610" s="11" t="s">
        <v>4905</v>
      </c>
      <c r="C2610" s="12">
        <v>45747</v>
      </c>
      <c r="D2610" s="12">
        <v>45813</v>
      </c>
      <c r="E2610" s="11" t="s">
        <v>6</v>
      </c>
      <c r="F2610" s="11" t="s">
        <v>64</v>
      </c>
      <c r="G2610" s="11" t="s">
        <v>4905</v>
      </c>
      <c r="H2610" s="11"/>
      <c r="I2610" s="11" t="s">
        <v>49</v>
      </c>
      <c r="J2610" s="11">
        <v>6452.71</v>
      </c>
      <c r="K2610" s="11">
        <v>6452.71</v>
      </c>
      <c r="L2610" s="11"/>
      <c r="M2610" s="14">
        <v>6452.71</v>
      </c>
      <c r="N2610" s="11" t="s">
        <v>4904</v>
      </c>
      <c r="O2610" s="11" t="s">
        <v>50</v>
      </c>
    </row>
    <row r="2611" spans="1:15" s="13" customFormat="1" ht="19.5" customHeight="1" x14ac:dyDescent="0.25">
      <c r="A2611" s="11" t="s">
        <v>4905</v>
      </c>
      <c r="B2611" s="11" t="s">
        <v>4905</v>
      </c>
      <c r="C2611" s="12">
        <v>45747</v>
      </c>
      <c r="D2611" s="12">
        <v>45820</v>
      </c>
      <c r="E2611" s="11" t="s">
        <v>6</v>
      </c>
      <c r="F2611" s="11" t="s">
        <v>64</v>
      </c>
      <c r="G2611" s="11" t="s">
        <v>4905</v>
      </c>
      <c r="H2611" s="11"/>
      <c r="I2611" s="11" t="s">
        <v>49</v>
      </c>
      <c r="J2611" s="11">
        <v>6452.71</v>
      </c>
      <c r="K2611" s="11">
        <v>6452.71</v>
      </c>
      <c r="L2611" s="11"/>
      <c r="M2611" s="14">
        <v>6452.71</v>
      </c>
      <c r="N2611" s="11" t="s">
        <v>4904</v>
      </c>
      <c r="O2611" s="11" t="s">
        <v>50</v>
      </c>
    </row>
    <row r="2612" spans="1:15" s="13" customFormat="1" ht="19.5" customHeight="1" x14ac:dyDescent="0.25">
      <c r="A2612" s="11" t="s">
        <v>4905</v>
      </c>
      <c r="B2612" s="11" t="s">
        <v>4905</v>
      </c>
      <c r="C2612" s="12">
        <v>45747</v>
      </c>
      <c r="D2612" s="12">
        <v>45827</v>
      </c>
      <c r="E2612" s="11" t="s">
        <v>6</v>
      </c>
      <c r="F2612" s="11" t="s">
        <v>64</v>
      </c>
      <c r="G2612" s="11" t="s">
        <v>4905</v>
      </c>
      <c r="H2612" s="11"/>
      <c r="I2612" s="11" t="s">
        <v>49</v>
      </c>
      <c r="J2612" s="11">
        <v>6452.71</v>
      </c>
      <c r="K2612" s="11">
        <v>6452.71</v>
      </c>
      <c r="L2612" s="11"/>
      <c r="M2612" s="14">
        <v>6452.71</v>
      </c>
      <c r="N2612" s="11" t="s">
        <v>4904</v>
      </c>
      <c r="O2612" s="11" t="s">
        <v>50</v>
      </c>
    </row>
    <row r="2613" spans="1:15" s="13" customFormat="1" ht="19.5" customHeight="1" x14ac:dyDescent="0.25">
      <c r="A2613" s="11" t="s">
        <v>4905</v>
      </c>
      <c r="B2613" s="11" t="s">
        <v>4905</v>
      </c>
      <c r="C2613" s="12">
        <v>45747</v>
      </c>
      <c r="D2613" s="12">
        <v>45837</v>
      </c>
      <c r="E2613" s="11" t="s">
        <v>6</v>
      </c>
      <c r="F2613" s="11" t="s">
        <v>64</v>
      </c>
      <c r="G2613" s="11" t="s">
        <v>4905</v>
      </c>
      <c r="H2613" s="11"/>
      <c r="I2613" s="11" t="s">
        <v>49</v>
      </c>
      <c r="J2613" s="11">
        <v>6470.76</v>
      </c>
      <c r="K2613" s="11">
        <v>6470.76</v>
      </c>
      <c r="L2613" s="11"/>
      <c r="M2613" s="14">
        <v>6470.76</v>
      </c>
      <c r="N2613" s="11" t="s">
        <v>4904</v>
      </c>
      <c r="O2613" s="11" t="s">
        <v>50</v>
      </c>
    </row>
    <row r="2614" spans="1:15" s="13" customFormat="1" ht="19.5" customHeight="1" x14ac:dyDescent="0.25">
      <c r="A2614" s="11" t="s">
        <v>4906</v>
      </c>
      <c r="B2614" s="11" t="s">
        <v>4907</v>
      </c>
      <c r="C2614" s="12">
        <v>45758</v>
      </c>
      <c r="D2614" s="12">
        <v>45758</v>
      </c>
      <c r="E2614" s="11" t="s">
        <v>6</v>
      </c>
      <c r="F2614" s="11" t="s">
        <v>64</v>
      </c>
      <c r="G2614" s="11" t="s">
        <v>4908</v>
      </c>
      <c r="H2614" s="11" t="s">
        <v>4909</v>
      </c>
      <c r="I2614" s="11" t="s">
        <v>49</v>
      </c>
      <c r="J2614" s="11">
        <v>-23009.3</v>
      </c>
      <c r="K2614" s="11"/>
      <c r="L2614" s="11">
        <v>23009.3</v>
      </c>
      <c r="M2614" s="14">
        <v>-23009.3</v>
      </c>
      <c r="N2614" s="11" t="s">
        <v>4910</v>
      </c>
      <c r="O2614" s="11" t="s">
        <v>75</v>
      </c>
    </row>
    <row r="2615" spans="1:15" s="13" customFormat="1" ht="19.5" customHeight="1" x14ac:dyDescent="0.25">
      <c r="A2615" s="11" t="s">
        <v>4911</v>
      </c>
      <c r="B2615" s="11" t="s">
        <v>4911</v>
      </c>
      <c r="C2615" s="12">
        <v>45740</v>
      </c>
      <c r="D2615" s="12">
        <v>45785</v>
      </c>
      <c r="E2615" s="11" t="s">
        <v>6</v>
      </c>
      <c r="F2615" s="11" t="s">
        <v>64</v>
      </c>
      <c r="G2615" s="11" t="s">
        <v>4911</v>
      </c>
      <c r="H2615" s="11"/>
      <c r="I2615" s="11" t="s">
        <v>49</v>
      </c>
      <c r="J2615" s="11">
        <v>3833.35</v>
      </c>
      <c r="K2615" s="11">
        <v>3833.35</v>
      </c>
      <c r="L2615" s="11"/>
      <c r="M2615" s="14">
        <v>3833.35</v>
      </c>
      <c r="N2615" s="11" t="s">
        <v>4910</v>
      </c>
      <c r="O2615" s="11" t="s">
        <v>50</v>
      </c>
    </row>
    <row r="2616" spans="1:15" s="13" customFormat="1" ht="19.5" customHeight="1" x14ac:dyDescent="0.25">
      <c r="A2616" s="11" t="s">
        <v>4911</v>
      </c>
      <c r="B2616" s="11" t="s">
        <v>4911</v>
      </c>
      <c r="C2616" s="12">
        <v>45740</v>
      </c>
      <c r="D2616" s="12">
        <v>45790</v>
      </c>
      <c r="E2616" s="11" t="s">
        <v>6</v>
      </c>
      <c r="F2616" s="11" t="s">
        <v>64</v>
      </c>
      <c r="G2616" s="11" t="s">
        <v>4911</v>
      </c>
      <c r="H2616" s="11"/>
      <c r="I2616" s="11" t="s">
        <v>49</v>
      </c>
      <c r="J2616" s="11">
        <v>3833.35</v>
      </c>
      <c r="K2616" s="11">
        <v>3833.35</v>
      </c>
      <c r="L2616" s="11"/>
      <c r="M2616" s="14">
        <v>3833.35</v>
      </c>
      <c r="N2616" s="11" t="s">
        <v>4910</v>
      </c>
      <c r="O2616" s="11" t="s">
        <v>50</v>
      </c>
    </row>
    <row r="2617" spans="1:15" s="13" customFormat="1" ht="19.5" customHeight="1" x14ac:dyDescent="0.25">
      <c r="A2617" s="11" t="s">
        <v>4911</v>
      </c>
      <c r="B2617" s="11" t="s">
        <v>4911</v>
      </c>
      <c r="C2617" s="12">
        <v>45740</v>
      </c>
      <c r="D2617" s="12">
        <v>45800</v>
      </c>
      <c r="E2617" s="11" t="s">
        <v>6</v>
      </c>
      <c r="F2617" s="11" t="s">
        <v>64</v>
      </c>
      <c r="G2617" s="11" t="s">
        <v>4911</v>
      </c>
      <c r="H2617" s="11"/>
      <c r="I2617" s="11" t="s">
        <v>49</v>
      </c>
      <c r="J2617" s="11">
        <v>3833.35</v>
      </c>
      <c r="K2617" s="11">
        <v>3833.35</v>
      </c>
      <c r="L2617" s="11"/>
      <c r="M2617" s="14">
        <v>3833.35</v>
      </c>
      <c r="N2617" s="11" t="s">
        <v>4910</v>
      </c>
      <c r="O2617" s="11" t="s">
        <v>50</v>
      </c>
    </row>
    <row r="2618" spans="1:15" s="13" customFormat="1" ht="19.5" customHeight="1" x14ac:dyDescent="0.25">
      <c r="A2618" s="11" t="s">
        <v>4911</v>
      </c>
      <c r="B2618" s="11" t="s">
        <v>4911</v>
      </c>
      <c r="C2618" s="12">
        <v>45740</v>
      </c>
      <c r="D2618" s="12">
        <v>45805</v>
      </c>
      <c r="E2618" s="11" t="s">
        <v>6</v>
      </c>
      <c r="F2618" s="11" t="s">
        <v>64</v>
      </c>
      <c r="G2618" s="11" t="s">
        <v>4911</v>
      </c>
      <c r="H2618" s="11"/>
      <c r="I2618" s="11" t="s">
        <v>49</v>
      </c>
      <c r="J2618" s="11">
        <v>3833.35</v>
      </c>
      <c r="K2618" s="11">
        <v>3833.35</v>
      </c>
      <c r="L2618" s="11"/>
      <c r="M2618" s="14">
        <v>3833.35</v>
      </c>
      <c r="N2618" s="11" t="s">
        <v>4910</v>
      </c>
      <c r="O2618" s="11" t="s">
        <v>50</v>
      </c>
    </row>
    <row r="2619" spans="1:15" s="13" customFormat="1" ht="19.5" customHeight="1" x14ac:dyDescent="0.25">
      <c r="A2619" s="11" t="s">
        <v>4911</v>
      </c>
      <c r="B2619" s="11" t="s">
        <v>4911</v>
      </c>
      <c r="C2619" s="12">
        <v>45740</v>
      </c>
      <c r="D2619" s="12">
        <v>45810</v>
      </c>
      <c r="E2619" s="11" t="s">
        <v>6</v>
      </c>
      <c r="F2619" s="11" t="s">
        <v>64</v>
      </c>
      <c r="G2619" s="11" t="s">
        <v>4911</v>
      </c>
      <c r="H2619" s="11"/>
      <c r="I2619" s="11" t="s">
        <v>49</v>
      </c>
      <c r="J2619" s="11">
        <v>3833.35</v>
      </c>
      <c r="K2619" s="11">
        <v>3833.35</v>
      </c>
      <c r="L2619" s="11"/>
      <c r="M2619" s="14">
        <v>3833.35</v>
      </c>
      <c r="N2619" s="11" t="s">
        <v>4910</v>
      </c>
      <c r="O2619" s="11" t="s">
        <v>50</v>
      </c>
    </row>
    <row r="2620" spans="1:15" s="13" customFormat="1" ht="19.5" customHeight="1" x14ac:dyDescent="0.25">
      <c r="A2620" s="11" t="s">
        <v>4911</v>
      </c>
      <c r="B2620" s="11" t="s">
        <v>4911</v>
      </c>
      <c r="C2620" s="12">
        <v>45740</v>
      </c>
      <c r="D2620" s="12">
        <v>45815</v>
      </c>
      <c r="E2620" s="11" t="s">
        <v>6</v>
      </c>
      <c r="F2620" s="11" t="s">
        <v>64</v>
      </c>
      <c r="G2620" s="11" t="s">
        <v>4911</v>
      </c>
      <c r="H2620" s="11"/>
      <c r="I2620" s="11" t="s">
        <v>49</v>
      </c>
      <c r="J2620" s="11">
        <v>3842.55</v>
      </c>
      <c r="K2620" s="11">
        <v>3842.55</v>
      </c>
      <c r="L2620" s="11"/>
      <c r="M2620" s="14">
        <v>3842.55</v>
      </c>
      <c r="N2620" s="11" t="s">
        <v>4910</v>
      </c>
      <c r="O2620" s="11" t="s">
        <v>50</v>
      </c>
    </row>
    <row r="2621" spans="1:15" s="13" customFormat="1" ht="19.5" customHeight="1" x14ac:dyDescent="0.25">
      <c r="A2621" s="11" t="s">
        <v>4912</v>
      </c>
      <c r="B2621" s="11" t="s">
        <v>4913</v>
      </c>
      <c r="C2621" s="12">
        <v>45758</v>
      </c>
      <c r="D2621" s="12">
        <v>45758</v>
      </c>
      <c r="E2621" s="11" t="s">
        <v>6</v>
      </c>
      <c r="F2621" s="11" t="s">
        <v>588</v>
      </c>
      <c r="G2621" s="11" t="s">
        <v>4914</v>
      </c>
      <c r="H2621" s="11" t="s">
        <v>4915</v>
      </c>
      <c r="I2621" s="11" t="s">
        <v>49</v>
      </c>
      <c r="J2621" s="11">
        <v>-7873.93</v>
      </c>
      <c r="K2621" s="11"/>
      <c r="L2621" s="11">
        <v>7873.93</v>
      </c>
      <c r="M2621" s="14">
        <v>-7873.93</v>
      </c>
      <c r="N2621" s="11" t="s">
        <v>4916</v>
      </c>
      <c r="O2621" s="11" t="s">
        <v>75</v>
      </c>
    </row>
    <row r="2622" spans="1:15" s="13" customFormat="1" ht="19.5" customHeight="1" x14ac:dyDescent="0.25">
      <c r="A2622" s="11" t="s">
        <v>4917</v>
      </c>
      <c r="B2622" s="11" t="s">
        <v>4917</v>
      </c>
      <c r="C2622" s="12">
        <v>45720</v>
      </c>
      <c r="D2622" s="12">
        <v>45765</v>
      </c>
      <c r="E2622" s="11" t="s">
        <v>6</v>
      </c>
      <c r="F2622" s="11" t="s">
        <v>588</v>
      </c>
      <c r="G2622" s="11" t="s">
        <v>4917</v>
      </c>
      <c r="H2622" s="11"/>
      <c r="I2622" s="11" t="s">
        <v>49</v>
      </c>
      <c r="J2622" s="11">
        <v>1968.48</v>
      </c>
      <c r="K2622" s="11">
        <v>1968.48</v>
      </c>
      <c r="L2622" s="11"/>
      <c r="M2622" s="14">
        <v>1968.48</v>
      </c>
      <c r="N2622" s="11" t="s">
        <v>4916</v>
      </c>
      <c r="O2622" s="11" t="s">
        <v>50</v>
      </c>
    </row>
    <row r="2623" spans="1:15" s="13" customFormat="1" ht="19.5" customHeight="1" x14ac:dyDescent="0.25">
      <c r="A2623" s="11" t="s">
        <v>4917</v>
      </c>
      <c r="B2623" s="11" t="s">
        <v>4917</v>
      </c>
      <c r="C2623" s="12">
        <v>45720</v>
      </c>
      <c r="D2623" s="12">
        <v>45775</v>
      </c>
      <c r="E2623" s="11" t="s">
        <v>6</v>
      </c>
      <c r="F2623" s="11" t="s">
        <v>588</v>
      </c>
      <c r="G2623" s="11" t="s">
        <v>4917</v>
      </c>
      <c r="H2623" s="11"/>
      <c r="I2623" s="11" t="s">
        <v>49</v>
      </c>
      <c r="J2623" s="11">
        <v>1968.48</v>
      </c>
      <c r="K2623" s="11">
        <v>1968.48</v>
      </c>
      <c r="L2623" s="11"/>
      <c r="M2623" s="14">
        <v>1968.48</v>
      </c>
      <c r="N2623" s="11" t="s">
        <v>4916</v>
      </c>
      <c r="O2623" s="11" t="s">
        <v>50</v>
      </c>
    </row>
    <row r="2624" spans="1:15" s="13" customFormat="1" ht="19.5" customHeight="1" x14ac:dyDescent="0.25">
      <c r="A2624" s="11" t="s">
        <v>4917</v>
      </c>
      <c r="B2624" s="11" t="s">
        <v>4917</v>
      </c>
      <c r="C2624" s="12">
        <v>45720</v>
      </c>
      <c r="D2624" s="12">
        <v>45785</v>
      </c>
      <c r="E2624" s="11" t="s">
        <v>6</v>
      </c>
      <c r="F2624" s="11" t="s">
        <v>588</v>
      </c>
      <c r="G2624" s="11" t="s">
        <v>4917</v>
      </c>
      <c r="H2624" s="11"/>
      <c r="I2624" s="11" t="s">
        <v>49</v>
      </c>
      <c r="J2624" s="11">
        <v>1968.48</v>
      </c>
      <c r="K2624" s="11">
        <v>1968.48</v>
      </c>
      <c r="L2624" s="11"/>
      <c r="M2624" s="14">
        <v>1968.48</v>
      </c>
      <c r="N2624" s="11" t="s">
        <v>4916</v>
      </c>
      <c r="O2624" s="11" t="s">
        <v>50</v>
      </c>
    </row>
    <row r="2625" spans="1:15" s="13" customFormat="1" ht="19.5" customHeight="1" x14ac:dyDescent="0.25">
      <c r="A2625" s="11" t="s">
        <v>4917</v>
      </c>
      <c r="B2625" s="11" t="s">
        <v>4917</v>
      </c>
      <c r="C2625" s="12">
        <v>45720</v>
      </c>
      <c r="D2625" s="12">
        <v>45795</v>
      </c>
      <c r="E2625" s="11" t="s">
        <v>6</v>
      </c>
      <c r="F2625" s="11" t="s">
        <v>588</v>
      </c>
      <c r="G2625" s="11" t="s">
        <v>4917</v>
      </c>
      <c r="H2625" s="11"/>
      <c r="I2625" s="11" t="s">
        <v>49</v>
      </c>
      <c r="J2625" s="11">
        <v>1968.49</v>
      </c>
      <c r="K2625" s="11">
        <v>1968.49</v>
      </c>
      <c r="L2625" s="11"/>
      <c r="M2625" s="14">
        <v>1968.49</v>
      </c>
      <c r="N2625" s="11" t="s">
        <v>4916</v>
      </c>
      <c r="O2625" s="11" t="s">
        <v>50</v>
      </c>
    </row>
    <row r="2626" spans="1:15" s="13" customFormat="1" ht="19.5" customHeight="1" x14ac:dyDescent="0.25">
      <c r="A2626" s="11" t="s">
        <v>4918</v>
      </c>
      <c r="B2626" s="11" t="s">
        <v>4919</v>
      </c>
      <c r="C2626" s="12">
        <v>45758</v>
      </c>
      <c r="D2626" s="12">
        <v>45758</v>
      </c>
      <c r="E2626" s="11" t="s">
        <v>6</v>
      </c>
      <c r="F2626" s="11" t="s">
        <v>588</v>
      </c>
      <c r="G2626" s="11" t="s">
        <v>4920</v>
      </c>
      <c r="H2626" s="11" t="s">
        <v>4921</v>
      </c>
      <c r="I2626" s="11" t="s">
        <v>49</v>
      </c>
      <c r="J2626" s="11">
        <v>-9150.2199999999993</v>
      </c>
      <c r="K2626" s="11"/>
      <c r="L2626" s="11">
        <v>9150.2199999999993</v>
      </c>
      <c r="M2626" s="14">
        <v>-9150.2199999999993</v>
      </c>
      <c r="N2626" s="11" t="s">
        <v>4922</v>
      </c>
      <c r="O2626" s="11" t="s">
        <v>75</v>
      </c>
    </row>
    <row r="2627" spans="1:15" s="13" customFormat="1" ht="19.5" customHeight="1" x14ac:dyDescent="0.25">
      <c r="A2627" s="11" t="s">
        <v>4923</v>
      </c>
      <c r="B2627" s="11" t="s">
        <v>4923</v>
      </c>
      <c r="C2627" s="12">
        <v>45740</v>
      </c>
      <c r="D2627" s="12">
        <v>45785</v>
      </c>
      <c r="E2627" s="11" t="s">
        <v>6</v>
      </c>
      <c r="F2627" s="11" t="s">
        <v>588</v>
      </c>
      <c r="G2627" s="11" t="s">
        <v>4923</v>
      </c>
      <c r="H2627" s="11"/>
      <c r="I2627" s="11" t="s">
        <v>49</v>
      </c>
      <c r="J2627" s="11">
        <v>2287.56</v>
      </c>
      <c r="K2627" s="11">
        <v>2287.56</v>
      </c>
      <c r="L2627" s="11"/>
      <c r="M2627" s="14">
        <v>2287.56</v>
      </c>
      <c r="N2627" s="11" t="s">
        <v>4922</v>
      </c>
      <c r="O2627" s="11" t="s">
        <v>50</v>
      </c>
    </row>
    <row r="2628" spans="1:15" s="13" customFormat="1" ht="19.5" customHeight="1" x14ac:dyDescent="0.25">
      <c r="A2628" s="11" t="s">
        <v>4923</v>
      </c>
      <c r="B2628" s="11" t="s">
        <v>4923</v>
      </c>
      <c r="C2628" s="12">
        <v>45740</v>
      </c>
      <c r="D2628" s="12">
        <v>45795</v>
      </c>
      <c r="E2628" s="11" t="s">
        <v>6</v>
      </c>
      <c r="F2628" s="11" t="s">
        <v>588</v>
      </c>
      <c r="G2628" s="11" t="s">
        <v>4923</v>
      </c>
      <c r="H2628" s="11"/>
      <c r="I2628" s="11" t="s">
        <v>49</v>
      </c>
      <c r="J2628" s="11">
        <v>2287.56</v>
      </c>
      <c r="K2628" s="11">
        <v>2287.56</v>
      </c>
      <c r="L2628" s="11"/>
      <c r="M2628" s="14">
        <v>2287.56</v>
      </c>
      <c r="N2628" s="11" t="s">
        <v>4922</v>
      </c>
      <c r="O2628" s="11" t="s">
        <v>50</v>
      </c>
    </row>
    <row r="2629" spans="1:15" s="13" customFormat="1" ht="19.5" customHeight="1" x14ac:dyDescent="0.25">
      <c r="A2629" s="11" t="s">
        <v>4923</v>
      </c>
      <c r="B2629" s="11" t="s">
        <v>4923</v>
      </c>
      <c r="C2629" s="12">
        <v>45740</v>
      </c>
      <c r="D2629" s="12">
        <v>45805</v>
      </c>
      <c r="E2629" s="11" t="s">
        <v>6</v>
      </c>
      <c r="F2629" s="11" t="s">
        <v>588</v>
      </c>
      <c r="G2629" s="11" t="s">
        <v>4923</v>
      </c>
      <c r="H2629" s="11"/>
      <c r="I2629" s="11" t="s">
        <v>49</v>
      </c>
      <c r="J2629" s="11">
        <v>2287.56</v>
      </c>
      <c r="K2629" s="11">
        <v>2287.56</v>
      </c>
      <c r="L2629" s="11"/>
      <c r="M2629" s="14">
        <v>2287.56</v>
      </c>
      <c r="N2629" s="11" t="s">
        <v>4922</v>
      </c>
      <c r="O2629" s="11" t="s">
        <v>50</v>
      </c>
    </row>
    <row r="2630" spans="1:15" s="13" customFormat="1" ht="19.5" customHeight="1" x14ac:dyDescent="0.25">
      <c r="A2630" s="11" t="s">
        <v>4923</v>
      </c>
      <c r="B2630" s="11" t="s">
        <v>4923</v>
      </c>
      <c r="C2630" s="12">
        <v>45740</v>
      </c>
      <c r="D2630" s="12">
        <v>45815</v>
      </c>
      <c r="E2630" s="11" t="s">
        <v>6</v>
      </c>
      <c r="F2630" s="11" t="s">
        <v>588</v>
      </c>
      <c r="G2630" s="11" t="s">
        <v>4923</v>
      </c>
      <c r="H2630" s="11"/>
      <c r="I2630" s="11" t="s">
        <v>49</v>
      </c>
      <c r="J2630" s="11">
        <v>2287.54</v>
      </c>
      <c r="K2630" s="11">
        <v>2287.54</v>
      </c>
      <c r="L2630" s="11"/>
      <c r="M2630" s="14">
        <v>2287.54</v>
      </c>
      <c r="N2630" s="11" t="s">
        <v>4922</v>
      </c>
      <c r="O2630" s="11" t="s">
        <v>50</v>
      </c>
    </row>
    <row r="2631" spans="1:15" s="13" customFormat="1" ht="19.5" customHeight="1" x14ac:dyDescent="0.25">
      <c r="A2631" s="11" t="s">
        <v>4924</v>
      </c>
      <c r="B2631" s="11" t="s">
        <v>4925</v>
      </c>
      <c r="C2631" s="12">
        <v>45758</v>
      </c>
      <c r="D2631" s="12">
        <v>45758</v>
      </c>
      <c r="E2631" s="11" t="s">
        <v>6</v>
      </c>
      <c r="F2631" s="11" t="s">
        <v>588</v>
      </c>
      <c r="G2631" s="11" t="s">
        <v>4926</v>
      </c>
      <c r="H2631" s="11" t="s">
        <v>4927</v>
      </c>
      <c r="I2631" s="11" t="s">
        <v>49</v>
      </c>
      <c r="J2631" s="11">
        <v>-9657.1200000000008</v>
      </c>
      <c r="K2631" s="11"/>
      <c r="L2631" s="11">
        <v>9657.1200000000008</v>
      </c>
      <c r="M2631" s="14">
        <v>-9657.1200000000008</v>
      </c>
      <c r="N2631" s="11" t="s">
        <v>4928</v>
      </c>
      <c r="O2631" s="11" t="s">
        <v>75</v>
      </c>
    </row>
    <row r="2632" spans="1:15" s="13" customFormat="1" ht="19.5" customHeight="1" x14ac:dyDescent="0.25">
      <c r="A2632" s="11" t="s">
        <v>4929</v>
      </c>
      <c r="B2632" s="11" t="s">
        <v>4929</v>
      </c>
      <c r="C2632" s="12">
        <v>45742</v>
      </c>
      <c r="D2632" s="12">
        <v>45787</v>
      </c>
      <c r="E2632" s="11" t="s">
        <v>6</v>
      </c>
      <c r="F2632" s="11" t="s">
        <v>588</v>
      </c>
      <c r="G2632" s="11" t="s">
        <v>4929</v>
      </c>
      <c r="H2632" s="11"/>
      <c r="I2632" s="11" t="s">
        <v>49</v>
      </c>
      <c r="J2632" s="11">
        <v>1608.88</v>
      </c>
      <c r="K2632" s="11">
        <v>1608.88</v>
      </c>
      <c r="L2632" s="11"/>
      <c r="M2632" s="14">
        <v>1608.88</v>
      </c>
      <c r="N2632" s="11" t="s">
        <v>4928</v>
      </c>
      <c r="O2632" s="11" t="s">
        <v>50</v>
      </c>
    </row>
    <row r="2633" spans="1:15" s="13" customFormat="1" ht="19.5" customHeight="1" x14ac:dyDescent="0.25">
      <c r="A2633" s="11" t="s">
        <v>4929</v>
      </c>
      <c r="B2633" s="11" t="s">
        <v>4929</v>
      </c>
      <c r="C2633" s="12">
        <v>45742</v>
      </c>
      <c r="D2633" s="12">
        <v>45794</v>
      </c>
      <c r="E2633" s="11" t="s">
        <v>6</v>
      </c>
      <c r="F2633" s="11" t="s">
        <v>588</v>
      </c>
      <c r="G2633" s="11" t="s">
        <v>4929</v>
      </c>
      <c r="H2633" s="11"/>
      <c r="I2633" s="11" t="s">
        <v>49</v>
      </c>
      <c r="J2633" s="11">
        <v>1608.88</v>
      </c>
      <c r="K2633" s="11">
        <v>1608.88</v>
      </c>
      <c r="L2633" s="11"/>
      <c r="M2633" s="14">
        <v>1608.88</v>
      </c>
      <c r="N2633" s="11" t="s">
        <v>4928</v>
      </c>
      <c r="O2633" s="11" t="s">
        <v>50</v>
      </c>
    </row>
    <row r="2634" spans="1:15" s="13" customFormat="1" ht="19.5" customHeight="1" x14ac:dyDescent="0.25">
      <c r="A2634" s="11" t="s">
        <v>4929</v>
      </c>
      <c r="B2634" s="11" t="s">
        <v>4929</v>
      </c>
      <c r="C2634" s="12">
        <v>45742</v>
      </c>
      <c r="D2634" s="12">
        <v>45801</v>
      </c>
      <c r="E2634" s="11" t="s">
        <v>6</v>
      </c>
      <c r="F2634" s="11" t="s">
        <v>588</v>
      </c>
      <c r="G2634" s="11" t="s">
        <v>4929</v>
      </c>
      <c r="H2634" s="11"/>
      <c r="I2634" s="11" t="s">
        <v>49</v>
      </c>
      <c r="J2634" s="11">
        <v>1608.88</v>
      </c>
      <c r="K2634" s="11">
        <v>1608.88</v>
      </c>
      <c r="L2634" s="11"/>
      <c r="M2634" s="14">
        <v>1608.88</v>
      </c>
      <c r="N2634" s="11" t="s">
        <v>4928</v>
      </c>
      <c r="O2634" s="11" t="s">
        <v>50</v>
      </c>
    </row>
    <row r="2635" spans="1:15" s="13" customFormat="1" ht="19.5" customHeight="1" x14ac:dyDescent="0.25">
      <c r="A2635" s="11" t="s">
        <v>4929</v>
      </c>
      <c r="B2635" s="11" t="s">
        <v>4929</v>
      </c>
      <c r="C2635" s="12">
        <v>45742</v>
      </c>
      <c r="D2635" s="12">
        <v>45808</v>
      </c>
      <c r="E2635" s="11" t="s">
        <v>6</v>
      </c>
      <c r="F2635" s="11" t="s">
        <v>588</v>
      </c>
      <c r="G2635" s="11" t="s">
        <v>4929</v>
      </c>
      <c r="H2635" s="11"/>
      <c r="I2635" s="11" t="s">
        <v>49</v>
      </c>
      <c r="J2635" s="11">
        <v>1608.88</v>
      </c>
      <c r="K2635" s="11">
        <v>1608.88</v>
      </c>
      <c r="L2635" s="11"/>
      <c r="M2635" s="14">
        <v>1608.88</v>
      </c>
      <c r="N2635" s="11" t="s">
        <v>4928</v>
      </c>
      <c r="O2635" s="11" t="s">
        <v>50</v>
      </c>
    </row>
    <row r="2636" spans="1:15" s="13" customFormat="1" ht="19.5" customHeight="1" x14ac:dyDescent="0.25">
      <c r="A2636" s="11" t="s">
        <v>4929</v>
      </c>
      <c r="B2636" s="11" t="s">
        <v>4929</v>
      </c>
      <c r="C2636" s="12">
        <v>45742</v>
      </c>
      <c r="D2636" s="12">
        <v>45815</v>
      </c>
      <c r="E2636" s="11" t="s">
        <v>6</v>
      </c>
      <c r="F2636" s="11" t="s">
        <v>588</v>
      </c>
      <c r="G2636" s="11" t="s">
        <v>4929</v>
      </c>
      <c r="H2636" s="11"/>
      <c r="I2636" s="11" t="s">
        <v>49</v>
      </c>
      <c r="J2636" s="11">
        <v>1608.88</v>
      </c>
      <c r="K2636" s="11">
        <v>1608.88</v>
      </c>
      <c r="L2636" s="11"/>
      <c r="M2636" s="14">
        <v>1608.88</v>
      </c>
      <c r="N2636" s="11" t="s">
        <v>4928</v>
      </c>
      <c r="O2636" s="11" t="s">
        <v>50</v>
      </c>
    </row>
    <row r="2637" spans="1:15" s="13" customFormat="1" ht="19.5" customHeight="1" x14ac:dyDescent="0.25">
      <c r="A2637" s="11" t="s">
        <v>4929</v>
      </c>
      <c r="B2637" s="11" t="s">
        <v>4929</v>
      </c>
      <c r="C2637" s="12">
        <v>45742</v>
      </c>
      <c r="D2637" s="12">
        <v>45832</v>
      </c>
      <c r="E2637" s="11" t="s">
        <v>6</v>
      </c>
      <c r="F2637" s="11" t="s">
        <v>588</v>
      </c>
      <c r="G2637" s="11" t="s">
        <v>4929</v>
      </c>
      <c r="H2637" s="11"/>
      <c r="I2637" s="11" t="s">
        <v>49</v>
      </c>
      <c r="J2637" s="11">
        <v>1612.72</v>
      </c>
      <c r="K2637" s="11">
        <v>1612.72</v>
      </c>
      <c r="L2637" s="11"/>
      <c r="M2637" s="14">
        <v>1612.72</v>
      </c>
      <c r="N2637" s="11" t="s">
        <v>4928</v>
      </c>
      <c r="O2637" s="11" t="s">
        <v>50</v>
      </c>
    </row>
    <row r="2638" spans="1:15" s="13" customFormat="1" ht="19.5" customHeight="1" x14ac:dyDescent="0.25">
      <c r="A2638" s="11" t="s">
        <v>4930</v>
      </c>
      <c r="B2638" s="11" t="s">
        <v>4931</v>
      </c>
      <c r="C2638" s="12">
        <v>45758</v>
      </c>
      <c r="D2638" s="12">
        <v>45758</v>
      </c>
      <c r="E2638" s="11" t="s">
        <v>6</v>
      </c>
      <c r="F2638" s="11" t="s">
        <v>588</v>
      </c>
      <c r="G2638" s="11" t="s">
        <v>4932</v>
      </c>
      <c r="H2638" s="11" t="s">
        <v>4933</v>
      </c>
      <c r="I2638" s="11" t="s">
        <v>49</v>
      </c>
      <c r="J2638" s="11">
        <v>-7896.06</v>
      </c>
      <c r="K2638" s="11"/>
      <c r="L2638" s="11">
        <v>7896.06</v>
      </c>
      <c r="M2638" s="14">
        <v>-7896.06</v>
      </c>
      <c r="N2638" s="11" t="s">
        <v>4934</v>
      </c>
      <c r="O2638" s="11" t="s">
        <v>75</v>
      </c>
    </row>
    <row r="2639" spans="1:15" s="13" customFormat="1" ht="19.5" customHeight="1" x14ac:dyDescent="0.25">
      <c r="A2639" s="11" t="s">
        <v>4935</v>
      </c>
      <c r="B2639" s="11" t="s">
        <v>4935</v>
      </c>
      <c r="C2639" s="12">
        <v>45720</v>
      </c>
      <c r="D2639" s="12">
        <v>45765</v>
      </c>
      <c r="E2639" s="11" t="s">
        <v>6</v>
      </c>
      <c r="F2639" s="11" t="s">
        <v>588</v>
      </c>
      <c r="G2639" s="11" t="s">
        <v>4935</v>
      </c>
      <c r="H2639" s="11"/>
      <c r="I2639" s="11" t="s">
        <v>49</v>
      </c>
      <c r="J2639" s="11">
        <v>1974.02</v>
      </c>
      <c r="K2639" s="11">
        <v>1974.02</v>
      </c>
      <c r="L2639" s="11"/>
      <c r="M2639" s="14">
        <v>1974.02</v>
      </c>
      <c r="N2639" s="11" t="s">
        <v>4934</v>
      </c>
      <c r="O2639" s="11" t="s">
        <v>50</v>
      </c>
    </row>
    <row r="2640" spans="1:15" s="13" customFormat="1" ht="19.5" customHeight="1" x14ac:dyDescent="0.25">
      <c r="A2640" s="11" t="s">
        <v>4935</v>
      </c>
      <c r="B2640" s="11" t="s">
        <v>4935</v>
      </c>
      <c r="C2640" s="12">
        <v>45720</v>
      </c>
      <c r="D2640" s="12">
        <v>45775</v>
      </c>
      <c r="E2640" s="11" t="s">
        <v>6</v>
      </c>
      <c r="F2640" s="11" t="s">
        <v>588</v>
      </c>
      <c r="G2640" s="11" t="s">
        <v>4935</v>
      </c>
      <c r="H2640" s="11"/>
      <c r="I2640" s="11" t="s">
        <v>49</v>
      </c>
      <c r="J2640" s="11">
        <v>1974.02</v>
      </c>
      <c r="K2640" s="11">
        <v>1974.02</v>
      </c>
      <c r="L2640" s="11"/>
      <c r="M2640" s="14">
        <v>1974.02</v>
      </c>
      <c r="N2640" s="11" t="s">
        <v>4934</v>
      </c>
      <c r="O2640" s="11" t="s">
        <v>50</v>
      </c>
    </row>
    <row r="2641" spans="1:15" s="13" customFormat="1" ht="19.5" customHeight="1" x14ac:dyDescent="0.25">
      <c r="A2641" s="11" t="s">
        <v>4935</v>
      </c>
      <c r="B2641" s="11" t="s">
        <v>4935</v>
      </c>
      <c r="C2641" s="12">
        <v>45720</v>
      </c>
      <c r="D2641" s="12">
        <v>45785</v>
      </c>
      <c r="E2641" s="11" t="s">
        <v>6</v>
      </c>
      <c r="F2641" s="11" t="s">
        <v>588</v>
      </c>
      <c r="G2641" s="11" t="s">
        <v>4935</v>
      </c>
      <c r="H2641" s="11"/>
      <c r="I2641" s="11" t="s">
        <v>49</v>
      </c>
      <c r="J2641" s="11">
        <v>1974.02</v>
      </c>
      <c r="K2641" s="11">
        <v>1974.02</v>
      </c>
      <c r="L2641" s="11"/>
      <c r="M2641" s="14">
        <v>1974.02</v>
      </c>
      <c r="N2641" s="11" t="s">
        <v>4934</v>
      </c>
      <c r="O2641" s="11" t="s">
        <v>50</v>
      </c>
    </row>
    <row r="2642" spans="1:15" s="13" customFormat="1" ht="19.5" customHeight="1" x14ac:dyDescent="0.25">
      <c r="A2642" s="11" t="s">
        <v>4935</v>
      </c>
      <c r="B2642" s="11" t="s">
        <v>4935</v>
      </c>
      <c r="C2642" s="12">
        <v>45720</v>
      </c>
      <c r="D2642" s="12">
        <v>45795</v>
      </c>
      <c r="E2642" s="11" t="s">
        <v>6</v>
      </c>
      <c r="F2642" s="11" t="s">
        <v>588</v>
      </c>
      <c r="G2642" s="11" t="s">
        <v>4935</v>
      </c>
      <c r="H2642" s="11"/>
      <c r="I2642" s="11" t="s">
        <v>49</v>
      </c>
      <c r="J2642" s="11">
        <v>1974</v>
      </c>
      <c r="K2642" s="11">
        <v>1974</v>
      </c>
      <c r="L2642" s="11"/>
      <c r="M2642" s="14">
        <v>1974</v>
      </c>
      <c r="N2642" s="11" t="s">
        <v>4934</v>
      </c>
      <c r="O2642" s="11" t="s">
        <v>50</v>
      </c>
    </row>
    <row r="2643" spans="1:15" s="13" customFormat="1" ht="19.5" customHeight="1" x14ac:dyDescent="0.25">
      <c r="A2643" s="11" t="s">
        <v>4936</v>
      </c>
      <c r="B2643" s="11" t="s">
        <v>4937</v>
      </c>
      <c r="C2643" s="12">
        <v>45758</v>
      </c>
      <c r="D2643" s="12">
        <v>45758</v>
      </c>
      <c r="E2643" s="11" t="s">
        <v>6</v>
      </c>
      <c r="F2643" s="11" t="s">
        <v>588</v>
      </c>
      <c r="G2643" s="11" t="s">
        <v>4938</v>
      </c>
      <c r="H2643" s="11" t="s">
        <v>4939</v>
      </c>
      <c r="I2643" s="11" t="s">
        <v>49</v>
      </c>
      <c r="J2643" s="11">
        <v>-7889.41</v>
      </c>
      <c r="K2643" s="11"/>
      <c r="L2643" s="11">
        <v>7889.41</v>
      </c>
      <c r="M2643" s="14">
        <v>-7889.41</v>
      </c>
      <c r="N2643" s="11" t="s">
        <v>4940</v>
      </c>
      <c r="O2643" s="11" t="s">
        <v>75</v>
      </c>
    </row>
    <row r="2644" spans="1:15" s="13" customFormat="1" ht="19.5" customHeight="1" x14ac:dyDescent="0.25">
      <c r="A2644" s="11" t="s">
        <v>4941</v>
      </c>
      <c r="B2644" s="11" t="s">
        <v>4941</v>
      </c>
      <c r="C2644" s="12">
        <v>45729</v>
      </c>
      <c r="D2644" s="12">
        <v>45774</v>
      </c>
      <c r="E2644" s="11" t="s">
        <v>6</v>
      </c>
      <c r="F2644" s="11" t="s">
        <v>588</v>
      </c>
      <c r="G2644" s="11" t="s">
        <v>4941</v>
      </c>
      <c r="H2644" s="11"/>
      <c r="I2644" s="11" t="s">
        <v>49</v>
      </c>
      <c r="J2644" s="11">
        <v>1972.35</v>
      </c>
      <c r="K2644" s="11">
        <v>1972.35</v>
      </c>
      <c r="L2644" s="11"/>
      <c r="M2644" s="14">
        <v>1972.35</v>
      </c>
      <c r="N2644" s="11" t="s">
        <v>4940</v>
      </c>
      <c r="O2644" s="11" t="s">
        <v>50</v>
      </c>
    </row>
    <row r="2645" spans="1:15" s="13" customFormat="1" ht="19.5" customHeight="1" x14ac:dyDescent="0.25">
      <c r="A2645" s="11" t="s">
        <v>4941</v>
      </c>
      <c r="B2645" s="11" t="s">
        <v>4941</v>
      </c>
      <c r="C2645" s="12">
        <v>45729</v>
      </c>
      <c r="D2645" s="12">
        <v>45784</v>
      </c>
      <c r="E2645" s="11" t="s">
        <v>6</v>
      </c>
      <c r="F2645" s="11" t="s">
        <v>588</v>
      </c>
      <c r="G2645" s="11" t="s">
        <v>4941</v>
      </c>
      <c r="H2645" s="11"/>
      <c r="I2645" s="11" t="s">
        <v>49</v>
      </c>
      <c r="J2645" s="11">
        <v>1972.35</v>
      </c>
      <c r="K2645" s="11">
        <v>1972.35</v>
      </c>
      <c r="L2645" s="11"/>
      <c r="M2645" s="14">
        <v>1972.35</v>
      </c>
      <c r="N2645" s="11" t="s">
        <v>4940</v>
      </c>
      <c r="O2645" s="11" t="s">
        <v>50</v>
      </c>
    </row>
    <row r="2646" spans="1:15" s="13" customFormat="1" ht="19.5" customHeight="1" x14ac:dyDescent="0.25">
      <c r="A2646" s="11" t="s">
        <v>4941</v>
      </c>
      <c r="B2646" s="11" t="s">
        <v>4941</v>
      </c>
      <c r="C2646" s="12">
        <v>45729</v>
      </c>
      <c r="D2646" s="12">
        <v>45794</v>
      </c>
      <c r="E2646" s="11" t="s">
        <v>6</v>
      </c>
      <c r="F2646" s="11" t="s">
        <v>588</v>
      </c>
      <c r="G2646" s="11" t="s">
        <v>4941</v>
      </c>
      <c r="H2646" s="11"/>
      <c r="I2646" s="11" t="s">
        <v>49</v>
      </c>
      <c r="J2646" s="11">
        <v>1972.35</v>
      </c>
      <c r="K2646" s="11">
        <v>1972.35</v>
      </c>
      <c r="L2646" s="11"/>
      <c r="M2646" s="14">
        <v>1972.35</v>
      </c>
      <c r="N2646" s="11" t="s">
        <v>4940</v>
      </c>
      <c r="O2646" s="11" t="s">
        <v>50</v>
      </c>
    </row>
    <row r="2647" spans="1:15" s="13" customFormat="1" ht="19.5" customHeight="1" x14ac:dyDescent="0.25">
      <c r="A2647" s="11" t="s">
        <v>4941</v>
      </c>
      <c r="B2647" s="11" t="s">
        <v>4941</v>
      </c>
      <c r="C2647" s="12">
        <v>45729</v>
      </c>
      <c r="D2647" s="12">
        <v>45804</v>
      </c>
      <c r="E2647" s="11" t="s">
        <v>6</v>
      </c>
      <c r="F2647" s="11" t="s">
        <v>588</v>
      </c>
      <c r="G2647" s="11" t="s">
        <v>4941</v>
      </c>
      <c r="H2647" s="11"/>
      <c r="I2647" s="11" t="s">
        <v>49</v>
      </c>
      <c r="J2647" s="11">
        <v>1972.36</v>
      </c>
      <c r="K2647" s="11">
        <v>1972.36</v>
      </c>
      <c r="L2647" s="11"/>
      <c r="M2647" s="14">
        <v>1972.36</v>
      </c>
      <c r="N2647" s="11" t="s">
        <v>4940</v>
      </c>
      <c r="O2647" s="11" t="s">
        <v>50</v>
      </c>
    </row>
    <row r="2648" spans="1:15" s="13" customFormat="1" ht="19.5" customHeight="1" x14ac:dyDescent="0.25">
      <c r="A2648" s="11" t="s">
        <v>4942</v>
      </c>
      <c r="B2648" s="11" t="s">
        <v>4943</v>
      </c>
      <c r="C2648" s="12">
        <v>45758</v>
      </c>
      <c r="D2648" s="12">
        <v>45758</v>
      </c>
      <c r="E2648" s="11" t="s">
        <v>6</v>
      </c>
      <c r="F2648" s="11" t="s">
        <v>588</v>
      </c>
      <c r="G2648" s="11" t="s">
        <v>4944</v>
      </c>
      <c r="H2648" s="11" t="s">
        <v>4945</v>
      </c>
      <c r="I2648" s="11" t="s">
        <v>49</v>
      </c>
      <c r="J2648" s="11">
        <v>-8843.4500000000007</v>
      </c>
      <c r="K2648" s="11"/>
      <c r="L2648" s="11">
        <v>8843.4500000000007</v>
      </c>
      <c r="M2648" s="14">
        <v>-8843.4500000000007</v>
      </c>
      <c r="N2648" s="11" t="s">
        <v>4946</v>
      </c>
      <c r="O2648" s="11" t="s">
        <v>75</v>
      </c>
    </row>
    <row r="2649" spans="1:15" s="13" customFormat="1" ht="19.5" customHeight="1" x14ac:dyDescent="0.25">
      <c r="A2649" s="11" t="s">
        <v>4947</v>
      </c>
      <c r="B2649" s="11" t="s">
        <v>4947</v>
      </c>
      <c r="C2649" s="12">
        <v>45730</v>
      </c>
      <c r="D2649" s="12">
        <v>45775</v>
      </c>
      <c r="E2649" s="11" t="s">
        <v>6</v>
      </c>
      <c r="F2649" s="11" t="s">
        <v>588</v>
      </c>
      <c r="G2649" s="11" t="s">
        <v>4947</v>
      </c>
      <c r="H2649" s="11"/>
      <c r="I2649" s="11" t="s">
        <v>49</v>
      </c>
      <c r="J2649" s="11">
        <v>2210.86</v>
      </c>
      <c r="K2649" s="11">
        <v>2210.86</v>
      </c>
      <c r="L2649" s="11"/>
      <c r="M2649" s="14">
        <v>2210.86</v>
      </c>
      <c r="N2649" s="11" t="s">
        <v>4946</v>
      </c>
      <c r="O2649" s="11" t="s">
        <v>50</v>
      </c>
    </row>
    <row r="2650" spans="1:15" s="13" customFormat="1" ht="19.5" customHeight="1" x14ac:dyDescent="0.25">
      <c r="A2650" s="11" t="s">
        <v>4947</v>
      </c>
      <c r="B2650" s="11" t="s">
        <v>4947</v>
      </c>
      <c r="C2650" s="12">
        <v>45730</v>
      </c>
      <c r="D2650" s="12">
        <v>45785</v>
      </c>
      <c r="E2650" s="11" t="s">
        <v>6</v>
      </c>
      <c r="F2650" s="11" t="s">
        <v>588</v>
      </c>
      <c r="G2650" s="11" t="s">
        <v>4947</v>
      </c>
      <c r="H2650" s="11"/>
      <c r="I2650" s="11" t="s">
        <v>49</v>
      </c>
      <c r="J2650" s="11">
        <v>2210.86</v>
      </c>
      <c r="K2650" s="11">
        <v>2210.86</v>
      </c>
      <c r="L2650" s="11"/>
      <c r="M2650" s="14">
        <v>2210.86</v>
      </c>
      <c r="N2650" s="11" t="s">
        <v>4946</v>
      </c>
      <c r="O2650" s="11" t="s">
        <v>50</v>
      </c>
    </row>
    <row r="2651" spans="1:15" s="13" customFormat="1" ht="19.5" customHeight="1" x14ac:dyDescent="0.25">
      <c r="A2651" s="11" t="s">
        <v>4947</v>
      </c>
      <c r="B2651" s="11" t="s">
        <v>4947</v>
      </c>
      <c r="C2651" s="12">
        <v>45730</v>
      </c>
      <c r="D2651" s="12">
        <v>45795</v>
      </c>
      <c r="E2651" s="11" t="s">
        <v>6</v>
      </c>
      <c r="F2651" s="11" t="s">
        <v>588</v>
      </c>
      <c r="G2651" s="11" t="s">
        <v>4947</v>
      </c>
      <c r="H2651" s="11"/>
      <c r="I2651" s="11" t="s">
        <v>49</v>
      </c>
      <c r="J2651" s="11">
        <v>2210.86</v>
      </c>
      <c r="K2651" s="11">
        <v>2210.86</v>
      </c>
      <c r="L2651" s="11"/>
      <c r="M2651" s="14">
        <v>2210.86</v>
      </c>
      <c r="N2651" s="11" t="s">
        <v>4946</v>
      </c>
      <c r="O2651" s="11" t="s">
        <v>50</v>
      </c>
    </row>
    <row r="2652" spans="1:15" s="13" customFormat="1" ht="19.5" customHeight="1" x14ac:dyDescent="0.25">
      <c r="A2652" s="11" t="s">
        <v>4947</v>
      </c>
      <c r="B2652" s="11" t="s">
        <v>4947</v>
      </c>
      <c r="C2652" s="12">
        <v>45730</v>
      </c>
      <c r="D2652" s="12">
        <v>45805</v>
      </c>
      <c r="E2652" s="11" t="s">
        <v>6</v>
      </c>
      <c r="F2652" s="11" t="s">
        <v>588</v>
      </c>
      <c r="G2652" s="11" t="s">
        <v>4947</v>
      </c>
      <c r="H2652" s="11"/>
      <c r="I2652" s="11" t="s">
        <v>49</v>
      </c>
      <c r="J2652" s="11">
        <v>2210.87</v>
      </c>
      <c r="K2652" s="11">
        <v>2210.87</v>
      </c>
      <c r="L2652" s="11"/>
      <c r="M2652" s="14">
        <v>2210.87</v>
      </c>
      <c r="N2652" s="11" t="s">
        <v>4946</v>
      </c>
      <c r="O2652" s="11" t="s">
        <v>50</v>
      </c>
    </row>
    <row r="2653" spans="1:15" s="13" customFormat="1" ht="19.5" customHeight="1" x14ac:dyDescent="0.25">
      <c r="A2653" s="11" t="s">
        <v>4948</v>
      </c>
      <c r="B2653" s="11" t="s">
        <v>4948</v>
      </c>
      <c r="C2653" s="12">
        <v>45744</v>
      </c>
      <c r="D2653" s="11"/>
      <c r="E2653" s="11" t="s">
        <v>6</v>
      </c>
      <c r="F2653" s="11" t="s">
        <v>2681</v>
      </c>
      <c r="G2653" s="11"/>
      <c r="H2653" s="11"/>
      <c r="I2653" s="11" t="s">
        <v>49</v>
      </c>
      <c r="J2653" s="11">
        <v>469.51</v>
      </c>
      <c r="K2653" s="11">
        <v>469.51</v>
      </c>
      <c r="L2653" s="11"/>
      <c r="M2653" s="14">
        <v>469.51</v>
      </c>
      <c r="N2653" s="11" t="s">
        <v>4949</v>
      </c>
      <c r="O2653" s="11" t="s">
        <v>2000</v>
      </c>
    </row>
    <row r="2654" spans="1:15" s="13" customFormat="1" ht="19.5" customHeight="1" x14ac:dyDescent="0.25">
      <c r="A2654" s="11" t="s">
        <v>4950</v>
      </c>
      <c r="B2654" s="11" t="s">
        <v>4950</v>
      </c>
      <c r="C2654" s="12">
        <v>45743</v>
      </c>
      <c r="D2654" s="12">
        <v>45743</v>
      </c>
      <c r="E2654" s="11" t="s">
        <v>6</v>
      </c>
      <c r="F2654" s="11" t="s">
        <v>2681</v>
      </c>
      <c r="G2654" s="11" t="s">
        <v>4950</v>
      </c>
      <c r="H2654" s="11"/>
      <c r="I2654" s="11" t="s">
        <v>49</v>
      </c>
      <c r="J2654" s="11">
        <v>156.02000000000001</v>
      </c>
      <c r="K2654" s="11">
        <v>156.02000000000001</v>
      </c>
      <c r="L2654" s="11"/>
      <c r="M2654" s="14">
        <v>156.02000000000001</v>
      </c>
      <c r="N2654" s="11" t="s">
        <v>4949</v>
      </c>
      <c r="O2654" s="11" t="s">
        <v>75</v>
      </c>
    </row>
    <row r="2655" spans="1:15" s="13" customFormat="1" ht="19.5" customHeight="1" x14ac:dyDescent="0.25">
      <c r="A2655" s="11" t="s">
        <v>4951</v>
      </c>
      <c r="B2655" s="11" t="s">
        <v>4951</v>
      </c>
      <c r="C2655" s="12">
        <v>45743</v>
      </c>
      <c r="D2655" s="12">
        <v>45743</v>
      </c>
      <c r="E2655" s="11" t="s">
        <v>6</v>
      </c>
      <c r="F2655" s="11" t="s">
        <v>2681</v>
      </c>
      <c r="G2655" s="11" t="s">
        <v>4951</v>
      </c>
      <c r="H2655" s="11"/>
      <c r="I2655" s="11" t="s">
        <v>49</v>
      </c>
      <c r="J2655" s="11">
        <v>98.56</v>
      </c>
      <c r="K2655" s="11">
        <v>98.56</v>
      </c>
      <c r="L2655" s="11"/>
      <c r="M2655" s="14">
        <v>98.56</v>
      </c>
      <c r="N2655" s="11" t="s">
        <v>4949</v>
      </c>
      <c r="O2655" s="11" t="s">
        <v>75</v>
      </c>
    </row>
    <row r="2656" spans="1:15" s="13" customFormat="1" ht="19.5" customHeight="1" x14ac:dyDescent="0.25">
      <c r="A2656" s="11" t="s">
        <v>4952</v>
      </c>
      <c r="B2656" s="11" t="s">
        <v>4952</v>
      </c>
      <c r="C2656" s="12">
        <v>45743</v>
      </c>
      <c r="D2656" s="12">
        <v>45743</v>
      </c>
      <c r="E2656" s="11" t="s">
        <v>6</v>
      </c>
      <c r="F2656" s="11" t="s">
        <v>2681</v>
      </c>
      <c r="G2656" s="11" t="s">
        <v>4952</v>
      </c>
      <c r="H2656" s="11"/>
      <c r="I2656" s="11" t="s">
        <v>49</v>
      </c>
      <c r="J2656" s="11">
        <v>100.01</v>
      </c>
      <c r="K2656" s="11">
        <v>100.01</v>
      </c>
      <c r="L2656" s="11"/>
      <c r="M2656" s="14">
        <v>100.01</v>
      </c>
      <c r="N2656" s="11" t="s">
        <v>4949</v>
      </c>
      <c r="O2656" s="11" t="s">
        <v>75</v>
      </c>
    </row>
    <row r="2657" spans="1:15" s="13" customFormat="1" ht="19.5" customHeight="1" x14ac:dyDescent="0.25">
      <c r="A2657" s="11" t="s">
        <v>4953</v>
      </c>
      <c r="B2657" s="11" t="s">
        <v>4953</v>
      </c>
      <c r="C2657" s="12">
        <v>45743</v>
      </c>
      <c r="D2657" s="12">
        <v>45743</v>
      </c>
      <c r="E2657" s="11" t="s">
        <v>6</v>
      </c>
      <c r="F2657" s="11" t="s">
        <v>2681</v>
      </c>
      <c r="G2657" s="11" t="s">
        <v>4953</v>
      </c>
      <c r="H2657" s="11"/>
      <c r="I2657" s="11" t="s">
        <v>49</v>
      </c>
      <c r="J2657" s="11">
        <v>146.75</v>
      </c>
      <c r="K2657" s="11">
        <v>146.75</v>
      </c>
      <c r="L2657" s="11"/>
      <c r="M2657" s="14">
        <v>146.75</v>
      </c>
      <c r="N2657" s="11" t="s">
        <v>4949</v>
      </c>
      <c r="O2657" s="11" t="s">
        <v>75</v>
      </c>
    </row>
    <row r="2658" spans="1:15" s="13" customFormat="1" ht="19.5" customHeight="1" x14ac:dyDescent="0.25">
      <c r="A2658" s="11" t="s">
        <v>4954</v>
      </c>
      <c r="B2658" s="11" t="s">
        <v>4954</v>
      </c>
      <c r="C2658" s="12">
        <v>45729</v>
      </c>
      <c r="D2658" s="12">
        <v>45729</v>
      </c>
      <c r="E2658" s="11" t="s">
        <v>6</v>
      </c>
      <c r="F2658" s="11" t="s">
        <v>2681</v>
      </c>
      <c r="G2658" s="11" t="s">
        <v>4954</v>
      </c>
      <c r="H2658" s="11"/>
      <c r="I2658" s="11" t="s">
        <v>49</v>
      </c>
      <c r="J2658" s="11">
        <v>156.02000000000001</v>
      </c>
      <c r="K2658" s="11">
        <v>156.02000000000001</v>
      </c>
      <c r="L2658" s="11"/>
      <c r="M2658" s="14">
        <v>156.02000000000001</v>
      </c>
      <c r="N2658" s="11" t="s">
        <v>4949</v>
      </c>
      <c r="O2658" s="11" t="s">
        <v>234</v>
      </c>
    </row>
    <row r="2659" spans="1:15" s="13" customFormat="1" ht="19.5" customHeight="1" x14ac:dyDescent="0.25">
      <c r="A2659" s="11" t="s">
        <v>4955</v>
      </c>
      <c r="B2659" s="11" t="s">
        <v>4955</v>
      </c>
      <c r="C2659" s="12">
        <v>45728</v>
      </c>
      <c r="D2659" s="12">
        <v>45728</v>
      </c>
      <c r="E2659" s="11" t="s">
        <v>6</v>
      </c>
      <c r="F2659" s="11" t="s">
        <v>2681</v>
      </c>
      <c r="G2659" s="11"/>
      <c r="H2659" s="11"/>
      <c r="I2659" s="11" t="s">
        <v>49</v>
      </c>
      <c r="J2659" s="11">
        <v>-294.26</v>
      </c>
      <c r="K2659" s="11"/>
      <c r="L2659" s="11">
        <v>294.26</v>
      </c>
      <c r="M2659" s="14">
        <v>-294.26</v>
      </c>
      <c r="N2659" s="11" t="s">
        <v>4949</v>
      </c>
      <c r="O2659" s="11" t="s">
        <v>50</v>
      </c>
    </row>
    <row r="2660" spans="1:15" s="13" customFormat="1" ht="19.5" customHeight="1" x14ac:dyDescent="0.25">
      <c r="A2660" s="11" t="s">
        <v>4956</v>
      </c>
      <c r="B2660" s="11" t="s">
        <v>4956</v>
      </c>
      <c r="C2660" s="12">
        <v>45727</v>
      </c>
      <c r="D2660" s="12">
        <v>45727</v>
      </c>
      <c r="E2660" s="11" t="s">
        <v>6</v>
      </c>
      <c r="F2660" s="11" t="s">
        <v>2681</v>
      </c>
      <c r="G2660" s="11"/>
      <c r="H2660" s="11"/>
      <c r="I2660" s="11" t="s">
        <v>49</v>
      </c>
      <c r="J2660" s="11">
        <v>-832.61</v>
      </c>
      <c r="K2660" s="11"/>
      <c r="L2660" s="11">
        <v>832.61</v>
      </c>
      <c r="M2660" s="14">
        <v>-832.61</v>
      </c>
      <c r="N2660" s="11" t="s">
        <v>4949</v>
      </c>
      <c r="O2660" s="11" t="s">
        <v>50</v>
      </c>
    </row>
    <row r="2661" spans="1:15" s="13" customFormat="1" ht="19.5" customHeight="1" x14ac:dyDescent="0.25">
      <c r="A2661" s="11" t="s">
        <v>4957</v>
      </c>
      <c r="B2661" s="11" t="s">
        <v>4957</v>
      </c>
      <c r="C2661" s="12">
        <v>45951</v>
      </c>
      <c r="D2661" s="12">
        <v>45981</v>
      </c>
      <c r="E2661" s="11" t="s">
        <v>6</v>
      </c>
      <c r="F2661" s="11" t="s">
        <v>4958</v>
      </c>
      <c r="G2661" s="11" t="s">
        <v>4957</v>
      </c>
      <c r="H2661" s="11"/>
      <c r="I2661" s="11" t="s">
        <v>49</v>
      </c>
      <c r="J2661" s="11">
        <v>73.63</v>
      </c>
      <c r="K2661" s="11">
        <v>73.63</v>
      </c>
      <c r="L2661" s="11"/>
      <c r="M2661" s="11">
        <v>73.63</v>
      </c>
      <c r="N2661" s="11"/>
      <c r="O2661" s="11" t="s">
        <v>50</v>
      </c>
    </row>
    <row r="2662" spans="1:15" s="13" customFormat="1" ht="19.5" customHeight="1" x14ac:dyDescent="0.25">
      <c r="A2662" s="11" t="s">
        <v>4959</v>
      </c>
      <c r="B2662" s="11" t="s">
        <v>4959</v>
      </c>
      <c r="C2662" s="12">
        <v>45950</v>
      </c>
      <c r="D2662" s="12">
        <v>45950</v>
      </c>
      <c r="E2662" s="11" t="s">
        <v>6</v>
      </c>
      <c r="F2662" s="11" t="s">
        <v>4024</v>
      </c>
      <c r="G2662" s="11" t="s">
        <v>4959</v>
      </c>
      <c r="H2662" s="11"/>
      <c r="I2662" s="11" t="s">
        <v>49</v>
      </c>
      <c r="J2662" s="11">
        <v>176.63</v>
      </c>
      <c r="K2662" s="11">
        <v>176.63</v>
      </c>
      <c r="L2662" s="11"/>
      <c r="M2662" s="11">
        <v>176.63</v>
      </c>
      <c r="N2662" s="11" t="s">
        <v>4960</v>
      </c>
      <c r="O2662" s="11" t="s">
        <v>50</v>
      </c>
    </row>
    <row r="2663" spans="1:15" s="13" customFormat="1" ht="19.5" customHeight="1" x14ac:dyDescent="0.25">
      <c r="A2663" s="11" t="s">
        <v>4961</v>
      </c>
      <c r="B2663" s="11" t="s">
        <v>4961</v>
      </c>
      <c r="C2663" s="12">
        <v>45947</v>
      </c>
      <c r="D2663" s="12">
        <v>45947</v>
      </c>
      <c r="E2663" s="11" t="s">
        <v>6</v>
      </c>
      <c r="F2663" s="11" t="s">
        <v>4962</v>
      </c>
      <c r="G2663" s="11" t="s">
        <v>4961</v>
      </c>
      <c r="H2663" s="11"/>
      <c r="I2663" s="11" t="s">
        <v>49</v>
      </c>
      <c r="J2663" s="11">
        <v>78.38</v>
      </c>
      <c r="K2663" s="11">
        <v>78.38</v>
      </c>
      <c r="L2663" s="11"/>
      <c r="M2663" s="11">
        <v>78.38</v>
      </c>
      <c r="N2663" s="11" t="s">
        <v>4963</v>
      </c>
      <c r="O2663" s="11" t="s">
        <v>50</v>
      </c>
    </row>
    <row r="2664" spans="1:15" s="13" customFormat="1" ht="19.5" customHeight="1" x14ac:dyDescent="0.25">
      <c r="A2664" s="11" t="s">
        <v>4964</v>
      </c>
      <c r="B2664" s="11" t="s">
        <v>4964</v>
      </c>
      <c r="C2664" s="12">
        <v>45947</v>
      </c>
      <c r="D2664" s="12">
        <v>45947</v>
      </c>
      <c r="E2664" s="11" t="s">
        <v>6</v>
      </c>
      <c r="F2664" s="11" t="s">
        <v>4965</v>
      </c>
      <c r="G2664" s="11" t="s">
        <v>4964</v>
      </c>
      <c r="H2664" s="11"/>
      <c r="I2664" s="11" t="s">
        <v>49</v>
      </c>
      <c r="J2664" s="11">
        <v>107.2</v>
      </c>
      <c r="K2664" s="11">
        <v>107.2</v>
      </c>
      <c r="L2664" s="11"/>
      <c r="M2664" s="11">
        <v>107.2</v>
      </c>
      <c r="N2664" s="11" t="s">
        <v>4966</v>
      </c>
      <c r="O2664" s="11" t="s">
        <v>50</v>
      </c>
    </row>
    <row r="2665" spans="1:15" s="13" customFormat="1" ht="19.5" customHeight="1" x14ac:dyDescent="0.25">
      <c r="A2665" s="11" t="s">
        <v>4967</v>
      </c>
      <c r="B2665" s="11" t="s">
        <v>4967</v>
      </c>
      <c r="C2665" s="12">
        <v>45946</v>
      </c>
      <c r="D2665" s="12">
        <v>45946</v>
      </c>
      <c r="E2665" s="11" t="s">
        <v>6</v>
      </c>
      <c r="F2665" s="11" t="s">
        <v>4968</v>
      </c>
      <c r="G2665" s="11" t="s">
        <v>4967</v>
      </c>
      <c r="H2665" s="11"/>
      <c r="I2665" s="11" t="s">
        <v>49</v>
      </c>
      <c r="J2665" s="11">
        <v>89.51</v>
      </c>
      <c r="K2665" s="11">
        <v>89.51</v>
      </c>
      <c r="L2665" s="11"/>
      <c r="M2665" s="11">
        <v>89.51</v>
      </c>
      <c r="N2665" s="11" t="s">
        <v>4969</v>
      </c>
      <c r="O2665" s="11" t="s">
        <v>50</v>
      </c>
    </row>
    <row r="2666" spans="1:15" s="13" customFormat="1" ht="19.5" customHeight="1" x14ac:dyDescent="0.25">
      <c r="A2666" s="11" t="s">
        <v>4970</v>
      </c>
      <c r="B2666" s="11" t="s">
        <v>4970</v>
      </c>
      <c r="C2666" s="12">
        <v>45929</v>
      </c>
      <c r="D2666" s="12">
        <v>45929</v>
      </c>
      <c r="E2666" s="11" t="s">
        <v>6</v>
      </c>
      <c r="F2666" s="11" t="s">
        <v>4971</v>
      </c>
      <c r="G2666" s="11" t="s">
        <v>4970</v>
      </c>
      <c r="H2666" s="11"/>
      <c r="I2666" s="11" t="s">
        <v>49</v>
      </c>
      <c r="J2666" s="11">
        <v>168.1</v>
      </c>
      <c r="K2666" s="11">
        <v>168.1</v>
      </c>
      <c r="L2666" s="11"/>
      <c r="M2666" s="11">
        <v>168.1</v>
      </c>
      <c r="N2666" s="11"/>
      <c r="O2666" s="11" t="s">
        <v>50</v>
      </c>
    </row>
    <row r="2667" spans="1:15" s="13" customFormat="1" ht="19.5" customHeight="1" x14ac:dyDescent="0.25">
      <c r="A2667" s="11" t="s">
        <v>4972</v>
      </c>
      <c r="B2667" s="11" t="s">
        <v>4972</v>
      </c>
      <c r="C2667" s="12">
        <v>45922</v>
      </c>
      <c r="D2667" s="12">
        <v>45922</v>
      </c>
      <c r="E2667" s="11" t="s">
        <v>6</v>
      </c>
      <c r="F2667" s="11" t="s">
        <v>4866</v>
      </c>
      <c r="G2667" s="11" t="s">
        <v>4972</v>
      </c>
      <c r="H2667" s="11"/>
      <c r="I2667" s="11" t="s">
        <v>49</v>
      </c>
      <c r="J2667" s="11">
        <v>103.7</v>
      </c>
      <c r="K2667" s="11">
        <v>103.7</v>
      </c>
      <c r="L2667" s="11"/>
      <c r="M2667" s="11">
        <v>103.7</v>
      </c>
      <c r="N2667" s="11" t="s">
        <v>4973</v>
      </c>
      <c r="O2667" s="11" t="s">
        <v>50</v>
      </c>
    </row>
    <row r="2668" spans="1:15" s="13" customFormat="1" ht="19.5" customHeight="1" x14ac:dyDescent="0.25">
      <c r="A2668" s="11" t="s">
        <v>4974</v>
      </c>
      <c r="B2668" s="11" t="s">
        <v>4974</v>
      </c>
      <c r="C2668" s="12">
        <v>45909</v>
      </c>
      <c r="D2668" s="12">
        <v>45999</v>
      </c>
      <c r="E2668" s="11" t="s">
        <v>6</v>
      </c>
      <c r="F2668" s="11" t="s">
        <v>4975</v>
      </c>
      <c r="G2668" s="11" t="s">
        <v>4974</v>
      </c>
      <c r="H2668" s="11"/>
      <c r="I2668" s="11" t="s">
        <v>49</v>
      </c>
      <c r="J2668" s="11">
        <v>6305.15</v>
      </c>
      <c r="K2668" s="11">
        <v>6305.15</v>
      </c>
      <c r="L2668" s="11"/>
      <c r="M2668" s="11">
        <v>6305.15</v>
      </c>
      <c r="N2668" s="11"/>
      <c r="O2668" s="11" t="s">
        <v>50</v>
      </c>
    </row>
    <row r="2669" spans="1:15" s="13" customFormat="1" ht="19.5" customHeight="1" x14ac:dyDescent="0.25">
      <c r="A2669" s="11" t="s">
        <v>4976</v>
      </c>
      <c r="B2669" s="11" t="s">
        <v>4976</v>
      </c>
      <c r="C2669" s="12">
        <v>45908</v>
      </c>
      <c r="D2669" s="12">
        <v>45908</v>
      </c>
      <c r="E2669" s="11" t="s">
        <v>6</v>
      </c>
      <c r="F2669" s="11" t="s">
        <v>4968</v>
      </c>
      <c r="G2669" s="11" t="s">
        <v>4976</v>
      </c>
      <c r="H2669" s="11"/>
      <c r="I2669" s="11" t="s">
        <v>49</v>
      </c>
      <c r="J2669" s="11">
        <v>87.3</v>
      </c>
      <c r="K2669" s="11">
        <v>87.3</v>
      </c>
      <c r="L2669" s="11"/>
      <c r="M2669" s="11">
        <v>87.3</v>
      </c>
      <c r="N2669" s="11" t="s">
        <v>4977</v>
      </c>
      <c r="O2669" s="11" t="s">
        <v>50</v>
      </c>
    </row>
    <row r="2670" spans="1:15" s="13" customFormat="1" ht="19.5" customHeight="1" x14ac:dyDescent="0.25">
      <c r="A2670" s="11" t="s">
        <v>4978</v>
      </c>
      <c r="B2670" s="11" t="s">
        <v>4979</v>
      </c>
      <c r="C2670" s="12">
        <v>45894</v>
      </c>
      <c r="D2670" s="12">
        <v>45894</v>
      </c>
      <c r="E2670" s="11" t="s">
        <v>6</v>
      </c>
      <c r="F2670" s="11" t="s">
        <v>4980</v>
      </c>
      <c r="G2670" s="11" t="s">
        <v>4981</v>
      </c>
      <c r="H2670" s="11" t="s">
        <v>4982</v>
      </c>
      <c r="I2670" s="11" t="s">
        <v>49</v>
      </c>
      <c r="J2670" s="11">
        <v>-484</v>
      </c>
      <c r="K2670" s="11"/>
      <c r="L2670" s="11">
        <v>484</v>
      </c>
      <c r="M2670" s="11">
        <v>-484</v>
      </c>
      <c r="N2670" s="11"/>
      <c r="O2670" s="11" t="s">
        <v>2384</v>
      </c>
    </row>
    <row r="2671" spans="1:15" s="13" customFormat="1" ht="19.5" customHeight="1" x14ac:dyDescent="0.25">
      <c r="A2671" s="11" t="s">
        <v>4983</v>
      </c>
      <c r="B2671" s="11" t="s">
        <v>4984</v>
      </c>
      <c r="C2671" s="12">
        <v>45894</v>
      </c>
      <c r="D2671" s="12">
        <v>45894</v>
      </c>
      <c r="E2671" s="11" t="s">
        <v>6</v>
      </c>
      <c r="F2671" s="11" t="s">
        <v>4980</v>
      </c>
      <c r="G2671" s="11" t="s">
        <v>4981</v>
      </c>
      <c r="H2671" s="11" t="s">
        <v>4985</v>
      </c>
      <c r="I2671" s="11" t="s">
        <v>49</v>
      </c>
      <c r="J2671" s="11">
        <v>-484</v>
      </c>
      <c r="K2671" s="11"/>
      <c r="L2671" s="11">
        <v>484</v>
      </c>
      <c r="M2671" s="11">
        <v>-484</v>
      </c>
      <c r="N2671" s="11"/>
      <c r="O2671" s="11" t="s">
        <v>2384</v>
      </c>
    </row>
    <row r="2672" spans="1:15" s="13" customFormat="1" ht="19.5" customHeight="1" x14ac:dyDescent="0.25">
      <c r="A2672" s="11" t="s">
        <v>4986</v>
      </c>
      <c r="B2672" s="11" t="s">
        <v>4987</v>
      </c>
      <c r="C2672" s="12">
        <v>45894</v>
      </c>
      <c r="D2672" s="12">
        <v>45894</v>
      </c>
      <c r="E2672" s="11" t="s">
        <v>6</v>
      </c>
      <c r="F2672" s="11" t="s">
        <v>4980</v>
      </c>
      <c r="G2672" s="11" t="s">
        <v>4981</v>
      </c>
      <c r="H2672" s="11" t="s">
        <v>4988</v>
      </c>
      <c r="I2672" s="11" t="s">
        <v>49</v>
      </c>
      <c r="J2672" s="11">
        <v>-484</v>
      </c>
      <c r="K2672" s="11"/>
      <c r="L2672" s="11">
        <v>484</v>
      </c>
      <c r="M2672" s="11">
        <v>-484</v>
      </c>
      <c r="N2672" s="11"/>
      <c r="O2672" s="11" t="s">
        <v>2384</v>
      </c>
    </row>
    <row r="2673" spans="1:15" s="13" customFormat="1" ht="19.5" customHeight="1" x14ac:dyDescent="0.25">
      <c r="A2673" s="11" t="s">
        <v>4989</v>
      </c>
      <c r="B2673" s="11" t="s">
        <v>4990</v>
      </c>
      <c r="C2673" s="12">
        <v>45894</v>
      </c>
      <c r="D2673" s="12">
        <v>45894</v>
      </c>
      <c r="E2673" s="11" t="s">
        <v>6</v>
      </c>
      <c r="F2673" s="11" t="s">
        <v>3218</v>
      </c>
      <c r="G2673" s="11" t="s">
        <v>4991</v>
      </c>
      <c r="H2673" s="11" t="s">
        <v>4992</v>
      </c>
      <c r="I2673" s="11" t="s">
        <v>49</v>
      </c>
      <c r="J2673" s="11">
        <v>-1425</v>
      </c>
      <c r="K2673" s="11"/>
      <c r="L2673" s="11">
        <v>1425</v>
      </c>
      <c r="M2673" s="11">
        <v>-1425</v>
      </c>
      <c r="N2673" s="11"/>
      <c r="O2673" s="11" t="s">
        <v>2384</v>
      </c>
    </row>
    <row r="2674" spans="1:15" s="13" customFormat="1" ht="19.5" customHeight="1" x14ac:dyDescent="0.25">
      <c r="A2674" s="11" t="s">
        <v>4993</v>
      </c>
      <c r="B2674" s="11" t="s">
        <v>4994</v>
      </c>
      <c r="C2674" s="12">
        <v>45894</v>
      </c>
      <c r="D2674" s="12">
        <v>45894</v>
      </c>
      <c r="E2674" s="11" t="s">
        <v>6</v>
      </c>
      <c r="F2674" s="11" t="s">
        <v>4995</v>
      </c>
      <c r="G2674" s="11" t="s">
        <v>4996</v>
      </c>
      <c r="H2674" s="11" t="s">
        <v>4997</v>
      </c>
      <c r="I2674" s="11" t="s">
        <v>49</v>
      </c>
      <c r="J2674" s="11">
        <v>-484</v>
      </c>
      <c r="K2674" s="11"/>
      <c r="L2674" s="11">
        <v>484</v>
      </c>
      <c r="M2674" s="11">
        <v>-484</v>
      </c>
      <c r="N2674" s="11"/>
      <c r="O2674" s="11" t="s">
        <v>2384</v>
      </c>
    </row>
    <row r="2675" spans="1:15" s="13" customFormat="1" ht="19.5" customHeight="1" x14ac:dyDescent="0.25">
      <c r="A2675" s="11" t="s">
        <v>4998</v>
      </c>
      <c r="B2675" s="11" t="s">
        <v>4999</v>
      </c>
      <c r="C2675" s="12">
        <v>45894</v>
      </c>
      <c r="D2675" s="12">
        <v>45894</v>
      </c>
      <c r="E2675" s="11" t="s">
        <v>6</v>
      </c>
      <c r="F2675" s="11" t="s">
        <v>5000</v>
      </c>
      <c r="G2675" s="11" t="s">
        <v>5001</v>
      </c>
      <c r="H2675" s="11" t="s">
        <v>5002</v>
      </c>
      <c r="I2675" s="11" t="s">
        <v>49</v>
      </c>
      <c r="J2675" s="11">
        <v>-194.75</v>
      </c>
      <c r="K2675" s="11"/>
      <c r="L2675" s="11">
        <v>194.75</v>
      </c>
      <c r="M2675" s="11">
        <v>-194.75</v>
      </c>
      <c r="N2675" s="11"/>
      <c r="O2675" s="11" t="s">
        <v>2384</v>
      </c>
    </row>
    <row r="2676" spans="1:15" s="13" customFormat="1" ht="19.5" customHeight="1" x14ac:dyDescent="0.25">
      <c r="A2676" s="11" t="s">
        <v>5003</v>
      </c>
      <c r="B2676" s="11" t="s">
        <v>5004</v>
      </c>
      <c r="C2676" s="12">
        <v>45894</v>
      </c>
      <c r="D2676" s="12">
        <v>45894</v>
      </c>
      <c r="E2676" s="11" t="s">
        <v>6</v>
      </c>
      <c r="F2676" s="11" t="s">
        <v>4980</v>
      </c>
      <c r="G2676" s="11" t="s">
        <v>4981</v>
      </c>
      <c r="H2676" s="11" t="s">
        <v>5005</v>
      </c>
      <c r="I2676" s="11" t="s">
        <v>49</v>
      </c>
      <c r="J2676" s="11">
        <v>-484</v>
      </c>
      <c r="K2676" s="11"/>
      <c r="L2676" s="11">
        <v>484</v>
      </c>
      <c r="M2676" s="11">
        <v>-484</v>
      </c>
      <c r="N2676" s="11"/>
      <c r="O2676" s="11" t="s">
        <v>2384</v>
      </c>
    </row>
    <row r="2677" spans="1:15" s="13" customFormat="1" ht="19.5" customHeight="1" x14ac:dyDescent="0.25">
      <c r="A2677" s="11" t="s">
        <v>5006</v>
      </c>
      <c r="B2677" s="11" t="s">
        <v>5007</v>
      </c>
      <c r="C2677" s="12">
        <v>45894</v>
      </c>
      <c r="D2677" s="12">
        <v>45894</v>
      </c>
      <c r="E2677" s="11" t="s">
        <v>6</v>
      </c>
      <c r="F2677" s="11" t="s">
        <v>5000</v>
      </c>
      <c r="G2677" s="11" t="s">
        <v>5001</v>
      </c>
      <c r="H2677" s="11" t="s">
        <v>5008</v>
      </c>
      <c r="I2677" s="11" t="s">
        <v>49</v>
      </c>
      <c r="J2677" s="11">
        <v>-194.75</v>
      </c>
      <c r="K2677" s="11"/>
      <c r="L2677" s="11">
        <v>194.75</v>
      </c>
      <c r="M2677" s="11">
        <v>-194.75</v>
      </c>
      <c r="N2677" s="11"/>
      <c r="O2677" s="11" t="s">
        <v>2384</v>
      </c>
    </row>
    <row r="2678" spans="1:15" s="13" customFormat="1" ht="19.5" customHeight="1" x14ac:dyDescent="0.25">
      <c r="A2678" s="11" t="s">
        <v>5009</v>
      </c>
      <c r="B2678" s="11" t="s">
        <v>5010</v>
      </c>
      <c r="C2678" s="12">
        <v>45894</v>
      </c>
      <c r="D2678" s="12">
        <v>45894</v>
      </c>
      <c r="E2678" s="11" t="s">
        <v>6</v>
      </c>
      <c r="F2678" s="11" t="s">
        <v>4980</v>
      </c>
      <c r="G2678" s="11" t="s">
        <v>4981</v>
      </c>
      <c r="H2678" s="11" t="s">
        <v>5011</v>
      </c>
      <c r="I2678" s="11" t="s">
        <v>49</v>
      </c>
      <c r="J2678" s="11">
        <v>-484</v>
      </c>
      <c r="K2678" s="11"/>
      <c r="L2678" s="11">
        <v>484</v>
      </c>
      <c r="M2678" s="11">
        <v>-484</v>
      </c>
      <c r="N2678" s="11"/>
      <c r="O2678" s="11" t="s">
        <v>2384</v>
      </c>
    </row>
    <row r="2679" spans="1:15" s="13" customFormat="1" ht="19.5" customHeight="1" x14ac:dyDescent="0.25">
      <c r="A2679" s="11" t="s">
        <v>5012</v>
      </c>
      <c r="B2679" s="11" t="s">
        <v>5013</v>
      </c>
      <c r="C2679" s="12">
        <v>45894</v>
      </c>
      <c r="D2679" s="12">
        <v>45894</v>
      </c>
      <c r="E2679" s="11" t="s">
        <v>6</v>
      </c>
      <c r="F2679" s="11" t="s">
        <v>4995</v>
      </c>
      <c r="G2679" s="11" t="s">
        <v>5014</v>
      </c>
      <c r="H2679" s="11" t="s">
        <v>5015</v>
      </c>
      <c r="I2679" s="11" t="s">
        <v>49</v>
      </c>
      <c r="J2679" s="11">
        <v>-194.75</v>
      </c>
      <c r="K2679" s="11"/>
      <c r="L2679" s="11">
        <v>194.75</v>
      </c>
      <c r="M2679" s="11">
        <v>-194.75</v>
      </c>
      <c r="N2679" s="11"/>
      <c r="O2679" s="11" t="s">
        <v>2384</v>
      </c>
    </row>
    <row r="2680" spans="1:15" s="13" customFormat="1" ht="19.5" customHeight="1" x14ac:dyDescent="0.25">
      <c r="A2680" s="11" t="s">
        <v>5016</v>
      </c>
      <c r="B2680" s="11" t="s">
        <v>5017</v>
      </c>
      <c r="C2680" s="12">
        <v>45894</v>
      </c>
      <c r="D2680" s="12">
        <v>45894</v>
      </c>
      <c r="E2680" s="11" t="s">
        <v>6</v>
      </c>
      <c r="F2680" s="11" t="s">
        <v>4980</v>
      </c>
      <c r="G2680" s="11" t="s">
        <v>4981</v>
      </c>
      <c r="H2680" s="11" t="s">
        <v>5018</v>
      </c>
      <c r="I2680" s="11" t="s">
        <v>49</v>
      </c>
      <c r="J2680" s="11">
        <v>-484</v>
      </c>
      <c r="K2680" s="11"/>
      <c r="L2680" s="11">
        <v>484</v>
      </c>
      <c r="M2680" s="11">
        <v>-484</v>
      </c>
      <c r="N2680" s="11"/>
      <c r="O2680" s="11" t="s">
        <v>2384</v>
      </c>
    </row>
    <row r="2681" spans="1:15" s="13" customFormat="1" ht="19.5" customHeight="1" x14ac:dyDescent="0.25">
      <c r="A2681" s="11" t="s">
        <v>5019</v>
      </c>
      <c r="B2681" s="11" t="s">
        <v>5020</v>
      </c>
      <c r="C2681" s="12">
        <v>45894</v>
      </c>
      <c r="D2681" s="12">
        <v>45894</v>
      </c>
      <c r="E2681" s="11" t="s">
        <v>6</v>
      </c>
      <c r="F2681" s="11" t="s">
        <v>4995</v>
      </c>
      <c r="G2681" s="11" t="s">
        <v>5014</v>
      </c>
      <c r="H2681" s="11" t="s">
        <v>5021</v>
      </c>
      <c r="I2681" s="11" t="s">
        <v>49</v>
      </c>
      <c r="J2681" s="11">
        <v>-194.75</v>
      </c>
      <c r="K2681" s="11"/>
      <c r="L2681" s="11">
        <v>194.75</v>
      </c>
      <c r="M2681" s="11">
        <v>-194.75</v>
      </c>
      <c r="N2681" s="11"/>
      <c r="O2681" s="11" t="s">
        <v>2384</v>
      </c>
    </row>
    <row r="2682" spans="1:15" s="13" customFormat="1" ht="19.5" customHeight="1" x14ac:dyDescent="0.25">
      <c r="A2682" s="11" t="s">
        <v>5022</v>
      </c>
      <c r="B2682" s="11" t="s">
        <v>5023</v>
      </c>
      <c r="C2682" s="12">
        <v>45894</v>
      </c>
      <c r="D2682" s="12">
        <v>45894</v>
      </c>
      <c r="E2682" s="11" t="s">
        <v>6</v>
      </c>
      <c r="F2682" s="11" t="s">
        <v>5000</v>
      </c>
      <c r="G2682" s="11" t="s">
        <v>5001</v>
      </c>
      <c r="H2682" s="11" t="s">
        <v>5024</v>
      </c>
      <c r="I2682" s="11" t="s">
        <v>49</v>
      </c>
      <c r="J2682" s="11">
        <v>-194.75</v>
      </c>
      <c r="K2682" s="11"/>
      <c r="L2682" s="11">
        <v>194.75</v>
      </c>
      <c r="M2682" s="11">
        <v>-194.75</v>
      </c>
      <c r="N2682" s="11"/>
      <c r="O2682" s="11" t="s">
        <v>2384</v>
      </c>
    </row>
    <row r="2683" spans="1:15" s="13" customFormat="1" ht="19.5" customHeight="1" x14ac:dyDescent="0.25">
      <c r="A2683" s="11" t="s">
        <v>5025</v>
      </c>
      <c r="B2683" s="11" t="s">
        <v>5026</v>
      </c>
      <c r="C2683" s="12">
        <v>45894</v>
      </c>
      <c r="D2683" s="12">
        <v>45894</v>
      </c>
      <c r="E2683" s="11" t="s">
        <v>6</v>
      </c>
      <c r="F2683" s="11" t="s">
        <v>5027</v>
      </c>
      <c r="G2683" s="11" t="s">
        <v>5028</v>
      </c>
      <c r="H2683" s="11" t="s">
        <v>5029</v>
      </c>
      <c r="I2683" s="11" t="s">
        <v>49</v>
      </c>
      <c r="J2683" s="11">
        <v>-210</v>
      </c>
      <c r="K2683" s="11"/>
      <c r="L2683" s="11">
        <v>210</v>
      </c>
      <c r="M2683" s="11">
        <v>-210</v>
      </c>
      <c r="N2683" s="11"/>
      <c r="O2683" s="11" t="s">
        <v>2384</v>
      </c>
    </row>
    <row r="2684" spans="1:15" s="13" customFormat="1" ht="19.5" customHeight="1" x14ac:dyDescent="0.25">
      <c r="A2684" s="11" t="s">
        <v>5030</v>
      </c>
      <c r="B2684" s="11" t="s">
        <v>5031</v>
      </c>
      <c r="C2684" s="12">
        <v>45894</v>
      </c>
      <c r="D2684" s="12">
        <v>45894</v>
      </c>
      <c r="E2684" s="11" t="s">
        <v>6</v>
      </c>
      <c r="F2684" s="11" t="s">
        <v>3594</v>
      </c>
      <c r="G2684" s="11" t="s">
        <v>5032</v>
      </c>
      <c r="H2684" s="11" t="s">
        <v>5033</v>
      </c>
      <c r="I2684" s="11" t="s">
        <v>49</v>
      </c>
      <c r="J2684" s="11">
        <v>-405</v>
      </c>
      <c r="K2684" s="11"/>
      <c r="L2684" s="11">
        <v>405</v>
      </c>
      <c r="M2684" s="11">
        <v>-405</v>
      </c>
      <c r="N2684" s="11"/>
      <c r="O2684" s="11" t="s">
        <v>2384</v>
      </c>
    </row>
    <row r="2685" spans="1:15" s="13" customFormat="1" ht="19.5" customHeight="1" x14ac:dyDescent="0.25">
      <c r="A2685" s="11" t="s">
        <v>5034</v>
      </c>
      <c r="B2685" s="11" t="s">
        <v>5035</v>
      </c>
      <c r="C2685" s="12">
        <v>45894</v>
      </c>
      <c r="D2685" s="12">
        <v>45894</v>
      </c>
      <c r="E2685" s="11" t="s">
        <v>6</v>
      </c>
      <c r="F2685" s="11" t="s">
        <v>5027</v>
      </c>
      <c r="G2685" s="11" t="s">
        <v>5028</v>
      </c>
      <c r="H2685" s="11" t="s">
        <v>5036</v>
      </c>
      <c r="I2685" s="11" t="s">
        <v>49</v>
      </c>
      <c r="J2685" s="11">
        <v>-210</v>
      </c>
      <c r="K2685" s="11"/>
      <c r="L2685" s="11">
        <v>210</v>
      </c>
      <c r="M2685" s="11">
        <v>-210</v>
      </c>
      <c r="N2685" s="11"/>
      <c r="O2685" s="11" t="s">
        <v>2384</v>
      </c>
    </row>
    <row r="2686" spans="1:15" s="13" customFormat="1" ht="19.5" customHeight="1" x14ac:dyDescent="0.25">
      <c r="A2686" s="11" t="s">
        <v>5037</v>
      </c>
      <c r="B2686" s="11" t="s">
        <v>5038</v>
      </c>
      <c r="C2686" s="12">
        <v>45854</v>
      </c>
      <c r="D2686" s="12">
        <v>45854</v>
      </c>
      <c r="E2686" s="11" t="s">
        <v>6</v>
      </c>
      <c r="F2686" s="11" t="s">
        <v>5039</v>
      </c>
      <c r="G2686" s="11"/>
      <c r="H2686" s="11" t="s">
        <v>5040</v>
      </c>
      <c r="I2686" s="11" t="s">
        <v>49</v>
      </c>
      <c r="J2686" s="11">
        <v>-308.39999999999998</v>
      </c>
      <c r="K2686" s="11"/>
      <c r="L2686" s="11">
        <v>308.39999999999998</v>
      </c>
      <c r="M2686" s="11">
        <v>-308.39999999999998</v>
      </c>
      <c r="N2686" s="11"/>
      <c r="O2686" s="11" t="s">
        <v>50</v>
      </c>
    </row>
    <row r="2687" spans="1:15" s="13" customFormat="1" ht="19.5" customHeight="1" x14ac:dyDescent="0.25">
      <c r="A2687" s="11" t="s">
        <v>5041</v>
      </c>
      <c r="B2687" s="11" t="s">
        <v>5041</v>
      </c>
      <c r="C2687" s="12">
        <v>45854</v>
      </c>
      <c r="D2687" s="12">
        <v>45854</v>
      </c>
      <c r="E2687" s="11" t="s">
        <v>6</v>
      </c>
      <c r="F2687" s="11" t="s">
        <v>5042</v>
      </c>
      <c r="G2687" s="11" t="s">
        <v>5041</v>
      </c>
      <c r="H2687" s="11"/>
      <c r="I2687" s="11" t="s">
        <v>49</v>
      </c>
      <c r="J2687" s="11">
        <v>60.79</v>
      </c>
      <c r="K2687" s="11">
        <v>60.79</v>
      </c>
      <c r="L2687" s="11"/>
      <c r="M2687" s="11">
        <v>60.79</v>
      </c>
      <c r="N2687" s="11"/>
      <c r="O2687" s="11" t="s">
        <v>50</v>
      </c>
    </row>
    <row r="2688" spans="1:15" s="13" customFormat="1" ht="19.5" customHeight="1" x14ac:dyDescent="0.25">
      <c r="A2688" s="11" t="s">
        <v>5043</v>
      </c>
      <c r="B2688" s="11" t="s">
        <v>5043</v>
      </c>
      <c r="C2688" s="12">
        <v>45852</v>
      </c>
      <c r="D2688" s="12">
        <v>45852</v>
      </c>
      <c r="E2688" s="11" t="s">
        <v>6</v>
      </c>
      <c r="F2688" s="11" t="s">
        <v>5044</v>
      </c>
      <c r="G2688" s="11" t="s">
        <v>5043</v>
      </c>
      <c r="H2688" s="11"/>
      <c r="I2688" s="11" t="s">
        <v>49</v>
      </c>
      <c r="J2688" s="11">
        <v>61.19</v>
      </c>
      <c r="K2688" s="11">
        <v>61.19</v>
      </c>
      <c r="L2688" s="11"/>
      <c r="M2688" s="11">
        <v>61.19</v>
      </c>
      <c r="N2688" s="11" t="s">
        <v>5045</v>
      </c>
      <c r="O2688" s="11" t="s">
        <v>50</v>
      </c>
    </row>
    <row r="2689" spans="1:15" s="13" customFormat="1" ht="19.5" customHeight="1" x14ac:dyDescent="0.25">
      <c r="A2689" s="11" t="s">
        <v>5046</v>
      </c>
      <c r="B2689" s="11" t="s">
        <v>5046</v>
      </c>
      <c r="C2689" s="12">
        <v>45840</v>
      </c>
      <c r="D2689" s="11"/>
      <c r="E2689" s="11" t="s">
        <v>6</v>
      </c>
      <c r="F2689" s="11" t="s">
        <v>5039</v>
      </c>
      <c r="G2689" s="11"/>
      <c r="H2689" s="11"/>
      <c r="I2689" s="11" t="s">
        <v>49</v>
      </c>
      <c r="J2689" s="11">
        <v>265.22000000000003</v>
      </c>
      <c r="K2689" s="11">
        <v>265.22000000000003</v>
      </c>
      <c r="L2689" s="11"/>
      <c r="M2689" s="11">
        <v>265.22000000000003</v>
      </c>
      <c r="N2689" s="11"/>
      <c r="O2689" s="11" t="s">
        <v>50</v>
      </c>
    </row>
    <row r="2690" spans="1:15" s="13" customFormat="1" ht="19.5" customHeight="1" x14ac:dyDescent="0.25">
      <c r="A2690" s="11" t="s">
        <v>5047</v>
      </c>
      <c r="B2690" s="11" t="s">
        <v>5047</v>
      </c>
      <c r="C2690" s="12">
        <v>45838</v>
      </c>
      <c r="D2690" s="12">
        <v>45838</v>
      </c>
      <c r="E2690" s="11" t="s">
        <v>6</v>
      </c>
      <c r="F2690" s="11" t="s">
        <v>798</v>
      </c>
      <c r="G2690" s="11" t="s">
        <v>5047</v>
      </c>
      <c r="H2690" s="11"/>
      <c r="I2690" s="11" t="s">
        <v>49</v>
      </c>
      <c r="J2690" s="11">
        <v>2514.09</v>
      </c>
      <c r="K2690" s="11">
        <v>2514.09</v>
      </c>
      <c r="L2690" s="11"/>
      <c r="M2690" s="11">
        <v>2514.09</v>
      </c>
      <c r="N2690" s="11"/>
      <c r="O2690" s="11" t="s">
        <v>50</v>
      </c>
    </row>
    <row r="2691" spans="1:15" s="13" customFormat="1" ht="19.5" customHeight="1" x14ac:dyDescent="0.25">
      <c r="A2691" s="11" t="s">
        <v>5048</v>
      </c>
      <c r="B2691" s="11" t="s">
        <v>5048</v>
      </c>
      <c r="C2691" s="12">
        <v>45838</v>
      </c>
      <c r="D2691" s="12">
        <v>45838</v>
      </c>
      <c r="E2691" s="11" t="s">
        <v>6</v>
      </c>
      <c r="F2691" s="11" t="s">
        <v>798</v>
      </c>
      <c r="G2691" s="11" t="s">
        <v>5048</v>
      </c>
      <c r="H2691" s="11"/>
      <c r="I2691" s="11" t="s">
        <v>49</v>
      </c>
      <c r="J2691" s="11">
        <v>2514.1</v>
      </c>
      <c r="K2691" s="11">
        <v>2514.1</v>
      </c>
      <c r="L2691" s="11"/>
      <c r="M2691" s="11">
        <v>2514.1</v>
      </c>
      <c r="N2691" s="11"/>
      <c r="O2691" s="11" t="s">
        <v>50</v>
      </c>
    </row>
    <row r="2692" spans="1:15" s="13" customFormat="1" ht="19.5" customHeight="1" x14ac:dyDescent="0.25">
      <c r="A2692" s="11" t="s">
        <v>5049</v>
      </c>
      <c r="B2692" s="11" t="s">
        <v>5049</v>
      </c>
      <c r="C2692" s="12">
        <v>45838</v>
      </c>
      <c r="D2692" s="12">
        <v>45838</v>
      </c>
      <c r="E2692" s="11" t="s">
        <v>6</v>
      </c>
      <c r="F2692" s="11" t="s">
        <v>798</v>
      </c>
      <c r="G2692" s="11" t="s">
        <v>5049</v>
      </c>
      <c r="H2692" s="11"/>
      <c r="I2692" s="11" t="s">
        <v>49</v>
      </c>
      <c r="J2692" s="11">
        <v>1651.6</v>
      </c>
      <c r="K2692" s="11">
        <v>1651.6</v>
      </c>
      <c r="L2692" s="11"/>
      <c r="M2692" s="11">
        <v>1651.6</v>
      </c>
      <c r="N2692" s="11"/>
      <c r="O2692" s="11" t="s">
        <v>50</v>
      </c>
    </row>
    <row r="2693" spans="1:15" s="13" customFormat="1" ht="19.5" customHeight="1" x14ac:dyDescent="0.25">
      <c r="A2693" s="11" t="s">
        <v>5050</v>
      </c>
      <c r="B2693" s="11" t="s">
        <v>5050</v>
      </c>
      <c r="C2693" s="12">
        <v>45838</v>
      </c>
      <c r="D2693" s="12">
        <v>45838</v>
      </c>
      <c r="E2693" s="11" t="s">
        <v>6</v>
      </c>
      <c r="F2693" s="11" t="s">
        <v>798</v>
      </c>
      <c r="G2693" s="11" t="s">
        <v>5050</v>
      </c>
      <c r="H2693" s="11"/>
      <c r="I2693" s="11" t="s">
        <v>49</v>
      </c>
      <c r="J2693" s="11">
        <v>862.5</v>
      </c>
      <c r="K2693" s="11">
        <v>862.5</v>
      </c>
      <c r="L2693" s="11"/>
      <c r="M2693" s="11">
        <v>862.5</v>
      </c>
      <c r="N2693" s="11"/>
      <c r="O2693" s="11" t="s">
        <v>50</v>
      </c>
    </row>
    <row r="2694" spans="1:15" s="13" customFormat="1" ht="19.5" customHeight="1" x14ac:dyDescent="0.25">
      <c r="A2694" s="11" t="s">
        <v>5051</v>
      </c>
      <c r="B2694" s="11" t="s">
        <v>5051</v>
      </c>
      <c r="C2694" s="12">
        <v>45838</v>
      </c>
      <c r="D2694" s="12">
        <v>45838</v>
      </c>
      <c r="E2694" s="11" t="s">
        <v>6</v>
      </c>
      <c r="F2694" s="11" t="s">
        <v>798</v>
      </c>
      <c r="G2694" s="11" t="s">
        <v>5051</v>
      </c>
      <c r="H2694" s="11"/>
      <c r="I2694" s="11" t="s">
        <v>49</v>
      </c>
      <c r="J2694" s="11">
        <v>2514.11</v>
      </c>
      <c r="K2694" s="11">
        <v>2514.11</v>
      </c>
      <c r="L2694" s="11"/>
      <c r="M2694" s="11">
        <v>2514.11</v>
      </c>
      <c r="N2694" s="11"/>
      <c r="O2694" s="11" t="s">
        <v>50</v>
      </c>
    </row>
    <row r="2695" spans="1:15" s="13" customFormat="1" ht="19.5" customHeight="1" x14ac:dyDescent="0.25">
      <c r="A2695" s="11" t="s">
        <v>5052</v>
      </c>
      <c r="B2695" s="11" t="s">
        <v>5052</v>
      </c>
      <c r="C2695" s="12">
        <v>45838</v>
      </c>
      <c r="D2695" s="12">
        <v>45838</v>
      </c>
      <c r="E2695" s="11" t="s">
        <v>6</v>
      </c>
      <c r="F2695" s="11" t="s">
        <v>798</v>
      </c>
      <c r="G2695" s="11" t="s">
        <v>5052</v>
      </c>
      <c r="H2695" s="11"/>
      <c r="I2695" s="11" t="s">
        <v>49</v>
      </c>
      <c r="J2695" s="11">
        <v>2182.5</v>
      </c>
      <c r="K2695" s="11">
        <v>2182.5</v>
      </c>
      <c r="L2695" s="11"/>
      <c r="M2695" s="11">
        <v>2182.5</v>
      </c>
      <c r="N2695" s="11"/>
      <c r="O2695" s="11" t="s">
        <v>50</v>
      </c>
    </row>
    <row r="2696" spans="1:15" s="13" customFormat="1" ht="19.5" customHeight="1" x14ac:dyDescent="0.25">
      <c r="A2696" s="11" t="s">
        <v>5053</v>
      </c>
      <c r="B2696" s="11" t="s">
        <v>5053</v>
      </c>
      <c r="C2696" s="12">
        <v>45838</v>
      </c>
      <c r="D2696" s="12">
        <v>45838</v>
      </c>
      <c r="E2696" s="11" t="s">
        <v>6</v>
      </c>
      <c r="F2696" s="11" t="s">
        <v>5054</v>
      </c>
      <c r="G2696" s="11" t="s">
        <v>5053</v>
      </c>
      <c r="H2696" s="11"/>
      <c r="I2696" s="11" t="s">
        <v>49</v>
      </c>
      <c r="J2696" s="11">
        <v>2226.6</v>
      </c>
      <c r="K2696" s="11">
        <v>2226.6</v>
      </c>
      <c r="L2696" s="11"/>
      <c r="M2696" s="11">
        <v>2226.6</v>
      </c>
      <c r="N2696" s="11"/>
      <c r="O2696" s="11" t="s">
        <v>50</v>
      </c>
    </row>
    <row r="2697" spans="1:15" s="13" customFormat="1" ht="19.5" customHeight="1" x14ac:dyDescent="0.25">
      <c r="A2697" s="11" t="s">
        <v>5055</v>
      </c>
      <c r="B2697" s="11" t="s">
        <v>5055</v>
      </c>
      <c r="C2697" s="12">
        <v>45838</v>
      </c>
      <c r="D2697" s="12">
        <v>45838</v>
      </c>
      <c r="E2697" s="11" t="s">
        <v>6</v>
      </c>
      <c r="F2697" s="11" t="s">
        <v>798</v>
      </c>
      <c r="G2697" s="11" t="s">
        <v>5055</v>
      </c>
      <c r="H2697" s="11"/>
      <c r="I2697" s="11" t="s">
        <v>49</v>
      </c>
      <c r="J2697" s="11">
        <v>1969.1</v>
      </c>
      <c r="K2697" s="11">
        <v>1969.1</v>
      </c>
      <c r="L2697" s="11"/>
      <c r="M2697" s="11">
        <v>1969.1</v>
      </c>
      <c r="N2697" s="11"/>
      <c r="O2697" s="11" t="s">
        <v>50</v>
      </c>
    </row>
    <row r="2698" spans="1:15" s="13" customFormat="1" ht="19.5" customHeight="1" x14ac:dyDescent="0.25">
      <c r="A2698" s="11" t="s">
        <v>5056</v>
      </c>
      <c r="B2698" s="11" t="s">
        <v>5056</v>
      </c>
      <c r="C2698" s="12">
        <v>45838</v>
      </c>
      <c r="D2698" s="12">
        <v>45838</v>
      </c>
      <c r="E2698" s="11" t="s">
        <v>6</v>
      </c>
      <c r="F2698" s="11" t="s">
        <v>798</v>
      </c>
      <c r="G2698" s="11" t="s">
        <v>5056</v>
      </c>
      <c r="H2698" s="11"/>
      <c r="I2698" s="11" t="s">
        <v>49</v>
      </c>
      <c r="J2698" s="11">
        <v>188.02</v>
      </c>
      <c r="K2698" s="11">
        <v>188.02</v>
      </c>
      <c r="L2698" s="11"/>
      <c r="M2698" s="11">
        <v>188.02</v>
      </c>
      <c r="N2698" s="11"/>
      <c r="O2698" s="11" t="s">
        <v>50</v>
      </c>
    </row>
    <row r="2699" spans="1:15" s="13" customFormat="1" ht="19.5" customHeight="1" x14ac:dyDescent="0.25">
      <c r="A2699" s="11" t="s">
        <v>5057</v>
      </c>
      <c r="B2699" s="11" t="s">
        <v>5057</v>
      </c>
      <c r="C2699" s="12">
        <v>45838</v>
      </c>
      <c r="D2699" s="12">
        <v>45838</v>
      </c>
      <c r="E2699" s="11" t="s">
        <v>6</v>
      </c>
      <c r="F2699" s="11" t="s">
        <v>5058</v>
      </c>
      <c r="G2699" s="11" t="s">
        <v>5057</v>
      </c>
      <c r="H2699" s="11"/>
      <c r="I2699" s="11" t="s">
        <v>49</v>
      </c>
      <c r="J2699" s="11">
        <v>2361</v>
      </c>
      <c r="K2699" s="11">
        <v>2361</v>
      </c>
      <c r="L2699" s="11"/>
      <c r="M2699" s="11">
        <v>2361</v>
      </c>
      <c r="N2699" s="11"/>
      <c r="O2699" s="11" t="s">
        <v>50</v>
      </c>
    </row>
    <row r="2700" spans="1:15" s="13" customFormat="1" ht="19.5" customHeight="1" x14ac:dyDescent="0.25">
      <c r="A2700" s="11" t="s">
        <v>5059</v>
      </c>
      <c r="B2700" s="11" t="s">
        <v>5059</v>
      </c>
      <c r="C2700" s="12">
        <v>45838</v>
      </c>
      <c r="D2700" s="12">
        <v>45838</v>
      </c>
      <c r="E2700" s="11" t="s">
        <v>6</v>
      </c>
      <c r="F2700" s="11" t="s">
        <v>798</v>
      </c>
      <c r="G2700" s="11" t="s">
        <v>5059</v>
      </c>
      <c r="H2700" s="11"/>
      <c r="I2700" s="11" t="s">
        <v>49</v>
      </c>
      <c r="J2700" s="11">
        <v>630.5</v>
      </c>
      <c r="K2700" s="11">
        <v>630.5</v>
      </c>
      <c r="L2700" s="11"/>
      <c r="M2700" s="11">
        <v>630.5</v>
      </c>
      <c r="N2700" s="11"/>
      <c r="O2700" s="11" t="s">
        <v>50</v>
      </c>
    </row>
    <row r="2701" spans="1:15" s="13" customFormat="1" ht="19.5" customHeight="1" x14ac:dyDescent="0.25">
      <c r="A2701" s="11" t="s">
        <v>5060</v>
      </c>
      <c r="B2701" s="11" t="s">
        <v>5060</v>
      </c>
      <c r="C2701" s="12">
        <v>45828</v>
      </c>
      <c r="D2701" s="12">
        <v>45828</v>
      </c>
      <c r="E2701" s="11" t="s">
        <v>6</v>
      </c>
      <c r="F2701" s="11" t="s">
        <v>64</v>
      </c>
      <c r="G2701" s="11"/>
      <c r="H2701" s="11"/>
      <c r="I2701" s="11" t="s">
        <v>49</v>
      </c>
      <c r="J2701" s="11">
        <v>-167.37</v>
      </c>
      <c r="K2701" s="11"/>
      <c r="L2701" s="11">
        <v>167.37</v>
      </c>
      <c r="M2701" s="11">
        <v>-167.37</v>
      </c>
      <c r="N2701" s="11"/>
      <c r="O2701" s="11" t="s">
        <v>50</v>
      </c>
    </row>
    <row r="2702" spans="1:15" s="13" customFormat="1" ht="19.5" customHeight="1" x14ac:dyDescent="0.25">
      <c r="A2702" s="11" t="s">
        <v>5061</v>
      </c>
      <c r="B2702" s="11" t="s">
        <v>5061</v>
      </c>
      <c r="C2702" s="12">
        <v>45817</v>
      </c>
      <c r="D2702" s="12">
        <v>45817</v>
      </c>
      <c r="E2702" s="11" t="s">
        <v>6</v>
      </c>
      <c r="F2702" s="11" t="s">
        <v>5062</v>
      </c>
      <c r="G2702" s="11" t="s">
        <v>5061</v>
      </c>
      <c r="H2702" s="11"/>
      <c r="I2702" s="11" t="s">
        <v>49</v>
      </c>
      <c r="J2702" s="11">
        <v>1248.4000000000001</v>
      </c>
      <c r="K2702" s="11">
        <v>1248.4000000000001</v>
      </c>
      <c r="L2702" s="11"/>
      <c r="M2702" s="11">
        <v>1248.4000000000001</v>
      </c>
      <c r="N2702" s="11"/>
      <c r="O2702" s="11" t="s">
        <v>50</v>
      </c>
    </row>
    <row r="2703" spans="1:15" s="13" customFormat="1" ht="19.5" customHeight="1" x14ac:dyDescent="0.25">
      <c r="A2703" s="11" t="s">
        <v>5063</v>
      </c>
      <c r="B2703" s="11" t="s">
        <v>5064</v>
      </c>
      <c r="C2703" s="12">
        <v>45806</v>
      </c>
      <c r="D2703" s="12">
        <v>45806</v>
      </c>
      <c r="E2703" s="11" t="s">
        <v>6</v>
      </c>
      <c r="F2703" s="11" t="s">
        <v>2166</v>
      </c>
      <c r="G2703" s="11" t="s">
        <v>5064</v>
      </c>
      <c r="H2703" s="11" t="s">
        <v>5065</v>
      </c>
      <c r="I2703" s="11" t="s">
        <v>49</v>
      </c>
      <c r="J2703" s="11">
        <v>254.8</v>
      </c>
      <c r="K2703" s="11">
        <v>254.8</v>
      </c>
      <c r="L2703" s="11"/>
      <c r="M2703" s="11">
        <v>254.8</v>
      </c>
      <c r="N2703" s="11"/>
      <c r="O2703" s="11" t="s">
        <v>50</v>
      </c>
    </row>
    <row r="2704" spans="1:15" s="13" customFormat="1" ht="19.5" customHeight="1" x14ac:dyDescent="0.25">
      <c r="A2704" s="11" t="s">
        <v>5066</v>
      </c>
      <c r="B2704" s="11" t="s">
        <v>5066</v>
      </c>
      <c r="C2704" s="12">
        <v>45805</v>
      </c>
      <c r="D2704" s="12">
        <v>45805</v>
      </c>
      <c r="E2704" s="11" t="s">
        <v>6</v>
      </c>
      <c r="F2704" s="11" t="s">
        <v>798</v>
      </c>
      <c r="G2704" s="11" t="s">
        <v>5066</v>
      </c>
      <c r="H2704" s="11"/>
      <c r="I2704" s="11" t="s">
        <v>49</v>
      </c>
      <c r="J2704" s="11">
        <v>1843.51</v>
      </c>
      <c r="K2704" s="11">
        <v>1843.51</v>
      </c>
      <c r="L2704" s="11"/>
      <c r="M2704" s="11">
        <v>1843.51</v>
      </c>
      <c r="N2704" s="11"/>
      <c r="O2704" s="11" t="s">
        <v>50</v>
      </c>
    </row>
    <row r="2705" spans="1:15" s="13" customFormat="1" ht="19.5" customHeight="1" x14ac:dyDescent="0.25">
      <c r="A2705" s="11" t="s">
        <v>5067</v>
      </c>
      <c r="B2705" s="11" t="s">
        <v>5067</v>
      </c>
      <c r="C2705" s="12">
        <v>45805</v>
      </c>
      <c r="D2705" s="12">
        <v>45805</v>
      </c>
      <c r="E2705" s="11" t="s">
        <v>6</v>
      </c>
      <c r="F2705" s="11" t="s">
        <v>5068</v>
      </c>
      <c r="G2705" s="11" t="s">
        <v>5067</v>
      </c>
      <c r="H2705" s="11"/>
      <c r="I2705" s="11" t="s">
        <v>49</v>
      </c>
      <c r="J2705" s="11">
        <v>1737.5</v>
      </c>
      <c r="K2705" s="11">
        <v>1737.5</v>
      </c>
      <c r="L2705" s="11"/>
      <c r="M2705" s="11">
        <v>1737.5</v>
      </c>
      <c r="N2705" s="11"/>
      <c r="O2705" s="11" t="s">
        <v>50</v>
      </c>
    </row>
    <row r="2706" spans="1:15" s="13" customFormat="1" ht="19.5" customHeight="1" x14ac:dyDescent="0.25">
      <c r="A2706" s="11" t="s">
        <v>5069</v>
      </c>
      <c r="B2706" s="11" t="s">
        <v>5069</v>
      </c>
      <c r="C2706" s="12">
        <v>45805</v>
      </c>
      <c r="D2706" s="12">
        <v>45805</v>
      </c>
      <c r="E2706" s="11" t="s">
        <v>6</v>
      </c>
      <c r="F2706" s="11" t="s">
        <v>5070</v>
      </c>
      <c r="G2706" s="11" t="s">
        <v>5069</v>
      </c>
      <c r="H2706" s="11"/>
      <c r="I2706" s="11" t="s">
        <v>49</v>
      </c>
      <c r="J2706" s="11">
        <v>2303.5</v>
      </c>
      <c r="K2706" s="11">
        <v>2303.5</v>
      </c>
      <c r="L2706" s="11"/>
      <c r="M2706" s="11">
        <v>2303.5</v>
      </c>
      <c r="N2706" s="11"/>
      <c r="O2706" s="11" t="s">
        <v>50</v>
      </c>
    </row>
    <row r="2707" spans="1:15" s="13" customFormat="1" ht="19.5" customHeight="1" x14ac:dyDescent="0.25">
      <c r="A2707" s="11" t="s">
        <v>5071</v>
      </c>
      <c r="B2707" s="11" t="s">
        <v>5071</v>
      </c>
      <c r="C2707" s="12">
        <v>45805</v>
      </c>
      <c r="D2707" s="12">
        <v>45805</v>
      </c>
      <c r="E2707" s="11" t="s">
        <v>6</v>
      </c>
      <c r="F2707" s="11" t="s">
        <v>5072</v>
      </c>
      <c r="G2707" s="11" t="s">
        <v>5071</v>
      </c>
      <c r="H2707" s="11"/>
      <c r="I2707" s="11" t="s">
        <v>49</v>
      </c>
      <c r="J2707" s="11">
        <v>2706</v>
      </c>
      <c r="K2707" s="11">
        <v>2706</v>
      </c>
      <c r="L2707" s="11"/>
      <c r="M2707" s="11">
        <v>2706</v>
      </c>
      <c r="N2707" s="11"/>
      <c r="O2707" s="11" t="s">
        <v>50</v>
      </c>
    </row>
    <row r="2708" spans="1:15" s="13" customFormat="1" ht="19.5" customHeight="1" x14ac:dyDescent="0.25">
      <c r="A2708" s="11" t="s">
        <v>5073</v>
      </c>
      <c r="B2708" s="11" t="s">
        <v>5073</v>
      </c>
      <c r="C2708" s="12">
        <v>45805</v>
      </c>
      <c r="D2708" s="12">
        <v>45805</v>
      </c>
      <c r="E2708" s="11" t="s">
        <v>6</v>
      </c>
      <c r="F2708" s="11" t="s">
        <v>5074</v>
      </c>
      <c r="G2708" s="11" t="s">
        <v>5073</v>
      </c>
      <c r="H2708" s="11"/>
      <c r="I2708" s="11" t="s">
        <v>49</v>
      </c>
      <c r="J2708" s="11">
        <v>2151.59</v>
      </c>
      <c r="K2708" s="11">
        <v>2151.59</v>
      </c>
      <c r="L2708" s="11"/>
      <c r="M2708" s="11">
        <v>2151.59</v>
      </c>
      <c r="N2708" s="11"/>
      <c r="O2708" s="11" t="s">
        <v>50</v>
      </c>
    </row>
    <row r="2709" spans="1:15" s="13" customFormat="1" ht="19.5" customHeight="1" x14ac:dyDescent="0.25">
      <c r="A2709" s="11" t="s">
        <v>5075</v>
      </c>
      <c r="B2709" s="11" t="s">
        <v>5075</v>
      </c>
      <c r="C2709" s="12">
        <v>45805</v>
      </c>
      <c r="D2709" s="12">
        <v>45805</v>
      </c>
      <c r="E2709" s="11" t="s">
        <v>6</v>
      </c>
      <c r="F2709" s="11" t="s">
        <v>5076</v>
      </c>
      <c r="G2709" s="11" t="s">
        <v>5075</v>
      </c>
      <c r="H2709" s="11"/>
      <c r="I2709" s="11" t="s">
        <v>49</v>
      </c>
      <c r="J2709" s="11">
        <v>1967.48</v>
      </c>
      <c r="K2709" s="11">
        <v>1967.48</v>
      </c>
      <c r="L2709" s="11"/>
      <c r="M2709" s="11">
        <v>1967.48</v>
      </c>
      <c r="N2709" s="11"/>
      <c r="O2709" s="11" t="s">
        <v>50</v>
      </c>
    </row>
    <row r="2710" spans="1:15" s="13" customFormat="1" ht="19.5" customHeight="1" x14ac:dyDescent="0.25">
      <c r="A2710" s="11" t="s">
        <v>5077</v>
      </c>
      <c r="B2710" s="11" t="s">
        <v>5077</v>
      </c>
      <c r="C2710" s="12">
        <v>45805</v>
      </c>
      <c r="D2710" s="12">
        <v>45805</v>
      </c>
      <c r="E2710" s="11" t="s">
        <v>6</v>
      </c>
      <c r="F2710" s="11" t="s">
        <v>5078</v>
      </c>
      <c r="G2710" s="11" t="s">
        <v>5077</v>
      </c>
      <c r="H2710" s="11"/>
      <c r="I2710" s="11" t="s">
        <v>49</v>
      </c>
      <c r="J2710" s="11">
        <v>1708.41</v>
      </c>
      <c r="K2710" s="11">
        <v>1708.41</v>
      </c>
      <c r="L2710" s="11"/>
      <c r="M2710" s="11">
        <v>1708.41</v>
      </c>
      <c r="N2710" s="11"/>
      <c r="O2710" s="11" t="s">
        <v>50</v>
      </c>
    </row>
    <row r="2711" spans="1:15" s="13" customFormat="1" ht="19.5" customHeight="1" x14ac:dyDescent="0.25">
      <c r="A2711" s="11" t="s">
        <v>5079</v>
      </c>
      <c r="B2711" s="11" t="s">
        <v>5079</v>
      </c>
      <c r="C2711" s="12">
        <v>45805</v>
      </c>
      <c r="D2711" s="12">
        <v>45805</v>
      </c>
      <c r="E2711" s="11" t="s">
        <v>6</v>
      </c>
      <c r="F2711" s="11" t="s">
        <v>5080</v>
      </c>
      <c r="G2711" s="11" t="s">
        <v>5079</v>
      </c>
      <c r="H2711" s="11"/>
      <c r="I2711" s="11" t="s">
        <v>49</v>
      </c>
      <c r="J2711" s="11">
        <v>1133.4000000000001</v>
      </c>
      <c r="K2711" s="11">
        <v>1133.4000000000001</v>
      </c>
      <c r="L2711" s="11"/>
      <c r="M2711" s="11">
        <v>1133.4000000000001</v>
      </c>
      <c r="N2711" s="11"/>
      <c r="O2711" s="11" t="s">
        <v>50</v>
      </c>
    </row>
    <row r="2712" spans="1:15" s="13" customFormat="1" ht="19.5" customHeight="1" x14ac:dyDescent="0.25">
      <c r="A2712" s="11" t="s">
        <v>5081</v>
      </c>
      <c r="B2712" s="11" t="s">
        <v>5081</v>
      </c>
      <c r="C2712" s="12">
        <v>45805</v>
      </c>
      <c r="D2712" s="12">
        <v>45805</v>
      </c>
      <c r="E2712" s="11" t="s">
        <v>6</v>
      </c>
      <c r="F2712" s="11" t="s">
        <v>5082</v>
      </c>
      <c r="G2712" s="11" t="s">
        <v>5081</v>
      </c>
      <c r="H2712" s="11"/>
      <c r="I2712" s="11" t="s">
        <v>49</v>
      </c>
      <c r="J2712" s="11">
        <v>1737.5</v>
      </c>
      <c r="K2712" s="11">
        <v>1737.5</v>
      </c>
      <c r="L2712" s="11"/>
      <c r="M2712" s="11">
        <v>1737.5</v>
      </c>
      <c r="N2712" s="11"/>
      <c r="O2712" s="11" t="s">
        <v>50</v>
      </c>
    </row>
    <row r="2713" spans="1:15" s="13" customFormat="1" ht="19.5" customHeight="1" x14ac:dyDescent="0.25">
      <c r="A2713" s="11" t="s">
        <v>5083</v>
      </c>
      <c r="B2713" s="11" t="s">
        <v>5083</v>
      </c>
      <c r="C2713" s="12">
        <v>45805</v>
      </c>
      <c r="D2713" s="12">
        <v>45805</v>
      </c>
      <c r="E2713" s="11" t="s">
        <v>6</v>
      </c>
      <c r="F2713" s="11" t="s">
        <v>798</v>
      </c>
      <c r="G2713" s="11" t="s">
        <v>5083</v>
      </c>
      <c r="H2713" s="11"/>
      <c r="I2713" s="11" t="s">
        <v>49</v>
      </c>
      <c r="J2713" s="11">
        <v>1392.49</v>
      </c>
      <c r="K2713" s="11">
        <v>1392.49</v>
      </c>
      <c r="L2713" s="11"/>
      <c r="M2713" s="11">
        <v>1392.49</v>
      </c>
      <c r="N2713" s="11"/>
      <c r="O2713" s="11" t="s">
        <v>50</v>
      </c>
    </row>
    <row r="2714" spans="1:15" s="13" customFormat="1" ht="19.5" customHeight="1" x14ac:dyDescent="0.25">
      <c r="A2714" s="11" t="s">
        <v>5084</v>
      </c>
      <c r="B2714" s="11" t="s">
        <v>5084</v>
      </c>
      <c r="C2714" s="12">
        <v>45805</v>
      </c>
      <c r="D2714" s="12">
        <v>45805</v>
      </c>
      <c r="E2714" s="11" t="s">
        <v>6</v>
      </c>
      <c r="F2714" s="11" t="s">
        <v>5085</v>
      </c>
      <c r="G2714" s="11" t="s">
        <v>5084</v>
      </c>
      <c r="H2714" s="11"/>
      <c r="I2714" s="11" t="s">
        <v>49</v>
      </c>
      <c r="J2714" s="11">
        <v>1593.4</v>
      </c>
      <c r="K2714" s="11">
        <v>1593.4</v>
      </c>
      <c r="L2714" s="11"/>
      <c r="M2714" s="11">
        <v>1593.4</v>
      </c>
      <c r="N2714" s="11"/>
      <c r="O2714" s="11" t="s">
        <v>50</v>
      </c>
    </row>
    <row r="2715" spans="1:15" s="13" customFormat="1" ht="19.5" customHeight="1" x14ac:dyDescent="0.25">
      <c r="A2715" s="11" t="s">
        <v>5086</v>
      </c>
      <c r="B2715" s="11" t="s">
        <v>5086</v>
      </c>
      <c r="C2715" s="12">
        <v>45805</v>
      </c>
      <c r="D2715" s="12">
        <v>45805</v>
      </c>
      <c r="E2715" s="11" t="s">
        <v>6</v>
      </c>
      <c r="F2715" s="11" t="s">
        <v>5087</v>
      </c>
      <c r="G2715" s="11" t="s">
        <v>5086</v>
      </c>
      <c r="H2715" s="11"/>
      <c r="I2715" s="11" t="s">
        <v>49</v>
      </c>
      <c r="J2715" s="11">
        <v>862.5</v>
      </c>
      <c r="K2715" s="11">
        <v>862.5</v>
      </c>
      <c r="L2715" s="11"/>
      <c r="M2715" s="11">
        <v>862.5</v>
      </c>
      <c r="N2715" s="11"/>
      <c r="O2715" s="11" t="s">
        <v>50</v>
      </c>
    </row>
    <row r="2716" spans="1:15" s="13" customFormat="1" ht="19.5" customHeight="1" x14ac:dyDescent="0.25">
      <c r="A2716" s="11" t="s">
        <v>5088</v>
      </c>
      <c r="B2716" s="11" t="s">
        <v>5089</v>
      </c>
      <c r="C2716" s="12">
        <v>45799</v>
      </c>
      <c r="D2716" s="12">
        <v>45799</v>
      </c>
      <c r="E2716" s="11" t="s">
        <v>6</v>
      </c>
      <c r="F2716" s="11" t="s">
        <v>5090</v>
      </c>
      <c r="G2716" s="11"/>
      <c r="H2716" s="11" t="s">
        <v>5091</v>
      </c>
      <c r="I2716" s="11" t="s">
        <v>49</v>
      </c>
      <c r="J2716" s="11">
        <v>-63.9</v>
      </c>
      <c r="K2716" s="11"/>
      <c r="L2716" s="11">
        <v>63.9</v>
      </c>
      <c r="M2716" s="11">
        <v>-63.9</v>
      </c>
      <c r="N2716" s="11"/>
      <c r="O2716" s="11" t="s">
        <v>50</v>
      </c>
    </row>
    <row r="2717" spans="1:15" s="13" customFormat="1" ht="19.5" customHeight="1" x14ac:dyDescent="0.25">
      <c r="A2717" s="11" t="s">
        <v>5092</v>
      </c>
      <c r="B2717" s="11" t="s">
        <v>5092</v>
      </c>
      <c r="C2717" s="12">
        <v>45740</v>
      </c>
      <c r="D2717" s="12">
        <v>45740</v>
      </c>
      <c r="E2717" s="11" t="s">
        <v>6</v>
      </c>
      <c r="F2717" s="11" t="s">
        <v>5093</v>
      </c>
      <c r="G2717" s="11" t="s">
        <v>5092</v>
      </c>
      <c r="H2717" s="11"/>
      <c r="I2717" s="11" t="s">
        <v>49</v>
      </c>
      <c r="J2717" s="11">
        <v>49.5</v>
      </c>
      <c r="K2717" s="11">
        <v>49.5</v>
      </c>
      <c r="L2717" s="11"/>
      <c r="M2717" s="11">
        <v>49.5</v>
      </c>
      <c r="N2717" s="11" t="s">
        <v>5094</v>
      </c>
      <c r="O2717" s="11" t="s">
        <v>50</v>
      </c>
    </row>
    <row r="2718" spans="1:15" s="13" customFormat="1" ht="19.5" customHeight="1" x14ac:dyDescent="0.25">
      <c r="A2718" s="11" t="s">
        <v>5095</v>
      </c>
      <c r="B2718" s="11" t="s">
        <v>5095</v>
      </c>
      <c r="C2718" s="12">
        <v>45740</v>
      </c>
      <c r="D2718" s="12">
        <v>45740</v>
      </c>
      <c r="E2718" s="11" t="s">
        <v>6</v>
      </c>
      <c r="F2718" s="11" t="s">
        <v>5096</v>
      </c>
      <c r="G2718" s="11" t="s">
        <v>5095</v>
      </c>
      <c r="H2718" s="11"/>
      <c r="I2718" s="11" t="s">
        <v>49</v>
      </c>
      <c r="J2718" s="11">
        <v>50.4</v>
      </c>
      <c r="K2718" s="11">
        <v>50.4</v>
      </c>
      <c r="L2718" s="11"/>
      <c r="M2718" s="11">
        <v>50.4</v>
      </c>
      <c r="N2718" s="11" t="s">
        <v>5097</v>
      </c>
      <c r="O2718" s="11" t="s">
        <v>50</v>
      </c>
    </row>
    <row r="2719" spans="1:15" s="13" customFormat="1" ht="19.5" customHeight="1" x14ac:dyDescent="0.25">
      <c r="A2719" s="11" t="s">
        <v>5098</v>
      </c>
      <c r="B2719" s="11" t="s">
        <v>5098</v>
      </c>
      <c r="C2719" s="12">
        <v>45716</v>
      </c>
      <c r="D2719" s="12">
        <v>45716</v>
      </c>
      <c r="E2719" s="11" t="s">
        <v>6</v>
      </c>
      <c r="F2719" s="11" t="s">
        <v>4656</v>
      </c>
      <c r="G2719" s="11" t="s">
        <v>5098</v>
      </c>
      <c r="H2719" s="11"/>
      <c r="I2719" s="11" t="s">
        <v>49</v>
      </c>
      <c r="J2719" s="11">
        <v>2403.83</v>
      </c>
      <c r="K2719" s="11">
        <v>2403.83</v>
      </c>
      <c r="L2719" s="11"/>
      <c r="M2719" s="11">
        <v>2403.83</v>
      </c>
      <c r="N2719" s="11"/>
      <c r="O2719" s="11" t="s">
        <v>3299</v>
      </c>
    </row>
    <row r="2720" spans="1:15" s="13" customFormat="1" ht="19.5" customHeight="1" x14ac:dyDescent="0.25">
      <c r="A2720" s="11" t="s">
        <v>5099</v>
      </c>
      <c r="B2720" s="11" t="s">
        <v>5099</v>
      </c>
      <c r="C2720" s="12">
        <v>45701</v>
      </c>
      <c r="D2720" s="12">
        <v>45701</v>
      </c>
      <c r="E2720" s="11" t="s">
        <v>6</v>
      </c>
      <c r="F2720" s="11" t="s">
        <v>5100</v>
      </c>
      <c r="G2720" s="11" t="s">
        <v>5099</v>
      </c>
      <c r="H2720" s="11"/>
      <c r="I2720" s="11" t="s">
        <v>49</v>
      </c>
      <c r="J2720" s="11">
        <v>56</v>
      </c>
      <c r="K2720" s="11">
        <v>56</v>
      </c>
      <c r="L2720" s="11"/>
      <c r="M2720" s="11">
        <v>56</v>
      </c>
      <c r="N2720" s="11" t="s">
        <v>5101</v>
      </c>
      <c r="O2720" s="11" t="s">
        <v>3299</v>
      </c>
    </row>
    <row r="2721" spans="1:15" s="13" customFormat="1" ht="19.5" customHeight="1" x14ac:dyDescent="0.25">
      <c r="A2721" s="11" t="s">
        <v>5102</v>
      </c>
      <c r="B2721" s="11" t="s">
        <v>5102</v>
      </c>
      <c r="C2721" s="12">
        <v>45699</v>
      </c>
      <c r="D2721" s="12">
        <v>45699</v>
      </c>
      <c r="E2721" s="11" t="s">
        <v>6</v>
      </c>
      <c r="F2721" s="11" t="s">
        <v>4656</v>
      </c>
      <c r="G2721" s="11"/>
      <c r="H2721" s="11"/>
      <c r="I2721" s="11" t="s">
        <v>49</v>
      </c>
      <c r="J2721" s="11">
        <v>-817.98</v>
      </c>
      <c r="K2721" s="11"/>
      <c r="L2721" s="11">
        <v>817.98</v>
      </c>
      <c r="M2721" s="11">
        <v>-817.98</v>
      </c>
      <c r="N2721" s="11"/>
      <c r="O2721" s="11" t="s">
        <v>75</v>
      </c>
    </row>
    <row r="2722" spans="1:15" s="13" customFormat="1" ht="19.5" customHeight="1" x14ac:dyDescent="0.25">
      <c r="A2722" s="11" t="s">
        <v>5103</v>
      </c>
      <c r="B2722" s="11" t="s">
        <v>5103</v>
      </c>
      <c r="C2722" s="12">
        <v>45699</v>
      </c>
      <c r="D2722" s="12">
        <v>45699</v>
      </c>
      <c r="E2722" s="11" t="s">
        <v>6</v>
      </c>
      <c r="F2722" s="11" t="s">
        <v>4656</v>
      </c>
      <c r="G2722" s="11"/>
      <c r="H2722" s="11"/>
      <c r="I2722" s="11" t="s">
        <v>49</v>
      </c>
      <c r="J2722" s="11">
        <v>-1585.35</v>
      </c>
      <c r="K2722" s="11"/>
      <c r="L2722" s="11">
        <v>1585.35</v>
      </c>
      <c r="M2722" s="11">
        <v>-1585.35</v>
      </c>
      <c r="N2722" s="11"/>
      <c r="O2722" s="11" t="s">
        <v>75</v>
      </c>
    </row>
    <row r="2723" spans="1:15" s="13" customFormat="1" ht="19.5" customHeight="1" x14ac:dyDescent="0.25">
      <c r="A2723" s="11" t="s">
        <v>5104</v>
      </c>
      <c r="B2723" s="11" t="s">
        <v>5104</v>
      </c>
      <c r="C2723" s="12">
        <v>45698</v>
      </c>
      <c r="D2723" s="12">
        <v>45698</v>
      </c>
      <c r="E2723" s="11" t="s">
        <v>6</v>
      </c>
      <c r="F2723" s="11" t="s">
        <v>1521</v>
      </c>
      <c r="G2723" s="11"/>
      <c r="H2723" s="11"/>
      <c r="I2723" s="11" t="s">
        <v>49</v>
      </c>
      <c r="J2723" s="11">
        <v>-60.66</v>
      </c>
      <c r="K2723" s="11"/>
      <c r="L2723" s="11">
        <v>60.66</v>
      </c>
      <c r="M2723" s="11">
        <v>-60.66</v>
      </c>
      <c r="N2723" s="11"/>
      <c r="O2723" s="11" t="s">
        <v>75</v>
      </c>
    </row>
    <row r="2724" spans="1:15" s="13" customFormat="1" ht="19.5" customHeight="1" x14ac:dyDescent="0.25">
      <c r="A2724" s="11" t="s">
        <v>5105</v>
      </c>
      <c r="B2724" s="11" t="s">
        <v>5105</v>
      </c>
      <c r="C2724" s="12">
        <v>45658</v>
      </c>
      <c r="D2724" s="12">
        <v>45653</v>
      </c>
      <c r="E2724" s="11" t="s">
        <v>6</v>
      </c>
      <c r="F2724" s="11" t="s">
        <v>5106</v>
      </c>
      <c r="G2724" s="11" t="s">
        <v>5105</v>
      </c>
      <c r="H2724" s="11"/>
      <c r="I2724" s="11" t="s">
        <v>49</v>
      </c>
      <c r="J2724" s="11">
        <v>1770.12</v>
      </c>
      <c r="K2724" s="11">
        <v>1770.12</v>
      </c>
      <c r="L2724" s="11"/>
      <c r="M2724" s="11">
        <v>1770.12</v>
      </c>
      <c r="N2724" s="11"/>
      <c r="O2724" s="11" t="s">
        <v>234</v>
      </c>
    </row>
    <row r="2725" spans="1:15" s="13" customFormat="1" ht="19.5" customHeight="1" x14ac:dyDescent="0.25">
      <c r="A2725" s="11" t="s">
        <v>5107</v>
      </c>
      <c r="B2725" s="11" t="s">
        <v>5107</v>
      </c>
      <c r="C2725" s="12">
        <v>45658</v>
      </c>
      <c r="D2725" s="12">
        <v>45392</v>
      </c>
      <c r="E2725" s="11" t="s">
        <v>6</v>
      </c>
      <c r="F2725" s="11" t="s">
        <v>5108</v>
      </c>
      <c r="G2725" s="11" t="s">
        <v>5107</v>
      </c>
      <c r="H2725" s="11"/>
      <c r="I2725" s="11" t="s">
        <v>49</v>
      </c>
      <c r="J2725" s="11">
        <v>144.56</v>
      </c>
      <c r="K2725" s="11">
        <v>144.56</v>
      </c>
      <c r="L2725" s="11"/>
      <c r="M2725" s="11">
        <v>144.56</v>
      </c>
      <c r="N2725" s="11"/>
      <c r="O2725" s="11" t="s">
        <v>234</v>
      </c>
    </row>
    <row r="2726" spans="1:15" s="13" customFormat="1" ht="19.5" customHeight="1" x14ac:dyDescent="0.25">
      <c r="A2726" s="11" t="s">
        <v>5109</v>
      </c>
      <c r="B2726" s="11" t="s">
        <v>5109</v>
      </c>
      <c r="C2726" s="12">
        <v>45658</v>
      </c>
      <c r="D2726" s="12">
        <v>45378</v>
      </c>
      <c r="E2726" s="11" t="s">
        <v>6</v>
      </c>
      <c r="F2726" s="11" t="s">
        <v>5108</v>
      </c>
      <c r="G2726" s="11" t="s">
        <v>5109</v>
      </c>
      <c r="H2726" s="11"/>
      <c r="I2726" s="11" t="s">
        <v>49</v>
      </c>
      <c r="J2726" s="11">
        <v>101.47</v>
      </c>
      <c r="K2726" s="11">
        <v>101.47</v>
      </c>
      <c r="L2726" s="11"/>
      <c r="M2726" s="11">
        <v>101.47</v>
      </c>
      <c r="N2726" s="11"/>
      <c r="O2726" s="11" t="s">
        <v>234</v>
      </c>
    </row>
    <row r="2727" spans="1:15" s="13" customFormat="1" ht="19.5" customHeight="1" x14ac:dyDescent="0.25">
      <c r="A2727" s="11" t="s">
        <v>5110</v>
      </c>
      <c r="B2727" s="11" t="s">
        <v>5110</v>
      </c>
      <c r="C2727" s="12">
        <v>45658</v>
      </c>
      <c r="D2727" s="12">
        <v>45378</v>
      </c>
      <c r="E2727" s="11" t="s">
        <v>6</v>
      </c>
      <c r="F2727" s="11" t="s">
        <v>5108</v>
      </c>
      <c r="G2727" s="11" t="s">
        <v>5110</v>
      </c>
      <c r="H2727" s="11"/>
      <c r="I2727" s="11" t="s">
        <v>49</v>
      </c>
      <c r="J2727" s="11">
        <v>144.56</v>
      </c>
      <c r="K2727" s="11">
        <v>144.56</v>
      </c>
      <c r="L2727" s="11"/>
      <c r="M2727" s="11">
        <v>144.56</v>
      </c>
      <c r="N2727" s="11"/>
      <c r="O2727" s="11" t="s">
        <v>234</v>
      </c>
    </row>
    <row r="2728" spans="1:15" s="13" customFormat="1" ht="19.5" customHeight="1" x14ac:dyDescent="0.25">
      <c r="A2728" s="11" t="s">
        <v>5111</v>
      </c>
      <c r="B2728" s="11" t="s">
        <v>5111</v>
      </c>
      <c r="C2728" s="12">
        <v>45658</v>
      </c>
      <c r="D2728" s="12">
        <v>45378</v>
      </c>
      <c r="E2728" s="11" t="s">
        <v>6</v>
      </c>
      <c r="F2728" s="11" t="s">
        <v>5108</v>
      </c>
      <c r="G2728" s="11" t="s">
        <v>5111</v>
      </c>
      <c r="H2728" s="11"/>
      <c r="I2728" s="11" t="s">
        <v>49</v>
      </c>
      <c r="J2728" s="11">
        <v>101.47</v>
      </c>
      <c r="K2728" s="11">
        <v>101.47</v>
      </c>
      <c r="L2728" s="11"/>
      <c r="M2728" s="11">
        <v>101.47</v>
      </c>
      <c r="N2728" s="11"/>
      <c r="O2728" s="11" t="s">
        <v>234</v>
      </c>
    </row>
    <row r="2729" spans="1:15" s="13" customFormat="1" ht="19.5" customHeight="1" x14ac:dyDescent="0.25">
      <c r="A2729" s="11" t="s">
        <v>5112</v>
      </c>
      <c r="B2729" s="11" t="s">
        <v>5112</v>
      </c>
      <c r="C2729" s="12">
        <v>45658</v>
      </c>
      <c r="D2729" s="12">
        <v>45376</v>
      </c>
      <c r="E2729" s="11" t="s">
        <v>6</v>
      </c>
      <c r="F2729" s="11" t="s">
        <v>5108</v>
      </c>
      <c r="G2729" s="11" t="s">
        <v>5112</v>
      </c>
      <c r="H2729" s="11"/>
      <c r="I2729" s="11" t="s">
        <v>49</v>
      </c>
      <c r="J2729" s="11">
        <v>101.47</v>
      </c>
      <c r="K2729" s="11">
        <v>101.47</v>
      </c>
      <c r="L2729" s="11"/>
      <c r="M2729" s="11">
        <v>101.47</v>
      </c>
      <c r="N2729" s="11"/>
      <c r="O2729" s="11" t="s">
        <v>234</v>
      </c>
    </row>
    <row r="2730" spans="1:15" s="13" customFormat="1" ht="19.5" customHeight="1" x14ac:dyDescent="0.25">
      <c r="A2730" s="11" t="s">
        <v>5113</v>
      </c>
      <c r="B2730" s="11" t="s">
        <v>5113</v>
      </c>
      <c r="C2730" s="12">
        <v>45658</v>
      </c>
      <c r="D2730" s="12">
        <v>45373</v>
      </c>
      <c r="E2730" s="11" t="s">
        <v>6</v>
      </c>
      <c r="F2730" s="11" t="s">
        <v>5108</v>
      </c>
      <c r="G2730" s="11" t="s">
        <v>5113</v>
      </c>
      <c r="H2730" s="11"/>
      <c r="I2730" s="11" t="s">
        <v>49</v>
      </c>
      <c r="J2730" s="11">
        <v>103.98</v>
      </c>
      <c r="K2730" s="11">
        <v>103.98</v>
      </c>
      <c r="L2730" s="11"/>
      <c r="M2730" s="11">
        <v>103.98</v>
      </c>
      <c r="N2730" s="11"/>
      <c r="O2730" s="11" t="s">
        <v>234</v>
      </c>
    </row>
    <row r="2731" spans="1:15" s="13" customFormat="1" ht="19.5" customHeight="1" x14ac:dyDescent="0.25">
      <c r="A2731" s="11" t="s">
        <v>5114</v>
      </c>
      <c r="B2731" s="11" t="s">
        <v>5114</v>
      </c>
      <c r="C2731" s="12">
        <v>45658</v>
      </c>
      <c r="D2731" s="12">
        <v>45372</v>
      </c>
      <c r="E2731" s="11" t="s">
        <v>6</v>
      </c>
      <c r="F2731" s="11" t="s">
        <v>5108</v>
      </c>
      <c r="G2731" s="11" t="s">
        <v>5114</v>
      </c>
      <c r="H2731" s="11"/>
      <c r="I2731" s="11" t="s">
        <v>49</v>
      </c>
      <c r="J2731" s="11">
        <v>103.98</v>
      </c>
      <c r="K2731" s="11">
        <v>103.98</v>
      </c>
      <c r="L2731" s="11"/>
      <c r="M2731" s="11">
        <v>103.98</v>
      </c>
      <c r="N2731" s="11"/>
      <c r="O2731" s="11" t="s">
        <v>234</v>
      </c>
    </row>
    <row r="2732" spans="1:15" s="13" customFormat="1" ht="19.5" customHeight="1" x14ac:dyDescent="0.25">
      <c r="A2732" s="11" t="s">
        <v>5115</v>
      </c>
      <c r="B2732" s="11" t="s">
        <v>5115</v>
      </c>
      <c r="C2732" s="12">
        <v>45658</v>
      </c>
      <c r="D2732" s="12">
        <v>45372</v>
      </c>
      <c r="E2732" s="11" t="s">
        <v>6</v>
      </c>
      <c r="F2732" s="11" t="s">
        <v>5108</v>
      </c>
      <c r="G2732" s="11" t="s">
        <v>5115</v>
      </c>
      <c r="H2732" s="11"/>
      <c r="I2732" s="11" t="s">
        <v>49</v>
      </c>
      <c r="J2732" s="11">
        <v>101.33</v>
      </c>
      <c r="K2732" s="11">
        <v>101.33</v>
      </c>
      <c r="L2732" s="11"/>
      <c r="M2732" s="11">
        <v>101.33</v>
      </c>
      <c r="N2732" s="11"/>
      <c r="O2732" s="11" t="s">
        <v>234</v>
      </c>
    </row>
    <row r="2733" spans="1:15" s="13" customFormat="1" ht="19.5" customHeight="1" x14ac:dyDescent="0.25">
      <c r="A2733" s="11" t="s">
        <v>5116</v>
      </c>
      <c r="B2733" s="11" t="s">
        <v>5116</v>
      </c>
      <c r="C2733" s="12">
        <v>45658</v>
      </c>
      <c r="D2733" s="12">
        <v>45371</v>
      </c>
      <c r="E2733" s="11" t="s">
        <v>6</v>
      </c>
      <c r="F2733" s="11" t="s">
        <v>5108</v>
      </c>
      <c r="G2733" s="11" t="s">
        <v>5116</v>
      </c>
      <c r="H2733" s="11"/>
      <c r="I2733" s="11" t="s">
        <v>49</v>
      </c>
      <c r="J2733" s="11">
        <v>101.33</v>
      </c>
      <c r="K2733" s="11">
        <v>101.33</v>
      </c>
      <c r="L2733" s="11"/>
      <c r="M2733" s="11">
        <v>101.33</v>
      </c>
      <c r="N2733" s="11"/>
      <c r="O2733" s="11" t="s">
        <v>234</v>
      </c>
    </row>
    <row r="2734" spans="1:15" s="13" customFormat="1" ht="19.5" customHeight="1" x14ac:dyDescent="0.25">
      <c r="A2734" s="11" t="s">
        <v>5117</v>
      </c>
      <c r="B2734" s="11" t="s">
        <v>5117</v>
      </c>
      <c r="C2734" s="12">
        <v>45658</v>
      </c>
      <c r="D2734" s="12">
        <v>45369</v>
      </c>
      <c r="E2734" s="11" t="s">
        <v>6</v>
      </c>
      <c r="F2734" s="11" t="s">
        <v>5108</v>
      </c>
      <c r="G2734" s="11" t="s">
        <v>5117</v>
      </c>
      <c r="H2734" s="11"/>
      <c r="I2734" s="11" t="s">
        <v>49</v>
      </c>
      <c r="J2734" s="11">
        <v>103.98</v>
      </c>
      <c r="K2734" s="11">
        <v>103.98</v>
      </c>
      <c r="L2734" s="11"/>
      <c r="M2734" s="11">
        <v>103.98</v>
      </c>
      <c r="N2734" s="11"/>
      <c r="O2734" s="11" t="s">
        <v>234</v>
      </c>
    </row>
    <row r="2735" spans="1:15" s="13" customFormat="1" ht="19.5" customHeight="1" x14ac:dyDescent="0.25">
      <c r="A2735" s="11" t="s">
        <v>5118</v>
      </c>
      <c r="B2735" s="11" t="s">
        <v>5118</v>
      </c>
      <c r="C2735" s="12">
        <v>45658</v>
      </c>
      <c r="D2735" s="12">
        <v>45091</v>
      </c>
      <c r="E2735" s="11" t="s">
        <v>6</v>
      </c>
      <c r="F2735" s="11" t="s">
        <v>5119</v>
      </c>
      <c r="G2735" s="11" t="s">
        <v>5118</v>
      </c>
      <c r="H2735" s="11"/>
      <c r="I2735" s="11" t="s">
        <v>49</v>
      </c>
      <c r="J2735" s="11">
        <v>345.87</v>
      </c>
      <c r="K2735" s="11">
        <v>345.87</v>
      </c>
      <c r="L2735" s="11"/>
      <c r="M2735" s="11">
        <v>345.87</v>
      </c>
      <c r="N2735" s="11"/>
      <c r="O2735" s="11" t="s">
        <v>234</v>
      </c>
    </row>
    <row r="2736" spans="1:15" s="13" customFormat="1" ht="19.5" customHeight="1" x14ac:dyDescent="0.25">
      <c r="A2736" s="11" t="s">
        <v>5120</v>
      </c>
      <c r="B2736" s="11" t="s">
        <v>5120</v>
      </c>
      <c r="C2736" s="12">
        <v>45658</v>
      </c>
      <c r="D2736" s="12">
        <v>44760</v>
      </c>
      <c r="E2736" s="11" t="s">
        <v>6</v>
      </c>
      <c r="F2736" s="11" t="s">
        <v>5121</v>
      </c>
      <c r="G2736" s="11" t="s">
        <v>5120</v>
      </c>
      <c r="H2736" s="11"/>
      <c r="I2736" s="11" t="s">
        <v>49</v>
      </c>
      <c r="J2736" s="11">
        <v>80.47</v>
      </c>
      <c r="K2736" s="11">
        <v>80.47</v>
      </c>
      <c r="L2736" s="11"/>
      <c r="M2736" s="11">
        <v>80.47</v>
      </c>
      <c r="N2736" s="11"/>
      <c r="O2736" s="11" t="s">
        <v>234</v>
      </c>
    </row>
    <row r="2737" spans="1:15" s="13" customFormat="1" ht="19.5" customHeight="1" x14ac:dyDescent="0.25">
      <c r="A2737" s="11" t="s">
        <v>5122</v>
      </c>
      <c r="B2737" s="11" t="s">
        <v>5122</v>
      </c>
      <c r="C2737" s="12">
        <v>45658</v>
      </c>
      <c r="D2737" s="12">
        <v>44749</v>
      </c>
      <c r="E2737" s="11" t="s">
        <v>6</v>
      </c>
      <c r="F2737" s="11" t="s">
        <v>5121</v>
      </c>
      <c r="G2737" s="11" t="s">
        <v>5122</v>
      </c>
      <c r="H2737" s="11"/>
      <c r="I2737" s="11" t="s">
        <v>49</v>
      </c>
      <c r="J2737" s="11">
        <v>83.47</v>
      </c>
      <c r="K2737" s="11">
        <v>83.47</v>
      </c>
      <c r="L2737" s="11"/>
      <c r="M2737" s="11">
        <v>83.47</v>
      </c>
      <c r="N2737" s="11"/>
      <c r="O2737" s="11" t="s">
        <v>234</v>
      </c>
    </row>
    <row r="2738" spans="1:15" s="13" customFormat="1" ht="19.5" customHeight="1" x14ac:dyDescent="0.25">
      <c r="A2738" s="11" t="s">
        <v>5123</v>
      </c>
      <c r="B2738" s="11" t="s">
        <v>5123</v>
      </c>
      <c r="C2738" s="12">
        <v>45658</v>
      </c>
      <c r="D2738" s="12">
        <v>44746</v>
      </c>
      <c r="E2738" s="11" t="s">
        <v>6</v>
      </c>
      <c r="F2738" s="11" t="s">
        <v>5121</v>
      </c>
      <c r="G2738" s="11" t="s">
        <v>5123</v>
      </c>
      <c r="H2738" s="11"/>
      <c r="I2738" s="11" t="s">
        <v>49</v>
      </c>
      <c r="J2738" s="11">
        <v>82.37</v>
      </c>
      <c r="K2738" s="11">
        <v>82.37</v>
      </c>
      <c r="L2738" s="11"/>
      <c r="M2738" s="11">
        <v>82.37</v>
      </c>
      <c r="N2738" s="11"/>
      <c r="O2738" s="11" t="s">
        <v>234</v>
      </c>
    </row>
    <row r="2739" spans="1:15" s="13" customFormat="1" ht="19.5" customHeight="1" x14ac:dyDescent="0.25">
      <c r="A2739" s="11" t="s">
        <v>5124</v>
      </c>
      <c r="B2739" s="11" t="s">
        <v>5124</v>
      </c>
      <c r="C2739" s="12">
        <v>45658</v>
      </c>
      <c r="D2739" s="12">
        <v>44728</v>
      </c>
      <c r="E2739" s="11" t="s">
        <v>6</v>
      </c>
      <c r="F2739" s="11" t="s">
        <v>5121</v>
      </c>
      <c r="G2739" s="11" t="s">
        <v>5124</v>
      </c>
      <c r="H2739" s="11"/>
      <c r="I2739" s="11" t="s">
        <v>49</v>
      </c>
      <c r="J2739" s="11">
        <v>83.47</v>
      </c>
      <c r="K2739" s="11">
        <v>83.47</v>
      </c>
      <c r="L2739" s="11"/>
      <c r="M2739" s="11">
        <v>83.47</v>
      </c>
      <c r="N2739" s="11"/>
      <c r="O2739" s="11" t="s">
        <v>234</v>
      </c>
    </row>
    <row r="2740" spans="1:15" s="13" customFormat="1" ht="19.5" customHeight="1" x14ac:dyDescent="0.25">
      <c r="A2740" s="11" t="s">
        <v>5125</v>
      </c>
      <c r="B2740" s="11" t="s">
        <v>5125</v>
      </c>
      <c r="C2740" s="12">
        <v>45658</v>
      </c>
      <c r="D2740" s="12">
        <v>44728</v>
      </c>
      <c r="E2740" s="11" t="s">
        <v>6</v>
      </c>
      <c r="F2740" s="11" t="s">
        <v>5121</v>
      </c>
      <c r="G2740" s="11" t="s">
        <v>5125</v>
      </c>
      <c r="H2740" s="11"/>
      <c r="I2740" s="11" t="s">
        <v>49</v>
      </c>
      <c r="J2740" s="11">
        <v>80.47</v>
      </c>
      <c r="K2740" s="11">
        <v>80.47</v>
      </c>
      <c r="L2740" s="11"/>
      <c r="M2740" s="11">
        <v>80.47</v>
      </c>
      <c r="N2740" s="11"/>
      <c r="O2740" s="11" t="s">
        <v>234</v>
      </c>
    </row>
    <row r="2741" spans="1:15" s="13" customFormat="1" ht="19.5" customHeight="1" x14ac:dyDescent="0.25">
      <c r="A2741" s="11" t="s">
        <v>5126</v>
      </c>
      <c r="B2741" s="11" t="s">
        <v>5126</v>
      </c>
      <c r="C2741" s="12">
        <v>45658</v>
      </c>
      <c r="D2741" s="12">
        <v>44721</v>
      </c>
      <c r="E2741" s="11" t="s">
        <v>6</v>
      </c>
      <c r="F2741" s="11" t="s">
        <v>5121</v>
      </c>
      <c r="G2741" s="11" t="s">
        <v>5126</v>
      </c>
      <c r="H2741" s="11"/>
      <c r="I2741" s="11" t="s">
        <v>49</v>
      </c>
      <c r="J2741" s="11">
        <v>80.47</v>
      </c>
      <c r="K2741" s="11">
        <v>80.47</v>
      </c>
      <c r="L2741" s="11"/>
      <c r="M2741" s="11">
        <v>80.47</v>
      </c>
      <c r="N2741" s="11"/>
      <c r="O2741" s="11" t="s">
        <v>234</v>
      </c>
    </row>
    <row r="2742" spans="1:15" s="13" customFormat="1" ht="19.5" customHeight="1" x14ac:dyDescent="0.25">
      <c r="A2742" s="11" t="s">
        <v>5127</v>
      </c>
      <c r="B2742" s="11" t="s">
        <v>5127</v>
      </c>
      <c r="C2742" s="12">
        <v>45658</v>
      </c>
      <c r="D2742" s="12">
        <v>44714</v>
      </c>
      <c r="E2742" s="11" t="s">
        <v>6</v>
      </c>
      <c r="F2742" s="11" t="s">
        <v>5121</v>
      </c>
      <c r="G2742" s="11" t="s">
        <v>5127</v>
      </c>
      <c r="H2742" s="11"/>
      <c r="I2742" s="11" t="s">
        <v>49</v>
      </c>
      <c r="J2742" s="11">
        <v>84.77</v>
      </c>
      <c r="K2742" s="11">
        <v>84.77</v>
      </c>
      <c r="L2742" s="11"/>
      <c r="M2742" s="11">
        <v>84.77</v>
      </c>
      <c r="N2742" s="11"/>
      <c r="O2742" s="11" t="s">
        <v>234</v>
      </c>
    </row>
    <row r="2743" spans="1:15" s="13" customFormat="1" ht="19.5" customHeight="1" x14ac:dyDescent="0.25">
      <c r="A2743" s="11" t="s">
        <v>5128</v>
      </c>
      <c r="B2743" s="11" t="s">
        <v>5128</v>
      </c>
      <c r="C2743" s="12">
        <v>45658</v>
      </c>
      <c r="D2743" s="12">
        <v>44693</v>
      </c>
      <c r="E2743" s="11" t="s">
        <v>6</v>
      </c>
      <c r="F2743" s="11" t="s">
        <v>5121</v>
      </c>
      <c r="G2743" s="11" t="s">
        <v>5128</v>
      </c>
      <c r="H2743" s="11"/>
      <c r="I2743" s="11" t="s">
        <v>49</v>
      </c>
      <c r="J2743" s="11">
        <v>83.5</v>
      </c>
      <c r="K2743" s="11">
        <v>83.5</v>
      </c>
      <c r="L2743" s="11"/>
      <c r="M2743" s="11">
        <v>83.5</v>
      </c>
      <c r="N2743" s="11"/>
      <c r="O2743" s="11" t="s">
        <v>234</v>
      </c>
    </row>
    <row r="2744" spans="1:15" s="13" customFormat="1" ht="19.5" customHeight="1" x14ac:dyDescent="0.25">
      <c r="A2744" s="11" t="s">
        <v>5129</v>
      </c>
      <c r="B2744" s="11" t="s">
        <v>5129</v>
      </c>
      <c r="C2744" s="12">
        <v>45658</v>
      </c>
      <c r="D2744" s="12">
        <v>44690</v>
      </c>
      <c r="E2744" s="11" t="s">
        <v>6</v>
      </c>
      <c r="F2744" s="11" t="s">
        <v>5121</v>
      </c>
      <c r="G2744" s="11" t="s">
        <v>5129</v>
      </c>
      <c r="H2744" s="11"/>
      <c r="I2744" s="11" t="s">
        <v>49</v>
      </c>
      <c r="J2744" s="11">
        <v>74.27</v>
      </c>
      <c r="K2744" s="11">
        <v>74.27</v>
      </c>
      <c r="L2744" s="11"/>
      <c r="M2744" s="11">
        <v>74.27</v>
      </c>
      <c r="N2744" s="11"/>
      <c r="O2744" s="11" t="s">
        <v>234</v>
      </c>
    </row>
    <row r="2745" spans="1:15" s="13" customFormat="1" ht="19.5" customHeight="1" x14ac:dyDescent="0.25">
      <c r="A2745" s="11" t="s">
        <v>5130</v>
      </c>
      <c r="B2745" s="11" t="s">
        <v>5130</v>
      </c>
      <c r="C2745" s="12">
        <v>45658</v>
      </c>
      <c r="D2745" s="12">
        <v>44686</v>
      </c>
      <c r="E2745" s="11" t="s">
        <v>6</v>
      </c>
      <c r="F2745" s="11" t="s">
        <v>5121</v>
      </c>
      <c r="G2745" s="11" t="s">
        <v>5130</v>
      </c>
      <c r="H2745" s="11"/>
      <c r="I2745" s="11" t="s">
        <v>49</v>
      </c>
      <c r="J2745" s="11">
        <v>4.63</v>
      </c>
      <c r="K2745" s="11">
        <v>4.63</v>
      </c>
      <c r="L2745" s="11"/>
      <c r="M2745" s="11">
        <v>4.63</v>
      </c>
      <c r="N2745" s="11"/>
      <c r="O2745" s="11" t="s">
        <v>234</v>
      </c>
    </row>
    <row r="2746" spans="1:15" s="13" customFormat="1" ht="19.5" customHeight="1" x14ac:dyDescent="0.25">
      <c r="A2746" s="11" t="s">
        <v>5131</v>
      </c>
      <c r="B2746" s="11" t="s">
        <v>5131</v>
      </c>
      <c r="C2746" s="12">
        <v>45658</v>
      </c>
      <c r="D2746" s="12">
        <v>44672</v>
      </c>
      <c r="E2746" s="11" t="s">
        <v>6</v>
      </c>
      <c r="F2746" s="11" t="s">
        <v>5121</v>
      </c>
      <c r="G2746" s="11" t="s">
        <v>5131</v>
      </c>
      <c r="H2746" s="11"/>
      <c r="I2746" s="11" t="s">
        <v>49</v>
      </c>
      <c r="J2746" s="11">
        <v>83.5</v>
      </c>
      <c r="K2746" s="11">
        <v>83.5</v>
      </c>
      <c r="L2746" s="11"/>
      <c r="M2746" s="11">
        <v>83.5</v>
      </c>
      <c r="N2746" s="11"/>
      <c r="O2746" s="11" t="s">
        <v>234</v>
      </c>
    </row>
    <row r="2747" spans="1:15" s="13" customFormat="1" ht="19.5" customHeight="1" x14ac:dyDescent="0.25">
      <c r="A2747" s="11" t="s">
        <v>5132</v>
      </c>
      <c r="B2747" s="11" t="s">
        <v>5132</v>
      </c>
      <c r="C2747" s="12">
        <v>45658</v>
      </c>
      <c r="D2747" s="12">
        <v>44672</v>
      </c>
      <c r="E2747" s="11" t="s">
        <v>6</v>
      </c>
      <c r="F2747" s="11" t="s">
        <v>5121</v>
      </c>
      <c r="G2747" s="11" t="s">
        <v>5132</v>
      </c>
      <c r="H2747" s="11"/>
      <c r="I2747" s="11" t="s">
        <v>49</v>
      </c>
      <c r="J2747" s="11">
        <v>74.27</v>
      </c>
      <c r="K2747" s="11">
        <v>74.27</v>
      </c>
      <c r="L2747" s="11"/>
      <c r="M2747" s="11">
        <v>74.27</v>
      </c>
      <c r="N2747" s="11"/>
      <c r="O2747" s="11" t="s">
        <v>234</v>
      </c>
    </row>
    <row r="2748" spans="1:15" s="13" customFormat="1" ht="19.5" customHeight="1" x14ac:dyDescent="0.25">
      <c r="A2748" s="11" t="s">
        <v>5133</v>
      </c>
      <c r="B2748" s="11" t="s">
        <v>5133</v>
      </c>
      <c r="C2748" s="12">
        <v>45658</v>
      </c>
      <c r="D2748" s="12">
        <v>44671</v>
      </c>
      <c r="E2748" s="11" t="s">
        <v>6</v>
      </c>
      <c r="F2748" s="11" t="s">
        <v>5121</v>
      </c>
      <c r="G2748" s="11" t="s">
        <v>5133</v>
      </c>
      <c r="H2748" s="11"/>
      <c r="I2748" s="11" t="s">
        <v>49</v>
      </c>
      <c r="J2748" s="11">
        <v>86.9</v>
      </c>
      <c r="K2748" s="11">
        <v>86.9</v>
      </c>
      <c r="L2748" s="11"/>
      <c r="M2748" s="11">
        <v>86.9</v>
      </c>
      <c r="N2748" s="11"/>
      <c r="O2748" s="11" t="s">
        <v>234</v>
      </c>
    </row>
    <row r="2749" spans="1:15" s="13" customFormat="1" ht="19.5" customHeight="1" x14ac:dyDescent="0.25">
      <c r="A2749" s="11" t="s">
        <v>5134</v>
      </c>
      <c r="B2749" s="11" t="s">
        <v>5134</v>
      </c>
      <c r="C2749" s="12">
        <v>45658</v>
      </c>
      <c r="D2749" s="12">
        <v>44671</v>
      </c>
      <c r="E2749" s="11" t="s">
        <v>6</v>
      </c>
      <c r="F2749" s="11" t="s">
        <v>5121</v>
      </c>
      <c r="G2749" s="11" t="s">
        <v>5134</v>
      </c>
      <c r="H2749" s="11"/>
      <c r="I2749" s="11" t="s">
        <v>49</v>
      </c>
      <c r="J2749" s="11">
        <v>100.53</v>
      </c>
      <c r="K2749" s="11">
        <v>100.53</v>
      </c>
      <c r="L2749" s="11"/>
      <c r="M2749" s="11">
        <v>100.53</v>
      </c>
      <c r="N2749" s="11"/>
      <c r="O2749" s="11" t="s">
        <v>234</v>
      </c>
    </row>
    <row r="2750" spans="1:15" s="13" customFormat="1" ht="19.5" customHeight="1" x14ac:dyDescent="0.25">
      <c r="A2750" s="11" t="s">
        <v>5135</v>
      </c>
      <c r="B2750" s="11" t="s">
        <v>5135</v>
      </c>
      <c r="C2750" s="12">
        <v>45658</v>
      </c>
      <c r="D2750" s="12">
        <v>45547</v>
      </c>
      <c r="E2750" s="11" t="s">
        <v>6</v>
      </c>
      <c r="F2750" s="11" t="s">
        <v>607</v>
      </c>
      <c r="G2750" s="11" t="s">
        <v>5135</v>
      </c>
      <c r="H2750" s="11"/>
      <c r="I2750" s="11" t="s">
        <v>49</v>
      </c>
      <c r="J2750" s="11">
        <v>-215</v>
      </c>
      <c r="K2750" s="11"/>
      <c r="L2750" s="11">
        <v>215</v>
      </c>
      <c r="M2750" s="11">
        <v>-215</v>
      </c>
      <c r="N2750" s="11"/>
      <c r="O2750" s="11" t="s">
        <v>234</v>
      </c>
    </row>
    <row r="2751" spans="1:15" s="13" customFormat="1" ht="19.5" customHeight="1" x14ac:dyDescent="0.25">
      <c r="A2751" s="11" t="s">
        <v>5136</v>
      </c>
      <c r="B2751" s="11" t="s">
        <v>5136</v>
      </c>
      <c r="C2751" s="12">
        <v>45658</v>
      </c>
      <c r="D2751" s="12">
        <v>45471</v>
      </c>
      <c r="E2751" s="11" t="s">
        <v>6</v>
      </c>
      <c r="F2751" s="11" t="s">
        <v>1521</v>
      </c>
      <c r="G2751" s="11" t="s">
        <v>5136</v>
      </c>
      <c r="H2751" s="11"/>
      <c r="I2751" s="11" t="s">
        <v>49</v>
      </c>
      <c r="J2751" s="11">
        <v>-3985.95</v>
      </c>
      <c r="K2751" s="11"/>
      <c r="L2751" s="11">
        <v>3985.95</v>
      </c>
      <c r="M2751" s="11">
        <v>-3985.95</v>
      </c>
      <c r="N2751" s="11"/>
      <c r="O2751" s="11" t="s">
        <v>234</v>
      </c>
    </row>
    <row r="2752" spans="1:15" s="13" customFormat="1" ht="19.5" customHeight="1" x14ac:dyDescent="0.25">
      <c r="A2752" s="11" t="s">
        <v>5137</v>
      </c>
      <c r="B2752" s="11" t="s">
        <v>5137</v>
      </c>
      <c r="C2752" s="12">
        <v>45658</v>
      </c>
      <c r="D2752" s="12">
        <v>45398</v>
      </c>
      <c r="E2752" s="11" t="s">
        <v>6</v>
      </c>
      <c r="F2752" s="11" t="s">
        <v>4639</v>
      </c>
      <c r="G2752" s="11" t="s">
        <v>5137</v>
      </c>
      <c r="H2752" s="11"/>
      <c r="I2752" s="11" t="s">
        <v>49</v>
      </c>
      <c r="J2752" s="11">
        <v>-174.79</v>
      </c>
      <c r="K2752" s="11"/>
      <c r="L2752" s="11">
        <v>174.79</v>
      </c>
      <c r="M2752" s="11">
        <v>-174.79</v>
      </c>
      <c r="N2752" s="11"/>
      <c r="O2752" s="11" t="s">
        <v>234</v>
      </c>
    </row>
    <row r="2753" spans="1:15" s="13" customFormat="1" ht="19.5" customHeight="1" x14ac:dyDescent="0.25">
      <c r="A2753" s="11" t="s">
        <v>5138</v>
      </c>
      <c r="B2753" s="11" t="s">
        <v>5138</v>
      </c>
      <c r="C2753" s="12">
        <v>45658</v>
      </c>
      <c r="D2753" s="12">
        <v>45175</v>
      </c>
      <c r="E2753" s="11" t="s">
        <v>6</v>
      </c>
      <c r="F2753" s="11" t="s">
        <v>4656</v>
      </c>
      <c r="G2753" s="11" t="s">
        <v>5138</v>
      </c>
      <c r="H2753" s="11"/>
      <c r="I2753" s="11" t="s">
        <v>49</v>
      </c>
      <c r="J2753" s="11">
        <v>-16.37</v>
      </c>
      <c r="K2753" s="11"/>
      <c r="L2753" s="11">
        <v>16.37</v>
      </c>
      <c r="M2753" s="11">
        <v>-16.37</v>
      </c>
      <c r="N2753" s="11"/>
      <c r="O2753" s="11" t="s">
        <v>234</v>
      </c>
    </row>
    <row r="2754" spans="1:15" s="13" customFormat="1" ht="19.5" customHeight="1" x14ac:dyDescent="0.25">
      <c r="A2754" s="11" t="s">
        <v>5139</v>
      </c>
      <c r="B2754" s="11" t="s">
        <v>5139</v>
      </c>
      <c r="C2754" s="12">
        <v>45658</v>
      </c>
      <c r="D2754" s="12">
        <v>45159</v>
      </c>
      <c r="E2754" s="11" t="s">
        <v>6</v>
      </c>
      <c r="F2754" s="11" t="s">
        <v>607</v>
      </c>
      <c r="G2754" s="11" t="s">
        <v>5139</v>
      </c>
      <c r="H2754" s="11"/>
      <c r="I2754" s="11" t="s">
        <v>49</v>
      </c>
      <c r="J2754" s="11">
        <v>-20.5</v>
      </c>
      <c r="K2754" s="11"/>
      <c r="L2754" s="11">
        <v>20.5</v>
      </c>
      <c r="M2754" s="11">
        <v>-20.5</v>
      </c>
      <c r="N2754" s="11"/>
      <c r="O2754" s="11" t="s">
        <v>234</v>
      </c>
    </row>
    <row r="2755" spans="1:15" s="13" customFormat="1" ht="19.5" customHeight="1" x14ac:dyDescent="0.25">
      <c r="A2755" s="11" t="s">
        <v>5140</v>
      </c>
      <c r="B2755" s="11" t="s">
        <v>5140</v>
      </c>
      <c r="C2755" s="12">
        <v>45658</v>
      </c>
      <c r="D2755" s="12">
        <v>45071</v>
      </c>
      <c r="E2755" s="11" t="s">
        <v>6</v>
      </c>
      <c r="F2755" s="11" t="s">
        <v>593</v>
      </c>
      <c r="G2755" s="11" t="s">
        <v>5140</v>
      </c>
      <c r="H2755" s="11"/>
      <c r="I2755" s="11" t="s">
        <v>49</v>
      </c>
      <c r="J2755" s="11">
        <v>-2.54</v>
      </c>
      <c r="K2755" s="11"/>
      <c r="L2755" s="11">
        <v>2.54</v>
      </c>
      <c r="M2755" s="11">
        <v>-2.54</v>
      </c>
      <c r="N2755" s="11"/>
      <c r="O2755" s="11" t="s">
        <v>234</v>
      </c>
    </row>
    <row r="2756" spans="1:15" s="13" customFormat="1" ht="19.5" customHeight="1" x14ac:dyDescent="0.25">
      <c r="A2756" s="11" t="s">
        <v>5141</v>
      </c>
      <c r="B2756" s="11" t="s">
        <v>5141</v>
      </c>
      <c r="C2756" s="12">
        <v>45658</v>
      </c>
      <c r="D2756" s="12">
        <v>45070</v>
      </c>
      <c r="E2756" s="11" t="s">
        <v>6</v>
      </c>
      <c r="F2756" s="11" t="s">
        <v>64</v>
      </c>
      <c r="G2756" s="11" t="s">
        <v>5141</v>
      </c>
      <c r="H2756" s="11"/>
      <c r="I2756" s="11" t="s">
        <v>49</v>
      </c>
      <c r="J2756" s="11">
        <v>-3.48</v>
      </c>
      <c r="K2756" s="11"/>
      <c r="L2756" s="11">
        <v>3.48</v>
      </c>
      <c r="M2756" s="11">
        <v>-3.48</v>
      </c>
      <c r="N2756" s="11"/>
      <c r="O2756" s="11" t="s">
        <v>234</v>
      </c>
    </row>
    <row r="2757" spans="1:15" s="13" customFormat="1" ht="19.5" customHeight="1" x14ac:dyDescent="0.25">
      <c r="A2757" s="11" t="s">
        <v>5142</v>
      </c>
      <c r="B2757" s="11" t="s">
        <v>5142</v>
      </c>
      <c r="C2757" s="12">
        <v>45658</v>
      </c>
      <c r="D2757" s="12">
        <v>44924</v>
      </c>
      <c r="E2757" s="11" t="s">
        <v>6</v>
      </c>
      <c r="F2757" s="11" t="s">
        <v>1920</v>
      </c>
      <c r="G2757" s="11" t="s">
        <v>5142</v>
      </c>
      <c r="H2757" s="11"/>
      <c r="I2757" s="11" t="s">
        <v>49</v>
      </c>
      <c r="J2757" s="11">
        <v>-40.86</v>
      </c>
      <c r="K2757" s="11"/>
      <c r="L2757" s="11">
        <v>40.86</v>
      </c>
      <c r="M2757" s="11">
        <v>-40.86</v>
      </c>
      <c r="N2757" s="11"/>
      <c r="O2757" s="11" t="s">
        <v>234</v>
      </c>
    </row>
    <row r="2758" spans="1:15" s="13" customFormat="1" ht="19.5" customHeight="1" x14ac:dyDescent="0.25">
      <c r="A2758" s="11" t="s">
        <v>5143</v>
      </c>
      <c r="B2758" s="11" t="s">
        <v>5143</v>
      </c>
      <c r="C2758" s="12">
        <v>45658</v>
      </c>
      <c r="D2758" s="12">
        <v>45675</v>
      </c>
      <c r="E2758" s="11" t="s">
        <v>6</v>
      </c>
      <c r="F2758" s="11" t="s">
        <v>3851</v>
      </c>
      <c r="G2758" s="11" t="s">
        <v>5143</v>
      </c>
      <c r="H2758" s="11"/>
      <c r="I2758" s="11" t="s">
        <v>49</v>
      </c>
      <c r="J2758" s="11">
        <v>156.47</v>
      </c>
      <c r="K2758" s="11">
        <v>156.47</v>
      </c>
      <c r="L2758" s="11"/>
      <c r="M2758" s="11">
        <v>156.47</v>
      </c>
      <c r="N2758" s="11"/>
      <c r="O2758" s="11" t="s">
        <v>234</v>
      </c>
    </row>
    <row r="2759" spans="1:15" s="13" customFormat="1" ht="19.5" customHeight="1" x14ac:dyDescent="0.25">
      <c r="A2759" s="11" t="s">
        <v>5144</v>
      </c>
      <c r="B2759" s="11" t="s">
        <v>5144</v>
      </c>
      <c r="C2759" s="12">
        <v>45658</v>
      </c>
      <c r="D2759" s="12">
        <v>45675</v>
      </c>
      <c r="E2759" s="11" t="s">
        <v>6</v>
      </c>
      <c r="F2759" s="11" t="s">
        <v>3457</v>
      </c>
      <c r="G2759" s="11" t="s">
        <v>5144</v>
      </c>
      <c r="H2759" s="11"/>
      <c r="I2759" s="11" t="s">
        <v>49</v>
      </c>
      <c r="J2759" s="11">
        <v>195.59</v>
      </c>
      <c r="K2759" s="11">
        <v>195.59</v>
      </c>
      <c r="L2759" s="11"/>
      <c r="M2759" s="11">
        <v>195.59</v>
      </c>
      <c r="N2759" s="11"/>
      <c r="O2759" s="11" t="s">
        <v>234</v>
      </c>
    </row>
    <row r="2760" spans="1:15" s="13" customFormat="1" ht="19.5" customHeight="1" x14ac:dyDescent="0.25">
      <c r="A2760" s="11" t="s">
        <v>5145</v>
      </c>
      <c r="B2760" s="11" t="s">
        <v>5145</v>
      </c>
      <c r="C2760" s="12">
        <v>45658</v>
      </c>
      <c r="D2760" s="12">
        <v>45673</v>
      </c>
      <c r="E2760" s="11" t="s">
        <v>6</v>
      </c>
      <c r="F2760" s="11" t="s">
        <v>5146</v>
      </c>
      <c r="G2760" s="11" t="s">
        <v>5145</v>
      </c>
      <c r="H2760" s="11"/>
      <c r="I2760" s="11" t="s">
        <v>49</v>
      </c>
      <c r="J2760" s="11">
        <v>38.35</v>
      </c>
      <c r="K2760" s="11">
        <v>38.35</v>
      </c>
      <c r="L2760" s="11"/>
      <c r="M2760" s="11">
        <v>38.35</v>
      </c>
      <c r="N2760" s="11"/>
      <c r="O2760" s="11" t="s">
        <v>234</v>
      </c>
    </row>
    <row r="2761" spans="1:15" s="13" customFormat="1" ht="19.5" customHeight="1" x14ac:dyDescent="0.25">
      <c r="A2761" s="11" t="s">
        <v>5147</v>
      </c>
      <c r="B2761" s="11" t="s">
        <v>5147</v>
      </c>
      <c r="C2761" s="12">
        <v>45658</v>
      </c>
      <c r="D2761" s="12">
        <v>45669</v>
      </c>
      <c r="E2761" s="11" t="s">
        <v>6</v>
      </c>
      <c r="F2761" s="11" t="s">
        <v>5148</v>
      </c>
      <c r="G2761" s="11" t="s">
        <v>5147</v>
      </c>
      <c r="H2761" s="11"/>
      <c r="I2761" s="11" t="s">
        <v>49</v>
      </c>
      <c r="J2761" s="11">
        <v>163.49</v>
      </c>
      <c r="K2761" s="11">
        <v>163.49</v>
      </c>
      <c r="L2761" s="11"/>
      <c r="M2761" s="11">
        <v>163.49</v>
      </c>
      <c r="N2761" s="11"/>
      <c r="O2761" s="11" t="s">
        <v>234</v>
      </c>
    </row>
    <row r="2762" spans="1:15" s="13" customFormat="1" ht="19.5" customHeight="1" x14ac:dyDescent="0.25">
      <c r="A2762" s="11" t="s">
        <v>5149</v>
      </c>
      <c r="B2762" s="11" t="s">
        <v>5149</v>
      </c>
      <c r="C2762" s="12">
        <v>45658</v>
      </c>
      <c r="D2762" s="12">
        <v>45668</v>
      </c>
      <c r="E2762" s="11" t="s">
        <v>6</v>
      </c>
      <c r="F2762" s="11" t="s">
        <v>3594</v>
      </c>
      <c r="G2762" s="11" t="s">
        <v>5149</v>
      </c>
      <c r="H2762" s="11"/>
      <c r="I2762" s="11" t="s">
        <v>49</v>
      </c>
      <c r="J2762" s="11">
        <v>29.09</v>
      </c>
      <c r="K2762" s="11">
        <v>29.09</v>
      </c>
      <c r="L2762" s="11"/>
      <c r="M2762" s="11">
        <v>29.09</v>
      </c>
      <c r="N2762" s="11"/>
      <c r="O2762" s="11" t="s">
        <v>234</v>
      </c>
    </row>
    <row r="2763" spans="1:15" s="13" customFormat="1" ht="19.5" customHeight="1" x14ac:dyDescent="0.25">
      <c r="A2763" s="11" t="s">
        <v>5150</v>
      </c>
      <c r="B2763" s="11" t="s">
        <v>5150</v>
      </c>
      <c r="C2763" s="12">
        <v>45658</v>
      </c>
      <c r="D2763" s="12">
        <v>45668</v>
      </c>
      <c r="E2763" s="11" t="s">
        <v>6</v>
      </c>
      <c r="F2763" s="11" t="s">
        <v>5151</v>
      </c>
      <c r="G2763" s="11" t="s">
        <v>5150</v>
      </c>
      <c r="H2763" s="11"/>
      <c r="I2763" s="11" t="s">
        <v>49</v>
      </c>
      <c r="J2763" s="11">
        <v>83.59</v>
      </c>
      <c r="K2763" s="11">
        <v>83.59</v>
      </c>
      <c r="L2763" s="11"/>
      <c r="M2763" s="11">
        <v>83.59</v>
      </c>
      <c r="N2763" s="11"/>
      <c r="O2763" s="11" t="s">
        <v>234</v>
      </c>
    </row>
    <row r="2764" spans="1:15" s="13" customFormat="1" ht="19.5" customHeight="1" x14ac:dyDescent="0.25">
      <c r="A2764" s="11" t="s">
        <v>5152</v>
      </c>
      <c r="B2764" s="11" t="s">
        <v>5152</v>
      </c>
      <c r="C2764" s="12">
        <v>45658</v>
      </c>
      <c r="D2764" s="12">
        <v>45667</v>
      </c>
      <c r="E2764" s="11" t="s">
        <v>6</v>
      </c>
      <c r="F2764" s="11" t="s">
        <v>5153</v>
      </c>
      <c r="G2764" s="11" t="s">
        <v>5152</v>
      </c>
      <c r="H2764" s="11"/>
      <c r="I2764" s="11" t="s">
        <v>49</v>
      </c>
      <c r="J2764" s="11">
        <v>133.4</v>
      </c>
      <c r="K2764" s="11">
        <v>133.4</v>
      </c>
      <c r="L2764" s="11"/>
      <c r="M2764" s="11">
        <v>133.4</v>
      </c>
      <c r="N2764" s="11"/>
      <c r="O2764" s="11" t="s">
        <v>234</v>
      </c>
    </row>
    <row r="2765" spans="1:15" s="13" customFormat="1" ht="19.5" customHeight="1" x14ac:dyDescent="0.25">
      <c r="A2765" s="11" t="s">
        <v>5154</v>
      </c>
      <c r="B2765" s="11" t="s">
        <v>5154</v>
      </c>
      <c r="C2765" s="12">
        <v>45658</v>
      </c>
      <c r="D2765" s="12">
        <v>45667</v>
      </c>
      <c r="E2765" s="11" t="s">
        <v>6</v>
      </c>
      <c r="F2765" s="11" t="s">
        <v>3416</v>
      </c>
      <c r="G2765" s="11" t="s">
        <v>5154</v>
      </c>
      <c r="H2765" s="11"/>
      <c r="I2765" s="11" t="s">
        <v>49</v>
      </c>
      <c r="J2765" s="11">
        <v>43.79</v>
      </c>
      <c r="K2765" s="11">
        <v>43.79</v>
      </c>
      <c r="L2765" s="11"/>
      <c r="M2765" s="11">
        <v>43.79</v>
      </c>
      <c r="N2765" s="11"/>
      <c r="O2765" s="11" t="s">
        <v>234</v>
      </c>
    </row>
    <row r="2766" spans="1:15" s="13" customFormat="1" ht="19.5" customHeight="1" x14ac:dyDescent="0.25">
      <c r="A2766" s="11" t="s">
        <v>5155</v>
      </c>
      <c r="B2766" s="11" t="s">
        <v>5155</v>
      </c>
      <c r="C2766" s="12">
        <v>45658</v>
      </c>
      <c r="D2766" s="12">
        <v>45661</v>
      </c>
      <c r="E2766" s="11" t="s">
        <v>6</v>
      </c>
      <c r="F2766" s="11" t="s">
        <v>3475</v>
      </c>
      <c r="G2766" s="11" t="s">
        <v>5155</v>
      </c>
      <c r="H2766" s="11"/>
      <c r="I2766" s="11" t="s">
        <v>49</v>
      </c>
      <c r="J2766" s="11">
        <v>41.8</v>
      </c>
      <c r="K2766" s="11">
        <v>41.8</v>
      </c>
      <c r="L2766" s="11"/>
      <c r="M2766" s="11">
        <v>41.8</v>
      </c>
      <c r="N2766" s="11"/>
      <c r="O2766" s="11" t="s">
        <v>234</v>
      </c>
    </row>
    <row r="2767" spans="1:15" s="13" customFormat="1" ht="19.5" customHeight="1" x14ac:dyDescent="0.25">
      <c r="A2767" s="11" t="s">
        <v>5156</v>
      </c>
      <c r="B2767" s="11" t="s">
        <v>5156</v>
      </c>
      <c r="C2767" s="12">
        <v>45658</v>
      </c>
      <c r="D2767" s="12">
        <v>45652</v>
      </c>
      <c r="E2767" s="11" t="s">
        <v>6</v>
      </c>
      <c r="F2767" s="11" t="s">
        <v>3486</v>
      </c>
      <c r="G2767" s="11" t="s">
        <v>5156</v>
      </c>
      <c r="H2767" s="11"/>
      <c r="I2767" s="11" t="s">
        <v>49</v>
      </c>
      <c r="J2767" s="11">
        <v>14.04</v>
      </c>
      <c r="K2767" s="11">
        <v>14.04</v>
      </c>
      <c r="L2767" s="11"/>
      <c r="M2767" s="11">
        <v>14.04</v>
      </c>
      <c r="N2767" s="11"/>
      <c r="O2767" s="11" t="s">
        <v>234</v>
      </c>
    </row>
    <row r="2768" spans="1:15" s="13" customFormat="1" ht="19.5" customHeight="1" x14ac:dyDescent="0.25">
      <c r="A2768" s="11" t="s">
        <v>5157</v>
      </c>
      <c r="B2768" s="11" t="s">
        <v>5157</v>
      </c>
      <c r="C2768" s="12">
        <v>45658</v>
      </c>
      <c r="D2768" s="12">
        <v>45625</v>
      </c>
      <c r="E2768" s="11" t="s">
        <v>6</v>
      </c>
      <c r="F2768" s="11" t="s">
        <v>5158</v>
      </c>
      <c r="G2768" s="11" t="s">
        <v>5157</v>
      </c>
      <c r="H2768" s="11"/>
      <c r="I2768" s="11" t="s">
        <v>49</v>
      </c>
      <c r="J2768" s="11">
        <v>-55</v>
      </c>
      <c r="K2768" s="11"/>
      <c r="L2768" s="11">
        <v>55</v>
      </c>
      <c r="M2768" s="11">
        <v>-55</v>
      </c>
      <c r="N2768" s="11"/>
      <c r="O2768" s="11" t="s">
        <v>234</v>
      </c>
    </row>
    <row r="2769" spans="1:15" s="13" customFormat="1" ht="19.5" customHeight="1" x14ac:dyDescent="0.25">
      <c r="A2769" s="11" t="s">
        <v>5159</v>
      </c>
      <c r="B2769" s="11" t="s">
        <v>5159</v>
      </c>
      <c r="C2769" s="12">
        <v>45658</v>
      </c>
      <c r="D2769" s="12">
        <v>45194</v>
      </c>
      <c r="E2769" s="11" t="s">
        <v>6</v>
      </c>
      <c r="F2769" s="11" t="s">
        <v>5160</v>
      </c>
      <c r="G2769" s="11" t="s">
        <v>5159</v>
      </c>
      <c r="H2769" s="11"/>
      <c r="I2769" s="11" t="s">
        <v>49</v>
      </c>
      <c r="J2769" s="11">
        <v>-64.39</v>
      </c>
      <c r="K2769" s="11"/>
      <c r="L2769" s="11">
        <v>64.39</v>
      </c>
      <c r="M2769" s="11">
        <v>-64.39</v>
      </c>
      <c r="N2769" s="11"/>
      <c r="O2769" s="11" t="s">
        <v>234</v>
      </c>
    </row>
    <row r="2770" spans="1:15" s="13" customFormat="1" ht="19.5" customHeight="1" x14ac:dyDescent="0.25">
      <c r="A2770" s="11" t="s">
        <v>5161</v>
      </c>
      <c r="B2770" s="11" t="s">
        <v>5161</v>
      </c>
      <c r="C2770" s="12">
        <v>45658</v>
      </c>
      <c r="D2770" s="12">
        <v>45078</v>
      </c>
      <c r="E2770" s="11" t="s">
        <v>6</v>
      </c>
      <c r="F2770" s="11" t="s">
        <v>5162</v>
      </c>
      <c r="G2770" s="11" t="s">
        <v>5161</v>
      </c>
      <c r="H2770" s="11"/>
      <c r="I2770" s="11" t="s">
        <v>49</v>
      </c>
      <c r="J2770" s="11">
        <v>-94</v>
      </c>
      <c r="K2770" s="11"/>
      <c r="L2770" s="11">
        <v>94</v>
      </c>
      <c r="M2770" s="11">
        <v>-94</v>
      </c>
      <c r="N2770" s="11"/>
      <c r="O2770" s="11" t="s">
        <v>234</v>
      </c>
    </row>
    <row r="2772" spans="1:15" x14ac:dyDescent="0.2">
      <c r="M2772" s="16">
        <f>SUM(M3:M2771)</f>
        <v>3557412.7200000072</v>
      </c>
    </row>
    <row r="2774" spans="1:15" x14ac:dyDescent="0.2">
      <c r="J2774" s="9"/>
    </row>
  </sheetData>
  <mergeCells count="1">
    <mergeCell ref="A2:C2"/>
  </mergeCells>
  <conditionalFormatting sqref="N1:N1048576">
    <cfRule type="duplicateValues" dxfId="4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D8D4-EBCE-48F9-A799-40DA75571D2D}">
  <dimension ref="A1:O100"/>
  <sheetViews>
    <sheetView showGridLines="0" topLeftCell="A88" workbookViewId="0">
      <selection activeCell="J99" sqref="J99"/>
    </sheetView>
  </sheetViews>
  <sheetFormatPr baseColWidth="10" defaultColWidth="23.140625" defaultRowHeight="25.5" customHeight="1" x14ac:dyDescent="0.25"/>
  <cols>
    <col min="1" max="2" width="23.140625" style="19"/>
    <col min="3" max="3" width="15.7109375" style="19" customWidth="1"/>
    <col min="4" max="5" width="23.140625" style="19"/>
    <col min="6" max="6" width="18.42578125" style="19" customWidth="1"/>
    <col min="7" max="7" width="14.5703125" style="19" customWidth="1"/>
    <col min="8" max="8" width="10.85546875" style="19" customWidth="1"/>
    <col min="9" max="9" width="7.42578125" style="19" customWidth="1"/>
    <col min="10" max="10" width="10.28515625" style="19" customWidth="1"/>
    <col min="11" max="11" width="9.7109375" style="19" customWidth="1"/>
    <col min="12" max="12" width="13.42578125" style="19" customWidth="1"/>
    <col min="13" max="13" width="14.5703125" style="19" customWidth="1"/>
    <col min="14" max="14" width="7.140625" style="19" customWidth="1"/>
    <col min="15" max="16384" width="23.140625" style="19"/>
  </cols>
  <sheetData>
    <row r="1" spans="1:15" s="18" customFormat="1" ht="25.5" customHeight="1" x14ac:dyDescent="0.25">
      <c r="A1" s="104" t="s">
        <v>33</v>
      </c>
      <c r="B1" s="104" t="s">
        <v>34</v>
      </c>
      <c r="C1" s="104" t="s">
        <v>35</v>
      </c>
      <c r="D1" s="104" t="s">
        <v>36</v>
      </c>
      <c r="E1" s="104" t="s">
        <v>37</v>
      </c>
      <c r="F1" s="104" t="s">
        <v>38</v>
      </c>
      <c r="G1" s="104" t="s">
        <v>39</v>
      </c>
      <c r="H1" s="104" t="s">
        <v>40</v>
      </c>
      <c r="I1" s="104" t="s">
        <v>41</v>
      </c>
      <c r="J1" s="104" t="s">
        <v>42</v>
      </c>
      <c r="K1" s="104" t="s">
        <v>3</v>
      </c>
      <c r="L1" s="104" t="s">
        <v>4</v>
      </c>
      <c r="M1" s="104" t="s">
        <v>43</v>
      </c>
      <c r="N1" s="104" t="s">
        <v>44</v>
      </c>
      <c r="O1" s="104" t="s">
        <v>45</v>
      </c>
    </row>
    <row r="2" spans="1:15" ht="25.5" customHeight="1" x14ac:dyDescent="0.25">
      <c r="A2" s="105" t="s">
        <v>5164</v>
      </c>
      <c r="B2" s="106"/>
      <c r="C2" s="107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 ht="25.5" customHeight="1" x14ac:dyDescent="0.25">
      <c r="A3" s="21" t="s">
        <v>5166</v>
      </c>
      <c r="B3" s="21" t="s">
        <v>5167</v>
      </c>
      <c r="C3" s="22">
        <v>46112</v>
      </c>
      <c r="D3" s="21"/>
      <c r="E3" s="21" t="s">
        <v>7</v>
      </c>
      <c r="F3" s="21"/>
      <c r="G3" s="21" t="s">
        <v>5168</v>
      </c>
      <c r="H3" s="21" t="s">
        <v>5168</v>
      </c>
      <c r="I3" s="21" t="s">
        <v>80</v>
      </c>
      <c r="J3" s="21"/>
      <c r="K3" s="21"/>
      <c r="L3" s="21">
        <v>7705.43</v>
      </c>
      <c r="M3" s="21">
        <v>-7705.43</v>
      </c>
      <c r="N3" s="21" t="s">
        <v>5169</v>
      </c>
      <c r="O3" s="21" t="s">
        <v>82</v>
      </c>
    </row>
    <row r="4" spans="1:15" ht="25.5" customHeight="1" x14ac:dyDescent="0.25">
      <c r="A4" s="21" t="s">
        <v>5170</v>
      </c>
      <c r="B4" s="21" t="s">
        <v>5171</v>
      </c>
      <c r="C4" s="22">
        <v>46082</v>
      </c>
      <c r="D4" s="21"/>
      <c r="E4" s="21" t="s">
        <v>7</v>
      </c>
      <c r="F4" s="21"/>
      <c r="G4" s="21" t="s">
        <v>5168</v>
      </c>
      <c r="H4" s="21" t="s">
        <v>5168</v>
      </c>
      <c r="I4" s="21" t="s">
        <v>80</v>
      </c>
      <c r="J4" s="21"/>
      <c r="K4" s="21">
        <v>11558.16</v>
      </c>
      <c r="L4" s="21"/>
      <c r="M4" s="21">
        <v>11558.16</v>
      </c>
      <c r="N4" s="21" t="s">
        <v>5172</v>
      </c>
      <c r="O4" s="21" t="s">
        <v>82</v>
      </c>
    </row>
    <row r="5" spans="1:15" ht="25.5" customHeight="1" x14ac:dyDescent="0.25">
      <c r="A5" s="21" t="s">
        <v>5173</v>
      </c>
      <c r="B5" s="21" t="s">
        <v>5174</v>
      </c>
      <c r="C5" s="22">
        <v>46081</v>
      </c>
      <c r="D5" s="21"/>
      <c r="E5" s="21" t="s">
        <v>7</v>
      </c>
      <c r="F5" s="21"/>
      <c r="G5" s="21" t="s">
        <v>5168</v>
      </c>
      <c r="H5" s="21" t="s">
        <v>5168</v>
      </c>
      <c r="I5" s="21" t="s">
        <v>80</v>
      </c>
      <c r="J5" s="21"/>
      <c r="K5" s="21"/>
      <c r="L5" s="21">
        <v>11558.16</v>
      </c>
      <c r="M5" s="21">
        <v>-11558.16</v>
      </c>
      <c r="N5" s="21" t="s">
        <v>5172</v>
      </c>
      <c r="O5" s="21" t="s">
        <v>82</v>
      </c>
    </row>
    <row r="6" spans="1:15" ht="25.5" customHeight="1" x14ac:dyDescent="0.25">
      <c r="A6" s="21" t="s">
        <v>5175</v>
      </c>
      <c r="B6" s="21" t="s">
        <v>5175</v>
      </c>
      <c r="C6" s="22">
        <v>46073</v>
      </c>
      <c r="D6" s="21"/>
      <c r="E6" s="21" t="s">
        <v>7</v>
      </c>
      <c r="F6" s="21" t="s">
        <v>5176</v>
      </c>
      <c r="G6" s="21" t="s">
        <v>5177</v>
      </c>
      <c r="H6" s="21"/>
      <c r="I6" s="21" t="s">
        <v>80</v>
      </c>
      <c r="J6" s="21">
        <v>-760.82</v>
      </c>
      <c r="K6" s="21"/>
      <c r="L6" s="21">
        <v>2560.92</v>
      </c>
      <c r="M6" s="21">
        <v>-2560.92</v>
      </c>
      <c r="N6" s="21" t="s">
        <v>5178</v>
      </c>
      <c r="O6" s="21" t="s">
        <v>234</v>
      </c>
    </row>
    <row r="7" spans="1:15" ht="25.5" customHeight="1" x14ac:dyDescent="0.25">
      <c r="A7" s="21" t="s">
        <v>5179</v>
      </c>
      <c r="B7" s="21" t="s">
        <v>5180</v>
      </c>
      <c r="C7" s="22">
        <v>46054</v>
      </c>
      <c r="D7" s="21"/>
      <c r="E7" s="21" t="s">
        <v>7</v>
      </c>
      <c r="F7" s="21"/>
      <c r="G7" s="21" t="s">
        <v>5168</v>
      </c>
      <c r="H7" s="21" t="s">
        <v>5168</v>
      </c>
      <c r="I7" s="21" t="s">
        <v>80</v>
      </c>
      <c r="J7" s="21"/>
      <c r="K7" s="21">
        <v>11570.34</v>
      </c>
      <c r="L7" s="21"/>
      <c r="M7" s="21">
        <v>11570.34</v>
      </c>
      <c r="N7" s="21" t="s">
        <v>5181</v>
      </c>
      <c r="O7" s="21" t="s">
        <v>82</v>
      </c>
    </row>
    <row r="8" spans="1:15" ht="25.5" customHeight="1" x14ac:dyDescent="0.25">
      <c r="A8" s="21" t="s">
        <v>5182</v>
      </c>
      <c r="B8" s="21" t="s">
        <v>5183</v>
      </c>
      <c r="C8" s="22">
        <v>46053</v>
      </c>
      <c r="D8" s="21"/>
      <c r="E8" s="21" t="s">
        <v>7</v>
      </c>
      <c r="F8" s="21"/>
      <c r="G8" s="21" t="s">
        <v>5168</v>
      </c>
      <c r="H8" s="21" t="s">
        <v>5168</v>
      </c>
      <c r="I8" s="21" t="s">
        <v>80</v>
      </c>
      <c r="J8" s="21"/>
      <c r="K8" s="21"/>
      <c r="L8" s="21">
        <v>11570.34</v>
      </c>
      <c r="M8" s="21">
        <v>-11570.34</v>
      </c>
      <c r="N8" s="21" t="s">
        <v>5181</v>
      </c>
      <c r="O8" s="21" t="s">
        <v>82</v>
      </c>
    </row>
    <row r="9" spans="1:15" ht="25.5" customHeight="1" x14ac:dyDescent="0.25">
      <c r="A9" s="21" t="s">
        <v>5184</v>
      </c>
      <c r="B9" s="21" t="s">
        <v>5185</v>
      </c>
      <c r="C9" s="22">
        <v>46023</v>
      </c>
      <c r="D9" s="21"/>
      <c r="E9" s="21" t="s">
        <v>7</v>
      </c>
      <c r="F9" s="21"/>
      <c r="G9" s="21" t="s">
        <v>5168</v>
      </c>
      <c r="H9" s="21" t="s">
        <v>5168</v>
      </c>
      <c r="I9" s="21" t="s">
        <v>80</v>
      </c>
      <c r="J9" s="21"/>
      <c r="K9" s="21">
        <v>11337.62</v>
      </c>
      <c r="L9" s="21"/>
      <c r="M9" s="21">
        <v>11337.62</v>
      </c>
      <c r="N9" s="21" t="s">
        <v>5186</v>
      </c>
      <c r="O9" s="21" t="s">
        <v>2384</v>
      </c>
    </row>
    <row r="10" spans="1:15" ht="25.5" customHeight="1" x14ac:dyDescent="0.25">
      <c r="A10" s="21" t="s">
        <v>5187</v>
      </c>
      <c r="B10" s="21" t="s">
        <v>5188</v>
      </c>
      <c r="C10" s="22">
        <v>46022</v>
      </c>
      <c r="D10" s="21"/>
      <c r="E10" s="21" t="s">
        <v>7</v>
      </c>
      <c r="F10" s="21"/>
      <c r="G10" s="21" t="s">
        <v>5168</v>
      </c>
      <c r="H10" s="21" t="s">
        <v>5168</v>
      </c>
      <c r="I10" s="21" t="s">
        <v>80</v>
      </c>
      <c r="J10" s="21"/>
      <c r="K10" s="21"/>
      <c r="L10" s="21">
        <v>11337.62</v>
      </c>
      <c r="M10" s="21">
        <v>-11337.62</v>
      </c>
      <c r="N10" s="21" t="s">
        <v>5186</v>
      </c>
      <c r="O10" s="21" t="s">
        <v>2384</v>
      </c>
    </row>
    <row r="11" spans="1:15" ht="25.5" customHeight="1" x14ac:dyDescent="0.25">
      <c r="A11" s="21" t="s">
        <v>5189</v>
      </c>
      <c r="B11" s="21" t="s">
        <v>5190</v>
      </c>
      <c r="C11" s="22">
        <v>46021</v>
      </c>
      <c r="D11" s="22">
        <v>46021</v>
      </c>
      <c r="E11" s="21" t="s">
        <v>7</v>
      </c>
      <c r="F11" s="21" t="s">
        <v>70</v>
      </c>
      <c r="G11" s="21" t="s">
        <v>5191</v>
      </c>
      <c r="H11" s="21" t="s">
        <v>5192</v>
      </c>
      <c r="I11" s="21" t="s">
        <v>80</v>
      </c>
      <c r="J11" s="21">
        <v>-860</v>
      </c>
      <c r="K11" s="21"/>
      <c r="L11" s="21">
        <v>2899.92</v>
      </c>
      <c r="M11" s="21">
        <v>-2899.92</v>
      </c>
      <c r="N11" s="21" t="s">
        <v>5193</v>
      </c>
      <c r="O11" s="21" t="s">
        <v>2384</v>
      </c>
    </row>
    <row r="12" spans="1:15" ht="25.5" customHeight="1" x14ac:dyDescent="0.25">
      <c r="A12" s="21" t="s">
        <v>5192</v>
      </c>
      <c r="B12" s="21" t="s">
        <v>5192</v>
      </c>
      <c r="C12" s="22">
        <v>46021</v>
      </c>
      <c r="D12" s="22">
        <v>46021</v>
      </c>
      <c r="E12" s="21" t="s">
        <v>7</v>
      </c>
      <c r="F12" s="21" t="s">
        <v>70</v>
      </c>
      <c r="G12" s="21" t="s">
        <v>5192</v>
      </c>
      <c r="H12" s="21"/>
      <c r="I12" s="21" t="s">
        <v>80</v>
      </c>
      <c r="J12" s="21">
        <v>860</v>
      </c>
      <c r="K12" s="21">
        <v>2899.92</v>
      </c>
      <c r="L12" s="21"/>
      <c r="M12" s="21">
        <v>2899.92</v>
      </c>
      <c r="N12" s="21" t="s">
        <v>5193</v>
      </c>
      <c r="O12" s="21" t="s">
        <v>75</v>
      </c>
    </row>
    <row r="13" spans="1:15" ht="25.5" customHeight="1" x14ac:dyDescent="0.25">
      <c r="A13" s="21" t="s">
        <v>5194</v>
      </c>
      <c r="B13" s="21" t="s">
        <v>5195</v>
      </c>
      <c r="C13" s="22">
        <v>45992</v>
      </c>
      <c r="D13" s="21"/>
      <c r="E13" s="21" t="s">
        <v>7</v>
      </c>
      <c r="F13" s="21"/>
      <c r="G13" s="21" t="s">
        <v>5168</v>
      </c>
      <c r="H13" s="21" t="s">
        <v>5168</v>
      </c>
      <c r="I13" s="21" t="s">
        <v>80</v>
      </c>
      <c r="J13" s="21"/>
      <c r="K13" s="21">
        <v>11366.71</v>
      </c>
      <c r="L13" s="21"/>
      <c r="M13" s="21">
        <v>11366.71</v>
      </c>
      <c r="N13" s="21" t="s">
        <v>5196</v>
      </c>
      <c r="O13" s="21" t="s">
        <v>2384</v>
      </c>
    </row>
    <row r="14" spans="1:15" ht="25.5" customHeight="1" x14ac:dyDescent="0.25">
      <c r="A14" s="21" t="s">
        <v>5197</v>
      </c>
      <c r="B14" s="21" t="s">
        <v>5198</v>
      </c>
      <c r="C14" s="22">
        <v>45991</v>
      </c>
      <c r="D14" s="22">
        <v>45991</v>
      </c>
      <c r="E14" s="21" t="s">
        <v>7</v>
      </c>
      <c r="F14" s="21" t="s">
        <v>70</v>
      </c>
      <c r="G14" s="21" t="s">
        <v>5199</v>
      </c>
      <c r="H14" s="21" t="s">
        <v>5200</v>
      </c>
      <c r="I14" s="21" t="s">
        <v>80</v>
      </c>
      <c r="J14" s="21">
        <v>-860</v>
      </c>
      <c r="K14" s="21"/>
      <c r="L14" s="21">
        <v>2896.48</v>
      </c>
      <c r="M14" s="21">
        <v>-2896.48</v>
      </c>
      <c r="N14" s="21" t="s">
        <v>5201</v>
      </c>
      <c r="O14" s="21" t="s">
        <v>2384</v>
      </c>
    </row>
    <row r="15" spans="1:15" ht="25.5" customHeight="1" x14ac:dyDescent="0.25">
      <c r="A15" s="21" t="s">
        <v>5200</v>
      </c>
      <c r="B15" s="21" t="s">
        <v>5200</v>
      </c>
      <c r="C15" s="22">
        <v>45991</v>
      </c>
      <c r="D15" s="22">
        <v>45991</v>
      </c>
      <c r="E15" s="21" t="s">
        <v>7</v>
      </c>
      <c r="F15" s="21" t="s">
        <v>70</v>
      </c>
      <c r="G15" s="21" t="s">
        <v>5200</v>
      </c>
      <c r="H15" s="21"/>
      <c r="I15" s="21" t="s">
        <v>80</v>
      </c>
      <c r="J15" s="21">
        <v>860</v>
      </c>
      <c r="K15" s="21">
        <v>2896.48</v>
      </c>
      <c r="L15" s="21"/>
      <c r="M15" s="21">
        <v>2896.48</v>
      </c>
      <c r="N15" s="21" t="s">
        <v>5201</v>
      </c>
      <c r="O15" s="21" t="s">
        <v>50</v>
      </c>
    </row>
    <row r="16" spans="1:15" ht="25.5" customHeight="1" x14ac:dyDescent="0.25">
      <c r="A16" s="21" t="s">
        <v>5202</v>
      </c>
      <c r="B16" s="21" t="s">
        <v>5203</v>
      </c>
      <c r="C16" s="22">
        <v>45991</v>
      </c>
      <c r="D16" s="21"/>
      <c r="E16" s="21" t="s">
        <v>7</v>
      </c>
      <c r="F16" s="21"/>
      <c r="G16" s="21" t="s">
        <v>5168</v>
      </c>
      <c r="H16" s="21" t="s">
        <v>5168</v>
      </c>
      <c r="I16" s="21" t="s">
        <v>80</v>
      </c>
      <c r="J16" s="21"/>
      <c r="K16" s="21"/>
      <c r="L16" s="21">
        <v>11366.71</v>
      </c>
      <c r="M16" s="21">
        <v>-11366.71</v>
      </c>
      <c r="N16" s="21" t="s">
        <v>5196</v>
      </c>
      <c r="O16" s="21" t="s">
        <v>2384</v>
      </c>
    </row>
    <row r="17" spans="1:15" ht="25.5" customHeight="1" x14ac:dyDescent="0.25">
      <c r="A17" s="21" t="s">
        <v>5177</v>
      </c>
      <c r="B17" s="21" t="s">
        <v>5177</v>
      </c>
      <c r="C17" s="22">
        <v>45973</v>
      </c>
      <c r="D17" s="22">
        <v>46003</v>
      </c>
      <c r="E17" s="21" t="s">
        <v>7</v>
      </c>
      <c r="F17" s="21" t="s">
        <v>5176</v>
      </c>
      <c r="G17" s="21" t="s">
        <v>5177</v>
      </c>
      <c r="H17" s="21"/>
      <c r="I17" s="21" t="s">
        <v>80</v>
      </c>
      <c r="J17" s="21">
        <v>760.82</v>
      </c>
      <c r="K17" s="21">
        <v>2560.92</v>
      </c>
      <c r="L17" s="21"/>
      <c r="M17" s="21">
        <v>2560.92</v>
      </c>
      <c r="N17" s="21" t="s">
        <v>5178</v>
      </c>
      <c r="O17" s="21" t="s">
        <v>50</v>
      </c>
    </row>
    <row r="18" spans="1:15" ht="25.5" customHeight="1" x14ac:dyDescent="0.25">
      <c r="A18" s="21" t="s">
        <v>5204</v>
      </c>
      <c r="B18" s="21" t="s">
        <v>5205</v>
      </c>
      <c r="C18" s="22">
        <v>45962</v>
      </c>
      <c r="D18" s="21"/>
      <c r="E18" s="21" t="s">
        <v>7</v>
      </c>
      <c r="F18" s="21"/>
      <c r="G18" s="21" t="s">
        <v>5168</v>
      </c>
      <c r="H18" s="21" t="s">
        <v>5168</v>
      </c>
      <c r="I18" s="21" t="s">
        <v>80</v>
      </c>
      <c r="J18" s="21"/>
      <c r="K18" s="21">
        <v>10934.93</v>
      </c>
      <c r="L18" s="21"/>
      <c r="M18" s="21">
        <v>10934.93</v>
      </c>
      <c r="N18" s="21" t="s">
        <v>5206</v>
      </c>
      <c r="O18" s="21" t="s">
        <v>2384</v>
      </c>
    </row>
    <row r="19" spans="1:15" ht="25.5" customHeight="1" x14ac:dyDescent="0.25">
      <c r="A19" s="21" t="s">
        <v>5207</v>
      </c>
      <c r="B19" s="21" t="s">
        <v>5208</v>
      </c>
      <c r="C19" s="22">
        <v>45961</v>
      </c>
      <c r="D19" s="21"/>
      <c r="E19" s="21" t="s">
        <v>7</v>
      </c>
      <c r="F19" s="21"/>
      <c r="G19" s="21" t="s">
        <v>5168</v>
      </c>
      <c r="H19" s="21" t="s">
        <v>5168</v>
      </c>
      <c r="I19" s="21" t="s">
        <v>80</v>
      </c>
      <c r="J19" s="21"/>
      <c r="K19" s="21"/>
      <c r="L19" s="21">
        <v>10934.93</v>
      </c>
      <c r="M19" s="21">
        <v>-10934.93</v>
      </c>
      <c r="N19" s="21" t="s">
        <v>5206</v>
      </c>
      <c r="O19" s="21" t="s">
        <v>2384</v>
      </c>
    </row>
    <row r="20" spans="1:15" ht="25.5" customHeight="1" x14ac:dyDescent="0.25">
      <c r="A20" s="21" t="s">
        <v>5209</v>
      </c>
      <c r="B20" s="21" t="s">
        <v>5210</v>
      </c>
      <c r="C20" s="22">
        <v>45960</v>
      </c>
      <c r="D20" s="22">
        <v>45960</v>
      </c>
      <c r="E20" s="21" t="s">
        <v>7</v>
      </c>
      <c r="F20" s="21" t="s">
        <v>70</v>
      </c>
      <c r="G20" s="21" t="s">
        <v>5211</v>
      </c>
      <c r="H20" s="21" t="s">
        <v>5212</v>
      </c>
      <c r="I20" s="21" t="s">
        <v>80</v>
      </c>
      <c r="J20" s="21">
        <v>-860</v>
      </c>
      <c r="K20" s="21"/>
      <c r="L20" s="21">
        <v>2918.84</v>
      </c>
      <c r="M20" s="21">
        <v>-2918.84</v>
      </c>
      <c r="N20" s="21" t="s">
        <v>5213</v>
      </c>
      <c r="O20" s="21" t="s">
        <v>2384</v>
      </c>
    </row>
    <row r="21" spans="1:15" ht="25.5" customHeight="1" x14ac:dyDescent="0.25">
      <c r="A21" s="21" t="s">
        <v>5212</v>
      </c>
      <c r="B21" s="21" t="s">
        <v>5212</v>
      </c>
      <c r="C21" s="22">
        <v>45960</v>
      </c>
      <c r="D21" s="22">
        <v>45960</v>
      </c>
      <c r="E21" s="21" t="s">
        <v>7</v>
      </c>
      <c r="F21" s="21" t="s">
        <v>70</v>
      </c>
      <c r="G21" s="21" t="s">
        <v>5212</v>
      </c>
      <c r="H21" s="21"/>
      <c r="I21" s="21" t="s">
        <v>80</v>
      </c>
      <c r="J21" s="21">
        <v>860</v>
      </c>
      <c r="K21" s="21">
        <v>2918.84</v>
      </c>
      <c r="L21" s="21"/>
      <c r="M21" s="21">
        <v>2918.84</v>
      </c>
      <c r="N21" s="21" t="s">
        <v>5213</v>
      </c>
      <c r="O21" s="21" t="s">
        <v>50</v>
      </c>
    </row>
    <row r="22" spans="1:15" ht="25.5" customHeight="1" x14ac:dyDescent="0.25">
      <c r="A22" s="21" t="s">
        <v>5214</v>
      </c>
      <c r="B22" s="21" t="s">
        <v>5215</v>
      </c>
      <c r="C22" s="22">
        <v>45931</v>
      </c>
      <c r="D22" s="21"/>
      <c r="E22" s="21" t="s">
        <v>7</v>
      </c>
      <c r="F22" s="21"/>
      <c r="G22" s="21" t="s">
        <v>5168</v>
      </c>
      <c r="H22" s="21" t="s">
        <v>5168</v>
      </c>
      <c r="I22" s="21" t="s">
        <v>80</v>
      </c>
      <c r="J22" s="21"/>
      <c r="K22" s="21">
        <v>8328.67</v>
      </c>
      <c r="L22" s="21"/>
      <c r="M22" s="21">
        <v>8328.67</v>
      </c>
      <c r="N22" s="21" t="s">
        <v>5216</v>
      </c>
      <c r="O22" s="21" t="s">
        <v>2384</v>
      </c>
    </row>
    <row r="23" spans="1:15" ht="25.5" customHeight="1" x14ac:dyDescent="0.25">
      <c r="A23" s="21" t="s">
        <v>5217</v>
      </c>
      <c r="B23" s="21" t="s">
        <v>5218</v>
      </c>
      <c r="C23" s="22">
        <v>45930</v>
      </c>
      <c r="D23" s="22">
        <v>45930</v>
      </c>
      <c r="E23" s="21" t="s">
        <v>7</v>
      </c>
      <c r="F23" s="21" t="s">
        <v>70</v>
      </c>
      <c r="G23" s="21" t="s">
        <v>5219</v>
      </c>
      <c r="H23" s="21" t="s">
        <v>5220</v>
      </c>
      <c r="I23" s="21" t="s">
        <v>80</v>
      </c>
      <c r="J23" s="21">
        <v>-860</v>
      </c>
      <c r="K23" s="21"/>
      <c r="L23" s="21">
        <v>3005.7</v>
      </c>
      <c r="M23" s="21">
        <v>-3005.7</v>
      </c>
      <c r="N23" s="21" t="s">
        <v>5221</v>
      </c>
      <c r="O23" s="21" t="s">
        <v>2384</v>
      </c>
    </row>
    <row r="24" spans="1:15" ht="25.5" customHeight="1" x14ac:dyDescent="0.25">
      <c r="A24" s="21" t="s">
        <v>5220</v>
      </c>
      <c r="B24" s="21" t="s">
        <v>5220</v>
      </c>
      <c r="C24" s="22">
        <v>45930</v>
      </c>
      <c r="D24" s="22">
        <v>45930</v>
      </c>
      <c r="E24" s="21" t="s">
        <v>7</v>
      </c>
      <c r="F24" s="21" t="s">
        <v>70</v>
      </c>
      <c r="G24" s="21" t="s">
        <v>5220</v>
      </c>
      <c r="H24" s="21"/>
      <c r="I24" s="21" t="s">
        <v>80</v>
      </c>
      <c r="J24" s="21">
        <v>860</v>
      </c>
      <c r="K24" s="21">
        <v>3005.7</v>
      </c>
      <c r="L24" s="21"/>
      <c r="M24" s="21">
        <v>3005.7</v>
      </c>
      <c r="N24" s="21" t="s">
        <v>5221</v>
      </c>
      <c r="O24" s="21" t="s">
        <v>50</v>
      </c>
    </row>
    <row r="25" spans="1:15" ht="25.5" customHeight="1" x14ac:dyDescent="0.25">
      <c r="A25" s="21" t="s">
        <v>5222</v>
      </c>
      <c r="B25" s="21" t="s">
        <v>5223</v>
      </c>
      <c r="C25" s="22">
        <v>45930</v>
      </c>
      <c r="D25" s="21"/>
      <c r="E25" s="21" t="s">
        <v>7</v>
      </c>
      <c r="F25" s="21"/>
      <c r="G25" s="21" t="s">
        <v>5168</v>
      </c>
      <c r="H25" s="21" t="s">
        <v>5168</v>
      </c>
      <c r="I25" s="21" t="s">
        <v>80</v>
      </c>
      <c r="J25" s="21"/>
      <c r="K25" s="21"/>
      <c r="L25" s="21">
        <v>8328.67</v>
      </c>
      <c r="M25" s="21">
        <v>-8328.67</v>
      </c>
      <c r="N25" s="21" t="s">
        <v>5216</v>
      </c>
      <c r="O25" s="21" t="s">
        <v>2384</v>
      </c>
    </row>
    <row r="26" spans="1:15" ht="25.5" customHeight="1" x14ac:dyDescent="0.25">
      <c r="A26" s="21" t="s">
        <v>5224</v>
      </c>
      <c r="B26" s="21" t="s">
        <v>5225</v>
      </c>
      <c r="C26" s="22">
        <v>45901</v>
      </c>
      <c r="D26" s="21"/>
      <c r="E26" s="21" t="s">
        <v>7</v>
      </c>
      <c r="F26" s="21"/>
      <c r="G26" s="21" t="s">
        <v>5226</v>
      </c>
      <c r="H26" s="21" t="s">
        <v>5226</v>
      </c>
      <c r="I26" s="21" t="s">
        <v>80</v>
      </c>
      <c r="J26" s="21"/>
      <c r="K26" s="21">
        <v>33.479999999999997</v>
      </c>
      <c r="L26" s="21"/>
      <c r="M26" s="21">
        <v>33.479999999999997</v>
      </c>
      <c r="N26" s="21" t="s">
        <v>5227</v>
      </c>
      <c r="O26" s="21" t="s">
        <v>2384</v>
      </c>
    </row>
    <row r="27" spans="1:15" ht="25.5" customHeight="1" x14ac:dyDescent="0.25">
      <c r="A27" s="21" t="s">
        <v>5228</v>
      </c>
      <c r="B27" s="21" t="s">
        <v>5229</v>
      </c>
      <c r="C27" s="22">
        <v>45901</v>
      </c>
      <c r="D27" s="21"/>
      <c r="E27" s="21" t="s">
        <v>7</v>
      </c>
      <c r="F27" s="21"/>
      <c r="G27" s="21" t="s">
        <v>5168</v>
      </c>
      <c r="H27" s="21" t="s">
        <v>5168</v>
      </c>
      <c r="I27" s="21" t="s">
        <v>80</v>
      </c>
      <c r="J27" s="21"/>
      <c r="K27" s="21">
        <v>6425.48</v>
      </c>
      <c r="L27" s="21"/>
      <c r="M27" s="21">
        <v>6425.48</v>
      </c>
      <c r="N27" s="21" t="s">
        <v>5230</v>
      </c>
      <c r="O27" s="21" t="s">
        <v>2384</v>
      </c>
    </row>
    <row r="28" spans="1:15" ht="25.5" customHeight="1" x14ac:dyDescent="0.25">
      <c r="A28" s="21" t="s">
        <v>5231</v>
      </c>
      <c r="B28" s="21" t="s">
        <v>5232</v>
      </c>
      <c r="C28" s="22">
        <v>45900</v>
      </c>
      <c r="D28" s="21"/>
      <c r="E28" s="21" t="s">
        <v>7</v>
      </c>
      <c r="F28" s="21"/>
      <c r="G28" s="21" t="s">
        <v>5233</v>
      </c>
      <c r="H28" s="21" t="s">
        <v>5233</v>
      </c>
      <c r="I28" s="21" t="s">
        <v>80</v>
      </c>
      <c r="J28" s="21"/>
      <c r="K28" s="21"/>
      <c r="L28" s="21">
        <v>33.479999999999997</v>
      </c>
      <c r="M28" s="21">
        <v>-33.479999999999997</v>
      </c>
      <c r="N28" s="21" t="s">
        <v>5227</v>
      </c>
      <c r="O28" s="21" t="s">
        <v>2384</v>
      </c>
    </row>
    <row r="29" spans="1:15" ht="25.5" customHeight="1" x14ac:dyDescent="0.25">
      <c r="A29" s="21" t="s">
        <v>5234</v>
      </c>
      <c r="B29" s="21" t="s">
        <v>5235</v>
      </c>
      <c r="C29" s="22">
        <v>45900</v>
      </c>
      <c r="D29" s="21"/>
      <c r="E29" s="21" t="s">
        <v>7</v>
      </c>
      <c r="F29" s="21"/>
      <c r="G29" s="21" t="s">
        <v>5168</v>
      </c>
      <c r="H29" s="21" t="s">
        <v>5168</v>
      </c>
      <c r="I29" s="21" t="s">
        <v>80</v>
      </c>
      <c r="J29" s="21"/>
      <c r="K29" s="21"/>
      <c r="L29" s="21">
        <v>6425.48</v>
      </c>
      <c r="M29" s="21">
        <v>-6425.48</v>
      </c>
      <c r="N29" s="21" t="s">
        <v>5230</v>
      </c>
      <c r="O29" s="21" t="s">
        <v>2384</v>
      </c>
    </row>
    <row r="30" spans="1:15" ht="25.5" customHeight="1" x14ac:dyDescent="0.25">
      <c r="A30" s="21" t="s">
        <v>5236</v>
      </c>
      <c r="B30" s="21" t="s">
        <v>5237</v>
      </c>
      <c r="C30" s="22">
        <v>45895</v>
      </c>
      <c r="D30" s="22">
        <v>45895</v>
      </c>
      <c r="E30" s="21" t="s">
        <v>7</v>
      </c>
      <c r="F30" s="21" t="s">
        <v>70</v>
      </c>
      <c r="G30" s="21" t="s">
        <v>5238</v>
      </c>
      <c r="H30" s="21" t="s">
        <v>5239</v>
      </c>
      <c r="I30" s="21" t="s">
        <v>80</v>
      </c>
      <c r="J30" s="21">
        <v>-860</v>
      </c>
      <c r="K30" s="21"/>
      <c r="L30" s="21">
        <v>3036.66</v>
      </c>
      <c r="M30" s="21">
        <v>-3036.66</v>
      </c>
      <c r="N30" s="21" t="s">
        <v>5240</v>
      </c>
      <c r="O30" s="21" t="s">
        <v>2384</v>
      </c>
    </row>
    <row r="31" spans="1:15" ht="25.5" customHeight="1" x14ac:dyDescent="0.25">
      <c r="A31" s="21" t="s">
        <v>5239</v>
      </c>
      <c r="B31" s="21" t="s">
        <v>5239</v>
      </c>
      <c r="C31" s="22">
        <v>45895</v>
      </c>
      <c r="D31" s="22">
        <v>45895</v>
      </c>
      <c r="E31" s="21" t="s">
        <v>7</v>
      </c>
      <c r="F31" s="21" t="s">
        <v>70</v>
      </c>
      <c r="G31" s="21" t="s">
        <v>5239</v>
      </c>
      <c r="H31" s="21"/>
      <c r="I31" s="21" t="s">
        <v>80</v>
      </c>
      <c r="J31" s="21">
        <v>860</v>
      </c>
      <c r="K31" s="21">
        <v>3036.66</v>
      </c>
      <c r="L31" s="21"/>
      <c r="M31" s="21">
        <v>3036.66</v>
      </c>
      <c r="N31" s="21" t="s">
        <v>5240</v>
      </c>
      <c r="O31" s="21" t="s">
        <v>50</v>
      </c>
    </row>
    <row r="32" spans="1:15" ht="25.5" customHeight="1" x14ac:dyDescent="0.25">
      <c r="A32" s="21" t="s">
        <v>5241</v>
      </c>
      <c r="B32" s="21" t="s">
        <v>5242</v>
      </c>
      <c r="C32" s="22">
        <v>45870</v>
      </c>
      <c r="D32" s="21"/>
      <c r="E32" s="21" t="s">
        <v>7</v>
      </c>
      <c r="F32" s="21"/>
      <c r="G32" s="21" t="s">
        <v>5168</v>
      </c>
      <c r="H32" s="21" t="s">
        <v>5168</v>
      </c>
      <c r="I32" s="21" t="s">
        <v>80</v>
      </c>
      <c r="J32" s="21"/>
      <c r="K32" s="21">
        <v>5003</v>
      </c>
      <c r="L32" s="21"/>
      <c r="M32" s="21">
        <v>5003</v>
      </c>
      <c r="N32" s="21" t="s">
        <v>5243</v>
      </c>
      <c r="O32" s="21" t="s">
        <v>2384</v>
      </c>
    </row>
    <row r="33" spans="1:15" ht="25.5" customHeight="1" x14ac:dyDescent="0.25">
      <c r="A33" s="21" t="s">
        <v>5244</v>
      </c>
      <c r="B33" s="21" t="s">
        <v>5245</v>
      </c>
      <c r="C33" s="22">
        <v>45869</v>
      </c>
      <c r="D33" s="21"/>
      <c r="E33" s="21" t="s">
        <v>7</v>
      </c>
      <c r="F33" s="21"/>
      <c r="G33" s="21" t="s">
        <v>5168</v>
      </c>
      <c r="H33" s="21" t="s">
        <v>5168</v>
      </c>
      <c r="I33" s="21" t="s">
        <v>80</v>
      </c>
      <c r="J33" s="21"/>
      <c r="K33" s="21"/>
      <c r="L33" s="21">
        <v>5003</v>
      </c>
      <c r="M33" s="21">
        <v>-5003</v>
      </c>
      <c r="N33" s="21" t="s">
        <v>5243</v>
      </c>
      <c r="O33" s="21" t="s">
        <v>2384</v>
      </c>
    </row>
    <row r="34" spans="1:15" ht="25.5" customHeight="1" x14ac:dyDescent="0.25">
      <c r="A34" s="21" t="s">
        <v>5246</v>
      </c>
      <c r="B34" s="21" t="s">
        <v>5247</v>
      </c>
      <c r="C34" s="22">
        <v>45862</v>
      </c>
      <c r="D34" s="22">
        <v>45862</v>
      </c>
      <c r="E34" s="21" t="s">
        <v>7</v>
      </c>
      <c r="F34" s="21" t="s">
        <v>70</v>
      </c>
      <c r="G34" s="21" t="s">
        <v>5248</v>
      </c>
      <c r="H34" s="21" t="s">
        <v>5249</v>
      </c>
      <c r="I34" s="21" t="s">
        <v>80</v>
      </c>
      <c r="J34" s="21">
        <v>-860</v>
      </c>
      <c r="K34" s="21"/>
      <c r="L34" s="21">
        <v>3062.46</v>
      </c>
      <c r="M34" s="21">
        <v>-3062.46</v>
      </c>
      <c r="N34" s="21" t="s">
        <v>5250</v>
      </c>
      <c r="O34" s="21" t="s">
        <v>2384</v>
      </c>
    </row>
    <row r="35" spans="1:15" ht="25.5" customHeight="1" x14ac:dyDescent="0.25">
      <c r="A35" s="21" t="s">
        <v>5249</v>
      </c>
      <c r="B35" s="21" t="s">
        <v>5249</v>
      </c>
      <c r="C35" s="22">
        <v>45862</v>
      </c>
      <c r="D35" s="22">
        <v>45862</v>
      </c>
      <c r="E35" s="21" t="s">
        <v>7</v>
      </c>
      <c r="F35" s="21" t="s">
        <v>70</v>
      </c>
      <c r="G35" s="21" t="s">
        <v>5249</v>
      </c>
      <c r="H35" s="21"/>
      <c r="I35" s="21" t="s">
        <v>80</v>
      </c>
      <c r="J35" s="21">
        <v>860</v>
      </c>
      <c r="K35" s="21">
        <v>3062.46</v>
      </c>
      <c r="L35" s="21"/>
      <c r="M35" s="21">
        <v>3062.46</v>
      </c>
      <c r="N35" s="21" t="s">
        <v>5250</v>
      </c>
      <c r="O35" s="21" t="s">
        <v>50</v>
      </c>
    </row>
    <row r="36" spans="1:15" ht="25.5" customHeight="1" x14ac:dyDescent="0.25">
      <c r="A36" s="21" t="s">
        <v>5251</v>
      </c>
      <c r="B36" s="21" t="s">
        <v>5252</v>
      </c>
      <c r="C36" s="22">
        <v>45839</v>
      </c>
      <c r="D36" s="21"/>
      <c r="E36" s="21" t="s">
        <v>7</v>
      </c>
      <c r="F36" s="21"/>
      <c r="G36" s="21" t="s">
        <v>5253</v>
      </c>
      <c r="H36" s="21" t="s">
        <v>5253</v>
      </c>
      <c r="I36" s="21" t="s">
        <v>80</v>
      </c>
      <c r="J36" s="21"/>
      <c r="K36" s="21">
        <v>299.64</v>
      </c>
      <c r="L36" s="21"/>
      <c r="M36" s="21">
        <v>299.64</v>
      </c>
      <c r="N36" s="21" t="s">
        <v>5254</v>
      </c>
      <c r="O36" s="21" t="s">
        <v>2384</v>
      </c>
    </row>
    <row r="37" spans="1:15" ht="25.5" customHeight="1" x14ac:dyDescent="0.25">
      <c r="A37" s="21" t="s">
        <v>5255</v>
      </c>
      <c r="B37" s="21" t="s">
        <v>5256</v>
      </c>
      <c r="C37" s="22">
        <v>45839</v>
      </c>
      <c r="D37" s="21"/>
      <c r="E37" s="21" t="s">
        <v>7</v>
      </c>
      <c r="F37" s="21"/>
      <c r="G37" s="21" t="s">
        <v>5168</v>
      </c>
      <c r="H37" s="21" t="s">
        <v>5168</v>
      </c>
      <c r="I37" s="21" t="s">
        <v>80</v>
      </c>
      <c r="J37" s="21"/>
      <c r="K37" s="21">
        <v>6046.01</v>
      </c>
      <c r="L37" s="21"/>
      <c r="M37" s="21">
        <v>6046.01</v>
      </c>
      <c r="N37" s="21" t="s">
        <v>5257</v>
      </c>
      <c r="O37" s="21" t="s">
        <v>2384</v>
      </c>
    </row>
    <row r="38" spans="1:15" ht="25.5" customHeight="1" x14ac:dyDescent="0.25">
      <c r="A38" s="21" t="s">
        <v>5258</v>
      </c>
      <c r="B38" s="21" t="s">
        <v>5259</v>
      </c>
      <c r="C38" s="22">
        <v>45838</v>
      </c>
      <c r="D38" s="21"/>
      <c r="E38" s="21" t="s">
        <v>7</v>
      </c>
      <c r="F38" s="21"/>
      <c r="G38" s="21" t="s">
        <v>5260</v>
      </c>
      <c r="H38" s="21" t="s">
        <v>5260</v>
      </c>
      <c r="I38" s="21" t="s">
        <v>80</v>
      </c>
      <c r="J38" s="21"/>
      <c r="K38" s="21"/>
      <c r="L38" s="21">
        <v>299.64</v>
      </c>
      <c r="M38" s="21">
        <v>-299.64</v>
      </c>
      <c r="N38" s="21" t="s">
        <v>5254</v>
      </c>
      <c r="O38" s="21" t="s">
        <v>2384</v>
      </c>
    </row>
    <row r="39" spans="1:15" ht="25.5" customHeight="1" x14ac:dyDescent="0.25">
      <c r="A39" s="21" t="s">
        <v>5261</v>
      </c>
      <c r="B39" s="21" t="s">
        <v>5262</v>
      </c>
      <c r="C39" s="22">
        <v>45838</v>
      </c>
      <c r="D39" s="21"/>
      <c r="E39" s="21" t="s">
        <v>7</v>
      </c>
      <c r="F39" s="21"/>
      <c r="G39" s="21" t="s">
        <v>5168</v>
      </c>
      <c r="H39" s="21" t="s">
        <v>5168</v>
      </c>
      <c r="I39" s="21" t="s">
        <v>80</v>
      </c>
      <c r="J39" s="21"/>
      <c r="K39" s="21"/>
      <c r="L39" s="21">
        <v>6046.01</v>
      </c>
      <c r="M39" s="21">
        <v>-6046.01</v>
      </c>
      <c r="N39" s="21" t="s">
        <v>5257</v>
      </c>
      <c r="O39" s="21" t="s">
        <v>2384</v>
      </c>
    </row>
    <row r="40" spans="1:15" ht="25.5" customHeight="1" x14ac:dyDescent="0.25">
      <c r="A40" s="21" t="s">
        <v>5263</v>
      </c>
      <c r="B40" s="21" t="s">
        <v>5264</v>
      </c>
      <c r="C40" s="22">
        <v>45835</v>
      </c>
      <c r="D40" s="22">
        <v>45835</v>
      </c>
      <c r="E40" s="21" t="s">
        <v>7</v>
      </c>
      <c r="F40" s="21" t="s">
        <v>70</v>
      </c>
      <c r="G40" s="21" t="s">
        <v>5265</v>
      </c>
      <c r="H40" s="21" t="s">
        <v>5266</v>
      </c>
      <c r="I40" s="21" t="s">
        <v>80</v>
      </c>
      <c r="J40" s="21">
        <v>-860</v>
      </c>
      <c r="K40" s="21"/>
      <c r="L40" s="21">
        <v>3071.92</v>
      </c>
      <c r="M40" s="21">
        <v>-3071.92</v>
      </c>
      <c r="N40" s="21" t="s">
        <v>5267</v>
      </c>
      <c r="O40" s="21" t="s">
        <v>2384</v>
      </c>
    </row>
    <row r="41" spans="1:15" ht="25.5" customHeight="1" x14ac:dyDescent="0.25">
      <c r="A41" s="21" t="s">
        <v>5266</v>
      </c>
      <c r="B41" s="21" t="s">
        <v>5266</v>
      </c>
      <c r="C41" s="22">
        <v>45835</v>
      </c>
      <c r="D41" s="22">
        <v>45835</v>
      </c>
      <c r="E41" s="21" t="s">
        <v>7</v>
      </c>
      <c r="F41" s="21" t="s">
        <v>70</v>
      </c>
      <c r="G41" s="21" t="s">
        <v>5266</v>
      </c>
      <c r="H41" s="21"/>
      <c r="I41" s="21" t="s">
        <v>80</v>
      </c>
      <c r="J41" s="21">
        <v>860</v>
      </c>
      <c r="K41" s="21">
        <v>3071.92</v>
      </c>
      <c r="L41" s="21"/>
      <c r="M41" s="21">
        <v>3071.92</v>
      </c>
      <c r="N41" s="21" t="s">
        <v>5267</v>
      </c>
      <c r="O41" s="21" t="s">
        <v>50</v>
      </c>
    </row>
    <row r="42" spans="1:15" ht="25.5" customHeight="1" x14ac:dyDescent="0.25">
      <c r="A42" s="21" t="s">
        <v>5268</v>
      </c>
      <c r="B42" s="21" t="s">
        <v>5269</v>
      </c>
      <c r="C42" s="22">
        <v>45809</v>
      </c>
      <c r="D42" s="21"/>
      <c r="E42" s="21" t="s">
        <v>7</v>
      </c>
      <c r="F42" s="21"/>
      <c r="G42" s="21" t="s">
        <v>5270</v>
      </c>
      <c r="H42" s="21" t="s">
        <v>5270</v>
      </c>
      <c r="I42" s="21" t="s">
        <v>80</v>
      </c>
      <c r="J42" s="21"/>
      <c r="K42" s="21">
        <v>107.58</v>
      </c>
      <c r="L42" s="21"/>
      <c r="M42" s="21">
        <v>107.58</v>
      </c>
      <c r="N42" s="21" t="s">
        <v>5271</v>
      </c>
      <c r="O42" s="21" t="s">
        <v>2384</v>
      </c>
    </row>
    <row r="43" spans="1:15" ht="25.5" customHeight="1" x14ac:dyDescent="0.25">
      <c r="A43" s="21" t="s">
        <v>5272</v>
      </c>
      <c r="B43" s="21" t="s">
        <v>5273</v>
      </c>
      <c r="C43" s="22">
        <v>45809</v>
      </c>
      <c r="D43" s="21"/>
      <c r="E43" s="21" t="s">
        <v>7</v>
      </c>
      <c r="F43" s="21"/>
      <c r="G43" s="21" t="s">
        <v>5168</v>
      </c>
      <c r="H43" s="21" t="s">
        <v>5168</v>
      </c>
      <c r="I43" s="21" t="s">
        <v>80</v>
      </c>
      <c r="J43" s="21"/>
      <c r="K43" s="21">
        <v>3773.46</v>
      </c>
      <c r="L43" s="21"/>
      <c r="M43" s="21">
        <v>3773.46</v>
      </c>
      <c r="N43" s="21" t="s">
        <v>5274</v>
      </c>
      <c r="O43" s="21" t="s">
        <v>2384</v>
      </c>
    </row>
    <row r="44" spans="1:15" ht="25.5" customHeight="1" x14ac:dyDescent="0.25">
      <c r="A44" s="21" t="s">
        <v>5275</v>
      </c>
      <c r="B44" s="21" t="s">
        <v>5276</v>
      </c>
      <c r="C44" s="22">
        <v>45808</v>
      </c>
      <c r="D44" s="21"/>
      <c r="E44" s="21" t="s">
        <v>7</v>
      </c>
      <c r="F44" s="21"/>
      <c r="G44" s="21" t="s">
        <v>5277</v>
      </c>
      <c r="H44" s="21" t="s">
        <v>5277</v>
      </c>
      <c r="I44" s="21" t="s">
        <v>80</v>
      </c>
      <c r="J44" s="21"/>
      <c r="K44" s="21"/>
      <c r="L44" s="21">
        <v>107.58</v>
      </c>
      <c r="M44" s="21">
        <v>-107.58</v>
      </c>
      <c r="N44" s="21" t="s">
        <v>5271</v>
      </c>
      <c r="O44" s="21" t="s">
        <v>2384</v>
      </c>
    </row>
    <row r="45" spans="1:15" ht="25.5" customHeight="1" x14ac:dyDescent="0.25">
      <c r="A45" s="21" t="s">
        <v>5278</v>
      </c>
      <c r="B45" s="21" t="s">
        <v>5279</v>
      </c>
      <c r="C45" s="22">
        <v>45808</v>
      </c>
      <c r="D45" s="21"/>
      <c r="E45" s="21" t="s">
        <v>7</v>
      </c>
      <c r="F45" s="21"/>
      <c r="G45" s="21" t="s">
        <v>5168</v>
      </c>
      <c r="H45" s="21" t="s">
        <v>5168</v>
      </c>
      <c r="I45" s="21" t="s">
        <v>80</v>
      </c>
      <c r="J45" s="21"/>
      <c r="K45" s="21"/>
      <c r="L45" s="21">
        <v>3773.46</v>
      </c>
      <c r="M45" s="21">
        <v>-3773.46</v>
      </c>
      <c r="N45" s="21" t="s">
        <v>5274</v>
      </c>
      <c r="O45" s="21" t="s">
        <v>2384</v>
      </c>
    </row>
    <row r="46" spans="1:15" ht="25.5" customHeight="1" x14ac:dyDescent="0.25">
      <c r="A46" s="21" t="s">
        <v>5280</v>
      </c>
      <c r="B46" s="21" t="s">
        <v>5281</v>
      </c>
      <c r="C46" s="22">
        <v>45805</v>
      </c>
      <c r="D46" s="22">
        <v>45805</v>
      </c>
      <c r="E46" s="21" t="s">
        <v>7</v>
      </c>
      <c r="F46" s="21" t="s">
        <v>70</v>
      </c>
      <c r="G46" s="21" t="s">
        <v>5282</v>
      </c>
      <c r="H46" s="21" t="s">
        <v>5283</v>
      </c>
      <c r="I46" s="21" t="s">
        <v>80</v>
      </c>
      <c r="J46" s="21">
        <v>-1720</v>
      </c>
      <c r="K46" s="21"/>
      <c r="L46" s="21">
        <v>6278</v>
      </c>
      <c r="M46" s="21">
        <v>-6278</v>
      </c>
      <c r="N46" s="21" t="s">
        <v>5284</v>
      </c>
      <c r="O46" s="21" t="s">
        <v>2384</v>
      </c>
    </row>
    <row r="47" spans="1:15" ht="25.5" customHeight="1" x14ac:dyDescent="0.25">
      <c r="A47" s="21" t="s">
        <v>5285</v>
      </c>
      <c r="B47" s="21" t="s">
        <v>5286</v>
      </c>
      <c r="C47" s="22">
        <v>45805</v>
      </c>
      <c r="D47" s="22">
        <v>45805</v>
      </c>
      <c r="E47" s="21" t="s">
        <v>7</v>
      </c>
      <c r="F47" s="21" t="s">
        <v>70</v>
      </c>
      <c r="G47" s="21" t="s">
        <v>5287</v>
      </c>
      <c r="H47" s="21" t="s">
        <v>5288</v>
      </c>
      <c r="I47" s="21" t="s">
        <v>80</v>
      </c>
      <c r="J47" s="21">
        <v>-860</v>
      </c>
      <c r="K47" s="21"/>
      <c r="L47" s="21">
        <v>3139</v>
      </c>
      <c r="M47" s="21">
        <v>-3139</v>
      </c>
      <c r="N47" s="21" t="s">
        <v>5289</v>
      </c>
      <c r="O47" s="21" t="s">
        <v>2384</v>
      </c>
    </row>
    <row r="48" spans="1:15" ht="25.5" customHeight="1" x14ac:dyDescent="0.25">
      <c r="A48" s="21" t="s">
        <v>5283</v>
      </c>
      <c r="B48" s="21" t="s">
        <v>5283</v>
      </c>
      <c r="C48" s="22">
        <v>45805</v>
      </c>
      <c r="D48" s="22">
        <v>45805</v>
      </c>
      <c r="E48" s="21" t="s">
        <v>7</v>
      </c>
      <c r="F48" s="21" t="s">
        <v>70</v>
      </c>
      <c r="G48" s="21" t="s">
        <v>5283</v>
      </c>
      <c r="H48" s="21"/>
      <c r="I48" s="21" t="s">
        <v>80</v>
      </c>
      <c r="J48" s="21">
        <v>1720</v>
      </c>
      <c r="K48" s="21">
        <v>6278</v>
      </c>
      <c r="L48" s="21"/>
      <c r="M48" s="21">
        <v>6278</v>
      </c>
      <c r="N48" s="21" t="s">
        <v>5284</v>
      </c>
      <c r="O48" s="21" t="s">
        <v>50</v>
      </c>
    </row>
    <row r="49" spans="1:15" ht="25.5" customHeight="1" x14ac:dyDescent="0.25">
      <c r="A49" s="21" t="s">
        <v>5288</v>
      </c>
      <c r="B49" s="21" t="s">
        <v>5288</v>
      </c>
      <c r="C49" s="22">
        <v>45805</v>
      </c>
      <c r="D49" s="22">
        <v>45805</v>
      </c>
      <c r="E49" s="21" t="s">
        <v>7</v>
      </c>
      <c r="F49" s="21" t="s">
        <v>70</v>
      </c>
      <c r="G49" s="21" t="s">
        <v>5288</v>
      </c>
      <c r="H49" s="21"/>
      <c r="I49" s="21" t="s">
        <v>80</v>
      </c>
      <c r="J49" s="21">
        <v>860</v>
      </c>
      <c r="K49" s="21">
        <v>3139</v>
      </c>
      <c r="L49" s="21"/>
      <c r="M49" s="21">
        <v>3139</v>
      </c>
      <c r="N49" s="21" t="s">
        <v>5289</v>
      </c>
      <c r="O49" s="21" t="s">
        <v>50</v>
      </c>
    </row>
    <row r="50" spans="1:15" ht="25.5" customHeight="1" x14ac:dyDescent="0.25">
      <c r="A50" s="21" t="s">
        <v>5290</v>
      </c>
      <c r="B50" s="21" t="s">
        <v>5291</v>
      </c>
      <c r="C50" s="22">
        <v>45783</v>
      </c>
      <c r="D50" s="22">
        <v>45783</v>
      </c>
      <c r="E50" s="21" t="s">
        <v>7</v>
      </c>
      <c r="F50" s="21" t="s">
        <v>70</v>
      </c>
      <c r="G50" s="21" t="s">
        <v>5292</v>
      </c>
      <c r="H50" s="21" t="s">
        <v>5293</v>
      </c>
      <c r="I50" s="21" t="s">
        <v>80</v>
      </c>
      <c r="J50" s="21">
        <v>-860</v>
      </c>
      <c r="K50" s="21"/>
      <c r="L50" s="21">
        <v>3149.32</v>
      </c>
      <c r="M50" s="21">
        <v>-3149.32</v>
      </c>
      <c r="N50" s="21" t="s">
        <v>5294</v>
      </c>
      <c r="O50" s="21" t="s">
        <v>2384</v>
      </c>
    </row>
    <row r="51" spans="1:15" ht="25.5" customHeight="1" x14ac:dyDescent="0.25">
      <c r="A51" s="21" t="s">
        <v>5293</v>
      </c>
      <c r="B51" s="21" t="s">
        <v>5293</v>
      </c>
      <c r="C51" s="22">
        <v>45783</v>
      </c>
      <c r="D51" s="22">
        <v>45783</v>
      </c>
      <c r="E51" s="21" t="s">
        <v>7</v>
      </c>
      <c r="F51" s="21" t="s">
        <v>70</v>
      </c>
      <c r="G51" s="21" t="s">
        <v>5293</v>
      </c>
      <c r="H51" s="21"/>
      <c r="I51" s="21" t="s">
        <v>80</v>
      </c>
      <c r="J51" s="21">
        <v>860</v>
      </c>
      <c r="K51" s="21">
        <v>3149.32</v>
      </c>
      <c r="L51" s="21"/>
      <c r="M51" s="21">
        <v>3149.32</v>
      </c>
      <c r="N51" s="21" t="s">
        <v>5294</v>
      </c>
      <c r="O51" s="21" t="s">
        <v>75</v>
      </c>
    </row>
    <row r="52" spans="1:15" ht="25.5" customHeight="1" x14ac:dyDescent="0.25">
      <c r="A52" s="21" t="s">
        <v>5295</v>
      </c>
      <c r="B52" s="21" t="s">
        <v>5296</v>
      </c>
      <c r="C52" s="22">
        <v>45778</v>
      </c>
      <c r="D52" s="21"/>
      <c r="E52" s="21" t="s">
        <v>7</v>
      </c>
      <c r="F52" s="21"/>
      <c r="G52" s="21" t="s">
        <v>5297</v>
      </c>
      <c r="H52" s="21" t="s">
        <v>5297</v>
      </c>
      <c r="I52" s="21" t="s">
        <v>80</v>
      </c>
      <c r="J52" s="21"/>
      <c r="K52" s="21">
        <v>6.1</v>
      </c>
      <c r="L52" s="21"/>
      <c r="M52" s="21">
        <v>6.1</v>
      </c>
      <c r="N52" s="21" t="s">
        <v>5298</v>
      </c>
      <c r="O52" s="21" t="s">
        <v>2384</v>
      </c>
    </row>
    <row r="53" spans="1:15" ht="25.5" customHeight="1" x14ac:dyDescent="0.25">
      <c r="A53" s="21" t="s">
        <v>5299</v>
      </c>
      <c r="B53" s="21" t="s">
        <v>5300</v>
      </c>
      <c r="C53" s="22">
        <v>45778</v>
      </c>
      <c r="D53" s="21"/>
      <c r="E53" s="21" t="s">
        <v>7</v>
      </c>
      <c r="F53" s="21"/>
      <c r="G53" s="21" t="s">
        <v>5168</v>
      </c>
      <c r="H53" s="21" t="s">
        <v>5168</v>
      </c>
      <c r="I53" s="21" t="s">
        <v>80</v>
      </c>
      <c r="J53" s="21"/>
      <c r="K53" s="21">
        <v>2458.4899999999998</v>
      </c>
      <c r="L53" s="21"/>
      <c r="M53" s="21">
        <v>2458.4899999999998</v>
      </c>
      <c r="N53" s="21" t="s">
        <v>5301</v>
      </c>
      <c r="O53" s="21" t="s">
        <v>2384</v>
      </c>
    </row>
    <row r="54" spans="1:15" ht="25.5" customHeight="1" x14ac:dyDescent="0.25">
      <c r="A54" s="21" t="s">
        <v>5302</v>
      </c>
      <c r="B54" s="21" t="s">
        <v>5303</v>
      </c>
      <c r="C54" s="22">
        <v>45777</v>
      </c>
      <c r="D54" s="21"/>
      <c r="E54" s="21" t="s">
        <v>7</v>
      </c>
      <c r="F54" s="21"/>
      <c r="G54" s="21" t="s">
        <v>5304</v>
      </c>
      <c r="H54" s="21" t="s">
        <v>5304</v>
      </c>
      <c r="I54" s="21" t="s">
        <v>80</v>
      </c>
      <c r="J54" s="21"/>
      <c r="K54" s="21"/>
      <c r="L54" s="21">
        <v>6.1</v>
      </c>
      <c r="M54" s="21">
        <v>-6.1</v>
      </c>
      <c r="N54" s="21" t="s">
        <v>5298</v>
      </c>
      <c r="O54" s="21" t="s">
        <v>2384</v>
      </c>
    </row>
    <row r="55" spans="1:15" ht="25.5" customHeight="1" x14ac:dyDescent="0.25">
      <c r="A55" s="21" t="s">
        <v>5305</v>
      </c>
      <c r="B55" s="21" t="s">
        <v>5306</v>
      </c>
      <c r="C55" s="22">
        <v>45777</v>
      </c>
      <c r="D55" s="21"/>
      <c r="E55" s="21" t="s">
        <v>7</v>
      </c>
      <c r="F55" s="21"/>
      <c r="G55" s="21" t="s">
        <v>5168</v>
      </c>
      <c r="H55" s="21" t="s">
        <v>5168</v>
      </c>
      <c r="I55" s="21" t="s">
        <v>80</v>
      </c>
      <c r="J55" s="21"/>
      <c r="K55" s="21"/>
      <c r="L55" s="21">
        <v>2458.4899999999998</v>
      </c>
      <c r="M55" s="21">
        <v>-2458.4899999999998</v>
      </c>
      <c r="N55" s="21" t="s">
        <v>5301</v>
      </c>
      <c r="O55" s="21" t="s">
        <v>2384</v>
      </c>
    </row>
    <row r="56" spans="1:15" ht="25.5" customHeight="1" x14ac:dyDescent="0.25">
      <c r="A56" s="21" t="s">
        <v>5307</v>
      </c>
      <c r="B56" s="21" t="s">
        <v>5308</v>
      </c>
      <c r="C56" s="22">
        <v>45748</v>
      </c>
      <c r="D56" s="21"/>
      <c r="E56" s="21" t="s">
        <v>7</v>
      </c>
      <c r="F56" s="21"/>
      <c r="G56" s="21" t="s">
        <v>5309</v>
      </c>
      <c r="H56" s="21" t="s">
        <v>5309</v>
      </c>
      <c r="I56" s="21" t="s">
        <v>80</v>
      </c>
      <c r="J56" s="21"/>
      <c r="K56" s="21">
        <v>28.42</v>
      </c>
      <c r="L56" s="21"/>
      <c r="M56" s="21">
        <v>28.42</v>
      </c>
      <c r="N56" s="21" t="s">
        <v>5310</v>
      </c>
      <c r="O56" s="21" t="s">
        <v>2384</v>
      </c>
    </row>
    <row r="57" spans="1:15" ht="25.5" customHeight="1" x14ac:dyDescent="0.25">
      <c r="A57" s="21" t="s">
        <v>5311</v>
      </c>
      <c r="B57" s="21" t="s">
        <v>5312</v>
      </c>
      <c r="C57" s="22">
        <v>45748</v>
      </c>
      <c r="D57" s="21"/>
      <c r="E57" s="21" t="s">
        <v>7</v>
      </c>
      <c r="F57" s="21"/>
      <c r="G57" s="21" t="s">
        <v>5168</v>
      </c>
      <c r="H57" s="21" t="s">
        <v>5168</v>
      </c>
      <c r="I57" s="21" t="s">
        <v>80</v>
      </c>
      <c r="J57" s="21"/>
      <c r="K57" s="21">
        <v>2747.79</v>
      </c>
      <c r="L57" s="21"/>
      <c r="M57" s="21">
        <v>2747.79</v>
      </c>
      <c r="N57" s="21" t="s">
        <v>5313</v>
      </c>
      <c r="O57" s="21" t="s">
        <v>2384</v>
      </c>
    </row>
    <row r="58" spans="1:15" ht="25.5" customHeight="1" x14ac:dyDescent="0.25">
      <c r="A58" s="21" t="s">
        <v>5314</v>
      </c>
      <c r="B58" s="21" t="s">
        <v>5315</v>
      </c>
      <c r="C58" s="22">
        <v>45747</v>
      </c>
      <c r="D58" s="22">
        <v>45747</v>
      </c>
      <c r="E58" s="21" t="s">
        <v>7</v>
      </c>
      <c r="F58" s="21" t="s">
        <v>70</v>
      </c>
      <c r="G58" s="21" t="s">
        <v>5316</v>
      </c>
      <c r="H58" s="21" t="s">
        <v>5317</v>
      </c>
      <c r="I58" s="21" t="s">
        <v>80</v>
      </c>
      <c r="J58" s="21">
        <v>-860</v>
      </c>
      <c r="K58" s="21"/>
      <c r="L58" s="21">
        <v>3142.44</v>
      </c>
      <c r="M58" s="21">
        <v>-3142.44</v>
      </c>
      <c r="N58" s="21" t="s">
        <v>5318</v>
      </c>
      <c r="O58" s="21" t="s">
        <v>2384</v>
      </c>
    </row>
    <row r="59" spans="1:15" ht="25.5" customHeight="1" x14ac:dyDescent="0.25">
      <c r="A59" s="21" t="s">
        <v>5317</v>
      </c>
      <c r="B59" s="21" t="s">
        <v>5317</v>
      </c>
      <c r="C59" s="22">
        <v>45747</v>
      </c>
      <c r="D59" s="22">
        <v>45747</v>
      </c>
      <c r="E59" s="21" t="s">
        <v>7</v>
      </c>
      <c r="F59" s="21" t="s">
        <v>70</v>
      </c>
      <c r="G59" s="21" t="s">
        <v>5317</v>
      </c>
      <c r="H59" s="21"/>
      <c r="I59" s="21" t="s">
        <v>80</v>
      </c>
      <c r="J59" s="21">
        <v>860</v>
      </c>
      <c r="K59" s="21">
        <v>3142.44</v>
      </c>
      <c r="L59" s="21"/>
      <c r="M59" s="21">
        <v>3142.44</v>
      </c>
      <c r="N59" s="21" t="s">
        <v>5318</v>
      </c>
      <c r="O59" s="21" t="s">
        <v>75</v>
      </c>
    </row>
    <row r="60" spans="1:15" ht="25.5" customHeight="1" x14ac:dyDescent="0.25">
      <c r="A60" s="21" t="s">
        <v>5319</v>
      </c>
      <c r="B60" s="21" t="s">
        <v>5320</v>
      </c>
      <c r="C60" s="22">
        <v>45747</v>
      </c>
      <c r="D60" s="21"/>
      <c r="E60" s="21" t="s">
        <v>7</v>
      </c>
      <c r="F60" s="21"/>
      <c r="G60" s="21" t="s">
        <v>5321</v>
      </c>
      <c r="H60" s="21" t="s">
        <v>5321</v>
      </c>
      <c r="I60" s="21" t="s">
        <v>80</v>
      </c>
      <c r="J60" s="21"/>
      <c r="K60" s="21"/>
      <c r="L60" s="21">
        <v>28.42</v>
      </c>
      <c r="M60" s="21">
        <v>-28.42</v>
      </c>
      <c r="N60" s="21" t="s">
        <v>5310</v>
      </c>
      <c r="O60" s="21" t="s">
        <v>2384</v>
      </c>
    </row>
    <row r="61" spans="1:15" ht="25.5" customHeight="1" x14ac:dyDescent="0.25">
      <c r="A61" s="21" t="s">
        <v>5322</v>
      </c>
      <c r="B61" s="21" t="s">
        <v>5323</v>
      </c>
      <c r="C61" s="22">
        <v>45747</v>
      </c>
      <c r="D61" s="21"/>
      <c r="E61" s="21" t="s">
        <v>7</v>
      </c>
      <c r="F61" s="21"/>
      <c r="G61" s="21" t="s">
        <v>5168</v>
      </c>
      <c r="H61" s="21" t="s">
        <v>5168</v>
      </c>
      <c r="I61" s="21" t="s">
        <v>80</v>
      </c>
      <c r="J61" s="21"/>
      <c r="K61" s="21"/>
      <c r="L61" s="21">
        <v>2747.79</v>
      </c>
      <c r="M61" s="21">
        <v>-2747.79</v>
      </c>
      <c r="N61" s="21" t="s">
        <v>5313</v>
      </c>
      <c r="O61" s="21" t="s">
        <v>2384</v>
      </c>
    </row>
    <row r="62" spans="1:15" ht="25.5" customHeight="1" x14ac:dyDescent="0.25">
      <c r="A62" s="21" t="s">
        <v>5324</v>
      </c>
      <c r="B62" s="21" t="s">
        <v>5325</v>
      </c>
      <c r="C62" s="22">
        <v>45717</v>
      </c>
      <c r="D62" s="21"/>
      <c r="E62" s="21" t="s">
        <v>7</v>
      </c>
      <c r="F62" s="21"/>
      <c r="G62" s="21" t="s">
        <v>5326</v>
      </c>
      <c r="H62" s="21" t="s">
        <v>5326</v>
      </c>
      <c r="I62" s="21" t="s">
        <v>80</v>
      </c>
      <c r="J62" s="21"/>
      <c r="K62" s="21">
        <v>6.1</v>
      </c>
      <c r="L62" s="21"/>
      <c r="M62" s="21">
        <v>6.1</v>
      </c>
      <c r="N62" s="21" t="s">
        <v>5327</v>
      </c>
      <c r="O62" s="21" t="s">
        <v>2384</v>
      </c>
    </row>
    <row r="63" spans="1:15" ht="25.5" customHeight="1" x14ac:dyDescent="0.25">
      <c r="A63" s="21" t="s">
        <v>5328</v>
      </c>
      <c r="B63" s="21" t="s">
        <v>5329</v>
      </c>
      <c r="C63" s="22">
        <v>45717</v>
      </c>
      <c r="D63" s="21"/>
      <c r="E63" s="21" t="s">
        <v>7</v>
      </c>
      <c r="F63" s="21"/>
      <c r="G63" s="21" t="s">
        <v>5168</v>
      </c>
      <c r="H63" s="21" t="s">
        <v>5168</v>
      </c>
      <c r="I63" s="21" t="s">
        <v>80</v>
      </c>
      <c r="J63" s="21"/>
      <c r="K63" s="21">
        <v>2458.4899999999998</v>
      </c>
      <c r="L63" s="21"/>
      <c r="M63" s="21">
        <v>2458.4899999999998</v>
      </c>
      <c r="N63" s="21" t="s">
        <v>5330</v>
      </c>
      <c r="O63" s="21" t="s">
        <v>2384</v>
      </c>
    </row>
    <row r="64" spans="1:15" ht="25.5" customHeight="1" x14ac:dyDescent="0.25">
      <c r="A64" s="21" t="s">
        <v>5331</v>
      </c>
      <c r="B64" s="21" t="s">
        <v>5332</v>
      </c>
      <c r="C64" s="22">
        <v>45716</v>
      </c>
      <c r="D64" s="22">
        <v>45716</v>
      </c>
      <c r="E64" s="21" t="s">
        <v>7</v>
      </c>
      <c r="F64" s="21" t="s">
        <v>70</v>
      </c>
      <c r="G64" s="21" t="s">
        <v>5333</v>
      </c>
      <c r="H64" s="21" t="s">
        <v>5334</v>
      </c>
      <c r="I64" s="21" t="s">
        <v>80</v>
      </c>
      <c r="J64" s="21">
        <v>-1014.8</v>
      </c>
      <c r="K64" s="21"/>
      <c r="L64" s="21">
        <v>3728.38</v>
      </c>
      <c r="M64" s="21">
        <v>-3728.38</v>
      </c>
      <c r="N64" s="21" t="s">
        <v>5335</v>
      </c>
      <c r="O64" s="21" t="s">
        <v>2384</v>
      </c>
    </row>
    <row r="65" spans="1:15" ht="25.5" customHeight="1" x14ac:dyDescent="0.25">
      <c r="A65" s="21" t="s">
        <v>5334</v>
      </c>
      <c r="B65" s="21" t="s">
        <v>5334</v>
      </c>
      <c r="C65" s="22">
        <v>45716</v>
      </c>
      <c r="D65" s="22">
        <v>45716</v>
      </c>
      <c r="E65" s="21" t="s">
        <v>7</v>
      </c>
      <c r="F65" s="21" t="s">
        <v>70</v>
      </c>
      <c r="G65" s="21" t="s">
        <v>5334</v>
      </c>
      <c r="H65" s="21"/>
      <c r="I65" s="21" t="s">
        <v>80</v>
      </c>
      <c r="J65" s="21">
        <v>1014.8</v>
      </c>
      <c r="K65" s="21">
        <v>3728.38</v>
      </c>
      <c r="L65" s="21"/>
      <c r="M65" s="21">
        <v>3728.38</v>
      </c>
      <c r="N65" s="21" t="s">
        <v>5335</v>
      </c>
      <c r="O65" s="21" t="s">
        <v>3299</v>
      </c>
    </row>
    <row r="66" spans="1:15" ht="25.5" customHeight="1" x14ac:dyDescent="0.25">
      <c r="A66" s="21" t="s">
        <v>5336</v>
      </c>
      <c r="B66" s="21" t="s">
        <v>5337</v>
      </c>
      <c r="C66" s="22">
        <v>45716</v>
      </c>
      <c r="D66" s="21"/>
      <c r="E66" s="21" t="s">
        <v>7</v>
      </c>
      <c r="F66" s="21"/>
      <c r="G66" s="21" t="s">
        <v>5338</v>
      </c>
      <c r="H66" s="21" t="s">
        <v>5338</v>
      </c>
      <c r="I66" s="21" t="s">
        <v>80</v>
      </c>
      <c r="J66" s="21"/>
      <c r="K66" s="21"/>
      <c r="L66" s="21">
        <v>6.1</v>
      </c>
      <c r="M66" s="21">
        <v>-6.1</v>
      </c>
      <c r="N66" s="21" t="s">
        <v>5327</v>
      </c>
      <c r="O66" s="21" t="s">
        <v>2384</v>
      </c>
    </row>
    <row r="67" spans="1:15" ht="25.5" customHeight="1" x14ac:dyDescent="0.25">
      <c r="A67" s="21" t="s">
        <v>5339</v>
      </c>
      <c r="B67" s="21" t="s">
        <v>5340</v>
      </c>
      <c r="C67" s="22">
        <v>45716</v>
      </c>
      <c r="D67" s="21"/>
      <c r="E67" s="21" t="s">
        <v>7</v>
      </c>
      <c r="F67" s="21"/>
      <c r="G67" s="21" t="s">
        <v>5168</v>
      </c>
      <c r="H67" s="21" t="s">
        <v>5168</v>
      </c>
      <c r="I67" s="21" t="s">
        <v>80</v>
      </c>
      <c r="J67" s="21"/>
      <c r="K67" s="21"/>
      <c r="L67" s="21">
        <v>2458.4899999999998</v>
      </c>
      <c r="M67" s="21">
        <v>-2458.4899999999998</v>
      </c>
      <c r="N67" s="21" t="s">
        <v>5330</v>
      </c>
      <c r="O67" s="21" t="s">
        <v>2384</v>
      </c>
    </row>
    <row r="68" spans="1:15" ht="25.5" customHeight="1" x14ac:dyDescent="0.25">
      <c r="A68" s="21" t="s">
        <v>5341</v>
      </c>
      <c r="B68" s="21" t="s">
        <v>5341</v>
      </c>
      <c r="C68" s="22">
        <v>45709</v>
      </c>
      <c r="D68" s="22">
        <v>45709</v>
      </c>
      <c r="E68" s="21" t="s">
        <v>7</v>
      </c>
      <c r="F68" s="21" t="s">
        <v>5342</v>
      </c>
      <c r="G68" s="21"/>
      <c r="H68" s="21"/>
      <c r="I68" s="21" t="s">
        <v>80</v>
      </c>
      <c r="J68" s="21">
        <v>-281.77999999999997</v>
      </c>
      <c r="K68" s="21"/>
      <c r="L68" s="21">
        <v>1065.4100000000001</v>
      </c>
      <c r="M68" s="21">
        <v>-1065.4100000000001</v>
      </c>
      <c r="N68" s="21" t="s">
        <v>5343</v>
      </c>
      <c r="O68" s="21" t="s">
        <v>75</v>
      </c>
    </row>
    <row r="69" spans="1:15" ht="25.5" customHeight="1" x14ac:dyDescent="0.25">
      <c r="A69" s="21" t="s">
        <v>5344</v>
      </c>
      <c r="B69" s="21" t="s">
        <v>5344</v>
      </c>
      <c r="C69" s="22">
        <v>45709</v>
      </c>
      <c r="D69" s="21"/>
      <c r="E69" s="21" t="s">
        <v>7</v>
      </c>
      <c r="F69" s="21" t="s">
        <v>5342</v>
      </c>
      <c r="G69" s="21" t="s">
        <v>5345</v>
      </c>
      <c r="H69" s="21"/>
      <c r="I69" s="21" t="s">
        <v>80</v>
      </c>
      <c r="J69" s="21"/>
      <c r="K69" s="21">
        <v>6.48</v>
      </c>
      <c r="L69" s="21"/>
      <c r="M69" s="21">
        <v>6.48</v>
      </c>
      <c r="N69" s="21" t="s">
        <v>5343</v>
      </c>
      <c r="O69" s="21" t="s">
        <v>234</v>
      </c>
    </row>
    <row r="70" spans="1:15" ht="25.5" customHeight="1" x14ac:dyDescent="0.25">
      <c r="A70" s="21" t="s">
        <v>5346</v>
      </c>
      <c r="B70" s="21" t="s">
        <v>5347</v>
      </c>
      <c r="C70" s="22">
        <v>45702</v>
      </c>
      <c r="D70" s="22">
        <v>45702</v>
      </c>
      <c r="E70" s="21" t="s">
        <v>7</v>
      </c>
      <c r="F70" s="21" t="s">
        <v>5348</v>
      </c>
      <c r="G70" s="21" t="s">
        <v>5349</v>
      </c>
      <c r="H70" s="21" t="s">
        <v>5350</v>
      </c>
      <c r="I70" s="21" t="s">
        <v>80</v>
      </c>
      <c r="J70" s="21">
        <v>-6500</v>
      </c>
      <c r="K70" s="21"/>
      <c r="L70" s="21">
        <v>24173.5</v>
      </c>
      <c r="M70" s="21">
        <v>-24173.5</v>
      </c>
      <c r="N70" s="21" t="s">
        <v>5351</v>
      </c>
      <c r="O70" s="21" t="s">
        <v>234</v>
      </c>
    </row>
    <row r="71" spans="1:15" ht="25.5" customHeight="1" x14ac:dyDescent="0.25">
      <c r="A71" s="21" t="s">
        <v>5350</v>
      </c>
      <c r="B71" s="21" t="s">
        <v>5350</v>
      </c>
      <c r="C71" s="22">
        <v>45702</v>
      </c>
      <c r="D71" s="22">
        <v>45702</v>
      </c>
      <c r="E71" s="21" t="s">
        <v>7</v>
      </c>
      <c r="F71" s="21" t="s">
        <v>5348</v>
      </c>
      <c r="G71" s="21" t="s">
        <v>5350</v>
      </c>
      <c r="H71" s="21"/>
      <c r="I71" s="21" t="s">
        <v>80</v>
      </c>
      <c r="J71" s="21">
        <v>6500</v>
      </c>
      <c r="K71" s="21">
        <v>24173.5</v>
      </c>
      <c r="L71" s="21"/>
      <c r="M71" s="21">
        <v>24173.5</v>
      </c>
      <c r="N71" s="21" t="s">
        <v>5351</v>
      </c>
      <c r="O71" s="21" t="s">
        <v>75</v>
      </c>
    </row>
    <row r="72" spans="1:15" ht="25.5" customHeight="1" x14ac:dyDescent="0.25">
      <c r="A72" s="21" t="s">
        <v>5352</v>
      </c>
      <c r="B72" s="21" t="s">
        <v>5353</v>
      </c>
      <c r="C72" s="22">
        <v>45689</v>
      </c>
      <c r="D72" s="21"/>
      <c r="E72" s="21" t="s">
        <v>7</v>
      </c>
      <c r="F72" s="21"/>
      <c r="G72" s="21" t="s">
        <v>5168</v>
      </c>
      <c r="H72" s="21" t="s">
        <v>5168</v>
      </c>
      <c r="I72" s="21" t="s">
        <v>80</v>
      </c>
      <c r="J72" s="21"/>
      <c r="K72" s="21">
        <v>1230.24</v>
      </c>
      <c r="L72" s="21"/>
      <c r="M72" s="21">
        <v>1230.24</v>
      </c>
      <c r="N72" s="21" t="s">
        <v>5354</v>
      </c>
      <c r="O72" s="21" t="s">
        <v>2384</v>
      </c>
    </row>
    <row r="73" spans="1:15" ht="25.5" customHeight="1" x14ac:dyDescent="0.25">
      <c r="A73" s="21" t="s">
        <v>5355</v>
      </c>
      <c r="B73" s="21" t="s">
        <v>5356</v>
      </c>
      <c r="C73" s="22">
        <v>45688</v>
      </c>
      <c r="D73" s="21"/>
      <c r="E73" s="21" t="s">
        <v>7</v>
      </c>
      <c r="F73" s="21"/>
      <c r="G73" s="21" t="s">
        <v>5168</v>
      </c>
      <c r="H73" s="21" t="s">
        <v>5168</v>
      </c>
      <c r="I73" s="21" t="s">
        <v>80</v>
      </c>
      <c r="J73" s="21"/>
      <c r="K73" s="21"/>
      <c r="L73" s="21">
        <v>1230.24</v>
      </c>
      <c r="M73" s="21">
        <v>-1230.24</v>
      </c>
      <c r="N73" s="21" t="s">
        <v>5354</v>
      </c>
      <c r="O73" s="21" t="s">
        <v>2384</v>
      </c>
    </row>
    <row r="74" spans="1:15" ht="25.5" customHeight="1" x14ac:dyDescent="0.25">
      <c r="A74" s="21" t="s">
        <v>5357</v>
      </c>
      <c r="B74" s="21" t="s">
        <v>5357</v>
      </c>
      <c r="C74" s="22">
        <v>45688</v>
      </c>
      <c r="D74" s="22">
        <v>45688</v>
      </c>
      <c r="E74" s="21" t="s">
        <v>7</v>
      </c>
      <c r="F74" s="21" t="s">
        <v>5348</v>
      </c>
      <c r="G74" s="21"/>
      <c r="H74" s="21"/>
      <c r="I74" s="21" t="s">
        <v>80</v>
      </c>
      <c r="J74" s="21">
        <v>-6500</v>
      </c>
      <c r="K74" s="21"/>
      <c r="L74" s="21">
        <v>24329.5</v>
      </c>
      <c r="M74" s="21">
        <v>-24329.5</v>
      </c>
      <c r="N74" s="21" t="s">
        <v>5358</v>
      </c>
      <c r="O74" s="21" t="s">
        <v>75</v>
      </c>
    </row>
    <row r="75" spans="1:15" ht="25.5" customHeight="1" x14ac:dyDescent="0.25">
      <c r="A75" s="21" t="s">
        <v>5359</v>
      </c>
      <c r="B75" s="21" t="s">
        <v>5359</v>
      </c>
      <c r="C75" s="22">
        <v>45686</v>
      </c>
      <c r="D75" s="22">
        <v>45686</v>
      </c>
      <c r="E75" s="21" t="s">
        <v>7</v>
      </c>
      <c r="F75" s="21" t="s">
        <v>5348</v>
      </c>
      <c r="G75" s="21" t="s">
        <v>5359</v>
      </c>
      <c r="H75" s="21"/>
      <c r="I75" s="21" t="s">
        <v>80</v>
      </c>
      <c r="J75" s="21">
        <v>6500</v>
      </c>
      <c r="K75" s="21">
        <v>24329.5</v>
      </c>
      <c r="L75" s="21"/>
      <c r="M75" s="21">
        <v>24329.5</v>
      </c>
      <c r="N75" s="21" t="s">
        <v>5358</v>
      </c>
      <c r="O75" s="21" t="s">
        <v>75</v>
      </c>
    </row>
    <row r="76" spans="1:15" ht="25.5" customHeight="1" x14ac:dyDescent="0.25">
      <c r="A76" s="21" t="s">
        <v>5360</v>
      </c>
      <c r="B76" s="21" t="s">
        <v>5360</v>
      </c>
      <c r="C76" s="22">
        <v>45658</v>
      </c>
      <c r="D76" s="22">
        <v>45608</v>
      </c>
      <c r="E76" s="21" t="s">
        <v>7</v>
      </c>
      <c r="F76" s="21" t="s">
        <v>5342</v>
      </c>
      <c r="G76" s="21" t="s">
        <v>5360</v>
      </c>
      <c r="H76" s="21"/>
      <c r="I76" s="21" t="s">
        <v>80</v>
      </c>
      <c r="J76" s="21">
        <v>281.77999999999997</v>
      </c>
      <c r="K76" s="21">
        <v>1058.93</v>
      </c>
      <c r="L76" s="21"/>
      <c r="M76" s="21">
        <v>1058.93</v>
      </c>
      <c r="N76" s="21" t="s">
        <v>5343</v>
      </c>
      <c r="O76" s="21" t="s">
        <v>234</v>
      </c>
    </row>
    <row r="77" spans="1:15" ht="25.5" customHeight="1" x14ac:dyDescent="0.25">
      <c r="A77" s="21" t="s">
        <v>5361</v>
      </c>
      <c r="B77" s="21" t="s">
        <v>5361</v>
      </c>
      <c r="C77" s="22">
        <v>45658</v>
      </c>
      <c r="D77" s="22">
        <v>43799</v>
      </c>
      <c r="E77" s="21" t="s">
        <v>7</v>
      </c>
      <c r="F77" s="21" t="s">
        <v>2875</v>
      </c>
      <c r="G77" s="21" t="s">
        <v>5361</v>
      </c>
      <c r="H77" s="21"/>
      <c r="I77" s="21" t="s">
        <v>80</v>
      </c>
      <c r="J77" s="21">
        <v>789.42</v>
      </c>
      <c r="K77" s="21">
        <v>2966.64</v>
      </c>
      <c r="L77" s="21"/>
      <c r="M77" s="21">
        <v>2966.64</v>
      </c>
      <c r="N77" s="21"/>
      <c r="O77" s="21" t="s">
        <v>234</v>
      </c>
    </row>
    <row r="78" spans="1:15" ht="25.5" customHeight="1" x14ac:dyDescent="0.25">
      <c r="A78" s="21" t="s">
        <v>5362</v>
      </c>
      <c r="B78" s="21" t="s">
        <v>5362</v>
      </c>
      <c r="C78" s="22">
        <v>45658</v>
      </c>
      <c r="D78" s="22">
        <v>43799</v>
      </c>
      <c r="E78" s="21" t="s">
        <v>7</v>
      </c>
      <c r="F78" s="21" t="s">
        <v>2139</v>
      </c>
      <c r="G78" s="21" t="s">
        <v>5362</v>
      </c>
      <c r="H78" s="21"/>
      <c r="I78" s="21" t="s">
        <v>80</v>
      </c>
      <c r="J78" s="21">
        <v>1841.97</v>
      </c>
      <c r="K78" s="21">
        <v>6922.12</v>
      </c>
      <c r="L78" s="21"/>
      <c r="M78" s="21">
        <v>6922.12</v>
      </c>
      <c r="N78" s="21"/>
      <c r="O78" s="21" t="s">
        <v>234</v>
      </c>
    </row>
    <row r="79" spans="1:15" ht="25.5" customHeight="1" x14ac:dyDescent="0.25">
      <c r="A79" s="21" t="s">
        <v>5363</v>
      </c>
      <c r="B79" s="21" t="s">
        <v>5363</v>
      </c>
      <c r="C79" s="22">
        <v>45658</v>
      </c>
      <c r="D79" s="22">
        <v>43769</v>
      </c>
      <c r="E79" s="21" t="s">
        <v>7</v>
      </c>
      <c r="F79" s="21" t="s">
        <v>2139</v>
      </c>
      <c r="G79" s="21" t="s">
        <v>5363</v>
      </c>
      <c r="H79" s="21"/>
      <c r="I79" s="21" t="s">
        <v>80</v>
      </c>
      <c r="J79" s="21">
        <v>1873.72</v>
      </c>
      <c r="K79" s="21">
        <v>7041.44</v>
      </c>
      <c r="L79" s="21"/>
      <c r="M79" s="21">
        <v>7041.44</v>
      </c>
      <c r="N79" s="21"/>
      <c r="O79" s="21" t="s">
        <v>234</v>
      </c>
    </row>
    <row r="80" spans="1:15" ht="25.5" customHeight="1" x14ac:dyDescent="0.25">
      <c r="A80" s="21" t="s">
        <v>5364</v>
      </c>
      <c r="B80" s="21" t="s">
        <v>5364</v>
      </c>
      <c r="C80" s="22">
        <v>45658</v>
      </c>
      <c r="D80" s="22">
        <v>43769</v>
      </c>
      <c r="E80" s="21" t="s">
        <v>7</v>
      </c>
      <c r="F80" s="21" t="s">
        <v>2875</v>
      </c>
      <c r="G80" s="21" t="s">
        <v>5364</v>
      </c>
      <c r="H80" s="21"/>
      <c r="I80" s="21" t="s">
        <v>80</v>
      </c>
      <c r="J80" s="21">
        <v>803.03</v>
      </c>
      <c r="K80" s="21">
        <v>3017.79</v>
      </c>
      <c r="L80" s="21"/>
      <c r="M80" s="21">
        <v>3017.79</v>
      </c>
      <c r="N80" s="21"/>
      <c r="O80" s="21" t="s">
        <v>234</v>
      </c>
    </row>
    <row r="81" spans="1:15" ht="25.5" customHeight="1" x14ac:dyDescent="0.25">
      <c r="A81" s="21" t="s">
        <v>5365</v>
      </c>
      <c r="B81" s="21" t="s">
        <v>5365</v>
      </c>
      <c r="C81" s="22">
        <v>45658</v>
      </c>
      <c r="D81" s="22">
        <v>43738</v>
      </c>
      <c r="E81" s="21" t="s">
        <v>7</v>
      </c>
      <c r="F81" s="21" t="s">
        <v>2139</v>
      </c>
      <c r="G81" s="21" t="s">
        <v>5365</v>
      </c>
      <c r="H81" s="21"/>
      <c r="I81" s="21" t="s">
        <v>80</v>
      </c>
      <c r="J81" s="21">
        <v>1905.32</v>
      </c>
      <c r="K81" s="21">
        <v>7160.19</v>
      </c>
      <c r="L81" s="21"/>
      <c r="M81" s="21">
        <v>7160.19</v>
      </c>
      <c r="N81" s="21"/>
      <c r="O81" s="21" t="s">
        <v>234</v>
      </c>
    </row>
    <row r="82" spans="1:15" ht="25.5" customHeight="1" x14ac:dyDescent="0.25">
      <c r="A82" s="21" t="s">
        <v>5366</v>
      </c>
      <c r="B82" s="21" t="s">
        <v>5366</v>
      </c>
      <c r="C82" s="22">
        <v>45658</v>
      </c>
      <c r="D82" s="22">
        <v>43738</v>
      </c>
      <c r="E82" s="21" t="s">
        <v>7</v>
      </c>
      <c r="F82" s="21" t="s">
        <v>2875</v>
      </c>
      <c r="G82" s="21" t="s">
        <v>5366</v>
      </c>
      <c r="H82" s="21"/>
      <c r="I82" s="21" t="s">
        <v>80</v>
      </c>
      <c r="J82" s="21">
        <v>816.56</v>
      </c>
      <c r="K82" s="21">
        <v>3068.63</v>
      </c>
      <c r="L82" s="21"/>
      <c r="M82" s="21">
        <v>3068.63</v>
      </c>
      <c r="N82" s="21"/>
      <c r="O82" s="21" t="s">
        <v>234</v>
      </c>
    </row>
    <row r="83" spans="1:15" ht="25.5" customHeight="1" x14ac:dyDescent="0.25">
      <c r="A83" s="21" t="s">
        <v>5367</v>
      </c>
      <c r="B83" s="21" t="s">
        <v>5367</v>
      </c>
      <c r="C83" s="22">
        <v>45658</v>
      </c>
      <c r="D83" s="22">
        <v>43708</v>
      </c>
      <c r="E83" s="21" t="s">
        <v>7</v>
      </c>
      <c r="F83" s="21" t="s">
        <v>2139</v>
      </c>
      <c r="G83" s="21" t="s">
        <v>5367</v>
      </c>
      <c r="H83" s="21"/>
      <c r="I83" s="21" t="s">
        <v>80</v>
      </c>
      <c r="J83" s="21">
        <v>1936.76</v>
      </c>
      <c r="K83" s="21">
        <v>7278.34</v>
      </c>
      <c r="L83" s="21"/>
      <c r="M83" s="21">
        <v>7278.34</v>
      </c>
      <c r="N83" s="21"/>
      <c r="O83" s="21" t="s">
        <v>234</v>
      </c>
    </row>
    <row r="84" spans="1:15" ht="25.5" customHeight="1" x14ac:dyDescent="0.25">
      <c r="A84" s="21" t="s">
        <v>5368</v>
      </c>
      <c r="B84" s="21" t="s">
        <v>5368</v>
      </c>
      <c r="C84" s="22">
        <v>45658</v>
      </c>
      <c r="D84" s="22">
        <v>43708</v>
      </c>
      <c r="E84" s="21" t="s">
        <v>7</v>
      </c>
      <c r="F84" s="21" t="s">
        <v>2875</v>
      </c>
      <c r="G84" s="21" t="s">
        <v>5368</v>
      </c>
      <c r="H84" s="21"/>
      <c r="I84" s="21" t="s">
        <v>80</v>
      </c>
      <c r="J84" s="21">
        <v>830.04</v>
      </c>
      <c r="K84" s="21">
        <v>3119.29</v>
      </c>
      <c r="L84" s="21"/>
      <c r="M84" s="21">
        <v>3119.29</v>
      </c>
      <c r="N84" s="21"/>
      <c r="O84" s="21" t="s">
        <v>234</v>
      </c>
    </row>
    <row r="85" spans="1:15" ht="25.5" customHeight="1" x14ac:dyDescent="0.25">
      <c r="A85" s="21" t="s">
        <v>5369</v>
      </c>
      <c r="B85" s="21" t="s">
        <v>5369</v>
      </c>
      <c r="C85" s="22">
        <v>45658</v>
      </c>
      <c r="D85" s="22">
        <v>43677</v>
      </c>
      <c r="E85" s="21" t="s">
        <v>7</v>
      </c>
      <c r="F85" s="21" t="s">
        <v>2139</v>
      </c>
      <c r="G85" s="21" t="s">
        <v>5369</v>
      </c>
      <c r="H85" s="21"/>
      <c r="I85" s="21" t="s">
        <v>80</v>
      </c>
      <c r="J85" s="21">
        <v>1968.05</v>
      </c>
      <c r="K85" s="21">
        <v>7395.93</v>
      </c>
      <c r="L85" s="21"/>
      <c r="M85" s="21">
        <v>7395.93</v>
      </c>
      <c r="N85" s="21"/>
      <c r="O85" s="21" t="s">
        <v>234</v>
      </c>
    </row>
    <row r="86" spans="1:15" ht="25.5" customHeight="1" x14ac:dyDescent="0.25">
      <c r="A86" s="21" t="s">
        <v>5370</v>
      </c>
      <c r="B86" s="21" t="s">
        <v>5370</v>
      </c>
      <c r="C86" s="22">
        <v>45658</v>
      </c>
      <c r="D86" s="22">
        <v>43677</v>
      </c>
      <c r="E86" s="21" t="s">
        <v>7</v>
      </c>
      <c r="F86" s="21" t="s">
        <v>2875</v>
      </c>
      <c r="G86" s="21" t="s">
        <v>5370</v>
      </c>
      <c r="H86" s="21"/>
      <c r="I86" s="21" t="s">
        <v>80</v>
      </c>
      <c r="J86" s="21">
        <v>843.45</v>
      </c>
      <c r="K86" s="21">
        <v>3169.69</v>
      </c>
      <c r="L86" s="21"/>
      <c r="M86" s="21">
        <v>3169.69</v>
      </c>
      <c r="N86" s="21"/>
      <c r="O86" s="21" t="s">
        <v>234</v>
      </c>
    </row>
    <row r="87" spans="1:15" ht="25.5" customHeight="1" x14ac:dyDescent="0.25">
      <c r="A87" s="21" t="s">
        <v>5371</v>
      </c>
      <c r="B87" s="21" t="s">
        <v>5371</v>
      </c>
      <c r="C87" s="22">
        <v>45658</v>
      </c>
      <c r="D87" s="22">
        <v>43644</v>
      </c>
      <c r="E87" s="21" t="s">
        <v>7</v>
      </c>
      <c r="F87" s="21" t="s">
        <v>2875</v>
      </c>
      <c r="G87" s="21" t="s">
        <v>5371</v>
      </c>
      <c r="H87" s="21"/>
      <c r="I87" s="21" t="s">
        <v>80</v>
      </c>
      <c r="J87" s="21">
        <v>856.8</v>
      </c>
      <c r="K87" s="21">
        <v>3219.85</v>
      </c>
      <c r="L87" s="21"/>
      <c r="M87" s="21">
        <v>3219.85</v>
      </c>
      <c r="N87" s="21"/>
      <c r="O87" s="21" t="s">
        <v>234</v>
      </c>
    </row>
    <row r="88" spans="1:15" ht="25.5" customHeight="1" x14ac:dyDescent="0.25">
      <c r="A88" s="21" t="s">
        <v>5372</v>
      </c>
      <c r="B88" s="21" t="s">
        <v>5372</v>
      </c>
      <c r="C88" s="22">
        <v>45658</v>
      </c>
      <c r="D88" s="22">
        <v>43644</v>
      </c>
      <c r="E88" s="21" t="s">
        <v>7</v>
      </c>
      <c r="F88" s="21" t="s">
        <v>2139</v>
      </c>
      <c r="G88" s="21" t="s">
        <v>5372</v>
      </c>
      <c r="H88" s="21"/>
      <c r="I88" s="21" t="s">
        <v>80</v>
      </c>
      <c r="J88" s="21">
        <v>1999.19</v>
      </c>
      <c r="K88" s="21">
        <v>7512.96</v>
      </c>
      <c r="L88" s="21"/>
      <c r="M88" s="21">
        <v>7512.96</v>
      </c>
      <c r="N88" s="21"/>
      <c r="O88" s="21" t="s">
        <v>234</v>
      </c>
    </row>
    <row r="89" spans="1:15" ht="25.5" customHeight="1" x14ac:dyDescent="0.25">
      <c r="A89" s="21" t="s">
        <v>5373</v>
      </c>
      <c r="B89" s="21" t="s">
        <v>5373</v>
      </c>
      <c r="C89" s="22">
        <v>45658</v>
      </c>
      <c r="D89" s="22">
        <v>43616</v>
      </c>
      <c r="E89" s="21" t="s">
        <v>7</v>
      </c>
      <c r="F89" s="21" t="s">
        <v>2139</v>
      </c>
      <c r="G89" s="21" t="s">
        <v>5373</v>
      </c>
      <c r="H89" s="21"/>
      <c r="I89" s="21" t="s">
        <v>80</v>
      </c>
      <c r="J89" s="21">
        <v>2030.19</v>
      </c>
      <c r="K89" s="21">
        <v>7629.45</v>
      </c>
      <c r="L89" s="21"/>
      <c r="M89" s="21">
        <v>7629.45</v>
      </c>
      <c r="N89" s="21"/>
      <c r="O89" s="21" t="s">
        <v>234</v>
      </c>
    </row>
    <row r="90" spans="1:15" ht="25.5" customHeight="1" x14ac:dyDescent="0.25">
      <c r="A90" s="21" t="s">
        <v>5374</v>
      </c>
      <c r="B90" s="21" t="s">
        <v>5374</v>
      </c>
      <c r="C90" s="22">
        <v>45658</v>
      </c>
      <c r="D90" s="22">
        <v>43616</v>
      </c>
      <c r="E90" s="21" t="s">
        <v>7</v>
      </c>
      <c r="F90" s="21" t="s">
        <v>2875</v>
      </c>
      <c r="G90" s="21" t="s">
        <v>5374</v>
      </c>
      <c r="H90" s="21"/>
      <c r="I90" s="21" t="s">
        <v>80</v>
      </c>
      <c r="J90" s="21">
        <v>870.08</v>
      </c>
      <c r="K90" s="21">
        <v>3269.76</v>
      </c>
      <c r="L90" s="21"/>
      <c r="M90" s="21">
        <v>3269.76</v>
      </c>
      <c r="N90" s="21"/>
      <c r="O90" s="21" t="s">
        <v>234</v>
      </c>
    </row>
    <row r="91" spans="1:15" ht="25.5" customHeight="1" x14ac:dyDescent="0.25">
      <c r="A91" s="21" t="s">
        <v>5375</v>
      </c>
      <c r="B91" s="21" t="s">
        <v>5375</v>
      </c>
      <c r="C91" s="22">
        <v>45658</v>
      </c>
      <c r="D91" s="22">
        <v>43585</v>
      </c>
      <c r="E91" s="21" t="s">
        <v>7</v>
      </c>
      <c r="F91" s="21" t="s">
        <v>2875</v>
      </c>
      <c r="G91" s="21" t="s">
        <v>5375</v>
      </c>
      <c r="H91" s="21"/>
      <c r="I91" s="21" t="s">
        <v>80</v>
      </c>
      <c r="J91" s="21">
        <v>883.3</v>
      </c>
      <c r="K91" s="21">
        <v>3319.44</v>
      </c>
      <c r="L91" s="21"/>
      <c r="M91" s="21">
        <v>3319.44</v>
      </c>
      <c r="N91" s="21"/>
      <c r="O91" s="21" t="s">
        <v>234</v>
      </c>
    </row>
    <row r="92" spans="1:15" ht="25.5" customHeight="1" x14ac:dyDescent="0.25">
      <c r="A92" s="21" t="s">
        <v>5376</v>
      </c>
      <c r="B92" s="21" t="s">
        <v>5376</v>
      </c>
      <c r="C92" s="22">
        <v>45658</v>
      </c>
      <c r="D92" s="22">
        <v>43585</v>
      </c>
      <c r="E92" s="21" t="s">
        <v>7</v>
      </c>
      <c r="F92" s="21" t="s">
        <v>2139</v>
      </c>
      <c r="G92" s="21" t="s">
        <v>5376</v>
      </c>
      <c r="H92" s="21"/>
      <c r="I92" s="21" t="s">
        <v>80</v>
      </c>
      <c r="J92" s="21">
        <v>2061.02</v>
      </c>
      <c r="K92" s="21">
        <v>7745.31</v>
      </c>
      <c r="L92" s="21"/>
      <c r="M92" s="21">
        <v>7745.31</v>
      </c>
      <c r="N92" s="21"/>
      <c r="O92" s="21" t="s">
        <v>234</v>
      </c>
    </row>
    <row r="93" spans="1:15" ht="25.5" customHeight="1" x14ac:dyDescent="0.25">
      <c r="A93" s="21" t="s">
        <v>5377</v>
      </c>
      <c r="B93" s="21" t="s">
        <v>5377</v>
      </c>
      <c r="C93" s="22">
        <v>45658</v>
      </c>
      <c r="D93" s="22">
        <v>43553</v>
      </c>
      <c r="E93" s="21" t="s">
        <v>7</v>
      </c>
      <c r="F93" s="21" t="s">
        <v>2875</v>
      </c>
      <c r="G93" s="21" t="s">
        <v>5377</v>
      </c>
      <c r="H93" s="21"/>
      <c r="I93" s="21" t="s">
        <v>80</v>
      </c>
      <c r="J93" s="21">
        <v>896.45</v>
      </c>
      <c r="K93" s="21">
        <v>3368.86</v>
      </c>
      <c r="L93" s="21"/>
      <c r="M93" s="21">
        <v>3368.86</v>
      </c>
      <c r="N93" s="21"/>
      <c r="O93" s="21" t="s">
        <v>234</v>
      </c>
    </row>
    <row r="94" spans="1:15" ht="25.5" customHeight="1" x14ac:dyDescent="0.25">
      <c r="A94" s="21" t="s">
        <v>5378</v>
      </c>
      <c r="B94" s="21" t="s">
        <v>5378</v>
      </c>
      <c r="C94" s="22">
        <v>45658</v>
      </c>
      <c r="D94" s="22">
        <v>43553</v>
      </c>
      <c r="E94" s="21" t="s">
        <v>7</v>
      </c>
      <c r="F94" s="21" t="s">
        <v>2139</v>
      </c>
      <c r="G94" s="21" t="s">
        <v>5378</v>
      </c>
      <c r="H94" s="21"/>
      <c r="I94" s="21" t="s">
        <v>80</v>
      </c>
      <c r="J94" s="21">
        <v>2091.7199999999998</v>
      </c>
      <c r="K94" s="21">
        <v>7860.68</v>
      </c>
      <c r="L94" s="21"/>
      <c r="M94" s="21">
        <v>7860.68</v>
      </c>
      <c r="N94" s="21"/>
      <c r="O94" s="21" t="s">
        <v>234</v>
      </c>
    </row>
    <row r="95" spans="1:15" ht="25.5" customHeight="1" x14ac:dyDescent="0.25">
      <c r="A95" s="21" t="s">
        <v>5379</v>
      </c>
      <c r="B95" s="21" t="s">
        <v>5379</v>
      </c>
      <c r="C95" s="22">
        <v>45658</v>
      </c>
      <c r="D95" s="22">
        <v>43524</v>
      </c>
      <c r="E95" s="21" t="s">
        <v>7</v>
      </c>
      <c r="F95" s="21" t="s">
        <v>2139</v>
      </c>
      <c r="G95" s="21" t="s">
        <v>5379</v>
      </c>
      <c r="H95" s="21"/>
      <c r="I95" s="21" t="s">
        <v>80</v>
      </c>
      <c r="J95" s="21">
        <v>2122.27</v>
      </c>
      <c r="K95" s="21">
        <v>7975.49</v>
      </c>
      <c r="L95" s="21"/>
      <c r="M95" s="21">
        <v>7975.49</v>
      </c>
      <c r="N95" s="21"/>
      <c r="O95" s="21" t="s">
        <v>234</v>
      </c>
    </row>
    <row r="96" spans="1:15" ht="25.5" customHeight="1" x14ac:dyDescent="0.25">
      <c r="A96" s="21" t="s">
        <v>5380</v>
      </c>
      <c r="B96" s="21" t="s">
        <v>5380</v>
      </c>
      <c r="C96" s="22">
        <v>45658</v>
      </c>
      <c r="D96" s="22">
        <v>43524</v>
      </c>
      <c r="E96" s="21" t="s">
        <v>7</v>
      </c>
      <c r="F96" s="21" t="s">
        <v>2875</v>
      </c>
      <c r="G96" s="21" t="s">
        <v>5380</v>
      </c>
      <c r="H96" s="21"/>
      <c r="I96" s="21" t="s">
        <v>80</v>
      </c>
      <c r="J96" s="21">
        <v>909.54</v>
      </c>
      <c r="K96" s="21">
        <v>3418.05</v>
      </c>
      <c r="L96" s="21"/>
      <c r="M96" s="21">
        <v>3418.05</v>
      </c>
      <c r="N96" s="21"/>
      <c r="O96" s="21" t="s">
        <v>234</v>
      </c>
    </row>
    <row r="97" spans="9:13" ht="8.25" customHeight="1" x14ac:dyDescent="0.25"/>
    <row r="98" spans="9:13" s="26" customFormat="1" ht="19.5" customHeight="1" x14ac:dyDescent="0.25">
      <c r="I98" s="26" t="s">
        <v>80</v>
      </c>
      <c r="J98" s="23">
        <f>SUM(J3:J97)</f>
        <v>28328.880000000001</v>
      </c>
      <c r="M98" s="25">
        <f>SUM(M3:M97)</f>
        <v>98754.48000000001</v>
      </c>
    </row>
    <row r="99" spans="9:13" s="26" customFormat="1" ht="19.5" customHeight="1" x14ac:dyDescent="0.2">
      <c r="I99" s="26" t="s">
        <v>5381</v>
      </c>
      <c r="J99" s="27">
        <v>3.4860000000000002</v>
      </c>
      <c r="L99" s="24">
        <f>+J100-M98</f>
        <v>-4.3200000072829425E-3</v>
      </c>
    </row>
    <row r="100" spans="9:13" s="26" customFormat="1" ht="19.5" customHeight="1" x14ac:dyDescent="0.25">
      <c r="I100" s="26" t="s">
        <v>5382</v>
      </c>
      <c r="J100" s="25">
        <f>+J98*J99</f>
        <v>98754.475680000003</v>
      </c>
    </row>
  </sheetData>
  <autoFilter ref="A1:O96" xr:uid="{4435D8D4-EBCE-48F9-A799-40DA75571D2D}"/>
  <mergeCells count="1"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5765-DFB3-49BF-AA61-8CD9FA500E0D}">
  <dimension ref="A1:O84"/>
  <sheetViews>
    <sheetView showGridLines="0" workbookViewId="0">
      <selection activeCell="B6" sqref="B6"/>
    </sheetView>
  </sheetViews>
  <sheetFormatPr baseColWidth="10" defaultColWidth="17.5703125" defaultRowHeight="12" x14ac:dyDescent="0.2"/>
  <cols>
    <col min="1" max="12" width="17.5703125" style="1"/>
    <col min="13" max="13" width="17.5703125" style="2"/>
    <col min="14" max="16384" width="17.5703125" style="1"/>
  </cols>
  <sheetData>
    <row r="1" spans="1:15" s="18" customFormat="1" ht="25.5" customHeight="1" x14ac:dyDescent="0.25">
      <c r="A1" s="104" t="s">
        <v>33</v>
      </c>
      <c r="B1" s="104" t="s">
        <v>34</v>
      </c>
      <c r="C1" s="104" t="s">
        <v>35</v>
      </c>
      <c r="D1" s="104" t="s">
        <v>36</v>
      </c>
      <c r="E1" s="104" t="s">
        <v>37</v>
      </c>
      <c r="F1" s="104" t="s">
        <v>38</v>
      </c>
      <c r="G1" s="104" t="s">
        <v>39</v>
      </c>
      <c r="H1" s="104" t="s">
        <v>40</v>
      </c>
      <c r="I1" s="104" t="s">
        <v>41</v>
      </c>
      <c r="J1" s="104" t="s">
        <v>42</v>
      </c>
      <c r="K1" s="104" t="s">
        <v>3</v>
      </c>
      <c r="L1" s="104" t="s">
        <v>4</v>
      </c>
      <c r="M1" s="104" t="s">
        <v>43</v>
      </c>
      <c r="N1" s="104" t="s">
        <v>44</v>
      </c>
      <c r="O1" s="104" t="s">
        <v>45</v>
      </c>
    </row>
    <row r="2" spans="1:15" ht="27.75" customHeight="1" x14ac:dyDescent="0.2">
      <c r="A2" s="44" t="s">
        <v>5383</v>
      </c>
      <c r="B2" s="44"/>
      <c r="C2" s="44"/>
      <c r="D2" s="45"/>
      <c r="E2" s="45"/>
      <c r="F2" s="45"/>
      <c r="G2" s="45"/>
      <c r="H2" s="45"/>
      <c r="I2" s="45"/>
      <c r="J2" s="45"/>
      <c r="K2" s="45"/>
      <c r="L2" s="45"/>
      <c r="M2" s="46"/>
      <c r="N2" s="45"/>
      <c r="O2" s="45"/>
    </row>
    <row r="3" spans="1:15" ht="36" x14ac:dyDescent="0.2">
      <c r="A3" s="47" t="s">
        <v>5384</v>
      </c>
      <c r="B3" s="47" t="s">
        <v>5384</v>
      </c>
      <c r="C3" s="48">
        <v>46112</v>
      </c>
      <c r="D3" s="48">
        <v>46112</v>
      </c>
      <c r="E3" s="47" t="s">
        <v>8</v>
      </c>
      <c r="F3" s="47" t="s">
        <v>5385</v>
      </c>
      <c r="G3" s="47" t="s">
        <v>5384</v>
      </c>
      <c r="H3" s="47"/>
      <c r="I3" s="47" t="s">
        <v>80</v>
      </c>
      <c r="J3" s="47">
        <v>207.38</v>
      </c>
      <c r="K3" s="47">
        <v>724.79</v>
      </c>
      <c r="L3" s="47"/>
      <c r="M3" s="47">
        <v>724.79</v>
      </c>
      <c r="N3" s="47" t="s">
        <v>5386</v>
      </c>
      <c r="O3" s="47" t="s">
        <v>50</v>
      </c>
    </row>
    <row r="4" spans="1:15" ht="48" x14ac:dyDescent="0.2">
      <c r="A4" s="47" t="s">
        <v>5166</v>
      </c>
      <c r="B4" s="47" t="s">
        <v>5167</v>
      </c>
      <c r="C4" s="48">
        <v>46112</v>
      </c>
      <c r="D4" s="47"/>
      <c r="E4" s="47" t="s">
        <v>8</v>
      </c>
      <c r="F4" s="47"/>
      <c r="G4" s="47" t="s">
        <v>5168</v>
      </c>
      <c r="H4" s="47" t="s">
        <v>5168</v>
      </c>
      <c r="I4" s="47" t="s">
        <v>80</v>
      </c>
      <c r="J4" s="47"/>
      <c r="K4" s="47">
        <v>296591.53000000003</v>
      </c>
      <c r="L4" s="47"/>
      <c r="M4" s="47">
        <v>296591.53000000003</v>
      </c>
      <c r="N4" s="47" t="s">
        <v>5387</v>
      </c>
      <c r="O4" s="47" t="s">
        <v>82</v>
      </c>
    </row>
    <row r="5" spans="1:15" ht="27" customHeight="1" x14ac:dyDescent="0.2">
      <c r="A5" s="47" t="s">
        <v>5388</v>
      </c>
      <c r="B5" s="47" t="s">
        <v>5389</v>
      </c>
      <c r="C5" s="48">
        <v>46107</v>
      </c>
      <c r="D5" s="47"/>
      <c r="E5" s="47" t="s">
        <v>8</v>
      </c>
      <c r="F5" s="47" t="s">
        <v>5390</v>
      </c>
      <c r="G5" s="47" t="s">
        <v>5391</v>
      </c>
      <c r="H5" s="47" t="s">
        <v>5392</v>
      </c>
      <c r="I5" s="47" t="s">
        <v>80</v>
      </c>
      <c r="J5" s="47">
        <v>-38425.9</v>
      </c>
      <c r="K5" s="47"/>
      <c r="L5" s="47">
        <v>133261.01999999999</v>
      </c>
      <c r="M5" s="47">
        <v>-133261.01999999999</v>
      </c>
      <c r="N5" s="47"/>
      <c r="O5" s="47" t="s">
        <v>2706</v>
      </c>
    </row>
    <row r="6" spans="1:15" ht="36" x14ac:dyDescent="0.2">
      <c r="A6" s="47" t="s">
        <v>5393</v>
      </c>
      <c r="B6" s="47" t="s">
        <v>5393</v>
      </c>
      <c r="C6" s="48">
        <v>46107</v>
      </c>
      <c r="D6" s="47"/>
      <c r="E6" s="47" t="s">
        <v>8</v>
      </c>
      <c r="F6" s="47" t="s">
        <v>5390</v>
      </c>
      <c r="G6" s="47" t="s">
        <v>5345</v>
      </c>
      <c r="H6" s="47"/>
      <c r="I6" s="47" t="s">
        <v>80</v>
      </c>
      <c r="J6" s="47"/>
      <c r="K6" s="47">
        <v>3688.88</v>
      </c>
      <c r="L6" s="47"/>
      <c r="M6" s="47">
        <v>3688.88</v>
      </c>
      <c r="N6" s="47"/>
      <c r="O6" s="47" t="s">
        <v>2706</v>
      </c>
    </row>
    <row r="7" spans="1:15" ht="36" x14ac:dyDescent="0.2">
      <c r="A7" s="47" t="s">
        <v>5394</v>
      </c>
      <c r="B7" s="47" t="s">
        <v>5394</v>
      </c>
      <c r="C7" s="48">
        <v>46098</v>
      </c>
      <c r="D7" s="48">
        <v>46143</v>
      </c>
      <c r="E7" s="47" t="s">
        <v>8</v>
      </c>
      <c r="F7" s="47" t="s">
        <v>5395</v>
      </c>
      <c r="G7" s="47" t="s">
        <v>5394</v>
      </c>
      <c r="H7" s="47"/>
      <c r="I7" s="47" t="s">
        <v>80</v>
      </c>
      <c r="J7" s="47">
        <v>9200</v>
      </c>
      <c r="K7" s="47">
        <v>31638.799999999999</v>
      </c>
      <c r="L7" s="47"/>
      <c r="M7" s="47">
        <v>31638.799999999999</v>
      </c>
      <c r="N7" s="47"/>
      <c r="O7" s="47" t="s">
        <v>5396</v>
      </c>
    </row>
    <row r="8" spans="1:15" ht="36" x14ac:dyDescent="0.2">
      <c r="A8" s="47" t="s">
        <v>5397</v>
      </c>
      <c r="B8" s="47" t="s">
        <v>5397</v>
      </c>
      <c r="C8" s="48">
        <v>46098</v>
      </c>
      <c r="D8" s="48">
        <v>46098</v>
      </c>
      <c r="E8" s="47" t="s">
        <v>8</v>
      </c>
      <c r="F8" s="47" t="s">
        <v>5395</v>
      </c>
      <c r="G8" s="47" t="s">
        <v>5397</v>
      </c>
      <c r="H8" s="47"/>
      <c r="I8" s="47" t="s">
        <v>80</v>
      </c>
      <c r="J8" s="47">
        <v>750</v>
      </c>
      <c r="K8" s="47">
        <v>2579.25</v>
      </c>
      <c r="L8" s="47"/>
      <c r="M8" s="47">
        <v>2579.25</v>
      </c>
      <c r="N8" s="47"/>
      <c r="O8" s="47" t="s">
        <v>50</v>
      </c>
    </row>
    <row r="9" spans="1:15" ht="36" x14ac:dyDescent="0.2">
      <c r="A9" s="47" t="s">
        <v>5398</v>
      </c>
      <c r="B9" s="47" t="s">
        <v>5398</v>
      </c>
      <c r="C9" s="48">
        <v>46094</v>
      </c>
      <c r="D9" s="48">
        <v>46184</v>
      </c>
      <c r="E9" s="47" t="s">
        <v>8</v>
      </c>
      <c r="F9" s="47" t="s">
        <v>5399</v>
      </c>
      <c r="G9" s="47" t="s">
        <v>5398</v>
      </c>
      <c r="H9" s="47"/>
      <c r="I9" s="47" t="s">
        <v>80</v>
      </c>
      <c r="J9" s="47">
        <v>157038.35999999999</v>
      </c>
      <c r="K9" s="47">
        <v>541625.34</v>
      </c>
      <c r="L9" s="47"/>
      <c r="M9" s="47">
        <v>541625.34</v>
      </c>
      <c r="N9" s="47"/>
      <c r="O9" s="47" t="s">
        <v>5396</v>
      </c>
    </row>
    <row r="10" spans="1:15" ht="36" x14ac:dyDescent="0.2">
      <c r="A10" s="47" t="s">
        <v>5400</v>
      </c>
      <c r="B10" s="47" t="s">
        <v>5400</v>
      </c>
      <c r="C10" s="48">
        <v>46091</v>
      </c>
      <c r="D10" s="48">
        <v>46091</v>
      </c>
      <c r="E10" s="47" t="s">
        <v>8</v>
      </c>
      <c r="F10" s="47" t="s">
        <v>5401</v>
      </c>
      <c r="G10" s="47" t="s">
        <v>3226</v>
      </c>
      <c r="H10" s="47"/>
      <c r="I10" s="47" t="s">
        <v>80</v>
      </c>
      <c r="J10" s="47">
        <v>9799.7099999999991</v>
      </c>
      <c r="K10" s="47">
        <v>34230.39</v>
      </c>
      <c r="L10" s="47"/>
      <c r="M10" s="47">
        <v>34230.39</v>
      </c>
      <c r="N10" s="47" t="s">
        <v>5402</v>
      </c>
      <c r="O10" s="47" t="s">
        <v>50</v>
      </c>
    </row>
    <row r="11" spans="1:15" ht="36" x14ac:dyDescent="0.2">
      <c r="A11" s="47" t="s">
        <v>5403</v>
      </c>
      <c r="B11" s="47" t="s">
        <v>5403</v>
      </c>
      <c r="C11" s="48">
        <v>46087</v>
      </c>
      <c r="D11" s="48">
        <v>46132</v>
      </c>
      <c r="E11" s="47" t="s">
        <v>8</v>
      </c>
      <c r="F11" s="47" t="s">
        <v>5390</v>
      </c>
      <c r="G11" s="47" t="s">
        <v>5403</v>
      </c>
      <c r="H11" s="47"/>
      <c r="I11" s="47" t="s">
        <v>80</v>
      </c>
      <c r="J11" s="47">
        <v>6873.6</v>
      </c>
      <c r="K11" s="47">
        <v>23590.2</v>
      </c>
      <c r="L11" s="47"/>
      <c r="M11" s="47">
        <v>23590.2</v>
      </c>
      <c r="N11" s="47" t="s">
        <v>5404</v>
      </c>
      <c r="O11" s="47" t="s">
        <v>5396</v>
      </c>
    </row>
    <row r="12" spans="1:15" ht="36" x14ac:dyDescent="0.2">
      <c r="A12" s="47" t="s">
        <v>5405</v>
      </c>
      <c r="B12" s="47" t="s">
        <v>5405</v>
      </c>
      <c r="C12" s="48">
        <v>46087</v>
      </c>
      <c r="D12" s="48">
        <v>46087</v>
      </c>
      <c r="E12" s="47" t="s">
        <v>8</v>
      </c>
      <c r="F12" s="47" t="s">
        <v>5390</v>
      </c>
      <c r="G12" s="47" t="s">
        <v>5405</v>
      </c>
      <c r="H12" s="47"/>
      <c r="I12" s="47" t="s">
        <v>80</v>
      </c>
      <c r="J12" s="47">
        <v>750</v>
      </c>
      <c r="K12" s="47">
        <v>2574</v>
      </c>
      <c r="L12" s="47"/>
      <c r="M12" s="47">
        <v>2574</v>
      </c>
      <c r="N12" s="47" t="s">
        <v>5406</v>
      </c>
      <c r="O12" s="47" t="s">
        <v>50</v>
      </c>
    </row>
    <row r="13" spans="1:15" ht="36" x14ac:dyDescent="0.2">
      <c r="A13" s="47" t="s">
        <v>5407</v>
      </c>
      <c r="B13" s="47" t="s">
        <v>5407</v>
      </c>
      <c r="C13" s="48">
        <v>46073</v>
      </c>
      <c r="D13" s="48">
        <v>46073</v>
      </c>
      <c r="E13" s="47" t="s">
        <v>8</v>
      </c>
      <c r="F13" s="47" t="s">
        <v>5408</v>
      </c>
      <c r="G13" s="47" t="s">
        <v>5407</v>
      </c>
      <c r="H13" s="47"/>
      <c r="I13" s="47" t="s">
        <v>80</v>
      </c>
      <c r="J13" s="47">
        <v>2</v>
      </c>
      <c r="K13" s="47">
        <v>6.73</v>
      </c>
      <c r="L13" s="47"/>
      <c r="M13" s="47">
        <v>6.73</v>
      </c>
      <c r="N13" s="47"/>
      <c r="O13" s="47" t="s">
        <v>5396</v>
      </c>
    </row>
    <row r="14" spans="1:15" ht="36" x14ac:dyDescent="0.2">
      <c r="A14" s="47" t="s">
        <v>5409</v>
      </c>
      <c r="B14" s="47" t="s">
        <v>5409</v>
      </c>
      <c r="C14" s="48">
        <v>46070</v>
      </c>
      <c r="D14" s="48">
        <v>46070</v>
      </c>
      <c r="E14" s="47" t="s">
        <v>8</v>
      </c>
      <c r="F14" s="47" t="s">
        <v>5410</v>
      </c>
      <c r="G14" s="47" t="s">
        <v>5409</v>
      </c>
      <c r="H14" s="47"/>
      <c r="I14" s="47" t="s">
        <v>80</v>
      </c>
      <c r="J14" s="47">
        <v>4</v>
      </c>
      <c r="K14" s="47">
        <v>13.43</v>
      </c>
      <c r="L14" s="47"/>
      <c r="M14" s="47">
        <v>13.43</v>
      </c>
      <c r="N14" s="47"/>
      <c r="O14" s="47" t="s">
        <v>5396</v>
      </c>
    </row>
    <row r="15" spans="1:15" ht="36" x14ac:dyDescent="0.2">
      <c r="A15" s="47" t="s">
        <v>5411</v>
      </c>
      <c r="B15" s="47" t="s">
        <v>5411</v>
      </c>
      <c r="C15" s="48">
        <v>46056</v>
      </c>
      <c r="D15" s="47"/>
      <c r="E15" s="47" t="s">
        <v>8</v>
      </c>
      <c r="F15" s="47" t="s">
        <v>5412</v>
      </c>
      <c r="G15" s="47" t="s">
        <v>5345</v>
      </c>
      <c r="H15" s="47"/>
      <c r="I15" s="47" t="s">
        <v>80</v>
      </c>
      <c r="J15" s="47"/>
      <c r="K15" s="47"/>
      <c r="L15" s="47">
        <v>11.03</v>
      </c>
      <c r="M15" s="47">
        <v>-11.03</v>
      </c>
      <c r="N15" s="47"/>
      <c r="O15" s="47" t="s">
        <v>2706</v>
      </c>
    </row>
    <row r="16" spans="1:15" ht="36" x14ac:dyDescent="0.2">
      <c r="A16" s="47" t="s">
        <v>5413</v>
      </c>
      <c r="B16" s="47" t="s">
        <v>5413</v>
      </c>
      <c r="C16" s="48">
        <v>46056</v>
      </c>
      <c r="D16" s="47"/>
      <c r="E16" s="47" t="s">
        <v>8</v>
      </c>
      <c r="F16" s="47" t="s">
        <v>5412</v>
      </c>
      <c r="G16" s="47" t="s">
        <v>5414</v>
      </c>
      <c r="H16" s="47"/>
      <c r="I16" s="47" t="s">
        <v>80</v>
      </c>
      <c r="J16" s="47">
        <v>-3675.71</v>
      </c>
      <c r="K16" s="47"/>
      <c r="L16" s="47">
        <v>12383.47</v>
      </c>
      <c r="M16" s="47">
        <v>-12383.47</v>
      </c>
      <c r="N16" s="47"/>
      <c r="O16" s="47" t="s">
        <v>2706</v>
      </c>
    </row>
    <row r="17" spans="1:15" ht="36" x14ac:dyDescent="0.2">
      <c r="A17" s="47" t="s">
        <v>5415</v>
      </c>
      <c r="B17" s="47" t="s">
        <v>5415</v>
      </c>
      <c r="C17" s="48">
        <v>46051</v>
      </c>
      <c r="D17" s="48">
        <v>46156</v>
      </c>
      <c r="E17" s="47" t="s">
        <v>8</v>
      </c>
      <c r="F17" s="47" t="s">
        <v>5416</v>
      </c>
      <c r="G17" s="47" t="s">
        <v>5415</v>
      </c>
      <c r="H17" s="47"/>
      <c r="I17" s="47" t="s">
        <v>80</v>
      </c>
      <c r="J17" s="47">
        <v>45315.6</v>
      </c>
      <c r="K17" s="47">
        <v>151580.68</v>
      </c>
      <c r="L17" s="47"/>
      <c r="M17" s="47">
        <v>151580.68</v>
      </c>
      <c r="N17" s="47" t="s">
        <v>5417</v>
      </c>
      <c r="O17" s="47" t="s">
        <v>5396</v>
      </c>
    </row>
    <row r="18" spans="1:15" ht="36" x14ac:dyDescent="0.2">
      <c r="A18" s="47" t="s">
        <v>5415</v>
      </c>
      <c r="B18" s="47" t="s">
        <v>5415</v>
      </c>
      <c r="C18" s="48">
        <v>46051</v>
      </c>
      <c r="D18" s="48">
        <v>46171</v>
      </c>
      <c r="E18" s="47" t="s">
        <v>8</v>
      </c>
      <c r="F18" s="47" t="s">
        <v>5416</v>
      </c>
      <c r="G18" s="47" t="s">
        <v>5415</v>
      </c>
      <c r="H18" s="47"/>
      <c r="I18" s="47" t="s">
        <v>80</v>
      </c>
      <c r="J18" s="47">
        <v>45315.6</v>
      </c>
      <c r="K18" s="47">
        <v>151580.68</v>
      </c>
      <c r="L18" s="47"/>
      <c r="M18" s="47">
        <v>151580.68</v>
      </c>
      <c r="N18" s="47"/>
      <c r="O18" s="47" t="s">
        <v>5396</v>
      </c>
    </row>
    <row r="19" spans="1:15" ht="36" x14ac:dyDescent="0.2">
      <c r="A19" s="47" t="s">
        <v>5418</v>
      </c>
      <c r="B19" s="47" t="s">
        <v>5418</v>
      </c>
      <c r="C19" s="48">
        <v>46042</v>
      </c>
      <c r="D19" s="48">
        <v>46042</v>
      </c>
      <c r="E19" s="47" t="s">
        <v>8</v>
      </c>
      <c r="F19" s="47" t="s">
        <v>5385</v>
      </c>
      <c r="G19" s="47" t="s">
        <v>5418</v>
      </c>
      <c r="H19" s="47"/>
      <c r="I19" s="47" t="s">
        <v>80</v>
      </c>
      <c r="J19" s="47">
        <v>19656</v>
      </c>
      <c r="K19" s="47">
        <v>66162.100000000006</v>
      </c>
      <c r="L19" s="47"/>
      <c r="M19" s="47">
        <v>66162.100000000006</v>
      </c>
      <c r="N19" s="47"/>
      <c r="O19" s="47" t="s">
        <v>5396</v>
      </c>
    </row>
    <row r="20" spans="1:15" ht="36" x14ac:dyDescent="0.2">
      <c r="A20" s="47" t="s">
        <v>5419</v>
      </c>
      <c r="B20" s="47" t="s">
        <v>5419</v>
      </c>
      <c r="C20" s="48">
        <v>46042</v>
      </c>
      <c r="D20" s="48">
        <v>46087</v>
      </c>
      <c r="E20" s="47" t="s">
        <v>8</v>
      </c>
      <c r="F20" s="47" t="s">
        <v>5399</v>
      </c>
      <c r="G20" s="47" t="s">
        <v>5419</v>
      </c>
      <c r="H20" s="47"/>
      <c r="I20" s="47" t="s">
        <v>80</v>
      </c>
      <c r="J20" s="47">
        <v>33566.800000000003</v>
      </c>
      <c r="K20" s="47">
        <v>112985.87</v>
      </c>
      <c r="L20" s="47"/>
      <c r="M20" s="47">
        <v>112985.87</v>
      </c>
      <c r="N20" s="47" t="s">
        <v>5420</v>
      </c>
      <c r="O20" s="47" t="s">
        <v>5396</v>
      </c>
    </row>
    <row r="21" spans="1:15" ht="36" x14ac:dyDescent="0.2">
      <c r="A21" s="47" t="s">
        <v>5421</v>
      </c>
      <c r="B21" s="47" t="s">
        <v>5421</v>
      </c>
      <c r="C21" s="48">
        <v>46024</v>
      </c>
      <c r="D21" s="48">
        <v>46024</v>
      </c>
      <c r="E21" s="47" t="s">
        <v>8</v>
      </c>
      <c r="F21" s="47" t="s">
        <v>5399</v>
      </c>
      <c r="G21" s="47"/>
      <c r="H21" s="47"/>
      <c r="I21" s="47" t="s">
        <v>80</v>
      </c>
      <c r="J21" s="47">
        <v>-296.39999999999998</v>
      </c>
      <c r="K21" s="47"/>
      <c r="L21" s="47">
        <v>998.28</v>
      </c>
      <c r="M21" s="47">
        <v>-998.28</v>
      </c>
      <c r="N21" s="47"/>
      <c r="O21" s="47" t="s">
        <v>50</v>
      </c>
    </row>
    <row r="22" spans="1:15" ht="36" x14ac:dyDescent="0.2">
      <c r="A22" s="47" t="s">
        <v>5422</v>
      </c>
      <c r="B22" s="47" t="s">
        <v>5422</v>
      </c>
      <c r="C22" s="48">
        <v>46024</v>
      </c>
      <c r="D22" s="47"/>
      <c r="E22" s="47" t="s">
        <v>8</v>
      </c>
      <c r="F22" s="47" t="s">
        <v>5399</v>
      </c>
      <c r="G22" s="47" t="s">
        <v>5345</v>
      </c>
      <c r="H22" s="47"/>
      <c r="I22" s="47" t="s">
        <v>80</v>
      </c>
      <c r="J22" s="47"/>
      <c r="K22" s="47"/>
      <c r="L22" s="47">
        <v>1.18</v>
      </c>
      <c r="M22" s="47">
        <v>-1.18</v>
      </c>
      <c r="N22" s="47"/>
      <c r="O22" s="47" t="s">
        <v>2706</v>
      </c>
    </row>
    <row r="23" spans="1:15" ht="36" x14ac:dyDescent="0.2">
      <c r="A23" s="47" t="s">
        <v>5423</v>
      </c>
      <c r="B23" s="47" t="s">
        <v>5423</v>
      </c>
      <c r="C23" s="48">
        <v>46022</v>
      </c>
      <c r="D23" s="48">
        <v>46142</v>
      </c>
      <c r="E23" s="47" t="s">
        <v>8</v>
      </c>
      <c r="F23" s="47" t="s">
        <v>5412</v>
      </c>
      <c r="G23" s="47" t="s">
        <v>5423</v>
      </c>
      <c r="H23" s="47"/>
      <c r="I23" s="47" t="s">
        <v>80</v>
      </c>
      <c r="J23" s="47">
        <v>355.2</v>
      </c>
      <c r="K23" s="47">
        <v>1196.67</v>
      </c>
      <c r="L23" s="47"/>
      <c r="M23" s="47">
        <v>1196.67</v>
      </c>
      <c r="N23" s="47"/>
      <c r="O23" s="47" t="s">
        <v>5396</v>
      </c>
    </row>
    <row r="24" spans="1:15" ht="36" x14ac:dyDescent="0.2">
      <c r="A24" s="47" t="s">
        <v>5423</v>
      </c>
      <c r="B24" s="47" t="s">
        <v>5423</v>
      </c>
      <c r="C24" s="48">
        <v>46022</v>
      </c>
      <c r="D24" s="48">
        <v>46127</v>
      </c>
      <c r="E24" s="47" t="s">
        <v>8</v>
      </c>
      <c r="F24" s="47" t="s">
        <v>5412</v>
      </c>
      <c r="G24" s="47" t="s">
        <v>5423</v>
      </c>
      <c r="H24" s="47"/>
      <c r="I24" s="47" t="s">
        <v>80</v>
      </c>
      <c r="J24" s="47">
        <v>355.2</v>
      </c>
      <c r="K24" s="47">
        <v>1196.67</v>
      </c>
      <c r="L24" s="47"/>
      <c r="M24" s="47">
        <v>1196.67</v>
      </c>
      <c r="N24" s="47"/>
      <c r="O24" s="47" t="s">
        <v>5396</v>
      </c>
    </row>
    <row r="25" spans="1:15" ht="36" x14ac:dyDescent="0.2">
      <c r="A25" s="47" t="s">
        <v>5424</v>
      </c>
      <c r="B25" s="47" t="s">
        <v>5424</v>
      </c>
      <c r="C25" s="48">
        <v>46021</v>
      </c>
      <c r="D25" s="48">
        <v>46141</v>
      </c>
      <c r="E25" s="47" t="s">
        <v>8</v>
      </c>
      <c r="F25" s="47" t="s">
        <v>5399</v>
      </c>
      <c r="G25" s="47" t="s">
        <v>5424</v>
      </c>
      <c r="H25" s="47"/>
      <c r="I25" s="47" t="s">
        <v>80</v>
      </c>
      <c r="J25" s="47">
        <v>158803.96</v>
      </c>
      <c r="K25" s="47">
        <v>535486.97</v>
      </c>
      <c r="L25" s="47"/>
      <c r="M25" s="47">
        <v>535486.97</v>
      </c>
      <c r="N25" s="47"/>
      <c r="O25" s="47" t="s">
        <v>5396</v>
      </c>
    </row>
    <row r="26" spans="1:15" ht="36" x14ac:dyDescent="0.2">
      <c r="A26" s="47" t="s">
        <v>5424</v>
      </c>
      <c r="B26" s="47" t="s">
        <v>5424</v>
      </c>
      <c r="C26" s="48">
        <v>46021</v>
      </c>
      <c r="D26" s="48">
        <v>46126</v>
      </c>
      <c r="E26" s="47" t="s">
        <v>8</v>
      </c>
      <c r="F26" s="47" t="s">
        <v>5399</v>
      </c>
      <c r="G26" s="47" t="s">
        <v>5424</v>
      </c>
      <c r="H26" s="47"/>
      <c r="I26" s="47" t="s">
        <v>80</v>
      </c>
      <c r="J26" s="47">
        <v>158803.97</v>
      </c>
      <c r="K26" s="47">
        <v>535486.97</v>
      </c>
      <c r="L26" s="47"/>
      <c r="M26" s="47">
        <v>535486.97</v>
      </c>
      <c r="N26" s="47"/>
      <c r="O26" s="47" t="s">
        <v>5396</v>
      </c>
    </row>
    <row r="27" spans="1:15" ht="36" x14ac:dyDescent="0.2">
      <c r="A27" s="47" t="s">
        <v>5425</v>
      </c>
      <c r="B27" s="47" t="s">
        <v>5425</v>
      </c>
      <c r="C27" s="48">
        <v>46021</v>
      </c>
      <c r="D27" s="48">
        <v>46096</v>
      </c>
      <c r="E27" s="47" t="s">
        <v>8</v>
      </c>
      <c r="F27" s="47" t="s">
        <v>5395</v>
      </c>
      <c r="G27" s="47" t="s">
        <v>5425</v>
      </c>
      <c r="H27" s="47"/>
      <c r="I27" s="47" t="s">
        <v>80</v>
      </c>
      <c r="J27" s="47">
        <v>88652</v>
      </c>
      <c r="K27" s="47">
        <v>298934.53999999998</v>
      </c>
      <c r="L27" s="47"/>
      <c r="M27" s="47">
        <v>298934.53999999998</v>
      </c>
      <c r="N27" s="47" t="s">
        <v>5426</v>
      </c>
      <c r="O27" s="47" t="s">
        <v>5396</v>
      </c>
    </row>
    <row r="28" spans="1:15" ht="36" x14ac:dyDescent="0.2">
      <c r="A28" s="47" t="s">
        <v>5427</v>
      </c>
      <c r="B28" s="47" t="s">
        <v>5427</v>
      </c>
      <c r="C28" s="48">
        <v>46021</v>
      </c>
      <c r="D28" s="48">
        <v>46141</v>
      </c>
      <c r="E28" s="47" t="s">
        <v>8</v>
      </c>
      <c r="F28" s="47" t="s">
        <v>5416</v>
      </c>
      <c r="G28" s="47" t="s">
        <v>5427</v>
      </c>
      <c r="H28" s="47"/>
      <c r="I28" s="47" t="s">
        <v>80</v>
      </c>
      <c r="J28" s="47">
        <v>158333.01999999999</v>
      </c>
      <c r="K28" s="47">
        <v>533898.93000000005</v>
      </c>
      <c r="L28" s="47"/>
      <c r="M28" s="47">
        <v>533898.93000000005</v>
      </c>
      <c r="N28" s="47"/>
      <c r="O28" s="47" t="s">
        <v>5396</v>
      </c>
    </row>
    <row r="29" spans="1:15" ht="36" x14ac:dyDescent="0.2">
      <c r="A29" s="47" t="s">
        <v>5427</v>
      </c>
      <c r="B29" s="47" t="s">
        <v>5427</v>
      </c>
      <c r="C29" s="48">
        <v>46021</v>
      </c>
      <c r="D29" s="48">
        <v>46126</v>
      </c>
      <c r="E29" s="47" t="s">
        <v>8</v>
      </c>
      <c r="F29" s="47" t="s">
        <v>5416</v>
      </c>
      <c r="G29" s="47" t="s">
        <v>5427</v>
      </c>
      <c r="H29" s="47"/>
      <c r="I29" s="47" t="s">
        <v>80</v>
      </c>
      <c r="J29" s="47">
        <v>158333.01999999999</v>
      </c>
      <c r="K29" s="47">
        <v>533898.93999999994</v>
      </c>
      <c r="L29" s="47"/>
      <c r="M29" s="47">
        <v>533898.93999999994</v>
      </c>
      <c r="N29" s="47" t="s">
        <v>5428</v>
      </c>
      <c r="O29" s="47" t="s">
        <v>5396</v>
      </c>
    </row>
    <row r="30" spans="1:15" ht="36" x14ac:dyDescent="0.2">
      <c r="A30" s="47" t="s">
        <v>5391</v>
      </c>
      <c r="B30" s="47" t="s">
        <v>5391</v>
      </c>
      <c r="C30" s="48">
        <v>46021</v>
      </c>
      <c r="D30" s="48">
        <v>46141</v>
      </c>
      <c r="E30" s="47" t="s">
        <v>8</v>
      </c>
      <c r="F30" s="47" t="s">
        <v>5390</v>
      </c>
      <c r="G30" s="47" t="s">
        <v>5391</v>
      </c>
      <c r="H30" s="47"/>
      <c r="I30" s="47" t="s">
        <v>80</v>
      </c>
      <c r="J30" s="47">
        <v>183418.15</v>
      </c>
      <c r="K30" s="47">
        <v>618486.02</v>
      </c>
      <c r="L30" s="47"/>
      <c r="M30" s="47">
        <v>618486.02</v>
      </c>
      <c r="N30" s="47"/>
      <c r="O30" s="47" t="s">
        <v>5396</v>
      </c>
    </row>
    <row r="31" spans="1:15" ht="36" x14ac:dyDescent="0.2">
      <c r="A31" s="47" t="s">
        <v>5391</v>
      </c>
      <c r="B31" s="47" t="s">
        <v>5391</v>
      </c>
      <c r="C31" s="48">
        <v>46021</v>
      </c>
      <c r="D31" s="48">
        <v>46126</v>
      </c>
      <c r="E31" s="47" t="s">
        <v>8</v>
      </c>
      <c r="F31" s="47" t="s">
        <v>5390</v>
      </c>
      <c r="G31" s="47" t="s">
        <v>5391</v>
      </c>
      <c r="H31" s="47"/>
      <c r="I31" s="47" t="s">
        <v>80</v>
      </c>
      <c r="J31" s="47">
        <v>183418.15</v>
      </c>
      <c r="K31" s="47">
        <v>618486.02</v>
      </c>
      <c r="L31" s="47"/>
      <c r="M31" s="47">
        <v>618486.02</v>
      </c>
      <c r="N31" s="47"/>
      <c r="O31" s="47" t="s">
        <v>5396</v>
      </c>
    </row>
    <row r="32" spans="1:15" ht="36" x14ac:dyDescent="0.2">
      <c r="A32" s="47" t="s">
        <v>5414</v>
      </c>
      <c r="B32" s="47" t="s">
        <v>5414</v>
      </c>
      <c r="C32" s="48">
        <v>46021</v>
      </c>
      <c r="D32" s="48">
        <v>46126</v>
      </c>
      <c r="E32" s="47" t="s">
        <v>8</v>
      </c>
      <c r="F32" s="47" t="s">
        <v>5412</v>
      </c>
      <c r="G32" s="47" t="s">
        <v>5414</v>
      </c>
      <c r="H32" s="47"/>
      <c r="I32" s="47" t="s">
        <v>80</v>
      </c>
      <c r="J32" s="47">
        <v>270165.02</v>
      </c>
      <c r="K32" s="47">
        <v>910996.43</v>
      </c>
      <c r="L32" s="47"/>
      <c r="M32" s="47">
        <v>910996.43</v>
      </c>
      <c r="N32" s="47"/>
      <c r="O32" s="47" t="s">
        <v>5396</v>
      </c>
    </row>
    <row r="33" spans="1:15" ht="36" x14ac:dyDescent="0.2">
      <c r="A33" s="47" t="s">
        <v>5429</v>
      </c>
      <c r="B33" s="47" t="s">
        <v>5429</v>
      </c>
      <c r="C33" s="48">
        <v>46021</v>
      </c>
      <c r="D33" s="48">
        <v>46066</v>
      </c>
      <c r="E33" s="47" t="s">
        <v>8</v>
      </c>
      <c r="F33" s="47" t="s">
        <v>5430</v>
      </c>
      <c r="G33" s="47" t="s">
        <v>5429</v>
      </c>
      <c r="H33" s="47"/>
      <c r="I33" s="47" t="s">
        <v>80</v>
      </c>
      <c r="J33" s="47">
        <v>72429.600000000006</v>
      </c>
      <c r="K33" s="47">
        <v>244232.61</v>
      </c>
      <c r="L33" s="47"/>
      <c r="M33" s="47">
        <v>244232.61</v>
      </c>
      <c r="N33" s="47" t="s">
        <v>5431</v>
      </c>
      <c r="O33" s="47" t="s">
        <v>5396</v>
      </c>
    </row>
    <row r="34" spans="1:15" ht="36" x14ac:dyDescent="0.2">
      <c r="A34" s="47" t="s">
        <v>5432</v>
      </c>
      <c r="B34" s="47" t="s">
        <v>5432</v>
      </c>
      <c r="C34" s="48">
        <v>46021</v>
      </c>
      <c r="D34" s="48">
        <v>46066</v>
      </c>
      <c r="E34" s="47" t="s">
        <v>8</v>
      </c>
      <c r="F34" s="47" t="s">
        <v>5430</v>
      </c>
      <c r="G34" s="47" t="s">
        <v>5432</v>
      </c>
      <c r="H34" s="47"/>
      <c r="I34" s="47" t="s">
        <v>80</v>
      </c>
      <c r="J34" s="47">
        <v>63580.68</v>
      </c>
      <c r="K34" s="47">
        <v>214394.05</v>
      </c>
      <c r="L34" s="47"/>
      <c r="M34" s="47">
        <v>214394.05</v>
      </c>
      <c r="N34" s="47" t="s">
        <v>5433</v>
      </c>
      <c r="O34" s="47" t="s">
        <v>5396</v>
      </c>
    </row>
    <row r="35" spans="1:15" ht="36" x14ac:dyDescent="0.2">
      <c r="A35" s="47" t="s">
        <v>5434</v>
      </c>
      <c r="B35" s="47" t="s">
        <v>5434</v>
      </c>
      <c r="C35" s="48">
        <v>46021</v>
      </c>
      <c r="D35" s="48">
        <v>46066</v>
      </c>
      <c r="E35" s="47" t="s">
        <v>8</v>
      </c>
      <c r="F35" s="47" t="s">
        <v>5430</v>
      </c>
      <c r="G35" s="47" t="s">
        <v>5434</v>
      </c>
      <c r="H35" s="47"/>
      <c r="I35" s="47" t="s">
        <v>80</v>
      </c>
      <c r="J35" s="47">
        <v>40000</v>
      </c>
      <c r="K35" s="47">
        <v>134880</v>
      </c>
      <c r="L35" s="47"/>
      <c r="M35" s="47">
        <v>134880</v>
      </c>
      <c r="N35" s="47" t="s">
        <v>5435</v>
      </c>
      <c r="O35" s="47" t="s">
        <v>5396</v>
      </c>
    </row>
    <row r="36" spans="1:15" ht="36" x14ac:dyDescent="0.2">
      <c r="A36" s="47" t="s">
        <v>5436</v>
      </c>
      <c r="B36" s="47" t="s">
        <v>5436</v>
      </c>
      <c r="C36" s="48">
        <v>46021</v>
      </c>
      <c r="D36" s="48">
        <v>46021</v>
      </c>
      <c r="E36" s="47" t="s">
        <v>8</v>
      </c>
      <c r="F36" s="47" t="s">
        <v>5385</v>
      </c>
      <c r="G36" s="47" t="s">
        <v>5436</v>
      </c>
      <c r="H36" s="47"/>
      <c r="I36" s="47" t="s">
        <v>80</v>
      </c>
      <c r="J36" s="47">
        <v>537900.9</v>
      </c>
      <c r="K36" s="47">
        <v>1813801.82</v>
      </c>
      <c r="L36" s="47"/>
      <c r="M36" s="47">
        <v>1813801.82</v>
      </c>
      <c r="N36" s="47"/>
      <c r="O36" s="47" t="s">
        <v>5396</v>
      </c>
    </row>
    <row r="37" spans="1:15" ht="36" x14ac:dyDescent="0.2">
      <c r="A37" s="47" t="s">
        <v>5437</v>
      </c>
      <c r="B37" s="47" t="s">
        <v>5437</v>
      </c>
      <c r="C37" s="48">
        <v>46021</v>
      </c>
      <c r="D37" s="48">
        <v>46021</v>
      </c>
      <c r="E37" s="47" t="s">
        <v>8</v>
      </c>
      <c r="F37" s="47" t="s">
        <v>5438</v>
      </c>
      <c r="G37" s="47" t="s">
        <v>5437</v>
      </c>
      <c r="H37" s="47"/>
      <c r="I37" s="47" t="s">
        <v>80</v>
      </c>
      <c r="J37" s="47">
        <v>500</v>
      </c>
      <c r="K37" s="47">
        <v>1686</v>
      </c>
      <c r="L37" s="47"/>
      <c r="M37" s="47">
        <v>1686</v>
      </c>
      <c r="N37" s="47" t="s">
        <v>5439</v>
      </c>
      <c r="O37" s="47" t="s">
        <v>50</v>
      </c>
    </row>
    <row r="38" spans="1:15" ht="48" x14ac:dyDescent="0.2">
      <c r="A38" s="47" t="s">
        <v>5440</v>
      </c>
      <c r="B38" s="47" t="s">
        <v>5441</v>
      </c>
      <c r="C38" s="48">
        <v>46014</v>
      </c>
      <c r="D38" s="48">
        <v>46014</v>
      </c>
      <c r="E38" s="47" t="s">
        <v>8</v>
      </c>
      <c r="F38" s="47" t="s">
        <v>5442</v>
      </c>
      <c r="G38" s="47" t="s">
        <v>5443</v>
      </c>
      <c r="H38" s="47" t="s">
        <v>5444</v>
      </c>
      <c r="I38" s="47" t="s">
        <v>80</v>
      </c>
      <c r="J38" s="47">
        <v>-600</v>
      </c>
      <c r="K38" s="47"/>
      <c r="L38" s="47">
        <v>2023.2</v>
      </c>
      <c r="M38" s="49">
        <v>-2023.2</v>
      </c>
      <c r="N38" s="47" t="s">
        <v>5445</v>
      </c>
      <c r="O38" s="47" t="s">
        <v>2706</v>
      </c>
    </row>
    <row r="39" spans="1:15" ht="36" x14ac:dyDescent="0.2">
      <c r="A39" s="47" t="s">
        <v>5444</v>
      </c>
      <c r="B39" s="47" t="s">
        <v>5444</v>
      </c>
      <c r="C39" s="48">
        <v>46014</v>
      </c>
      <c r="D39" s="48">
        <v>46014</v>
      </c>
      <c r="E39" s="47" t="s">
        <v>8</v>
      </c>
      <c r="F39" s="47" t="s">
        <v>5442</v>
      </c>
      <c r="G39" s="47" t="s">
        <v>5444</v>
      </c>
      <c r="H39" s="47"/>
      <c r="I39" s="47" t="s">
        <v>80</v>
      </c>
      <c r="J39" s="47">
        <v>750</v>
      </c>
      <c r="K39" s="47">
        <v>2529</v>
      </c>
      <c r="L39" s="47"/>
      <c r="M39" s="49">
        <v>2529</v>
      </c>
      <c r="N39" s="47" t="s">
        <v>5445</v>
      </c>
      <c r="O39" s="47" t="s">
        <v>50</v>
      </c>
    </row>
    <row r="40" spans="1:15" ht="36" x14ac:dyDescent="0.2">
      <c r="A40" s="47" t="s">
        <v>5446</v>
      </c>
      <c r="B40" s="47" t="s">
        <v>5446</v>
      </c>
      <c r="C40" s="48">
        <v>46083</v>
      </c>
      <c r="D40" s="47"/>
      <c r="E40" s="47" t="s">
        <v>8</v>
      </c>
      <c r="F40" s="47" t="s">
        <v>5438</v>
      </c>
      <c r="G40" s="47" t="s">
        <v>5345</v>
      </c>
      <c r="H40" s="47"/>
      <c r="I40" s="47" t="s">
        <v>80</v>
      </c>
      <c r="J40" s="47"/>
      <c r="K40" s="47"/>
      <c r="L40" s="47">
        <v>99.76</v>
      </c>
      <c r="M40" s="49">
        <v>-99.76</v>
      </c>
      <c r="N40" s="47" t="s">
        <v>5447</v>
      </c>
      <c r="O40" s="47" t="s">
        <v>2706</v>
      </c>
    </row>
    <row r="41" spans="1:15" ht="36" x14ac:dyDescent="0.2">
      <c r="A41" s="47" t="s">
        <v>5448</v>
      </c>
      <c r="B41" s="47" t="s">
        <v>5448</v>
      </c>
      <c r="C41" s="48">
        <v>46083</v>
      </c>
      <c r="D41" s="47"/>
      <c r="E41" s="47" t="s">
        <v>8</v>
      </c>
      <c r="F41" s="47" t="s">
        <v>5438</v>
      </c>
      <c r="G41" s="47" t="s">
        <v>5449</v>
      </c>
      <c r="H41" s="47"/>
      <c r="I41" s="47" t="s">
        <v>80</v>
      </c>
      <c r="J41" s="47">
        <v>-9070</v>
      </c>
      <c r="K41" s="47"/>
      <c r="L41" s="47">
        <v>30484.27</v>
      </c>
      <c r="M41" s="49">
        <v>-30484.27</v>
      </c>
      <c r="N41" s="47" t="s">
        <v>5447</v>
      </c>
      <c r="O41" s="47" t="s">
        <v>2706</v>
      </c>
    </row>
    <row r="42" spans="1:15" ht="36" x14ac:dyDescent="0.2">
      <c r="A42" s="47" t="s">
        <v>5449</v>
      </c>
      <c r="B42" s="47" t="s">
        <v>5449</v>
      </c>
      <c r="C42" s="48">
        <v>46021</v>
      </c>
      <c r="D42" s="48">
        <v>46066</v>
      </c>
      <c r="E42" s="47" t="s">
        <v>8</v>
      </c>
      <c r="F42" s="47" t="s">
        <v>5438</v>
      </c>
      <c r="G42" s="47" t="s">
        <v>5449</v>
      </c>
      <c r="H42" s="47"/>
      <c r="I42" s="47" t="s">
        <v>80</v>
      </c>
      <c r="J42" s="47">
        <v>23068.799999999999</v>
      </c>
      <c r="K42" s="47">
        <v>77787.98</v>
      </c>
      <c r="L42" s="47"/>
      <c r="M42" s="49">
        <v>77787.98</v>
      </c>
      <c r="N42" s="47" t="s">
        <v>5447</v>
      </c>
      <c r="O42" s="47" t="s">
        <v>5396</v>
      </c>
    </row>
    <row r="43" spans="1:15" ht="36" x14ac:dyDescent="0.2">
      <c r="A43" s="47" t="s">
        <v>5450</v>
      </c>
      <c r="B43" s="47" t="s">
        <v>5450</v>
      </c>
      <c r="C43" s="48">
        <v>46111</v>
      </c>
      <c r="D43" s="47"/>
      <c r="E43" s="47" t="s">
        <v>8</v>
      </c>
      <c r="F43" s="47" t="s">
        <v>5395</v>
      </c>
      <c r="G43" s="47" t="s">
        <v>5345</v>
      </c>
      <c r="H43" s="47"/>
      <c r="I43" s="47" t="s">
        <v>80</v>
      </c>
      <c r="J43" s="47"/>
      <c r="K43" s="47">
        <v>1850.67</v>
      </c>
      <c r="L43" s="47"/>
      <c r="M43" s="49">
        <v>1850.67</v>
      </c>
      <c r="N43" s="47" t="s">
        <v>5451</v>
      </c>
      <c r="O43" s="47" t="s">
        <v>2706</v>
      </c>
    </row>
    <row r="44" spans="1:15" ht="36" x14ac:dyDescent="0.2">
      <c r="A44" s="47" t="s">
        <v>5452</v>
      </c>
      <c r="B44" s="47" t="s">
        <v>5452</v>
      </c>
      <c r="C44" s="48">
        <v>46111</v>
      </c>
      <c r="D44" s="47"/>
      <c r="E44" s="47" t="s">
        <v>8</v>
      </c>
      <c r="F44" s="47" t="s">
        <v>5395</v>
      </c>
      <c r="G44" s="47" t="s">
        <v>5453</v>
      </c>
      <c r="H44" s="47"/>
      <c r="I44" s="47" t="s">
        <v>80</v>
      </c>
      <c r="J44" s="47">
        <v>-16234</v>
      </c>
      <c r="K44" s="47"/>
      <c r="L44" s="47">
        <v>56591.72</v>
      </c>
      <c r="M44" s="49">
        <v>-56591.72</v>
      </c>
      <c r="N44" s="47" t="s">
        <v>5451</v>
      </c>
      <c r="O44" s="47" t="s">
        <v>2706</v>
      </c>
    </row>
    <row r="45" spans="1:15" ht="36" x14ac:dyDescent="0.2">
      <c r="A45" s="47" t="s">
        <v>5453</v>
      </c>
      <c r="B45" s="47" t="s">
        <v>5453</v>
      </c>
      <c r="C45" s="48">
        <v>46021</v>
      </c>
      <c r="D45" s="48">
        <v>46081</v>
      </c>
      <c r="E45" s="47" t="s">
        <v>8</v>
      </c>
      <c r="F45" s="47" t="s">
        <v>5395</v>
      </c>
      <c r="G45" s="47" t="s">
        <v>5453</v>
      </c>
      <c r="H45" s="47"/>
      <c r="I45" s="47" t="s">
        <v>80</v>
      </c>
      <c r="J45" s="47">
        <v>36264.800000000003</v>
      </c>
      <c r="K45" s="47">
        <v>122284.91</v>
      </c>
      <c r="L45" s="47"/>
      <c r="M45" s="49">
        <v>122284.91</v>
      </c>
      <c r="N45" s="47" t="s">
        <v>5451</v>
      </c>
      <c r="O45" s="47" t="s">
        <v>5396</v>
      </c>
    </row>
    <row r="46" spans="1:15" ht="36" x14ac:dyDescent="0.2">
      <c r="A46" s="47" t="s">
        <v>5454</v>
      </c>
      <c r="B46" s="47" t="s">
        <v>5454</v>
      </c>
      <c r="C46" s="48">
        <v>46043</v>
      </c>
      <c r="D46" s="48">
        <v>46043</v>
      </c>
      <c r="E46" s="47" t="s">
        <v>8</v>
      </c>
      <c r="F46" s="47" t="s">
        <v>5395</v>
      </c>
      <c r="G46" s="47"/>
      <c r="H46" s="47"/>
      <c r="I46" s="47" t="s">
        <v>80</v>
      </c>
      <c r="J46" s="47">
        <v>-23.3</v>
      </c>
      <c r="K46" s="47"/>
      <c r="L46" s="47">
        <v>78.36</v>
      </c>
      <c r="M46" s="49">
        <v>-78.36</v>
      </c>
      <c r="N46" s="47" t="s">
        <v>5455</v>
      </c>
      <c r="O46" s="47" t="s">
        <v>50</v>
      </c>
    </row>
    <row r="47" spans="1:15" ht="36" x14ac:dyDescent="0.2">
      <c r="A47" s="47" t="s">
        <v>5456</v>
      </c>
      <c r="B47" s="47" t="s">
        <v>5456</v>
      </c>
      <c r="C47" s="48">
        <v>46043</v>
      </c>
      <c r="D47" s="47"/>
      <c r="E47" s="47" t="s">
        <v>8</v>
      </c>
      <c r="F47" s="47" t="s">
        <v>5395</v>
      </c>
      <c r="G47" s="47" t="s">
        <v>5345</v>
      </c>
      <c r="H47" s="47"/>
      <c r="I47" s="47" t="s">
        <v>80</v>
      </c>
      <c r="J47" s="47"/>
      <c r="K47" s="47"/>
      <c r="L47" s="47">
        <v>7.0000000000000007E-2</v>
      </c>
      <c r="M47" s="49">
        <v>-7.0000000000000007E-2</v>
      </c>
      <c r="N47" s="47" t="s">
        <v>5455</v>
      </c>
      <c r="O47" s="47" t="s">
        <v>2706</v>
      </c>
    </row>
    <row r="48" spans="1:15" ht="36" x14ac:dyDescent="0.2">
      <c r="A48" s="47" t="s">
        <v>5457</v>
      </c>
      <c r="B48" s="47" t="s">
        <v>5457</v>
      </c>
      <c r="C48" s="48">
        <v>46038</v>
      </c>
      <c r="D48" s="48">
        <v>46113</v>
      </c>
      <c r="E48" s="47" t="s">
        <v>8</v>
      </c>
      <c r="F48" s="47" t="s">
        <v>5395</v>
      </c>
      <c r="G48" s="47" t="s">
        <v>5457</v>
      </c>
      <c r="H48" s="47"/>
      <c r="I48" s="47" t="s">
        <v>80</v>
      </c>
      <c r="J48" s="47">
        <v>163.1</v>
      </c>
      <c r="K48" s="47">
        <v>548.99</v>
      </c>
      <c r="L48" s="47"/>
      <c r="M48" s="49">
        <v>548.99</v>
      </c>
      <c r="N48" s="47" t="s">
        <v>5455</v>
      </c>
      <c r="O48" s="47" t="s">
        <v>5396</v>
      </c>
    </row>
    <row r="49" spans="1:15" ht="36" x14ac:dyDescent="0.2">
      <c r="A49" s="47" t="s">
        <v>5458</v>
      </c>
      <c r="B49" s="47" t="s">
        <v>5458</v>
      </c>
      <c r="C49" s="48">
        <v>45989</v>
      </c>
      <c r="D49" s="48">
        <v>45989</v>
      </c>
      <c r="E49" s="47" t="s">
        <v>8</v>
      </c>
      <c r="F49" s="47" t="s">
        <v>5459</v>
      </c>
      <c r="G49" s="47" t="s">
        <v>5458</v>
      </c>
      <c r="H49" s="47"/>
      <c r="I49" s="47" t="s">
        <v>80</v>
      </c>
      <c r="J49" s="47">
        <v>622</v>
      </c>
      <c r="K49" s="47">
        <v>2096.7600000000002</v>
      </c>
      <c r="L49" s="47"/>
      <c r="M49" s="47">
        <v>2096.7600000000002</v>
      </c>
      <c r="N49" s="47"/>
      <c r="O49" s="47" t="s">
        <v>50</v>
      </c>
    </row>
    <row r="50" spans="1:15" ht="36" x14ac:dyDescent="0.2">
      <c r="A50" s="47" t="s">
        <v>5460</v>
      </c>
      <c r="B50" s="47" t="s">
        <v>5460</v>
      </c>
      <c r="C50" s="48">
        <v>46112</v>
      </c>
      <c r="D50" s="47"/>
      <c r="E50" s="47" t="s">
        <v>8</v>
      </c>
      <c r="F50" s="47" t="s">
        <v>5385</v>
      </c>
      <c r="G50" s="47" t="s">
        <v>5345</v>
      </c>
      <c r="H50" s="47"/>
      <c r="I50" s="47" t="s">
        <v>80</v>
      </c>
      <c r="J50" s="47"/>
      <c r="K50" s="47">
        <v>19.89</v>
      </c>
      <c r="L50" s="47"/>
      <c r="M50" s="49">
        <v>19.89</v>
      </c>
      <c r="N50" s="47" t="s">
        <v>5461</v>
      </c>
      <c r="O50" s="47" t="s">
        <v>2706</v>
      </c>
    </row>
    <row r="51" spans="1:15" ht="36" x14ac:dyDescent="0.2">
      <c r="A51" s="47" t="s">
        <v>5462</v>
      </c>
      <c r="B51" s="47" t="s">
        <v>5462</v>
      </c>
      <c r="C51" s="48">
        <v>46112</v>
      </c>
      <c r="D51" s="47"/>
      <c r="E51" s="47" t="s">
        <v>8</v>
      </c>
      <c r="F51" s="47" t="s">
        <v>5385</v>
      </c>
      <c r="G51" s="47" t="s">
        <v>5463</v>
      </c>
      <c r="H51" s="47"/>
      <c r="I51" s="47" t="s">
        <v>80</v>
      </c>
      <c r="J51" s="47">
        <v>-191.3</v>
      </c>
      <c r="K51" s="47"/>
      <c r="L51" s="47">
        <v>668.59</v>
      </c>
      <c r="M51" s="49">
        <v>-668.59</v>
      </c>
      <c r="N51" s="47" t="s">
        <v>5461</v>
      </c>
      <c r="O51" s="47" t="s">
        <v>2706</v>
      </c>
    </row>
    <row r="52" spans="1:15" ht="36" x14ac:dyDescent="0.2">
      <c r="A52" s="47" t="s">
        <v>5463</v>
      </c>
      <c r="B52" s="47" t="s">
        <v>5463</v>
      </c>
      <c r="C52" s="48">
        <v>45985</v>
      </c>
      <c r="D52" s="48">
        <v>46090</v>
      </c>
      <c r="E52" s="47" t="s">
        <v>8</v>
      </c>
      <c r="F52" s="47" t="s">
        <v>5385</v>
      </c>
      <c r="G52" s="47" t="s">
        <v>5463</v>
      </c>
      <c r="H52" s="47"/>
      <c r="I52" s="47" t="s">
        <v>80</v>
      </c>
      <c r="J52" s="47">
        <v>106694.05</v>
      </c>
      <c r="K52" s="47">
        <v>361799.53</v>
      </c>
      <c r="L52" s="47"/>
      <c r="M52" s="49">
        <v>361799.53</v>
      </c>
      <c r="N52" s="47" t="s">
        <v>5461</v>
      </c>
      <c r="O52" s="47" t="s">
        <v>5396</v>
      </c>
    </row>
    <row r="53" spans="1:15" ht="36" x14ac:dyDescent="0.2">
      <c r="A53" s="47" t="s">
        <v>5464</v>
      </c>
      <c r="B53" s="47" t="s">
        <v>5465</v>
      </c>
      <c r="C53" s="48">
        <v>46063</v>
      </c>
      <c r="D53" s="47"/>
      <c r="E53" s="47" t="s">
        <v>8</v>
      </c>
      <c r="F53" s="47" t="s">
        <v>5416</v>
      </c>
      <c r="G53" s="47" t="s">
        <v>5466</v>
      </c>
      <c r="H53" s="47" t="s">
        <v>5467</v>
      </c>
      <c r="I53" s="47" t="s">
        <v>80</v>
      </c>
      <c r="J53" s="47">
        <v>-4500</v>
      </c>
      <c r="K53" s="47"/>
      <c r="L53" s="47">
        <v>15133.5</v>
      </c>
      <c r="M53" s="49">
        <v>-15133.5</v>
      </c>
      <c r="N53" s="47" t="s">
        <v>5468</v>
      </c>
      <c r="O53" s="47" t="s">
        <v>2706</v>
      </c>
    </row>
    <row r="54" spans="1:15" ht="36" x14ac:dyDescent="0.2">
      <c r="A54" s="47" t="s">
        <v>5469</v>
      </c>
      <c r="B54" s="47" t="s">
        <v>5469</v>
      </c>
      <c r="C54" s="48">
        <v>46063</v>
      </c>
      <c r="D54" s="47"/>
      <c r="E54" s="47" t="s">
        <v>8</v>
      </c>
      <c r="F54" s="47" t="s">
        <v>5416</v>
      </c>
      <c r="G54" s="47" t="s">
        <v>5345</v>
      </c>
      <c r="H54" s="47"/>
      <c r="I54" s="47" t="s">
        <v>80</v>
      </c>
      <c r="J54" s="47"/>
      <c r="K54" s="47"/>
      <c r="L54" s="47">
        <v>40.5</v>
      </c>
      <c r="M54" s="49">
        <v>-40.5</v>
      </c>
      <c r="N54" s="47" t="s">
        <v>5468</v>
      </c>
      <c r="O54" s="47" t="s">
        <v>2706</v>
      </c>
    </row>
    <row r="55" spans="1:15" ht="36" x14ac:dyDescent="0.2">
      <c r="A55" s="47" t="s">
        <v>5466</v>
      </c>
      <c r="B55" s="47" t="s">
        <v>5466</v>
      </c>
      <c r="C55" s="48">
        <v>46021</v>
      </c>
      <c r="D55" s="48">
        <v>46111</v>
      </c>
      <c r="E55" s="47" t="s">
        <v>8</v>
      </c>
      <c r="F55" s="47" t="s">
        <v>5416</v>
      </c>
      <c r="G55" s="47" t="s">
        <v>5466</v>
      </c>
      <c r="H55" s="47"/>
      <c r="I55" s="47" t="s">
        <v>80</v>
      </c>
      <c r="J55" s="47">
        <v>143704.32000000001</v>
      </c>
      <c r="K55" s="47">
        <v>484570.97</v>
      </c>
      <c r="L55" s="47"/>
      <c r="M55" s="49">
        <v>484570.97</v>
      </c>
      <c r="N55" s="47" t="s">
        <v>5468</v>
      </c>
      <c r="O55" s="47" t="s">
        <v>5396</v>
      </c>
    </row>
    <row r="56" spans="1:15" ht="36" x14ac:dyDescent="0.2">
      <c r="A56" s="47" t="s">
        <v>5463</v>
      </c>
      <c r="B56" s="47" t="s">
        <v>5463</v>
      </c>
      <c r="C56" s="48">
        <v>45985</v>
      </c>
      <c r="D56" s="48">
        <v>46105</v>
      </c>
      <c r="E56" s="47" t="s">
        <v>8</v>
      </c>
      <c r="F56" s="47" t="s">
        <v>5385</v>
      </c>
      <c r="G56" s="47" t="s">
        <v>5463</v>
      </c>
      <c r="H56" s="47"/>
      <c r="I56" s="47" t="s">
        <v>80</v>
      </c>
      <c r="J56" s="47">
        <v>106694.05</v>
      </c>
      <c r="K56" s="47">
        <v>361799.53</v>
      </c>
      <c r="L56" s="47"/>
      <c r="M56" s="47">
        <v>361799.53</v>
      </c>
      <c r="N56" s="47" t="s">
        <v>5470</v>
      </c>
      <c r="O56" s="47" t="s">
        <v>5396</v>
      </c>
    </row>
    <row r="57" spans="1:15" ht="36" x14ac:dyDescent="0.2">
      <c r="A57" s="47" t="s">
        <v>5471</v>
      </c>
      <c r="B57" s="47" t="s">
        <v>5471</v>
      </c>
      <c r="C57" s="48">
        <v>45980</v>
      </c>
      <c r="D57" s="47"/>
      <c r="E57" s="47" t="s">
        <v>8</v>
      </c>
      <c r="F57" s="47" t="s">
        <v>5459</v>
      </c>
      <c r="G57" s="47" t="s">
        <v>5345</v>
      </c>
      <c r="H57" s="47"/>
      <c r="I57" s="47" t="s">
        <v>80</v>
      </c>
      <c r="J57" s="47"/>
      <c r="K57" s="47">
        <v>494.35</v>
      </c>
      <c r="L57" s="47"/>
      <c r="M57" s="47">
        <v>494.35</v>
      </c>
      <c r="N57" s="47"/>
      <c r="O57" s="47" t="s">
        <v>2706</v>
      </c>
    </row>
    <row r="58" spans="1:15" ht="36" x14ac:dyDescent="0.2">
      <c r="A58" s="47" t="s">
        <v>5472</v>
      </c>
      <c r="B58" s="47" t="s">
        <v>5472</v>
      </c>
      <c r="C58" s="48">
        <v>45980</v>
      </c>
      <c r="D58" s="47"/>
      <c r="E58" s="47" t="s">
        <v>8</v>
      </c>
      <c r="F58" s="47" t="s">
        <v>5473</v>
      </c>
      <c r="G58" s="47" t="s">
        <v>5345</v>
      </c>
      <c r="H58" s="47"/>
      <c r="I58" s="47" t="s">
        <v>80</v>
      </c>
      <c r="J58" s="47"/>
      <c r="K58" s="47"/>
      <c r="L58" s="47">
        <v>704.77</v>
      </c>
      <c r="M58" s="47">
        <v>-704.77</v>
      </c>
      <c r="N58" s="47"/>
      <c r="O58" s="47" t="s">
        <v>2706</v>
      </c>
    </row>
    <row r="59" spans="1:15" ht="36" x14ac:dyDescent="0.2">
      <c r="A59" s="47" t="s">
        <v>5474</v>
      </c>
      <c r="B59" s="47" t="s">
        <v>5474</v>
      </c>
      <c r="C59" s="48">
        <v>45980</v>
      </c>
      <c r="D59" s="47"/>
      <c r="E59" s="47" t="s">
        <v>8</v>
      </c>
      <c r="F59" s="47" t="s">
        <v>5459</v>
      </c>
      <c r="G59" s="47" t="s">
        <v>5475</v>
      </c>
      <c r="H59" s="47"/>
      <c r="I59" s="47" t="s">
        <v>80</v>
      </c>
      <c r="J59" s="47">
        <v>-82391.789999999994</v>
      </c>
      <c r="K59" s="47"/>
      <c r="L59" s="47">
        <v>277825.12</v>
      </c>
      <c r="M59" s="47">
        <v>-277825.12</v>
      </c>
      <c r="N59" s="47"/>
      <c r="O59" s="47" t="s">
        <v>2706</v>
      </c>
    </row>
    <row r="60" spans="1:15" ht="36" x14ac:dyDescent="0.2">
      <c r="A60" s="47" t="s">
        <v>5476</v>
      </c>
      <c r="B60" s="47" t="s">
        <v>5476</v>
      </c>
      <c r="C60" s="48">
        <v>45980</v>
      </c>
      <c r="D60" s="47"/>
      <c r="E60" s="47" t="s">
        <v>8</v>
      </c>
      <c r="F60" s="47" t="s">
        <v>5473</v>
      </c>
      <c r="G60" s="47" t="s">
        <v>5477</v>
      </c>
      <c r="H60" s="47"/>
      <c r="I60" s="47" t="s">
        <v>80</v>
      </c>
      <c r="J60" s="47">
        <v>-1825.82</v>
      </c>
      <c r="K60" s="47"/>
      <c r="L60" s="47">
        <v>6156.66</v>
      </c>
      <c r="M60" s="47">
        <v>-6156.66</v>
      </c>
      <c r="N60" s="47"/>
      <c r="O60" s="47" t="s">
        <v>2706</v>
      </c>
    </row>
    <row r="61" spans="1:15" ht="36" x14ac:dyDescent="0.2">
      <c r="A61" s="47" t="s">
        <v>5475</v>
      </c>
      <c r="B61" s="47" t="s">
        <v>5475</v>
      </c>
      <c r="C61" s="48">
        <v>45973</v>
      </c>
      <c r="D61" s="48">
        <v>46123</v>
      </c>
      <c r="E61" s="47" t="s">
        <v>8</v>
      </c>
      <c r="F61" s="47" t="s">
        <v>5459</v>
      </c>
      <c r="G61" s="47" t="s">
        <v>5475</v>
      </c>
      <c r="H61" s="47"/>
      <c r="I61" s="47" t="s">
        <v>80</v>
      </c>
      <c r="J61" s="47">
        <v>82400.86</v>
      </c>
      <c r="K61" s="47">
        <v>277361.3</v>
      </c>
      <c r="L61" s="47"/>
      <c r="M61" s="47">
        <v>277361.3</v>
      </c>
      <c r="N61" s="47"/>
      <c r="O61" s="47" t="s">
        <v>5396</v>
      </c>
    </row>
    <row r="62" spans="1:15" ht="36" x14ac:dyDescent="0.2">
      <c r="A62" s="47" t="s">
        <v>5478</v>
      </c>
      <c r="B62" s="47" t="s">
        <v>5478</v>
      </c>
      <c r="C62" s="48">
        <v>45953</v>
      </c>
      <c r="D62" s="48">
        <v>45953</v>
      </c>
      <c r="E62" s="47" t="s">
        <v>8</v>
      </c>
      <c r="F62" s="47" t="s">
        <v>5473</v>
      </c>
      <c r="G62" s="47" t="s">
        <v>5478</v>
      </c>
      <c r="H62" s="47"/>
      <c r="I62" s="47" t="s">
        <v>80</v>
      </c>
      <c r="J62" s="47">
        <v>119.44</v>
      </c>
      <c r="K62" s="47">
        <v>406.22</v>
      </c>
      <c r="L62" s="47"/>
      <c r="M62" s="47">
        <v>406.22</v>
      </c>
      <c r="N62" s="47"/>
      <c r="O62" s="47" t="s">
        <v>50</v>
      </c>
    </row>
    <row r="63" spans="1:15" ht="36" x14ac:dyDescent="0.2">
      <c r="A63" s="47" t="s">
        <v>5479</v>
      </c>
      <c r="B63" s="47" t="s">
        <v>5479</v>
      </c>
      <c r="C63" s="48">
        <v>45905</v>
      </c>
      <c r="D63" s="47"/>
      <c r="E63" s="47" t="s">
        <v>8</v>
      </c>
      <c r="F63" s="47" t="s">
        <v>5480</v>
      </c>
      <c r="G63" s="47" t="s">
        <v>5345</v>
      </c>
      <c r="H63" s="47"/>
      <c r="I63" s="47" t="s">
        <v>80</v>
      </c>
      <c r="J63" s="47"/>
      <c r="K63" s="47"/>
      <c r="L63" s="47">
        <v>5.55</v>
      </c>
      <c r="M63" s="47">
        <v>-5.55</v>
      </c>
      <c r="N63" s="47"/>
      <c r="O63" s="47" t="s">
        <v>2706</v>
      </c>
    </row>
    <row r="64" spans="1:15" ht="36" x14ac:dyDescent="0.2">
      <c r="A64" s="47" t="s">
        <v>5481</v>
      </c>
      <c r="B64" s="47" t="s">
        <v>5481</v>
      </c>
      <c r="C64" s="48">
        <v>45905</v>
      </c>
      <c r="D64" s="47"/>
      <c r="E64" s="47" t="s">
        <v>8</v>
      </c>
      <c r="F64" s="47" t="s">
        <v>5480</v>
      </c>
      <c r="G64" s="47" t="s">
        <v>5482</v>
      </c>
      <c r="H64" s="47"/>
      <c r="I64" s="47" t="s">
        <v>80</v>
      </c>
      <c r="J64" s="47">
        <v>-264.10000000000002</v>
      </c>
      <c r="K64" s="47"/>
      <c r="L64" s="47">
        <v>934.65</v>
      </c>
      <c r="M64" s="47">
        <v>-934.65</v>
      </c>
      <c r="N64" s="47"/>
      <c r="O64" s="47" t="s">
        <v>2706</v>
      </c>
    </row>
    <row r="65" spans="1:15" ht="36" x14ac:dyDescent="0.2">
      <c r="A65" s="47" t="s">
        <v>5483</v>
      </c>
      <c r="B65" s="47" t="s">
        <v>5483</v>
      </c>
      <c r="C65" s="48">
        <v>45870</v>
      </c>
      <c r="D65" s="48">
        <v>45870</v>
      </c>
      <c r="E65" s="47" t="s">
        <v>8</v>
      </c>
      <c r="F65" s="47" t="s">
        <v>5484</v>
      </c>
      <c r="G65" s="47" t="s">
        <v>5483</v>
      </c>
      <c r="H65" s="47"/>
      <c r="I65" s="47" t="s">
        <v>80</v>
      </c>
      <c r="J65" s="47">
        <v>56.93</v>
      </c>
      <c r="K65" s="47">
        <v>204.26</v>
      </c>
      <c r="L65" s="47"/>
      <c r="M65" s="47">
        <v>204.26</v>
      </c>
      <c r="N65" s="47"/>
      <c r="O65" s="47" t="s">
        <v>50</v>
      </c>
    </row>
    <row r="66" spans="1:15" ht="36" x14ac:dyDescent="0.2">
      <c r="A66" s="47" t="s">
        <v>5485</v>
      </c>
      <c r="B66" s="47" t="s">
        <v>5485</v>
      </c>
      <c r="C66" s="48">
        <v>45868</v>
      </c>
      <c r="D66" s="47"/>
      <c r="E66" s="47" t="s">
        <v>8</v>
      </c>
      <c r="F66" s="47" t="s">
        <v>5484</v>
      </c>
      <c r="G66" s="47" t="s">
        <v>5345</v>
      </c>
      <c r="H66" s="47"/>
      <c r="I66" s="47" t="s">
        <v>80</v>
      </c>
      <c r="J66" s="47"/>
      <c r="K66" s="47"/>
      <c r="L66" s="47">
        <v>16813.060000000001</v>
      </c>
      <c r="M66" s="47">
        <v>-16813.060000000001</v>
      </c>
      <c r="N66" s="47"/>
      <c r="O66" s="47" t="s">
        <v>2706</v>
      </c>
    </row>
    <row r="67" spans="1:15" ht="36" x14ac:dyDescent="0.2">
      <c r="A67" s="47" t="s">
        <v>5486</v>
      </c>
      <c r="B67" s="47" t="s">
        <v>5486</v>
      </c>
      <c r="C67" s="48">
        <v>45868</v>
      </c>
      <c r="D67" s="47"/>
      <c r="E67" s="47" t="s">
        <v>8</v>
      </c>
      <c r="F67" s="47" t="s">
        <v>5484</v>
      </c>
      <c r="G67" s="47" t="s">
        <v>5487</v>
      </c>
      <c r="H67" s="47"/>
      <c r="I67" s="47" t="s">
        <v>80</v>
      </c>
      <c r="J67" s="47">
        <v>-129331.12</v>
      </c>
      <c r="K67" s="47"/>
      <c r="L67" s="47">
        <v>459384.14</v>
      </c>
      <c r="M67" s="47">
        <v>-459384.14</v>
      </c>
      <c r="N67" s="47"/>
      <c r="O67" s="47" t="s">
        <v>2706</v>
      </c>
    </row>
    <row r="68" spans="1:15" ht="36" x14ac:dyDescent="0.2">
      <c r="A68" s="47" t="s">
        <v>5482</v>
      </c>
      <c r="B68" s="47" t="s">
        <v>5482</v>
      </c>
      <c r="C68" s="48">
        <v>45855</v>
      </c>
      <c r="D68" s="48">
        <v>45855</v>
      </c>
      <c r="E68" s="47" t="s">
        <v>8</v>
      </c>
      <c r="F68" s="47" t="s">
        <v>5480</v>
      </c>
      <c r="G68" s="47" t="s">
        <v>5482</v>
      </c>
      <c r="H68" s="47"/>
      <c r="I68" s="47" t="s">
        <v>80</v>
      </c>
      <c r="J68" s="47">
        <v>750</v>
      </c>
      <c r="K68" s="47">
        <v>2670</v>
      </c>
      <c r="L68" s="47"/>
      <c r="M68" s="47">
        <v>2670</v>
      </c>
      <c r="N68" s="47"/>
      <c r="O68" s="47" t="s">
        <v>50</v>
      </c>
    </row>
    <row r="69" spans="1:15" ht="36" x14ac:dyDescent="0.2">
      <c r="A69" s="47" t="s">
        <v>5488</v>
      </c>
      <c r="B69" s="47" t="s">
        <v>5488</v>
      </c>
      <c r="C69" s="48">
        <v>45845</v>
      </c>
      <c r="D69" s="48">
        <v>45845</v>
      </c>
      <c r="E69" s="47" t="s">
        <v>8</v>
      </c>
      <c r="F69" s="47" t="s">
        <v>5489</v>
      </c>
      <c r="G69" s="47" t="s">
        <v>5488</v>
      </c>
      <c r="H69" s="47"/>
      <c r="I69" s="47" t="s">
        <v>80</v>
      </c>
      <c r="J69" s="47">
        <v>19400.330000000002</v>
      </c>
      <c r="K69" s="47">
        <v>68987.570000000007</v>
      </c>
      <c r="L69" s="47"/>
      <c r="M69" s="47">
        <v>68987.570000000007</v>
      </c>
      <c r="N69" s="47" t="s">
        <v>5490</v>
      </c>
      <c r="O69" s="47" t="s">
        <v>50</v>
      </c>
    </row>
    <row r="70" spans="1:15" ht="48" x14ac:dyDescent="0.2">
      <c r="A70" s="47" t="s">
        <v>5491</v>
      </c>
      <c r="B70" s="47" t="s">
        <v>5492</v>
      </c>
      <c r="C70" s="48">
        <v>45814</v>
      </c>
      <c r="D70" s="48">
        <v>45814</v>
      </c>
      <c r="E70" s="47" t="s">
        <v>8</v>
      </c>
      <c r="F70" s="47" t="s">
        <v>5399</v>
      </c>
      <c r="G70" s="47" t="s">
        <v>5493</v>
      </c>
      <c r="H70" s="47" t="s">
        <v>5494</v>
      </c>
      <c r="I70" s="47" t="s">
        <v>80</v>
      </c>
      <c r="J70" s="47">
        <v>-51956.45</v>
      </c>
      <c r="K70" s="47"/>
      <c r="L70" s="47">
        <v>188498</v>
      </c>
      <c r="M70" s="47">
        <v>-188498</v>
      </c>
      <c r="N70" s="47"/>
      <c r="O70" s="47" t="s">
        <v>2706</v>
      </c>
    </row>
    <row r="71" spans="1:15" ht="36" x14ac:dyDescent="0.2">
      <c r="A71" s="47" t="s">
        <v>5494</v>
      </c>
      <c r="B71" s="47" t="s">
        <v>5494</v>
      </c>
      <c r="C71" s="48">
        <v>45814</v>
      </c>
      <c r="D71" s="48">
        <v>45815</v>
      </c>
      <c r="E71" s="47" t="s">
        <v>8</v>
      </c>
      <c r="F71" s="47" t="s">
        <v>5399</v>
      </c>
      <c r="G71" s="47" t="s">
        <v>5494</v>
      </c>
      <c r="H71" s="47"/>
      <c r="I71" s="47" t="s">
        <v>80</v>
      </c>
      <c r="J71" s="47">
        <v>51956.45</v>
      </c>
      <c r="K71" s="47">
        <v>188498</v>
      </c>
      <c r="L71" s="47"/>
      <c r="M71" s="47">
        <v>188498</v>
      </c>
      <c r="N71" s="47"/>
      <c r="O71" s="47" t="s">
        <v>5396</v>
      </c>
    </row>
    <row r="72" spans="1:15" ht="36" x14ac:dyDescent="0.2">
      <c r="A72" s="47" t="s">
        <v>5487</v>
      </c>
      <c r="B72" s="47" t="s">
        <v>5487</v>
      </c>
      <c r="C72" s="48">
        <v>45792</v>
      </c>
      <c r="D72" s="48">
        <v>45882</v>
      </c>
      <c r="E72" s="47" t="s">
        <v>8</v>
      </c>
      <c r="F72" s="47" t="s">
        <v>5484</v>
      </c>
      <c r="G72" s="47" t="s">
        <v>5487</v>
      </c>
      <c r="H72" s="47"/>
      <c r="I72" s="47" t="s">
        <v>80</v>
      </c>
      <c r="J72" s="47">
        <v>131830.20000000001</v>
      </c>
      <c r="K72" s="47">
        <v>485398.81</v>
      </c>
      <c r="L72" s="47"/>
      <c r="M72" s="47">
        <v>485398.81</v>
      </c>
      <c r="N72" s="47"/>
      <c r="O72" s="47" t="s">
        <v>5396</v>
      </c>
    </row>
    <row r="73" spans="1:15" ht="36" x14ac:dyDescent="0.2">
      <c r="A73" s="47" t="s">
        <v>5477</v>
      </c>
      <c r="B73" s="47" t="s">
        <v>5477</v>
      </c>
      <c r="C73" s="48">
        <v>45658</v>
      </c>
      <c r="D73" s="48">
        <v>45569</v>
      </c>
      <c r="E73" s="47" t="s">
        <v>8</v>
      </c>
      <c r="F73" s="47" t="s">
        <v>5473</v>
      </c>
      <c r="G73" s="47" t="s">
        <v>5477</v>
      </c>
      <c r="H73" s="47"/>
      <c r="I73" s="47" t="s">
        <v>80</v>
      </c>
      <c r="J73" s="47">
        <v>2419.85</v>
      </c>
      <c r="K73" s="47">
        <v>9093.7999999999993</v>
      </c>
      <c r="L73" s="47"/>
      <c r="M73" s="47">
        <v>9093.7999999999993</v>
      </c>
      <c r="N73" s="47"/>
      <c r="O73" s="47" t="s">
        <v>234</v>
      </c>
    </row>
    <row r="74" spans="1:15" ht="36" x14ac:dyDescent="0.2">
      <c r="A74" s="47" t="s">
        <v>5495</v>
      </c>
      <c r="B74" s="47" t="s">
        <v>5495</v>
      </c>
      <c r="C74" s="48">
        <v>45658</v>
      </c>
      <c r="D74" s="48">
        <v>45290</v>
      </c>
      <c r="E74" s="47" t="s">
        <v>8</v>
      </c>
      <c r="F74" s="47" t="s">
        <v>5496</v>
      </c>
      <c r="G74" s="47" t="s">
        <v>5495</v>
      </c>
      <c r="H74" s="47"/>
      <c r="I74" s="47" t="s">
        <v>80</v>
      </c>
      <c r="J74" s="47">
        <v>35.4</v>
      </c>
      <c r="K74" s="47">
        <v>133.03</v>
      </c>
      <c r="L74" s="47"/>
      <c r="M74" s="47">
        <v>133.03</v>
      </c>
      <c r="N74" s="47"/>
      <c r="O74" s="47" t="s">
        <v>234</v>
      </c>
    </row>
    <row r="75" spans="1:15" ht="36" x14ac:dyDescent="0.2">
      <c r="A75" s="47" t="s">
        <v>5497</v>
      </c>
      <c r="B75" s="47" t="s">
        <v>5497</v>
      </c>
      <c r="C75" s="48">
        <v>45658</v>
      </c>
      <c r="D75" s="48">
        <v>44649</v>
      </c>
      <c r="E75" s="47" t="s">
        <v>8</v>
      </c>
      <c r="F75" s="47" t="s">
        <v>5498</v>
      </c>
      <c r="G75" s="47" t="s">
        <v>5497</v>
      </c>
      <c r="H75" s="47"/>
      <c r="I75" s="47" t="s">
        <v>80</v>
      </c>
      <c r="J75" s="47">
        <v>61.6</v>
      </c>
      <c r="K75" s="47">
        <v>231.49</v>
      </c>
      <c r="L75" s="47"/>
      <c r="M75" s="47">
        <v>231.49</v>
      </c>
      <c r="N75" s="47"/>
      <c r="O75" s="47" t="s">
        <v>234</v>
      </c>
    </row>
    <row r="76" spans="1:15" ht="36" x14ac:dyDescent="0.2">
      <c r="A76" s="47" t="s">
        <v>5499</v>
      </c>
      <c r="B76" s="47" t="s">
        <v>5499</v>
      </c>
      <c r="C76" s="48">
        <v>45658</v>
      </c>
      <c r="D76" s="48">
        <v>45415</v>
      </c>
      <c r="E76" s="47" t="s">
        <v>8</v>
      </c>
      <c r="F76" s="47" t="s">
        <v>5496</v>
      </c>
      <c r="G76" s="47" t="s">
        <v>5499</v>
      </c>
      <c r="H76" s="47"/>
      <c r="I76" s="47" t="s">
        <v>80</v>
      </c>
      <c r="J76" s="47">
        <v>136</v>
      </c>
      <c r="K76" s="47">
        <v>511.09</v>
      </c>
      <c r="L76" s="47"/>
      <c r="M76" s="47">
        <v>511.09</v>
      </c>
      <c r="N76" s="47"/>
      <c r="O76" s="47" t="s">
        <v>234</v>
      </c>
    </row>
    <row r="77" spans="1:15" ht="36" x14ac:dyDescent="0.2">
      <c r="A77" s="47" t="s">
        <v>5500</v>
      </c>
      <c r="B77" s="47" t="s">
        <v>5500</v>
      </c>
      <c r="C77" s="48">
        <v>45658</v>
      </c>
      <c r="D77" s="48">
        <v>44747</v>
      </c>
      <c r="E77" s="47" t="s">
        <v>8</v>
      </c>
      <c r="F77" s="47" t="s">
        <v>5501</v>
      </c>
      <c r="G77" s="47" t="s">
        <v>5500</v>
      </c>
      <c r="H77" s="47"/>
      <c r="I77" s="47" t="s">
        <v>80</v>
      </c>
      <c r="J77" s="47">
        <v>148</v>
      </c>
      <c r="K77" s="47">
        <v>556.17999999999995</v>
      </c>
      <c r="L77" s="47"/>
      <c r="M77" s="47">
        <v>556.17999999999995</v>
      </c>
      <c r="N77" s="47"/>
      <c r="O77" s="47" t="s">
        <v>234</v>
      </c>
    </row>
    <row r="78" spans="1:15" ht="36" x14ac:dyDescent="0.2">
      <c r="A78" s="47" t="s">
        <v>5502</v>
      </c>
      <c r="B78" s="47" t="s">
        <v>5502</v>
      </c>
      <c r="C78" s="48">
        <v>45658</v>
      </c>
      <c r="D78" s="48">
        <v>43894</v>
      </c>
      <c r="E78" s="47" t="s">
        <v>8</v>
      </c>
      <c r="F78" s="47" t="s">
        <v>5503</v>
      </c>
      <c r="G78" s="47" t="s">
        <v>5504</v>
      </c>
      <c r="H78" s="47"/>
      <c r="I78" s="47" t="s">
        <v>80</v>
      </c>
      <c r="J78" s="47">
        <v>-1045</v>
      </c>
      <c r="K78" s="47"/>
      <c r="L78" s="47">
        <v>3939.65</v>
      </c>
      <c r="M78" s="47">
        <v>-3939.65</v>
      </c>
      <c r="N78" s="47"/>
      <c r="O78" s="47" t="s">
        <v>234</v>
      </c>
    </row>
    <row r="79" spans="1:15" ht="36" x14ac:dyDescent="0.2">
      <c r="A79" s="47" t="s">
        <v>5505</v>
      </c>
      <c r="B79" s="47" t="s">
        <v>5505</v>
      </c>
      <c r="C79" s="48">
        <v>45658</v>
      </c>
      <c r="D79" s="48">
        <v>43894</v>
      </c>
      <c r="E79" s="47" t="s">
        <v>8</v>
      </c>
      <c r="F79" s="47" t="s">
        <v>5503</v>
      </c>
      <c r="G79" s="47" t="s">
        <v>5505</v>
      </c>
      <c r="H79" s="47"/>
      <c r="I79" s="47" t="s">
        <v>80</v>
      </c>
      <c r="J79" s="47">
        <v>-1090</v>
      </c>
      <c r="K79" s="47"/>
      <c r="L79" s="47">
        <v>4109.3</v>
      </c>
      <c r="M79" s="47">
        <v>-4109.3</v>
      </c>
      <c r="N79" s="47"/>
      <c r="O79" s="47" t="s">
        <v>234</v>
      </c>
    </row>
    <row r="80" spans="1:15" ht="36" x14ac:dyDescent="0.2">
      <c r="A80" s="47" t="s">
        <v>5504</v>
      </c>
      <c r="B80" s="47" t="s">
        <v>5504</v>
      </c>
      <c r="C80" s="48">
        <v>45658</v>
      </c>
      <c r="D80" s="48">
        <v>44575</v>
      </c>
      <c r="E80" s="47" t="s">
        <v>8</v>
      </c>
      <c r="F80" s="47" t="s">
        <v>5506</v>
      </c>
      <c r="G80" s="47" t="s">
        <v>5502</v>
      </c>
      <c r="H80" s="47"/>
      <c r="I80" s="47" t="s">
        <v>80</v>
      </c>
      <c r="J80" s="47">
        <v>-1799</v>
      </c>
      <c r="K80" s="47"/>
      <c r="L80" s="47">
        <v>6782.23</v>
      </c>
      <c r="M80" s="47">
        <v>-6782.23</v>
      </c>
      <c r="N80" s="47"/>
      <c r="O80" s="47" t="s">
        <v>234</v>
      </c>
    </row>
    <row r="81" spans="1:15" x14ac:dyDescent="0.2">
      <c r="A81" s="28"/>
      <c r="B81" s="28"/>
      <c r="C81" s="29"/>
      <c r="D81" s="29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</row>
    <row r="82" spans="1:15" x14ac:dyDescent="0.2">
      <c r="J82" s="30">
        <f>SUM(J3:J80)</f>
        <v>2768084.21</v>
      </c>
      <c r="M82" s="31">
        <f>SUM(M3:M80)</f>
        <v>9649541.5599999987</v>
      </c>
    </row>
    <row r="83" spans="1:15" x14ac:dyDescent="0.2">
      <c r="J83" s="27">
        <v>3.4860000000000002</v>
      </c>
    </row>
    <row r="84" spans="1:15" x14ac:dyDescent="0.2">
      <c r="J84" s="32">
        <f>+J82*J83</f>
        <v>9649541.5560600013</v>
      </c>
      <c r="L84" s="33">
        <f>+J84-M82</f>
        <v>-3.9399974048137665E-3</v>
      </c>
    </row>
  </sheetData>
  <conditionalFormatting sqref="N1:N1048576">
    <cfRule type="duplicateValues" dxfId="45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C275-85A6-4B1C-8DB9-E975DD5CD630}">
  <dimension ref="A1:O415"/>
  <sheetViews>
    <sheetView showGridLines="0" topLeftCell="F1" workbookViewId="0">
      <selection activeCell="F1" sqref="A1:XFD1"/>
    </sheetView>
  </sheetViews>
  <sheetFormatPr baseColWidth="10" defaultColWidth="17.85546875" defaultRowHeight="11.25" x14ac:dyDescent="0.2"/>
  <cols>
    <col min="1" max="8" width="17.85546875" style="8"/>
    <col min="9" max="9" width="9.5703125" style="8" customWidth="1"/>
    <col min="10" max="12" width="17.85546875" style="8"/>
    <col min="13" max="13" width="17.85546875" style="9"/>
    <col min="14" max="16384" width="17.85546875" style="8"/>
  </cols>
  <sheetData>
    <row r="1" spans="1:15" s="18" customFormat="1" ht="25.5" customHeight="1" x14ac:dyDescent="0.25">
      <c r="A1" s="104" t="s">
        <v>33</v>
      </c>
      <c r="B1" s="104" t="s">
        <v>34</v>
      </c>
      <c r="C1" s="104" t="s">
        <v>35</v>
      </c>
      <c r="D1" s="104" t="s">
        <v>36</v>
      </c>
      <c r="E1" s="104" t="s">
        <v>37</v>
      </c>
      <c r="F1" s="104" t="s">
        <v>38</v>
      </c>
      <c r="G1" s="104" t="s">
        <v>39</v>
      </c>
      <c r="H1" s="104" t="s">
        <v>40</v>
      </c>
      <c r="I1" s="104" t="s">
        <v>41</v>
      </c>
      <c r="J1" s="104" t="s">
        <v>42</v>
      </c>
      <c r="K1" s="104" t="s">
        <v>3</v>
      </c>
      <c r="L1" s="104" t="s">
        <v>4</v>
      </c>
      <c r="M1" s="104" t="s">
        <v>43</v>
      </c>
      <c r="N1" s="104" t="s">
        <v>44</v>
      </c>
      <c r="O1" s="104" t="s">
        <v>45</v>
      </c>
    </row>
    <row r="2" spans="1:15" ht="23.25" customHeight="1" x14ac:dyDescent="0.2">
      <c r="A2" s="90" t="s">
        <v>5507</v>
      </c>
      <c r="B2" s="90"/>
      <c r="C2" s="90"/>
      <c r="D2" s="38"/>
      <c r="E2" s="38"/>
      <c r="F2" s="38"/>
      <c r="G2" s="38"/>
      <c r="H2" s="38"/>
      <c r="I2" s="38"/>
      <c r="J2" s="38"/>
      <c r="K2" s="38"/>
      <c r="L2" s="38"/>
      <c r="M2" s="39"/>
      <c r="N2" s="38"/>
      <c r="O2" s="38"/>
    </row>
    <row r="3" spans="1:15" ht="23.25" customHeight="1" x14ac:dyDescent="0.2">
      <c r="A3" s="40" t="s">
        <v>5508</v>
      </c>
      <c r="B3" s="40" t="s">
        <v>5508</v>
      </c>
      <c r="C3" s="41">
        <v>46112</v>
      </c>
      <c r="D3" s="40"/>
      <c r="E3" s="40" t="s">
        <v>9</v>
      </c>
      <c r="F3" s="40" t="s">
        <v>5509</v>
      </c>
      <c r="G3" s="40" t="s">
        <v>5510</v>
      </c>
      <c r="H3" s="40"/>
      <c r="I3" s="40" t="s">
        <v>49</v>
      </c>
      <c r="J3" s="40">
        <v>-92.9</v>
      </c>
      <c r="K3" s="40"/>
      <c r="L3" s="40">
        <v>92.9</v>
      </c>
      <c r="M3" s="40">
        <v>-92.9</v>
      </c>
      <c r="N3" s="40" t="s">
        <v>5511</v>
      </c>
      <c r="O3" s="40" t="s">
        <v>234</v>
      </c>
    </row>
    <row r="4" spans="1:15" ht="23.25" customHeight="1" x14ac:dyDescent="0.2">
      <c r="A4" s="40" t="s">
        <v>5512</v>
      </c>
      <c r="B4" s="40" t="s">
        <v>5512</v>
      </c>
      <c r="C4" s="41">
        <v>46111</v>
      </c>
      <c r="D4" s="40"/>
      <c r="E4" s="40" t="s">
        <v>9</v>
      </c>
      <c r="F4" s="40" t="s">
        <v>4560</v>
      </c>
      <c r="G4" s="40" t="s">
        <v>5513</v>
      </c>
      <c r="H4" s="40"/>
      <c r="I4" s="40" t="s">
        <v>49</v>
      </c>
      <c r="J4" s="40">
        <v>-10</v>
      </c>
      <c r="K4" s="40"/>
      <c r="L4" s="40">
        <v>10</v>
      </c>
      <c r="M4" s="40">
        <v>-10</v>
      </c>
      <c r="N4" s="40"/>
      <c r="O4" s="40" t="s">
        <v>234</v>
      </c>
    </row>
    <row r="5" spans="1:15" ht="23.25" customHeight="1" x14ac:dyDescent="0.2">
      <c r="A5" s="40" t="s">
        <v>5514</v>
      </c>
      <c r="B5" s="40" t="s">
        <v>5514</v>
      </c>
      <c r="C5" s="41">
        <v>46111</v>
      </c>
      <c r="D5" s="40"/>
      <c r="E5" s="40" t="s">
        <v>9</v>
      </c>
      <c r="F5" s="40" t="s">
        <v>4539</v>
      </c>
      <c r="G5" s="40" t="s">
        <v>5515</v>
      </c>
      <c r="H5" s="40"/>
      <c r="I5" s="40" t="s">
        <v>49</v>
      </c>
      <c r="J5" s="40">
        <v>-15276.28</v>
      </c>
      <c r="K5" s="40"/>
      <c r="L5" s="40">
        <v>15276.28</v>
      </c>
      <c r="M5" s="40">
        <v>-15276.28</v>
      </c>
      <c r="N5" s="40"/>
      <c r="O5" s="40" t="s">
        <v>234</v>
      </c>
    </row>
    <row r="6" spans="1:15" ht="23.25" customHeight="1" x14ac:dyDescent="0.2">
      <c r="A6" s="40" t="s">
        <v>5516</v>
      </c>
      <c r="B6" s="40" t="s">
        <v>5516</v>
      </c>
      <c r="C6" s="41">
        <v>46111</v>
      </c>
      <c r="D6" s="40"/>
      <c r="E6" s="40" t="s">
        <v>9</v>
      </c>
      <c r="F6" s="40" t="s">
        <v>5517</v>
      </c>
      <c r="G6" s="40" t="s">
        <v>5510</v>
      </c>
      <c r="H6" s="40"/>
      <c r="I6" s="40" t="s">
        <v>49</v>
      </c>
      <c r="J6" s="40">
        <v>-7241.93</v>
      </c>
      <c r="K6" s="40"/>
      <c r="L6" s="40">
        <v>7241.93</v>
      </c>
      <c r="M6" s="40">
        <v>-7241.93</v>
      </c>
      <c r="N6" s="40"/>
      <c r="O6" s="40" t="s">
        <v>234</v>
      </c>
    </row>
    <row r="7" spans="1:15" ht="23.25" customHeight="1" x14ac:dyDescent="0.2">
      <c r="A7" s="40" t="s">
        <v>5518</v>
      </c>
      <c r="B7" s="40" t="s">
        <v>5518</v>
      </c>
      <c r="C7" s="41">
        <v>46106</v>
      </c>
      <c r="D7" s="40"/>
      <c r="E7" s="40" t="s">
        <v>9</v>
      </c>
      <c r="F7" s="40" t="s">
        <v>5519</v>
      </c>
      <c r="G7" s="40" t="s">
        <v>5513</v>
      </c>
      <c r="H7" s="40"/>
      <c r="I7" s="40" t="s">
        <v>49</v>
      </c>
      <c r="J7" s="40">
        <v>-43.89</v>
      </c>
      <c r="K7" s="40"/>
      <c r="L7" s="40">
        <v>43.89</v>
      </c>
      <c r="M7" s="40">
        <v>-43.89</v>
      </c>
      <c r="N7" s="40"/>
      <c r="O7" s="40" t="s">
        <v>234</v>
      </c>
    </row>
    <row r="8" spans="1:15" ht="23.25" customHeight="1" x14ac:dyDescent="0.2">
      <c r="A8" s="40" t="s">
        <v>5520</v>
      </c>
      <c r="B8" s="40" t="s">
        <v>5520</v>
      </c>
      <c r="C8" s="41">
        <v>46101</v>
      </c>
      <c r="D8" s="40"/>
      <c r="E8" s="40" t="s">
        <v>9</v>
      </c>
      <c r="F8" s="40" t="s">
        <v>295</v>
      </c>
      <c r="G8" s="40" t="s">
        <v>5521</v>
      </c>
      <c r="H8" s="40"/>
      <c r="I8" s="40" t="s">
        <v>49</v>
      </c>
      <c r="J8" s="40">
        <v>-5017.87</v>
      </c>
      <c r="K8" s="40"/>
      <c r="L8" s="40">
        <v>5017.87</v>
      </c>
      <c r="M8" s="40">
        <v>-5017.87</v>
      </c>
      <c r="N8" s="40"/>
      <c r="O8" s="40" t="s">
        <v>234</v>
      </c>
    </row>
    <row r="9" spans="1:15" ht="23.25" customHeight="1" x14ac:dyDescent="0.2">
      <c r="A9" s="40" t="s">
        <v>5522</v>
      </c>
      <c r="B9" s="40" t="s">
        <v>5522</v>
      </c>
      <c r="C9" s="41">
        <v>46101</v>
      </c>
      <c r="D9" s="40"/>
      <c r="E9" s="40" t="s">
        <v>9</v>
      </c>
      <c r="F9" s="40" t="s">
        <v>4809</v>
      </c>
      <c r="G9" s="40" t="s">
        <v>5510</v>
      </c>
      <c r="H9" s="40"/>
      <c r="I9" s="40" t="s">
        <v>49</v>
      </c>
      <c r="J9" s="40">
        <v>-15284.04</v>
      </c>
      <c r="K9" s="40"/>
      <c r="L9" s="40">
        <v>15284.04</v>
      </c>
      <c r="M9" s="40">
        <v>-15284.04</v>
      </c>
      <c r="N9" s="40" t="s">
        <v>5523</v>
      </c>
      <c r="O9" s="40" t="s">
        <v>234</v>
      </c>
    </row>
    <row r="10" spans="1:15" ht="23.25" customHeight="1" x14ac:dyDescent="0.2">
      <c r="A10" s="40" t="s">
        <v>5524</v>
      </c>
      <c r="B10" s="40" t="s">
        <v>5524</v>
      </c>
      <c r="C10" s="41">
        <v>46099</v>
      </c>
      <c r="D10" s="40"/>
      <c r="E10" s="40" t="s">
        <v>9</v>
      </c>
      <c r="F10" s="40" t="s">
        <v>295</v>
      </c>
      <c r="G10" s="40" t="s">
        <v>5525</v>
      </c>
      <c r="H10" s="40"/>
      <c r="I10" s="40" t="s">
        <v>49</v>
      </c>
      <c r="J10" s="40">
        <v>-133</v>
      </c>
      <c r="K10" s="40"/>
      <c r="L10" s="40">
        <v>133</v>
      </c>
      <c r="M10" s="40">
        <v>-133</v>
      </c>
      <c r="N10" s="40"/>
      <c r="O10" s="40" t="s">
        <v>234</v>
      </c>
    </row>
    <row r="11" spans="1:15" ht="23.25" customHeight="1" x14ac:dyDescent="0.2">
      <c r="A11" s="40" t="s">
        <v>5526</v>
      </c>
      <c r="B11" s="40" t="s">
        <v>5526</v>
      </c>
      <c r="C11" s="41">
        <v>46098</v>
      </c>
      <c r="D11" s="40"/>
      <c r="E11" s="40" t="s">
        <v>9</v>
      </c>
      <c r="F11" s="40" t="s">
        <v>295</v>
      </c>
      <c r="G11" s="40" t="s">
        <v>5525</v>
      </c>
      <c r="H11" s="40"/>
      <c r="I11" s="40" t="s">
        <v>49</v>
      </c>
      <c r="J11" s="40">
        <v>-400</v>
      </c>
      <c r="K11" s="40"/>
      <c r="L11" s="40">
        <v>400</v>
      </c>
      <c r="M11" s="40">
        <v>-400</v>
      </c>
      <c r="N11" s="40"/>
      <c r="O11" s="40" t="s">
        <v>234</v>
      </c>
    </row>
    <row r="12" spans="1:15" ht="23.25" customHeight="1" x14ac:dyDescent="0.2">
      <c r="A12" s="40" t="s">
        <v>5527</v>
      </c>
      <c r="B12" s="40" t="s">
        <v>5527</v>
      </c>
      <c r="C12" s="41">
        <v>46098</v>
      </c>
      <c r="D12" s="40"/>
      <c r="E12" s="40" t="s">
        <v>9</v>
      </c>
      <c r="F12" s="40" t="s">
        <v>295</v>
      </c>
      <c r="G12" s="40" t="s">
        <v>5525</v>
      </c>
      <c r="H12" s="40"/>
      <c r="I12" s="40" t="s">
        <v>49</v>
      </c>
      <c r="J12" s="40">
        <v>-1335</v>
      </c>
      <c r="K12" s="40"/>
      <c r="L12" s="40">
        <v>1335</v>
      </c>
      <c r="M12" s="40">
        <v>-1335</v>
      </c>
      <c r="N12" s="40"/>
      <c r="O12" s="40" t="s">
        <v>234</v>
      </c>
    </row>
    <row r="13" spans="1:15" ht="23.25" customHeight="1" x14ac:dyDescent="0.2">
      <c r="A13" s="40" t="s">
        <v>5528</v>
      </c>
      <c r="B13" s="40" t="s">
        <v>5528</v>
      </c>
      <c r="C13" s="41">
        <v>46097</v>
      </c>
      <c r="D13" s="40"/>
      <c r="E13" s="40" t="s">
        <v>9</v>
      </c>
      <c r="F13" s="40" t="s">
        <v>4560</v>
      </c>
      <c r="G13" s="40" t="s">
        <v>5529</v>
      </c>
      <c r="H13" s="40"/>
      <c r="I13" s="40" t="s">
        <v>49</v>
      </c>
      <c r="J13" s="40">
        <v>348.59</v>
      </c>
      <c r="K13" s="40">
        <v>348.59</v>
      </c>
      <c r="L13" s="40"/>
      <c r="M13" s="40">
        <v>348.59</v>
      </c>
      <c r="N13" s="40"/>
      <c r="O13" s="40" t="s">
        <v>234</v>
      </c>
    </row>
    <row r="14" spans="1:15" ht="23.25" customHeight="1" x14ac:dyDescent="0.2">
      <c r="A14" s="40" t="s">
        <v>5530</v>
      </c>
      <c r="B14" s="40" t="s">
        <v>5530</v>
      </c>
      <c r="C14" s="41">
        <v>46076</v>
      </c>
      <c r="D14" s="40"/>
      <c r="E14" s="40" t="s">
        <v>9</v>
      </c>
      <c r="F14" s="40" t="s">
        <v>295</v>
      </c>
      <c r="G14" s="40" t="s">
        <v>5513</v>
      </c>
      <c r="H14" s="40"/>
      <c r="I14" s="40" t="s">
        <v>49</v>
      </c>
      <c r="J14" s="40">
        <v>-73</v>
      </c>
      <c r="K14" s="40"/>
      <c r="L14" s="40">
        <v>73</v>
      </c>
      <c r="M14" s="40">
        <v>-73</v>
      </c>
      <c r="N14" s="40"/>
      <c r="O14" s="40" t="s">
        <v>234</v>
      </c>
    </row>
    <row r="15" spans="1:15" ht="23.25" customHeight="1" x14ac:dyDescent="0.2">
      <c r="A15" s="40" t="s">
        <v>5531</v>
      </c>
      <c r="B15" s="40" t="s">
        <v>5531</v>
      </c>
      <c r="C15" s="41">
        <v>46071</v>
      </c>
      <c r="D15" s="40"/>
      <c r="E15" s="40" t="s">
        <v>9</v>
      </c>
      <c r="F15" s="40" t="s">
        <v>4809</v>
      </c>
      <c r="G15" s="40" t="s">
        <v>5532</v>
      </c>
      <c r="H15" s="40"/>
      <c r="I15" s="40" t="s">
        <v>49</v>
      </c>
      <c r="J15" s="40">
        <v>-199.97</v>
      </c>
      <c r="K15" s="40"/>
      <c r="L15" s="40">
        <v>199.97</v>
      </c>
      <c r="M15" s="40">
        <v>-199.97</v>
      </c>
      <c r="N15" s="40"/>
      <c r="O15" s="40" t="s">
        <v>234</v>
      </c>
    </row>
    <row r="16" spans="1:15" ht="23.25" customHeight="1" x14ac:dyDescent="0.2">
      <c r="A16" s="40" t="s">
        <v>5533</v>
      </c>
      <c r="B16" s="40" t="s">
        <v>5533</v>
      </c>
      <c r="C16" s="41">
        <v>46064</v>
      </c>
      <c r="D16" s="40"/>
      <c r="E16" s="40" t="s">
        <v>9</v>
      </c>
      <c r="F16" s="40" t="s">
        <v>4639</v>
      </c>
      <c r="G16" s="40" t="s">
        <v>5534</v>
      </c>
      <c r="H16" s="40"/>
      <c r="I16" s="40" t="s">
        <v>49</v>
      </c>
      <c r="J16" s="40">
        <v>170.57</v>
      </c>
      <c r="K16" s="40">
        <v>170.57</v>
      </c>
      <c r="L16" s="40"/>
      <c r="M16" s="40">
        <v>170.57</v>
      </c>
      <c r="N16" s="40"/>
      <c r="O16" s="40" t="s">
        <v>234</v>
      </c>
    </row>
    <row r="17" spans="1:15" ht="23.25" customHeight="1" x14ac:dyDescent="0.2">
      <c r="A17" s="40" t="s">
        <v>5535</v>
      </c>
      <c r="B17" s="40" t="s">
        <v>5535</v>
      </c>
      <c r="C17" s="41">
        <v>46064</v>
      </c>
      <c r="D17" s="40"/>
      <c r="E17" s="40" t="s">
        <v>9</v>
      </c>
      <c r="F17" s="40" t="s">
        <v>2927</v>
      </c>
      <c r="G17" s="40" t="s">
        <v>5536</v>
      </c>
      <c r="H17" s="40"/>
      <c r="I17" s="40" t="s">
        <v>49</v>
      </c>
      <c r="J17" s="40">
        <v>-600</v>
      </c>
      <c r="K17" s="40"/>
      <c r="L17" s="40">
        <v>600</v>
      </c>
      <c r="M17" s="40">
        <v>-600</v>
      </c>
      <c r="N17" s="40"/>
      <c r="O17" s="40" t="s">
        <v>234</v>
      </c>
    </row>
    <row r="18" spans="1:15" ht="23.25" customHeight="1" x14ac:dyDescent="0.2">
      <c r="A18" s="40" t="s">
        <v>5537</v>
      </c>
      <c r="B18" s="40" t="s">
        <v>5537</v>
      </c>
      <c r="C18" s="41">
        <v>46059</v>
      </c>
      <c r="D18" s="40"/>
      <c r="E18" s="40" t="s">
        <v>9</v>
      </c>
      <c r="F18" s="40" t="s">
        <v>4975</v>
      </c>
      <c r="G18" s="40" t="s">
        <v>5534</v>
      </c>
      <c r="H18" s="40"/>
      <c r="I18" s="40" t="s">
        <v>49</v>
      </c>
      <c r="J18" s="40">
        <v>-35.4</v>
      </c>
      <c r="K18" s="40"/>
      <c r="L18" s="40">
        <v>35.4</v>
      </c>
      <c r="M18" s="40">
        <v>-35.4</v>
      </c>
      <c r="N18" s="40"/>
      <c r="O18" s="40" t="s">
        <v>2000</v>
      </c>
    </row>
    <row r="19" spans="1:15" ht="23.25" customHeight="1" x14ac:dyDescent="0.2">
      <c r="A19" s="40" t="s">
        <v>5538</v>
      </c>
      <c r="B19" s="40" t="s">
        <v>5538</v>
      </c>
      <c r="C19" s="41">
        <v>46057</v>
      </c>
      <c r="D19" s="40"/>
      <c r="E19" s="40" t="s">
        <v>9</v>
      </c>
      <c r="F19" s="40" t="s">
        <v>5539</v>
      </c>
      <c r="G19" s="40" t="s">
        <v>5534</v>
      </c>
      <c r="H19" s="40"/>
      <c r="I19" s="40" t="s">
        <v>49</v>
      </c>
      <c r="J19" s="40">
        <v>-683.32</v>
      </c>
      <c r="K19" s="40"/>
      <c r="L19" s="40">
        <v>683.32</v>
      </c>
      <c r="M19" s="40">
        <v>-683.32</v>
      </c>
      <c r="N19" s="40"/>
      <c r="O19" s="40" t="s">
        <v>2000</v>
      </c>
    </row>
    <row r="20" spans="1:15" ht="23.25" customHeight="1" x14ac:dyDescent="0.2">
      <c r="A20" s="40" t="s">
        <v>5540</v>
      </c>
      <c r="B20" s="40" t="s">
        <v>5540</v>
      </c>
      <c r="C20" s="41">
        <v>46051</v>
      </c>
      <c r="D20" s="40"/>
      <c r="E20" s="40" t="s">
        <v>9</v>
      </c>
      <c r="F20" s="40" t="s">
        <v>5517</v>
      </c>
      <c r="G20" s="40" t="s">
        <v>5534</v>
      </c>
      <c r="H20" s="40"/>
      <c r="I20" s="40" t="s">
        <v>49</v>
      </c>
      <c r="J20" s="40">
        <v>-3406.33</v>
      </c>
      <c r="K20" s="40"/>
      <c r="L20" s="40">
        <v>3406.33</v>
      </c>
      <c r="M20" s="40">
        <v>-3406.33</v>
      </c>
      <c r="N20" s="40"/>
      <c r="O20" s="40" t="s">
        <v>2000</v>
      </c>
    </row>
    <row r="21" spans="1:15" ht="23.25" customHeight="1" x14ac:dyDescent="0.2">
      <c r="A21" s="40" t="s">
        <v>5541</v>
      </c>
      <c r="B21" s="40" t="s">
        <v>5541</v>
      </c>
      <c r="C21" s="41">
        <v>46049</v>
      </c>
      <c r="D21" s="40"/>
      <c r="E21" s="40" t="s">
        <v>9</v>
      </c>
      <c r="F21" s="40" t="s">
        <v>4809</v>
      </c>
      <c r="G21" s="40" t="s">
        <v>5542</v>
      </c>
      <c r="H21" s="40"/>
      <c r="I21" s="40" t="s">
        <v>49</v>
      </c>
      <c r="J21" s="40">
        <v>-640.5</v>
      </c>
      <c r="K21" s="40"/>
      <c r="L21" s="40">
        <v>640.5</v>
      </c>
      <c r="M21" s="40">
        <v>-640.5</v>
      </c>
      <c r="N21" s="40"/>
      <c r="O21" s="40" t="s">
        <v>2706</v>
      </c>
    </row>
    <row r="22" spans="1:15" ht="23.25" customHeight="1" x14ac:dyDescent="0.2">
      <c r="A22" s="40" t="s">
        <v>5543</v>
      </c>
      <c r="B22" s="40" t="s">
        <v>5543</v>
      </c>
      <c r="C22" s="41">
        <v>46049</v>
      </c>
      <c r="D22" s="40"/>
      <c r="E22" s="40" t="s">
        <v>9</v>
      </c>
      <c r="F22" s="40" t="s">
        <v>4809</v>
      </c>
      <c r="G22" s="40" t="s">
        <v>5544</v>
      </c>
      <c r="H22" s="40"/>
      <c r="I22" s="40" t="s">
        <v>49</v>
      </c>
      <c r="J22" s="40">
        <v>-1708</v>
      </c>
      <c r="K22" s="40"/>
      <c r="L22" s="40">
        <v>1708</v>
      </c>
      <c r="M22" s="40">
        <v>-1708</v>
      </c>
      <c r="N22" s="40"/>
      <c r="O22" s="40" t="s">
        <v>2706</v>
      </c>
    </row>
    <row r="23" spans="1:15" ht="23.25" customHeight="1" x14ac:dyDescent="0.2">
      <c r="A23" s="40" t="s">
        <v>5545</v>
      </c>
      <c r="B23" s="40" t="s">
        <v>5546</v>
      </c>
      <c r="C23" s="41">
        <v>46042</v>
      </c>
      <c r="D23" s="41">
        <v>46042</v>
      </c>
      <c r="E23" s="40" t="s">
        <v>9</v>
      </c>
      <c r="F23" s="40" t="s">
        <v>4598</v>
      </c>
      <c r="G23" s="40" t="s">
        <v>5547</v>
      </c>
      <c r="H23" s="40" t="s">
        <v>5548</v>
      </c>
      <c r="I23" s="40" t="s">
        <v>49</v>
      </c>
      <c r="J23" s="40">
        <v>6553.18</v>
      </c>
      <c r="K23" s="40">
        <v>6553.18</v>
      </c>
      <c r="L23" s="40"/>
      <c r="M23" s="40">
        <v>6553.18</v>
      </c>
      <c r="N23" s="40"/>
      <c r="O23" s="40" t="s">
        <v>2706</v>
      </c>
    </row>
    <row r="24" spans="1:15" ht="23.25" customHeight="1" x14ac:dyDescent="0.2">
      <c r="A24" s="40" t="s">
        <v>5549</v>
      </c>
      <c r="B24" s="40" t="s">
        <v>5549</v>
      </c>
      <c r="C24" s="41">
        <v>46037</v>
      </c>
      <c r="D24" s="40"/>
      <c r="E24" s="40" t="s">
        <v>9</v>
      </c>
      <c r="F24" s="40" t="s">
        <v>607</v>
      </c>
      <c r="G24" s="40" t="s">
        <v>5550</v>
      </c>
      <c r="H24" s="40"/>
      <c r="I24" s="40" t="s">
        <v>49</v>
      </c>
      <c r="J24" s="40">
        <v>-371.29</v>
      </c>
      <c r="K24" s="40"/>
      <c r="L24" s="40">
        <v>371.29</v>
      </c>
      <c r="M24" s="40">
        <v>-371.29</v>
      </c>
      <c r="N24" s="40"/>
      <c r="O24" s="40" t="s">
        <v>234</v>
      </c>
    </row>
    <row r="25" spans="1:15" ht="23.25" customHeight="1" x14ac:dyDescent="0.2">
      <c r="A25" s="40" t="s">
        <v>5551</v>
      </c>
      <c r="B25" s="40" t="s">
        <v>5552</v>
      </c>
      <c r="C25" s="41">
        <v>46029</v>
      </c>
      <c r="D25" s="41">
        <v>46029</v>
      </c>
      <c r="E25" s="40" t="s">
        <v>9</v>
      </c>
      <c r="F25" s="40" t="s">
        <v>4614</v>
      </c>
      <c r="G25" s="40" t="s">
        <v>5553</v>
      </c>
      <c r="H25" s="40" t="s">
        <v>5554</v>
      </c>
      <c r="I25" s="40" t="s">
        <v>49</v>
      </c>
      <c r="J25" s="40">
        <v>208.65</v>
      </c>
      <c r="K25" s="40">
        <v>208.65</v>
      </c>
      <c r="L25" s="40"/>
      <c r="M25" s="40">
        <v>208.65</v>
      </c>
      <c r="N25" s="40"/>
      <c r="O25" s="40" t="s">
        <v>2706</v>
      </c>
    </row>
    <row r="26" spans="1:15" ht="23.25" customHeight="1" x14ac:dyDescent="0.2">
      <c r="A26" s="40" t="s">
        <v>5555</v>
      </c>
      <c r="B26" s="40" t="s">
        <v>5555</v>
      </c>
      <c r="C26" s="41">
        <v>46028</v>
      </c>
      <c r="D26" s="40"/>
      <c r="E26" s="40" t="s">
        <v>9</v>
      </c>
      <c r="F26" s="40" t="s">
        <v>5556</v>
      </c>
      <c r="G26" s="40" t="s">
        <v>5534</v>
      </c>
      <c r="H26" s="40"/>
      <c r="I26" s="40" t="s">
        <v>49</v>
      </c>
      <c r="J26" s="40">
        <v>-4.0199999999999996</v>
      </c>
      <c r="K26" s="40"/>
      <c r="L26" s="40">
        <v>4.0199999999999996</v>
      </c>
      <c r="M26" s="40">
        <v>-4.0199999999999996</v>
      </c>
      <c r="N26" s="40"/>
      <c r="O26" s="40" t="s">
        <v>2000</v>
      </c>
    </row>
    <row r="27" spans="1:15" ht="23.25" customHeight="1" x14ac:dyDescent="0.2">
      <c r="A27" s="40" t="s">
        <v>5557</v>
      </c>
      <c r="B27" s="40" t="s">
        <v>5558</v>
      </c>
      <c r="C27" s="41">
        <v>46023</v>
      </c>
      <c r="D27" s="41">
        <v>46023</v>
      </c>
      <c r="E27" s="40" t="s">
        <v>9</v>
      </c>
      <c r="F27" s="40" t="s">
        <v>5559</v>
      </c>
      <c r="G27" s="40" t="s">
        <v>5560</v>
      </c>
      <c r="H27" s="40" t="s">
        <v>5561</v>
      </c>
      <c r="I27" s="40" t="s">
        <v>49</v>
      </c>
      <c r="J27" s="40">
        <v>75</v>
      </c>
      <c r="K27" s="40">
        <v>75</v>
      </c>
      <c r="L27" s="40"/>
      <c r="M27" s="40">
        <v>75</v>
      </c>
      <c r="N27" s="40"/>
      <c r="O27" s="40" t="s">
        <v>234</v>
      </c>
    </row>
    <row r="28" spans="1:15" ht="23.25" customHeight="1" x14ac:dyDescent="0.2">
      <c r="A28" s="40" t="s">
        <v>5562</v>
      </c>
      <c r="B28" s="40" t="s">
        <v>5562</v>
      </c>
      <c r="C28" s="41">
        <v>46017</v>
      </c>
      <c r="D28" s="40"/>
      <c r="E28" s="40" t="s">
        <v>9</v>
      </c>
      <c r="F28" s="40" t="s">
        <v>607</v>
      </c>
      <c r="G28" s="40" t="s">
        <v>5534</v>
      </c>
      <c r="H28" s="40"/>
      <c r="I28" s="40" t="s">
        <v>49</v>
      </c>
      <c r="J28" s="40">
        <v>-200.86</v>
      </c>
      <c r="K28" s="40"/>
      <c r="L28" s="40">
        <v>200.86</v>
      </c>
      <c r="M28" s="40">
        <v>-200.86</v>
      </c>
      <c r="N28" s="40"/>
      <c r="O28" s="40" t="s">
        <v>2000</v>
      </c>
    </row>
    <row r="29" spans="1:15" ht="23.25" customHeight="1" x14ac:dyDescent="0.2">
      <c r="A29" s="40" t="s">
        <v>5563</v>
      </c>
      <c r="B29" s="40" t="s">
        <v>5563</v>
      </c>
      <c r="C29" s="41">
        <v>46017</v>
      </c>
      <c r="D29" s="40"/>
      <c r="E29" s="40" t="s">
        <v>9</v>
      </c>
      <c r="F29" s="40" t="s">
        <v>4614</v>
      </c>
      <c r="G29" s="40" t="s">
        <v>5534</v>
      </c>
      <c r="H29" s="40"/>
      <c r="I29" s="40" t="s">
        <v>49</v>
      </c>
      <c r="J29" s="40">
        <v>-96.83</v>
      </c>
      <c r="K29" s="40"/>
      <c r="L29" s="40">
        <v>96.83</v>
      </c>
      <c r="M29" s="40">
        <v>-96.83</v>
      </c>
      <c r="N29" s="40"/>
      <c r="O29" s="40" t="s">
        <v>2000</v>
      </c>
    </row>
    <row r="30" spans="1:15" ht="23.25" customHeight="1" x14ac:dyDescent="0.2">
      <c r="A30" s="40" t="s">
        <v>5564</v>
      </c>
      <c r="B30" s="40" t="s">
        <v>5564</v>
      </c>
      <c r="C30" s="41">
        <v>46013</v>
      </c>
      <c r="D30" s="40"/>
      <c r="E30" s="40" t="s">
        <v>9</v>
      </c>
      <c r="F30" s="40" t="s">
        <v>3315</v>
      </c>
      <c r="G30" s="40" t="s">
        <v>5542</v>
      </c>
      <c r="H30" s="40"/>
      <c r="I30" s="40" t="s">
        <v>49</v>
      </c>
      <c r="J30" s="40">
        <v>-151.31</v>
      </c>
      <c r="K30" s="40"/>
      <c r="L30" s="40">
        <v>151.31</v>
      </c>
      <c r="M30" s="40">
        <v>-151.31</v>
      </c>
      <c r="N30" s="40"/>
      <c r="O30" s="40" t="s">
        <v>2706</v>
      </c>
    </row>
    <row r="31" spans="1:15" ht="23.25" customHeight="1" x14ac:dyDescent="0.2">
      <c r="A31" s="40" t="s">
        <v>5565</v>
      </c>
      <c r="B31" s="40" t="s">
        <v>5565</v>
      </c>
      <c r="C31" s="41">
        <v>46010</v>
      </c>
      <c r="D31" s="40"/>
      <c r="E31" s="40" t="s">
        <v>9</v>
      </c>
      <c r="F31" s="40" t="s">
        <v>3152</v>
      </c>
      <c r="G31" s="40" t="s">
        <v>5534</v>
      </c>
      <c r="H31" s="40"/>
      <c r="I31" s="40" t="s">
        <v>49</v>
      </c>
      <c r="J31" s="40">
        <v>-190.5</v>
      </c>
      <c r="K31" s="40"/>
      <c r="L31" s="40">
        <v>190.5</v>
      </c>
      <c r="M31" s="40">
        <v>-190.5</v>
      </c>
      <c r="N31" s="40"/>
      <c r="O31" s="40" t="s">
        <v>2000</v>
      </c>
    </row>
    <row r="32" spans="1:15" ht="23.25" customHeight="1" x14ac:dyDescent="0.2">
      <c r="A32" s="40" t="s">
        <v>5566</v>
      </c>
      <c r="B32" s="40" t="s">
        <v>5566</v>
      </c>
      <c r="C32" s="41">
        <v>46006</v>
      </c>
      <c r="D32" s="40"/>
      <c r="E32" s="40" t="s">
        <v>9</v>
      </c>
      <c r="F32" s="40" t="s">
        <v>4598</v>
      </c>
      <c r="G32" s="40" t="s">
        <v>5534</v>
      </c>
      <c r="H32" s="40"/>
      <c r="I32" s="40" t="s">
        <v>49</v>
      </c>
      <c r="J32" s="40">
        <v>-6521.91</v>
      </c>
      <c r="K32" s="40"/>
      <c r="L32" s="40">
        <v>6521.91</v>
      </c>
      <c r="M32" s="40">
        <v>-6521.91</v>
      </c>
      <c r="N32" s="40"/>
      <c r="O32" s="40" t="s">
        <v>2000</v>
      </c>
    </row>
    <row r="33" spans="1:15" ht="23.25" customHeight="1" x14ac:dyDescent="0.2">
      <c r="A33" s="40" t="s">
        <v>5567</v>
      </c>
      <c r="B33" s="40" t="s">
        <v>5567</v>
      </c>
      <c r="C33" s="41">
        <v>46006</v>
      </c>
      <c r="D33" s="40"/>
      <c r="E33" s="40" t="s">
        <v>9</v>
      </c>
      <c r="F33" s="40" t="s">
        <v>5568</v>
      </c>
      <c r="G33" s="40" t="s">
        <v>5534</v>
      </c>
      <c r="H33" s="40"/>
      <c r="I33" s="40" t="s">
        <v>49</v>
      </c>
      <c r="J33" s="40">
        <v>-10</v>
      </c>
      <c r="K33" s="40"/>
      <c r="L33" s="40">
        <v>10</v>
      </c>
      <c r="M33" s="40">
        <v>-10</v>
      </c>
      <c r="N33" s="40"/>
      <c r="O33" s="40" t="s">
        <v>2000</v>
      </c>
    </row>
    <row r="34" spans="1:15" ht="23.25" customHeight="1" x14ac:dyDescent="0.2">
      <c r="A34" s="40" t="s">
        <v>5569</v>
      </c>
      <c r="B34" s="40" t="s">
        <v>5569</v>
      </c>
      <c r="C34" s="41">
        <v>46003</v>
      </c>
      <c r="D34" s="40"/>
      <c r="E34" s="40" t="s">
        <v>9</v>
      </c>
      <c r="F34" s="40" t="s">
        <v>3319</v>
      </c>
      <c r="G34" s="40" t="s">
        <v>5570</v>
      </c>
      <c r="H34" s="40"/>
      <c r="I34" s="40" t="s">
        <v>49</v>
      </c>
      <c r="J34" s="40">
        <v>-245.7</v>
      </c>
      <c r="K34" s="40"/>
      <c r="L34" s="40">
        <v>245.7</v>
      </c>
      <c r="M34" s="40">
        <v>-245.7</v>
      </c>
      <c r="N34" s="40"/>
      <c r="O34" s="40" t="s">
        <v>234</v>
      </c>
    </row>
    <row r="35" spans="1:15" ht="23.25" customHeight="1" x14ac:dyDescent="0.2">
      <c r="A35" s="40" t="s">
        <v>5571</v>
      </c>
      <c r="B35" s="40" t="s">
        <v>5571</v>
      </c>
      <c r="C35" s="41">
        <v>45996</v>
      </c>
      <c r="D35" s="40"/>
      <c r="E35" s="40" t="s">
        <v>9</v>
      </c>
      <c r="F35" s="40" t="s">
        <v>2416</v>
      </c>
      <c r="G35" s="40" t="s">
        <v>5572</v>
      </c>
      <c r="H35" s="40"/>
      <c r="I35" s="40" t="s">
        <v>49</v>
      </c>
      <c r="J35" s="40">
        <v>-97.94</v>
      </c>
      <c r="K35" s="40"/>
      <c r="L35" s="40">
        <v>97.94</v>
      </c>
      <c r="M35" s="40">
        <v>-97.94</v>
      </c>
      <c r="N35" s="40"/>
      <c r="O35" s="40" t="s">
        <v>2000</v>
      </c>
    </row>
    <row r="36" spans="1:15" ht="23.25" customHeight="1" x14ac:dyDescent="0.2">
      <c r="A36" s="40" t="s">
        <v>5573</v>
      </c>
      <c r="B36" s="40" t="s">
        <v>5573</v>
      </c>
      <c r="C36" s="41">
        <v>45975</v>
      </c>
      <c r="D36" s="40"/>
      <c r="E36" s="40" t="s">
        <v>9</v>
      </c>
      <c r="F36" s="40" t="s">
        <v>607</v>
      </c>
      <c r="G36" s="40" t="s">
        <v>5534</v>
      </c>
      <c r="H36" s="40"/>
      <c r="I36" s="40" t="s">
        <v>49</v>
      </c>
      <c r="J36" s="40">
        <v>-723.27</v>
      </c>
      <c r="K36" s="40"/>
      <c r="L36" s="40">
        <v>723.27</v>
      </c>
      <c r="M36" s="40">
        <v>-723.27</v>
      </c>
      <c r="N36" s="40"/>
      <c r="O36" s="40" t="s">
        <v>2000</v>
      </c>
    </row>
    <row r="37" spans="1:15" ht="23.25" customHeight="1" x14ac:dyDescent="0.2">
      <c r="A37" s="40" t="s">
        <v>5574</v>
      </c>
      <c r="B37" s="40" t="s">
        <v>5574</v>
      </c>
      <c r="C37" s="41">
        <v>45972</v>
      </c>
      <c r="D37" s="40"/>
      <c r="E37" s="40" t="s">
        <v>9</v>
      </c>
      <c r="F37" s="40" t="s">
        <v>3724</v>
      </c>
      <c r="G37" s="40" t="s">
        <v>5575</v>
      </c>
      <c r="H37" s="40"/>
      <c r="I37" s="40" t="s">
        <v>49</v>
      </c>
      <c r="J37" s="40">
        <v>-2466.4699999999998</v>
      </c>
      <c r="K37" s="40"/>
      <c r="L37" s="40">
        <v>2466.4699999999998</v>
      </c>
      <c r="M37" s="40">
        <v>-2466.4699999999998</v>
      </c>
      <c r="N37" s="40"/>
      <c r="O37" s="40" t="s">
        <v>234</v>
      </c>
    </row>
    <row r="38" spans="1:15" ht="23.25" customHeight="1" x14ac:dyDescent="0.2">
      <c r="A38" s="40" t="s">
        <v>5576</v>
      </c>
      <c r="B38" s="40" t="s">
        <v>5576</v>
      </c>
      <c r="C38" s="41">
        <v>45954</v>
      </c>
      <c r="D38" s="40"/>
      <c r="E38" s="40" t="s">
        <v>9</v>
      </c>
      <c r="F38" s="40" t="s">
        <v>549</v>
      </c>
      <c r="G38" s="40" t="s">
        <v>5542</v>
      </c>
      <c r="H38" s="40"/>
      <c r="I38" s="40" t="s">
        <v>49</v>
      </c>
      <c r="J38" s="40">
        <v>-4.2699999999999996</v>
      </c>
      <c r="K38" s="40"/>
      <c r="L38" s="40">
        <v>4.2699999999999996</v>
      </c>
      <c r="M38" s="40">
        <v>-4.2699999999999996</v>
      </c>
      <c r="N38" s="40"/>
      <c r="O38" s="40" t="s">
        <v>2706</v>
      </c>
    </row>
    <row r="39" spans="1:15" ht="23.25" customHeight="1" x14ac:dyDescent="0.2">
      <c r="A39" s="40" t="s">
        <v>5577</v>
      </c>
      <c r="B39" s="40" t="s">
        <v>5577</v>
      </c>
      <c r="C39" s="41">
        <v>45952</v>
      </c>
      <c r="D39" s="40"/>
      <c r="E39" s="40" t="s">
        <v>9</v>
      </c>
      <c r="F39" s="40" t="s">
        <v>3724</v>
      </c>
      <c r="G39" s="40" t="s">
        <v>5578</v>
      </c>
      <c r="H39" s="40"/>
      <c r="I39" s="40" t="s">
        <v>49</v>
      </c>
      <c r="J39" s="40">
        <v>41.95</v>
      </c>
      <c r="K39" s="40">
        <v>41.95</v>
      </c>
      <c r="L39" s="40"/>
      <c r="M39" s="40">
        <v>41.95</v>
      </c>
      <c r="N39" s="40"/>
      <c r="O39" s="40" t="s">
        <v>2000</v>
      </c>
    </row>
    <row r="40" spans="1:15" ht="23.25" customHeight="1" x14ac:dyDescent="0.2">
      <c r="A40" s="40" t="s">
        <v>5579</v>
      </c>
      <c r="B40" s="40" t="s">
        <v>5579</v>
      </c>
      <c r="C40" s="41">
        <v>45947</v>
      </c>
      <c r="D40" s="40"/>
      <c r="E40" s="40" t="s">
        <v>9</v>
      </c>
      <c r="F40" s="40" t="s">
        <v>5580</v>
      </c>
      <c r="G40" s="40" t="s">
        <v>5581</v>
      </c>
      <c r="H40" s="40"/>
      <c r="I40" s="40" t="s">
        <v>49</v>
      </c>
      <c r="J40" s="40">
        <v>-21.97</v>
      </c>
      <c r="K40" s="40"/>
      <c r="L40" s="40">
        <v>21.97</v>
      </c>
      <c r="M40" s="40">
        <v>-21.97</v>
      </c>
      <c r="N40" s="40"/>
      <c r="O40" s="40" t="s">
        <v>234</v>
      </c>
    </row>
    <row r="41" spans="1:15" ht="23.25" customHeight="1" x14ac:dyDescent="0.2">
      <c r="A41" s="40" t="s">
        <v>5582</v>
      </c>
      <c r="B41" s="40" t="s">
        <v>5582</v>
      </c>
      <c r="C41" s="41">
        <v>45943</v>
      </c>
      <c r="D41" s="40"/>
      <c r="E41" s="40" t="s">
        <v>9</v>
      </c>
      <c r="F41" s="40" t="s">
        <v>5583</v>
      </c>
      <c r="G41" s="40" t="s">
        <v>5584</v>
      </c>
      <c r="H41" s="40"/>
      <c r="I41" s="40" t="s">
        <v>49</v>
      </c>
      <c r="J41" s="40">
        <v>-24.75</v>
      </c>
      <c r="K41" s="40"/>
      <c r="L41" s="40">
        <v>24.75</v>
      </c>
      <c r="M41" s="40">
        <v>-24.75</v>
      </c>
      <c r="N41" s="40"/>
      <c r="O41" s="40" t="s">
        <v>2000</v>
      </c>
    </row>
    <row r="42" spans="1:15" ht="23.25" customHeight="1" x14ac:dyDescent="0.2">
      <c r="A42" s="40" t="s">
        <v>5585</v>
      </c>
      <c r="B42" s="40" t="s">
        <v>5585</v>
      </c>
      <c r="C42" s="41">
        <v>45936</v>
      </c>
      <c r="D42" s="40"/>
      <c r="E42" s="40" t="s">
        <v>9</v>
      </c>
      <c r="F42" s="40" t="s">
        <v>5586</v>
      </c>
      <c r="G42" s="40" t="s">
        <v>5587</v>
      </c>
      <c r="H42" s="40"/>
      <c r="I42" s="40" t="s">
        <v>49</v>
      </c>
      <c r="J42" s="40">
        <v>-37.36</v>
      </c>
      <c r="K42" s="40"/>
      <c r="L42" s="40">
        <v>37.36</v>
      </c>
      <c r="M42" s="40">
        <v>-37.36</v>
      </c>
      <c r="N42" s="40"/>
      <c r="O42" s="40" t="s">
        <v>2000</v>
      </c>
    </row>
    <row r="43" spans="1:15" ht="23.25" customHeight="1" x14ac:dyDescent="0.2">
      <c r="A43" s="40" t="s">
        <v>5588</v>
      </c>
      <c r="B43" s="40" t="s">
        <v>5588</v>
      </c>
      <c r="C43" s="41">
        <v>45932</v>
      </c>
      <c r="D43" s="40"/>
      <c r="E43" s="40" t="s">
        <v>9</v>
      </c>
      <c r="F43" s="40" t="s">
        <v>5589</v>
      </c>
      <c r="G43" s="40" t="s">
        <v>5590</v>
      </c>
      <c r="H43" s="40"/>
      <c r="I43" s="40" t="s">
        <v>49</v>
      </c>
      <c r="J43" s="40">
        <v>-52.99</v>
      </c>
      <c r="K43" s="40"/>
      <c r="L43" s="40">
        <v>52.99</v>
      </c>
      <c r="M43" s="40">
        <v>-52.99</v>
      </c>
      <c r="N43" s="40"/>
      <c r="O43" s="40" t="s">
        <v>2000</v>
      </c>
    </row>
    <row r="44" spans="1:15" ht="23.25" customHeight="1" x14ac:dyDescent="0.2">
      <c r="A44" s="40" t="s">
        <v>5591</v>
      </c>
      <c r="B44" s="40" t="s">
        <v>5591</v>
      </c>
      <c r="C44" s="41">
        <v>45930</v>
      </c>
      <c r="D44" s="40"/>
      <c r="E44" s="40" t="s">
        <v>9</v>
      </c>
      <c r="F44" s="40" t="s">
        <v>4639</v>
      </c>
      <c r="G44" s="40" t="s">
        <v>5536</v>
      </c>
      <c r="H44" s="40"/>
      <c r="I44" s="40" t="s">
        <v>49</v>
      </c>
      <c r="J44" s="40">
        <v>-577.83000000000004</v>
      </c>
      <c r="K44" s="40"/>
      <c r="L44" s="40">
        <v>577.83000000000004</v>
      </c>
      <c r="M44" s="40">
        <v>-577.83000000000004</v>
      </c>
      <c r="N44" s="40"/>
      <c r="O44" s="40" t="s">
        <v>234</v>
      </c>
    </row>
    <row r="45" spans="1:15" ht="23.25" customHeight="1" x14ac:dyDescent="0.2">
      <c r="A45" s="40" t="s">
        <v>5592</v>
      </c>
      <c r="B45" s="40" t="s">
        <v>5592</v>
      </c>
      <c r="C45" s="41">
        <v>45929</v>
      </c>
      <c r="D45" s="40"/>
      <c r="E45" s="40" t="s">
        <v>9</v>
      </c>
      <c r="F45" s="40" t="s">
        <v>5593</v>
      </c>
      <c r="G45" s="40" t="s">
        <v>5594</v>
      </c>
      <c r="H45" s="40"/>
      <c r="I45" s="40" t="s">
        <v>49</v>
      </c>
      <c r="J45" s="40">
        <v>-51.27</v>
      </c>
      <c r="K45" s="40"/>
      <c r="L45" s="40">
        <v>51.27</v>
      </c>
      <c r="M45" s="40">
        <v>-51.27</v>
      </c>
      <c r="N45" s="40"/>
      <c r="O45" s="40" t="s">
        <v>2000</v>
      </c>
    </row>
    <row r="46" spans="1:15" ht="23.25" customHeight="1" x14ac:dyDescent="0.2">
      <c r="A46" s="40" t="s">
        <v>5595</v>
      </c>
      <c r="B46" s="40" t="s">
        <v>5595</v>
      </c>
      <c r="C46" s="41">
        <v>46009</v>
      </c>
      <c r="D46" s="40"/>
      <c r="E46" s="40" t="s">
        <v>9</v>
      </c>
      <c r="F46" s="40" t="s">
        <v>295</v>
      </c>
      <c r="G46" s="40" t="s">
        <v>5525</v>
      </c>
      <c r="H46" s="40"/>
      <c r="I46" s="40" t="s">
        <v>49</v>
      </c>
      <c r="J46" s="40">
        <v>-313.88</v>
      </c>
      <c r="K46" s="40"/>
      <c r="L46" s="40">
        <v>313.88</v>
      </c>
      <c r="M46" s="42">
        <v>-313.88</v>
      </c>
      <c r="N46" s="40" t="s">
        <v>5596</v>
      </c>
      <c r="O46" s="40" t="s">
        <v>2000</v>
      </c>
    </row>
    <row r="47" spans="1:15" ht="23.25" customHeight="1" x14ac:dyDescent="0.2">
      <c r="A47" s="40" t="s">
        <v>5597</v>
      </c>
      <c r="B47" s="40" t="s">
        <v>5597</v>
      </c>
      <c r="C47" s="41">
        <v>45927</v>
      </c>
      <c r="D47" s="40"/>
      <c r="E47" s="40" t="s">
        <v>9</v>
      </c>
      <c r="F47" s="40" t="s">
        <v>4560</v>
      </c>
      <c r="G47" s="40" t="s">
        <v>5529</v>
      </c>
      <c r="H47" s="40"/>
      <c r="I47" s="40" t="s">
        <v>49</v>
      </c>
      <c r="J47" s="40">
        <v>-403.81</v>
      </c>
      <c r="K47" s="40"/>
      <c r="L47" s="40">
        <v>403.81</v>
      </c>
      <c r="M47" s="40">
        <v>-403.81</v>
      </c>
      <c r="N47" s="40"/>
      <c r="O47" s="40" t="s">
        <v>2000</v>
      </c>
    </row>
    <row r="48" spans="1:15" ht="23.25" customHeight="1" x14ac:dyDescent="0.2">
      <c r="A48" s="40" t="s">
        <v>5598</v>
      </c>
      <c r="B48" s="40" t="s">
        <v>5598</v>
      </c>
      <c r="C48" s="41">
        <v>46001</v>
      </c>
      <c r="D48" s="40"/>
      <c r="E48" s="40" t="s">
        <v>9</v>
      </c>
      <c r="F48" s="40" t="s">
        <v>295</v>
      </c>
      <c r="G48" s="40" t="s">
        <v>5525</v>
      </c>
      <c r="H48" s="40"/>
      <c r="I48" s="40" t="s">
        <v>49</v>
      </c>
      <c r="J48" s="40">
        <v>-1400</v>
      </c>
      <c r="K48" s="40"/>
      <c r="L48" s="40">
        <v>1400</v>
      </c>
      <c r="M48" s="42">
        <v>-1400</v>
      </c>
      <c r="N48" s="40" t="s">
        <v>5596</v>
      </c>
      <c r="O48" s="40" t="s">
        <v>2000</v>
      </c>
    </row>
    <row r="49" spans="1:15" ht="23.25" customHeight="1" x14ac:dyDescent="0.2">
      <c r="A49" s="40" t="s">
        <v>5599</v>
      </c>
      <c r="B49" s="40" t="s">
        <v>5599</v>
      </c>
      <c r="C49" s="41">
        <v>45989</v>
      </c>
      <c r="D49" s="40"/>
      <c r="E49" s="40" t="s">
        <v>9</v>
      </c>
      <c r="F49" s="40" t="s">
        <v>295</v>
      </c>
      <c r="G49" s="40" t="s">
        <v>5600</v>
      </c>
      <c r="H49" s="40"/>
      <c r="I49" s="40" t="s">
        <v>49</v>
      </c>
      <c r="J49" s="40">
        <v>-1525.55</v>
      </c>
      <c r="K49" s="40"/>
      <c r="L49" s="40">
        <v>1525.55</v>
      </c>
      <c r="M49" s="42">
        <v>-1525.55</v>
      </c>
      <c r="N49" s="40" t="s">
        <v>5596</v>
      </c>
      <c r="O49" s="40" t="s">
        <v>234</v>
      </c>
    </row>
    <row r="50" spans="1:15" ht="23.25" customHeight="1" x14ac:dyDescent="0.2">
      <c r="A50" s="40" t="s">
        <v>5601</v>
      </c>
      <c r="B50" s="40" t="s">
        <v>5601</v>
      </c>
      <c r="C50" s="41">
        <v>45985</v>
      </c>
      <c r="D50" s="40"/>
      <c r="E50" s="40" t="s">
        <v>9</v>
      </c>
      <c r="F50" s="40" t="s">
        <v>295</v>
      </c>
      <c r="G50" s="40" t="s">
        <v>5600</v>
      </c>
      <c r="H50" s="40"/>
      <c r="I50" s="40" t="s">
        <v>49</v>
      </c>
      <c r="J50" s="40">
        <v>-2304.66</v>
      </c>
      <c r="K50" s="40"/>
      <c r="L50" s="40">
        <v>2304.66</v>
      </c>
      <c r="M50" s="42">
        <v>-2304.66</v>
      </c>
      <c r="N50" s="40" t="s">
        <v>5596</v>
      </c>
      <c r="O50" s="40" t="s">
        <v>234</v>
      </c>
    </row>
    <row r="51" spans="1:15" ht="23.25" customHeight="1" x14ac:dyDescent="0.2">
      <c r="A51" s="40" t="s">
        <v>5602</v>
      </c>
      <c r="B51" s="40" t="s">
        <v>5602</v>
      </c>
      <c r="C51" s="41">
        <v>45979</v>
      </c>
      <c r="D51" s="40"/>
      <c r="E51" s="40" t="s">
        <v>9</v>
      </c>
      <c r="F51" s="40" t="s">
        <v>295</v>
      </c>
      <c r="G51" s="40" t="s">
        <v>5525</v>
      </c>
      <c r="H51" s="40"/>
      <c r="I51" s="40" t="s">
        <v>49</v>
      </c>
      <c r="J51" s="40">
        <v>-210</v>
      </c>
      <c r="K51" s="40"/>
      <c r="L51" s="40">
        <v>210</v>
      </c>
      <c r="M51" s="42">
        <v>-210</v>
      </c>
      <c r="N51" s="40" t="s">
        <v>5596</v>
      </c>
      <c r="O51" s="40" t="s">
        <v>2000</v>
      </c>
    </row>
    <row r="52" spans="1:15" ht="23.25" customHeight="1" x14ac:dyDescent="0.2">
      <c r="A52" s="40" t="s">
        <v>5603</v>
      </c>
      <c r="B52" s="40" t="s">
        <v>5603</v>
      </c>
      <c r="C52" s="41">
        <v>45964</v>
      </c>
      <c r="D52" s="40"/>
      <c r="E52" s="40" t="s">
        <v>9</v>
      </c>
      <c r="F52" s="40" t="s">
        <v>295</v>
      </c>
      <c r="G52" s="40" t="s">
        <v>5600</v>
      </c>
      <c r="H52" s="40"/>
      <c r="I52" s="40" t="s">
        <v>49</v>
      </c>
      <c r="J52" s="40">
        <v>-1433.98</v>
      </c>
      <c r="K52" s="40"/>
      <c r="L52" s="40">
        <v>1433.98</v>
      </c>
      <c r="M52" s="42">
        <v>-1433.98</v>
      </c>
      <c r="N52" s="40" t="s">
        <v>5596</v>
      </c>
      <c r="O52" s="40" t="s">
        <v>234</v>
      </c>
    </row>
    <row r="53" spans="1:15" ht="23.25" customHeight="1" x14ac:dyDescent="0.2">
      <c r="A53" s="40" t="s">
        <v>5604</v>
      </c>
      <c r="B53" s="40" t="s">
        <v>5604</v>
      </c>
      <c r="C53" s="41">
        <v>45920</v>
      </c>
      <c r="D53" s="40"/>
      <c r="E53" s="40" t="s">
        <v>9</v>
      </c>
      <c r="F53" s="40" t="s">
        <v>275</v>
      </c>
      <c r="G53" s="40" t="s">
        <v>5534</v>
      </c>
      <c r="H53" s="40"/>
      <c r="I53" s="40" t="s">
        <v>49</v>
      </c>
      <c r="J53" s="40">
        <v>-30.5</v>
      </c>
      <c r="K53" s="40"/>
      <c r="L53" s="40">
        <v>30.5</v>
      </c>
      <c r="M53" s="40">
        <v>-30.5</v>
      </c>
      <c r="N53" s="40"/>
      <c r="O53" s="40" t="s">
        <v>2000</v>
      </c>
    </row>
    <row r="54" spans="1:15" ht="23.25" customHeight="1" x14ac:dyDescent="0.2">
      <c r="A54" s="40" t="s">
        <v>5605</v>
      </c>
      <c r="B54" s="40" t="s">
        <v>5605</v>
      </c>
      <c r="C54" s="41">
        <v>45919</v>
      </c>
      <c r="D54" s="40"/>
      <c r="E54" s="40" t="s">
        <v>9</v>
      </c>
      <c r="F54" s="40" t="s">
        <v>339</v>
      </c>
      <c r="G54" s="40" t="s">
        <v>5536</v>
      </c>
      <c r="H54" s="40"/>
      <c r="I54" s="40" t="s">
        <v>49</v>
      </c>
      <c r="J54" s="40">
        <v>-20</v>
      </c>
      <c r="K54" s="40"/>
      <c r="L54" s="40">
        <v>20</v>
      </c>
      <c r="M54" s="40">
        <v>-20</v>
      </c>
      <c r="N54" s="40"/>
      <c r="O54" s="40" t="s">
        <v>234</v>
      </c>
    </row>
    <row r="55" spans="1:15" ht="23.25" customHeight="1" x14ac:dyDescent="0.2">
      <c r="A55" s="40" t="s">
        <v>5606</v>
      </c>
      <c r="B55" s="40" t="s">
        <v>5606</v>
      </c>
      <c r="C55" s="41">
        <v>45901</v>
      </c>
      <c r="D55" s="40"/>
      <c r="E55" s="40" t="s">
        <v>9</v>
      </c>
      <c r="F55" s="40" t="s">
        <v>295</v>
      </c>
      <c r="G55" s="40" t="s">
        <v>5607</v>
      </c>
      <c r="H55" s="40"/>
      <c r="I55" s="40" t="s">
        <v>49</v>
      </c>
      <c r="J55" s="40">
        <v>-2949</v>
      </c>
      <c r="K55" s="40"/>
      <c r="L55" s="40">
        <v>2949</v>
      </c>
      <c r="M55" s="42">
        <v>-2949</v>
      </c>
      <c r="N55" s="40" t="s">
        <v>5596</v>
      </c>
      <c r="O55" s="40" t="s">
        <v>234</v>
      </c>
    </row>
    <row r="56" spans="1:15" ht="23.25" customHeight="1" x14ac:dyDescent="0.2">
      <c r="A56" s="40" t="s">
        <v>5608</v>
      </c>
      <c r="B56" s="40" t="s">
        <v>5608</v>
      </c>
      <c r="C56" s="41">
        <v>45755</v>
      </c>
      <c r="D56" s="40"/>
      <c r="E56" s="40" t="s">
        <v>9</v>
      </c>
      <c r="F56" s="40" t="s">
        <v>295</v>
      </c>
      <c r="G56" s="40" t="s">
        <v>5609</v>
      </c>
      <c r="H56" s="40"/>
      <c r="I56" s="40" t="s">
        <v>49</v>
      </c>
      <c r="J56" s="40">
        <v>-791</v>
      </c>
      <c r="K56" s="40"/>
      <c r="L56" s="40">
        <v>791</v>
      </c>
      <c r="M56" s="42">
        <v>-791</v>
      </c>
      <c r="N56" s="40" t="s">
        <v>5596</v>
      </c>
      <c r="O56" s="40" t="s">
        <v>234</v>
      </c>
    </row>
    <row r="57" spans="1:15" ht="23.25" customHeight="1" x14ac:dyDescent="0.2">
      <c r="A57" s="40" t="s">
        <v>5610</v>
      </c>
      <c r="B57" s="40" t="s">
        <v>5610</v>
      </c>
      <c r="C57" s="41">
        <v>45755</v>
      </c>
      <c r="D57" s="40"/>
      <c r="E57" s="40" t="s">
        <v>9</v>
      </c>
      <c r="F57" s="40" t="s">
        <v>295</v>
      </c>
      <c r="G57" s="40" t="s">
        <v>5611</v>
      </c>
      <c r="H57" s="40"/>
      <c r="I57" s="40" t="s">
        <v>49</v>
      </c>
      <c r="J57" s="40">
        <v>-727</v>
      </c>
      <c r="K57" s="40"/>
      <c r="L57" s="40">
        <v>727</v>
      </c>
      <c r="M57" s="42">
        <v>-727</v>
      </c>
      <c r="N57" s="40" t="s">
        <v>5596</v>
      </c>
      <c r="O57" s="40" t="s">
        <v>234</v>
      </c>
    </row>
    <row r="58" spans="1:15" ht="23.25" customHeight="1" x14ac:dyDescent="0.2">
      <c r="A58" s="40" t="s">
        <v>5612</v>
      </c>
      <c r="B58" s="40" t="s">
        <v>5612</v>
      </c>
      <c r="C58" s="41">
        <v>45745</v>
      </c>
      <c r="D58" s="40"/>
      <c r="E58" s="40" t="s">
        <v>9</v>
      </c>
      <c r="F58" s="40" t="s">
        <v>295</v>
      </c>
      <c r="G58" s="40" t="s">
        <v>5525</v>
      </c>
      <c r="H58" s="40"/>
      <c r="I58" s="40" t="s">
        <v>49</v>
      </c>
      <c r="J58" s="40">
        <v>-82</v>
      </c>
      <c r="K58" s="40"/>
      <c r="L58" s="40">
        <v>82</v>
      </c>
      <c r="M58" s="42">
        <v>-82</v>
      </c>
      <c r="N58" s="40" t="s">
        <v>5596</v>
      </c>
      <c r="O58" s="40" t="s">
        <v>234</v>
      </c>
    </row>
    <row r="59" spans="1:15" ht="23.25" customHeight="1" x14ac:dyDescent="0.2">
      <c r="A59" s="40" t="s">
        <v>5613</v>
      </c>
      <c r="B59" s="40" t="s">
        <v>5613</v>
      </c>
      <c r="C59" s="41">
        <v>45730</v>
      </c>
      <c r="D59" s="40"/>
      <c r="E59" s="40" t="s">
        <v>9</v>
      </c>
      <c r="F59" s="40" t="s">
        <v>295</v>
      </c>
      <c r="G59" s="40" t="s">
        <v>5614</v>
      </c>
      <c r="H59" s="40"/>
      <c r="I59" s="40" t="s">
        <v>49</v>
      </c>
      <c r="J59" s="40">
        <v>-85</v>
      </c>
      <c r="K59" s="40"/>
      <c r="L59" s="40">
        <v>85</v>
      </c>
      <c r="M59" s="42">
        <v>-85</v>
      </c>
      <c r="N59" s="40" t="s">
        <v>5596</v>
      </c>
      <c r="O59" s="40" t="s">
        <v>234</v>
      </c>
    </row>
    <row r="60" spans="1:15" ht="23.25" customHeight="1" x14ac:dyDescent="0.2">
      <c r="A60" s="40" t="s">
        <v>5615</v>
      </c>
      <c r="B60" s="40" t="s">
        <v>5615</v>
      </c>
      <c r="C60" s="41">
        <v>45691</v>
      </c>
      <c r="D60" s="40"/>
      <c r="E60" s="40" t="s">
        <v>9</v>
      </c>
      <c r="F60" s="40" t="s">
        <v>295</v>
      </c>
      <c r="G60" s="40" t="s">
        <v>5525</v>
      </c>
      <c r="H60" s="40"/>
      <c r="I60" s="40" t="s">
        <v>49</v>
      </c>
      <c r="J60" s="40">
        <v>-1000</v>
      </c>
      <c r="K60" s="40"/>
      <c r="L60" s="40">
        <v>1000</v>
      </c>
      <c r="M60" s="42">
        <v>-1000</v>
      </c>
      <c r="N60" s="40" t="s">
        <v>5596</v>
      </c>
      <c r="O60" s="40" t="s">
        <v>234</v>
      </c>
    </row>
    <row r="61" spans="1:15" ht="23.25" customHeight="1" x14ac:dyDescent="0.2">
      <c r="A61" s="40" t="s">
        <v>5616</v>
      </c>
      <c r="B61" s="40" t="s">
        <v>5617</v>
      </c>
      <c r="C61" s="41">
        <v>45904</v>
      </c>
      <c r="D61" s="41">
        <v>45904</v>
      </c>
      <c r="E61" s="40" t="s">
        <v>9</v>
      </c>
      <c r="F61" s="40" t="s">
        <v>265</v>
      </c>
      <c r="G61" s="40" t="s">
        <v>5618</v>
      </c>
      <c r="H61" s="40" t="s">
        <v>5619</v>
      </c>
      <c r="I61" s="40" t="s">
        <v>49</v>
      </c>
      <c r="J61" s="40">
        <v>17.850000000000001</v>
      </c>
      <c r="K61" s="40">
        <v>17.850000000000001</v>
      </c>
      <c r="L61" s="40"/>
      <c r="M61" s="40">
        <v>17.850000000000001</v>
      </c>
      <c r="N61" s="40"/>
      <c r="O61" s="40" t="s">
        <v>234</v>
      </c>
    </row>
    <row r="62" spans="1:15" ht="23.25" customHeight="1" x14ac:dyDescent="0.2">
      <c r="A62" s="40" t="s">
        <v>5620</v>
      </c>
      <c r="B62" s="40" t="s">
        <v>5620</v>
      </c>
      <c r="C62" s="41">
        <v>45901</v>
      </c>
      <c r="D62" s="40"/>
      <c r="E62" s="40" t="s">
        <v>9</v>
      </c>
      <c r="F62" s="40" t="s">
        <v>265</v>
      </c>
      <c r="G62" s="40" t="s">
        <v>5621</v>
      </c>
      <c r="H62" s="40"/>
      <c r="I62" s="40" t="s">
        <v>49</v>
      </c>
      <c r="J62" s="40">
        <v>-23.63</v>
      </c>
      <c r="K62" s="40"/>
      <c r="L62" s="40">
        <v>23.63</v>
      </c>
      <c r="M62" s="40">
        <v>-23.63</v>
      </c>
      <c r="N62" s="40"/>
      <c r="O62" s="40" t="s">
        <v>2000</v>
      </c>
    </row>
    <row r="63" spans="1:15" ht="23.25" customHeight="1" x14ac:dyDescent="0.2">
      <c r="A63" s="40" t="s">
        <v>5622</v>
      </c>
      <c r="B63" s="40" t="s">
        <v>5622</v>
      </c>
      <c r="C63" s="41">
        <v>45894</v>
      </c>
      <c r="D63" s="40"/>
      <c r="E63" s="40" t="s">
        <v>9</v>
      </c>
      <c r="F63" s="40" t="s">
        <v>4774</v>
      </c>
      <c r="G63" s="40" t="s">
        <v>5534</v>
      </c>
      <c r="H63" s="40"/>
      <c r="I63" s="40" t="s">
        <v>49</v>
      </c>
      <c r="J63" s="40">
        <v>-129.80000000000001</v>
      </c>
      <c r="K63" s="40"/>
      <c r="L63" s="40">
        <v>129.80000000000001</v>
      </c>
      <c r="M63" s="40">
        <v>-129.80000000000001</v>
      </c>
      <c r="N63" s="40"/>
      <c r="O63" s="40" t="s">
        <v>2000</v>
      </c>
    </row>
    <row r="64" spans="1:15" ht="23.25" customHeight="1" x14ac:dyDescent="0.2">
      <c r="A64" s="40" t="s">
        <v>5623</v>
      </c>
      <c r="B64" s="40" t="s">
        <v>5623</v>
      </c>
      <c r="C64" s="41">
        <v>45891</v>
      </c>
      <c r="D64" s="40"/>
      <c r="E64" s="40" t="s">
        <v>9</v>
      </c>
      <c r="F64" s="40" t="s">
        <v>4639</v>
      </c>
      <c r="G64" s="40" t="s">
        <v>5534</v>
      </c>
      <c r="H64" s="40"/>
      <c r="I64" s="40" t="s">
        <v>49</v>
      </c>
      <c r="J64" s="40">
        <v>-670.73</v>
      </c>
      <c r="K64" s="40"/>
      <c r="L64" s="40">
        <v>670.73</v>
      </c>
      <c r="M64" s="40">
        <v>-670.73</v>
      </c>
      <c r="N64" s="40"/>
      <c r="O64" s="40" t="s">
        <v>2000</v>
      </c>
    </row>
    <row r="65" spans="1:15" ht="23.25" customHeight="1" x14ac:dyDescent="0.2">
      <c r="A65" s="40" t="s">
        <v>5624</v>
      </c>
      <c r="B65" s="40" t="s">
        <v>5624</v>
      </c>
      <c r="C65" s="41">
        <v>45882</v>
      </c>
      <c r="D65" s="40"/>
      <c r="E65" s="40" t="s">
        <v>9</v>
      </c>
      <c r="F65" s="40" t="s">
        <v>5517</v>
      </c>
      <c r="G65" s="40" t="s">
        <v>5625</v>
      </c>
      <c r="H65" s="40"/>
      <c r="I65" s="40" t="s">
        <v>49</v>
      </c>
      <c r="J65" s="40">
        <v>-9</v>
      </c>
      <c r="K65" s="40"/>
      <c r="L65" s="40">
        <v>9</v>
      </c>
      <c r="M65" s="40">
        <v>-9</v>
      </c>
      <c r="N65" s="40"/>
      <c r="O65" s="40" t="s">
        <v>2706</v>
      </c>
    </row>
    <row r="66" spans="1:15" ht="23.25" customHeight="1" x14ac:dyDescent="0.2">
      <c r="A66" s="40" t="s">
        <v>5626</v>
      </c>
      <c r="B66" s="40" t="s">
        <v>5626</v>
      </c>
      <c r="C66" s="41">
        <v>45868</v>
      </c>
      <c r="D66" s="40"/>
      <c r="E66" s="40" t="s">
        <v>9</v>
      </c>
      <c r="F66" s="40" t="s">
        <v>5627</v>
      </c>
      <c r="G66" s="40" t="s">
        <v>5534</v>
      </c>
      <c r="H66" s="40"/>
      <c r="I66" s="40" t="s">
        <v>49</v>
      </c>
      <c r="J66" s="40">
        <v>-363.99</v>
      </c>
      <c r="K66" s="40"/>
      <c r="L66" s="40">
        <v>363.99</v>
      </c>
      <c r="M66" s="40">
        <v>-363.99</v>
      </c>
      <c r="N66" s="40"/>
      <c r="O66" s="40" t="s">
        <v>2706</v>
      </c>
    </row>
    <row r="67" spans="1:15" ht="23.25" customHeight="1" x14ac:dyDescent="0.2">
      <c r="A67" s="40" t="s">
        <v>5628</v>
      </c>
      <c r="B67" s="40" t="s">
        <v>5628</v>
      </c>
      <c r="C67" s="41">
        <v>45831</v>
      </c>
      <c r="D67" s="40"/>
      <c r="E67" s="40" t="s">
        <v>9</v>
      </c>
      <c r="F67" s="40" t="s">
        <v>605</v>
      </c>
      <c r="G67" s="40" t="s">
        <v>5629</v>
      </c>
      <c r="H67" s="40"/>
      <c r="I67" s="40" t="s">
        <v>49</v>
      </c>
      <c r="J67" s="40">
        <v>-17</v>
      </c>
      <c r="K67" s="40"/>
      <c r="L67" s="40">
        <v>17</v>
      </c>
      <c r="M67" s="40">
        <v>-17</v>
      </c>
      <c r="N67" s="40"/>
      <c r="O67" s="40" t="s">
        <v>2000</v>
      </c>
    </row>
    <row r="68" spans="1:15" ht="23.25" customHeight="1" x14ac:dyDescent="0.2">
      <c r="A68" s="40" t="s">
        <v>5630</v>
      </c>
      <c r="B68" s="40" t="s">
        <v>5630</v>
      </c>
      <c r="C68" s="41">
        <v>45824</v>
      </c>
      <c r="D68" s="40"/>
      <c r="E68" s="40" t="s">
        <v>9</v>
      </c>
      <c r="F68" s="40" t="s">
        <v>4572</v>
      </c>
      <c r="G68" s="40" t="s">
        <v>5542</v>
      </c>
      <c r="H68" s="40"/>
      <c r="I68" s="40" t="s">
        <v>49</v>
      </c>
      <c r="J68" s="40">
        <v>-14.12</v>
      </c>
      <c r="K68" s="40"/>
      <c r="L68" s="40">
        <v>14.12</v>
      </c>
      <c r="M68" s="40">
        <v>-14.12</v>
      </c>
      <c r="N68" s="40"/>
      <c r="O68" s="40" t="s">
        <v>2706</v>
      </c>
    </row>
    <row r="69" spans="1:15" ht="23.25" customHeight="1" x14ac:dyDescent="0.2">
      <c r="A69" s="40" t="s">
        <v>5631</v>
      </c>
      <c r="B69" s="40" t="s">
        <v>5631</v>
      </c>
      <c r="C69" s="41">
        <v>45813</v>
      </c>
      <c r="D69" s="40"/>
      <c r="E69" s="40" t="s">
        <v>9</v>
      </c>
      <c r="F69" s="40" t="s">
        <v>5632</v>
      </c>
      <c r="G69" s="40" t="s">
        <v>5633</v>
      </c>
      <c r="H69" s="40"/>
      <c r="I69" s="40" t="s">
        <v>49</v>
      </c>
      <c r="J69" s="40">
        <v>-1417.47</v>
      </c>
      <c r="K69" s="40"/>
      <c r="L69" s="40">
        <v>1417.47</v>
      </c>
      <c r="M69" s="40">
        <v>-1417.47</v>
      </c>
      <c r="N69" s="40"/>
      <c r="O69" s="40" t="s">
        <v>234</v>
      </c>
    </row>
    <row r="70" spans="1:15" ht="23.25" customHeight="1" x14ac:dyDescent="0.2">
      <c r="A70" s="40" t="s">
        <v>5634</v>
      </c>
      <c r="B70" s="40" t="s">
        <v>5634</v>
      </c>
      <c r="C70" s="41">
        <v>45806</v>
      </c>
      <c r="D70" s="40"/>
      <c r="E70" s="40" t="s">
        <v>9</v>
      </c>
      <c r="F70" s="40" t="s">
        <v>3319</v>
      </c>
      <c r="G70" s="40" t="s">
        <v>5534</v>
      </c>
      <c r="H70" s="40"/>
      <c r="I70" s="40" t="s">
        <v>49</v>
      </c>
      <c r="J70" s="40">
        <v>-158.62</v>
      </c>
      <c r="K70" s="40"/>
      <c r="L70" s="40">
        <v>158.62</v>
      </c>
      <c r="M70" s="40">
        <v>-158.62</v>
      </c>
      <c r="N70" s="40"/>
      <c r="O70" s="40" t="s">
        <v>2000</v>
      </c>
    </row>
    <row r="71" spans="1:15" ht="23.25" customHeight="1" x14ac:dyDescent="0.2">
      <c r="A71" s="40" t="s">
        <v>5635</v>
      </c>
      <c r="B71" s="40" t="s">
        <v>5636</v>
      </c>
      <c r="C71" s="41">
        <v>45805</v>
      </c>
      <c r="D71" s="41">
        <v>45805</v>
      </c>
      <c r="E71" s="40" t="s">
        <v>9</v>
      </c>
      <c r="F71" s="40" t="s">
        <v>4614</v>
      </c>
      <c r="G71" s="40" t="s">
        <v>5637</v>
      </c>
      <c r="H71" s="40" t="s">
        <v>5638</v>
      </c>
      <c r="I71" s="40" t="s">
        <v>49</v>
      </c>
      <c r="J71" s="40">
        <v>3613.31</v>
      </c>
      <c r="K71" s="40">
        <v>3613.31</v>
      </c>
      <c r="L71" s="40"/>
      <c r="M71" s="40">
        <v>3613.31</v>
      </c>
      <c r="N71" s="40"/>
      <c r="O71" s="40" t="s">
        <v>2706</v>
      </c>
    </row>
    <row r="72" spans="1:15" ht="23.25" customHeight="1" x14ac:dyDescent="0.2">
      <c r="A72" s="40" t="s">
        <v>5639</v>
      </c>
      <c r="B72" s="40" t="s">
        <v>5639</v>
      </c>
      <c r="C72" s="41">
        <v>45805</v>
      </c>
      <c r="D72" s="40"/>
      <c r="E72" s="40" t="s">
        <v>9</v>
      </c>
      <c r="F72" s="40" t="s">
        <v>5640</v>
      </c>
      <c r="G72" s="40" t="s">
        <v>5534</v>
      </c>
      <c r="H72" s="40"/>
      <c r="I72" s="40" t="s">
        <v>49</v>
      </c>
      <c r="J72" s="40">
        <v>-128.44999999999999</v>
      </c>
      <c r="K72" s="40"/>
      <c r="L72" s="40">
        <v>128.44999999999999</v>
      </c>
      <c r="M72" s="40">
        <v>-128.44999999999999</v>
      </c>
      <c r="N72" s="40"/>
      <c r="O72" s="40" t="s">
        <v>2000</v>
      </c>
    </row>
    <row r="73" spans="1:15" ht="23.25" customHeight="1" x14ac:dyDescent="0.2">
      <c r="A73" s="40" t="s">
        <v>5641</v>
      </c>
      <c r="B73" s="40" t="s">
        <v>5642</v>
      </c>
      <c r="C73" s="41">
        <v>45800</v>
      </c>
      <c r="D73" s="41">
        <v>45800</v>
      </c>
      <c r="E73" s="40" t="s">
        <v>9</v>
      </c>
      <c r="F73" s="40" t="s">
        <v>4476</v>
      </c>
      <c r="G73" s="40" t="s">
        <v>5643</v>
      </c>
      <c r="H73" s="40" t="s">
        <v>5644</v>
      </c>
      <c r="I73" s="40" t="s">
        <v>49</v>
      </c>
      <c r="J73" s="40">
        <v>258.52999999999997</v>
      </c>
      <c r="K73" s="40">
        <v>258.52999999999997</v>
      </c>
      <c r="L73" s="40"/>
      <c r="M73" s="40">
        <v>258.52999999999997</v>
      </c>
      <c r="N73" s="40"/>
      <c r="O73" s="40" t="s">
        <v>2000</v>
      </c>
    </row>
    <row r="74" spans="1:15" ht="23.25" customHeight="1" x14ac:dyDescent="0.2">
      <c r="A74" s="40" t="s">
        <v>5645</v>
      </c>
      <c r="B74" s="40" t="s">
        <v>5645</v>
      </c>
      <c r="C74" s="41">
        <v>45792</v>
      </c>
      <c r="D74" s="40"/>
      <c r="E74" s="40" t="s">
        <v>9</v>
      </c>
      <c r="F74" s="40" t="s">
        <v>3315</v>
      </c>
      <c r="G74" s="40" t="s">
        <v>5646</v>
      </c>
      <c r="H74" s="40"/>
      <c r="I74" s="40" t="s">
        <v>49</v>
      </c>
      <c r="J74" s="40">
        <v>-173.38</v>
      </c>
      <c r="K74" s="40"/>
      <c r="L74" s="40">
        <v>173.38</v>
      </c>
      <c r="M74" s="40">
        <v>-173.38</v>
      </c>
      <c r="N74" s="40"/>
      <c r="O74" s="40" t="s">
        <v>2706</v>
      </c>
    </row>
    <row r="75" spans="1:15" ht="23.25" customHeight="1" x14ac:dyDescent="0.2">
      <c r="A75" s="40" t="s">
        <v>5647</v>
      </c>
      <c r="B75" s="40" t="s">
        <v>5647</v>
      </c>
      <c r="C75" s="41">
        <v>45783</v>
      </c>
      <c r="D75" s="40"/>
      <c r="E75" s="40" t="s">
        <v>9</v>
      </c>
      <c r="F75" s="40" t="s">
        <v>4614</v>
      </c>
      <c r="G75" s="40" t="s">
        <v>5534</v>
      </c>
      <c r="H75" s="40"/>
      <c r="I75" s="40" t="s">
        <v>49</v>
      </c>
      <c r="J75" s="40">
        <v>-5537.79</v>
      </c>
      <c r="K75" s="40"/>
      <c r="L75" s="40">
        <v>5537.79</v>
      </c>
      <c r="M75" s="40">
        <v>-5537.79</v>
      </c>
      <c r="N75" s="40"/>
      <c r="O75" s="40" t="s">
        <v>2000</v>
      </c>
    </row>
    <row r="76" spans="1:15" ht="23.25" customHeight="1" x14ac:dyDescent="0.2">
      <c r="A76" s="40" t="s">
        <v>5648</v>
      </c>
      <c r="B76" s="40" t="s">
        <v>5648</v>
      </c>
      <c r="C76" s="41">
        <v>45771</v>
      </c>
      <c r="D76" s="40"/>
      <c r="E76" s="40" t="s">
        <v>9</v>
      </c>
      <c r="F76" s="40" t="s">
        <v>4476</v>
      </c>
      <c r="G76" s="40" t="s">
        <v>5649</v>
      </c>
      <c r="H76" s="40"/>
      <c r="I76" s="40" t="s">
        <v>49</v>
      </c>
      <c r="J76" s="40">
        <v>-291.20999999999998</v>
      </c>
      <c r="K76" s="40"/>
      <c r="L76" s="40">
        <v>291.20999999999998</v>
      </c>
      <c r="M76" s="40">
        <v>-291.20999999999998</v>
      </c>
      <c r="N76" s="40"/>
      <c r="O76" s="40" t="s">
        <v>2000</v>
      </c>
    </row>
    <row r="77" spans="1:15" ht="23.25" customHeight="1" x14ac:dyDescent="0.2">
      <c r="A77" s="40" t="s">
        <v>5650</v>
      </c>
      <c r="B77" s="40" t="s">
        <v>5650</v>
      </c>
      <c r="C77" s="41">
        <v>45754</v>
      </c>
      <c r="D77" s="40"/>
      <c r="E77" s="40" t="s">
        <v>9</v>
      </c>
      <c r="F77" s="40" t="s">
        <v>4529</v>
      </c>
      <c r="G77" s="40" t="s">
        <v>5651</v>
      </c>
      <c r="H77" s="40"/>
      <c r="I77" s="40" t="s">
        <v>49</v>
      </c>
      <c r="J77" s="40">
        <v>-700</v>
      </c>
      <c r="K77" s="40"/>
      <c r="L77" s="40">
        <v>700</v>
      </c>
      <c r="M77" s="40">
        <v>-700</v>
      </c>
      <c r="N77" s="40"/>
      <c r="O77" s="40" t="s">
        <v>234</v>
      </c>
    </row>
    <row r="78" spans="1:15" ht="23.25" customHeight="1" x14ac:dyDescent="0.2">
      <c r="A78" s="40" t="s">
        <v>4715</v>
      </c>
      <c r="B78" s="40" t="s">
        <v>4715</v>
      </c>
      <c r="C78" s="41">
        <v>45733</v>
      </c>
      <c r="D78" s="40"/>
      <c r="E78" s="40" t="s">
        <v>9</v>
      </c>
      <c r="F78" s="40" t="s">
        <v>3315</v>
      </c>
      <c r="G78" s="40" t="s">
        <v>5652</v>
      </c>
      <c r="H78" s="40"/>
      <c r="I78" s="40" t="s">
        <v>49</v>
      </c>
      <c r="J78" s="40">
        <v>-3001.11</v>
      </c>
      <c r="K78" s="40"/>
      <c r="L78" s="40">
        <v>3001.11</v>
      </c>
      <c r="M78" s="40">
        <v>-3001.11</v>
      </c>
      <c r="N78" s="40"/>
      <c r="O78" s="40" t="s">
        <v>2706</v>
      </c>
    </row>
    <row r="79" spans="1:15" ht="23.25" customHeight="1" x14ac:dyDescent="0.2">
      <c r="A79" s="40" t="s">
        <v>5653</v>
      </c>
      <c r="B79" s="40" t="s">
        <v>5653</v>
      </c>
      <c r="C79" s="41">
        <v>45726</v>
      </c>
      <c r="D79" s="40"/>
      <c r="E79" s="40" t="s">
        <v>9</v>
      </c>
      <c r="F79" s="40" t="s">
        <v>4529</v>
      </c>
      <c r="G79" s="40" t="s">
        <v>5654</v>
      </c>
      <c r="H79" s="40"/>
      <c r="I79" s="40" t="s">
        <v>49</v>
      </c>
      <c r="J79" s="40">
        <v>-600</v>
      </c>
      <c r="K79" s="40"/>
      <c r="L79" s="40">
        <v>600</v>
      </c>
      <c r="M79" s="40">
        <v>-600</v>
      </c>
      <c r="N79" s="40"/>
      <c r="O79" s="40" t="s">
        <v>234</v>
      </c>
    </row>
    <row r="80" spans="1:15" ht="23.25" customHeight="1" x14ac:dyDescent="0.2">
      <c r="A80" s="40" t="s">
        <v>5655</v>
      </c>
      <c r="B80" s="40" t="s">
        <v>5655</v>
      </c>
      <c r="C80" s="41">
        <v>45715</v>
      </c>
      <c r="D80" s="40"/>
      <c r="E80" s="40" t="s">
        <v>9</v>
      </c>
      <c r="F80" s="40" t="s">
        <v>4480</v>
      </c>
      <c r="G80" s="40" t="s">
        <v>5656</v>
      </c>
      <c r="H80" s="40"/>
      <c r="I80" s="40" t="s">
        <v>49</v>
      </c>
      <c r="J80" s="40">
        <v>-270</v>
      </c>
      <c r="K80" s="40"/>
      <c r="L80" s="40">
        <v>270</v>
      </c>
      <c r="M80" s="40">
        <v>-270</v>
      </c>
      <c r="N80" s="40"/>
      <c r="O80" s="40" t="s">
        <v>2706</v>
      </c>
    </row>
    <row r="81" spans="1:15" ht="23.25" customHeight="1" x14ac:dyDescent="0.2">
      <c r="A81" s="40" t="s">
        <v>5657</v>
      </c>
      <c r="B81" s="40" t="s">
        <v>5657</v>
      </c>
      <c r="C81" s="41">
        <v>45715</v>
      </c>
      <c r="D81" s="40"/>
      <c r="E81" s="40" t="s">
        <v>9</v>
      </c>
      <c r="F81" s="40" t="s">
        <v>607</v>
      </c>
      <c r="G81" s="40" t="s">
        <v>5658</v>
      </c>
      <c r="H81" s="40"/>
      <c r="I81" s="40" t="s">
        <v>49</v>
      </c>
      <c r="J81" s="40">
        <v>-285.32</v>
      </c>
      <c r="K81" s="40"/>
      <c r="L81" s="40">
        <v>285.32</v>
      </c>
      <c r="M81" s="40">
        <v>-285.32</v>
      </c>
      <c r="N81" s="40"/>
      <c r="O81" s="40" t="s">
        <v>234</v>
      </c>
    </row>
    <row r="82" spans="1:15" ht="23.25" customHeight="1" x14ac:dyDescent="0.2">
      <c r="A82" s="40" t="s">
        <v>5659</v>
      </c>
      <c r="B82" s="40" t="s">
        <v>5659</v>
      </c>
      <c r="C82" s="41">
        <v>45702</v>
      </c>
      <c r="D82" s="40"/>
      <c r="E82" s="40" t="s">
        <v>9</v>
      </c>
      <c r="F82" s="40" t="s">
        <v>5660</v>
      </c>
      <c r="G82" s="40" t="s">
        <v>5534</v>
      </c>
      <c r="H82" s="40"/>
      <c r="I82" s="40" t="s">
        <v>49</v>
      </c>
      <c r="J82" s="40">
        <v>-12</v>
      </c>
      <c r="K82" s="40"/>
      <c r="L82" s="40">
        <v>12</v>
      </c>
      <c r="M82" s="40">
        <v>-12</v>
      </c>
      <c r="N82" s="40"/>
      <c r="O82" s="40" t="s">
        <v>234</v>
      </c>
    </row>
    <row r="83" spans="1:15" ht="23.25" customHeight="1" x14ac:dyDescent="0.2">
      <c r="A83" s="40" t="s">
        <v>5661</v>
      </c>
      <c r="B83" s="40" t="s">
        <v>5661</v>
      </c>
      <c r="C83" s="41">
        <v>45701</v>
      </c>
      <c r="D83" s="40"/>
      <c r="E83" s="40" t="s">
        <v>9</v>
      </c>
      <c r="F83" s="40" t="s">
        <v>4507</v>
      </c>
      <c r="G83" s="40" t="s">
        <v>5662</v>
      </c>
      <c r="H83" s="40"/>
      <c r="I83" s="40" t="s">
        <v>49</v>
      </c>
      <c r="J83" s="40">
        <v>-153.84</v>
      </c>
      <c r="K83" s="40"/>
      <c r="L83" s="40">
        <v>153.84</v>
      </c>
      <c r="M83" s="40">
        <v>-153.84</v>
      </c>
      <c r="N83" s="40"/>
      <c r="O83" s="40" t="s">
        <v>234</v>
      </c>
    </row>
    <row r="84" spans="1:15" ht="23.25" customHeight="1" x14ac:dyDescent="0.2">
      <c r="A84" s="40" t="s">
        <v>5663</v>
      </c>
      <c r="B84" s="40" t="s">
        <v>5663</v>
      </c>
      <c r="C84" s="41">
        <v>45665</v>
      </c>
      <c r="D84" s="40"/>
      <c r="E84" s="40" t="s">
        <v>9</v>
      </c>
      <c r="F84" s="40" t="s">
        <v>5664</v>
      </c>
      <c r="G84" s="40" t="s">
        <v>5665</v>
      </c>
      <c r="H84" s="40"/>
      <c r="I84" s="40" t="s">
        <v>49</v>
      </c>
      <c r="J84" s="40">
        <v>-72.89</v>
      </c>
      <c r="K84" s="40"/>
      <c r="L84" s="40">
        <v>72.89</v>
      </c>
      <c r="M84" s="40">
        <v>-72.89</v>
      </c>
      <c r="N84" s="40"/>
      <c r="O84" s="40" t="s">
        <v>2000</v>
      </c>
    </row>
    <row r="85" spans="1:15" ht="23.25" customHeight="1" x14ac:dyDescent="0.2">
      <c r="A85" s="40" t="s">
        <v>5666</v>
      </c>
      <c r="B85" s="40" t="s">
        <v>5667</v>
      </c>
      <c r="C85" s="41">
        <v>45658</v>
      </c>
      <c r="D85" s="40"/>
      <c r="E85" s="40" t="s">
        <v>9</v>
      </c>
      <c r="F85" s="40" t="s">
        <v>4607</v>
      </c>
      <c r="G85" s="40" t="s">
        <v>5668</v>
      </c>
      <c r="H85" s="40" t="s">
        <v>5669</v>
      </c>
      <c r="I85" s="40" t="s">
        <v>49</v>
      </c>
      <c r="J85" s="40">
        <v>-1164.73</v>
      </c>
      <c r="K85" s="40"/>
      <c r="L85" s="40">
        <v>1164.73</v>
      </c>
      <c r="M85" s="40">
        <v>-1164.73</v>
      </c>
      <c r="N85" s="40"/>
      <c r="O85" s="40" t="s">
        <v>234</v>
      </c>
    </row>
    <row r="86" spans="1:15" ht="23.25" customHeight="1" x14ac:dyDescent="0.2">
      <c r="A86" s="40" t="s">
        <v>5666</v>
      </c>
      <c r="B86" s="40" t="s">
        <v>5667</v>
      </c>
      <c r="C86" s="41">
        <v>45658</v>
      </c>
      <c r="D86" s="40"/>
      <c r="E86" s="40" t="s">
        <v>9</v>
      </c>
      <c r="F86" s="40" t="s">
        <v>5670</v>
      </c>
      <c r="G86" s="40" t="s">
        <v>5671</v>
      </c>
      <c r="H86" s="40" t="s">
        <v>5669</v>
      </c>
      <c r="I86" s="40" t="s">
        <v>49</v>
      </c>
      <c r="J86" s="40">
        <v>-1104.19</v>
      </c>
      <c r="K86" s="40"/>
      <c r="L86" s="40">
        <v>1104.19</v>
      </c>
      <c r="M86" s="40">
        <v>-1104.19</v>
      </c>
      <c r="N86" s="40"/>
      <c r="O86" s="40" t="s">
        <v>234</v>
      </c>
    </row>
    <row r="87" spans="1:15" ht="23.25" customHeight="1" x14ac:dyDescent="0.2">
      <c r="A87" s="40" t="s">
        <v>5666</v>
      </c>
      <c r="B87" s="40" t="s">
        <v>5667</v>
      </c>
      <c r="C87" s="41">
        <v>45658</v>
      </c>
      <c r="D87" s="40"/>
      <c r="E87" s="40" t="s">
        <v>9</v>
      </c>
      <c r="F87" s="40" t="s">
        <v>5672</v>
      </c>
      <c r="G87" s="40" t="s">
        <v>5673</v>
      </c>
      <c r="H87" s="40" t="s">
        <v>5669</v>
      </c>
      <c r="I87" s="40" t="s">
        <v>49</v>
      </c>
      <c r="J87" s="40">
        <v>-1048.26</v>
      </c>
      <c r="K87" s="40"/>
      <c r="L87" s="40">
        <v>1048.26</v>
      </c>
      <c r="M87" s="40">
        <v>-1048.26</v>
      </c>
      <c r="N87" s="40"/>
      <c r="O87" s="40" t="s">
        <v>234</v>
      </c>
    </row>
    <row r="88" spans="1:15" ht="23.25" customHeight="1" x14ac:dyDescent="0.2">
      <c r="A88" s="40" t="s">
        <v>5666</v>
      </c>
      <c r="B88" s="40" t="s">
        <v>5667</v>
      </c>
      <c r="C88" s="41">
        <v>45658</v>
      </c>
      <c r="D88" s="40"/>
      <c r="E88" s="40" t="s">
        <v>9</v>
      </c>
      <c r="F88" s="40" t="s">
        <v>5627</v>
      </c>
      <c r="G88" s="40" t="s">
        <v>5674</v>
      </c>
      <c r="H88" s="40" t="s">
        <v>5669</v>
      </c>
      <c r="I88" s="40" t="s">
        <v>49</v>
      </c>
      <c r="J88" s="40">
        <v>-238.36</v>
      </c>
      <c r="K88" s="40"/>
      <c r="L88" s="40">
        <v>238.36</v>
      </c>
      <c r="M88" s="40">
        <v>-238.36</v>
      </c>
      <c r="N88" s="40"/>
      <c r="O88" s="40" t="s">
        <v>234</v>
      </c>
    </row>
    <row r="89" spans="1:15" ht="23.25" customHeight="1" x14ac:dyDescent="0.2">
      <c r="A89" s="40" t="s">
        <v>5666</v>
      </c>
      <c r="B89" s="40" t="s">
        <v>5667</v>
      </c>
      <c r="C89" s="41">
        <v>45658</v>
      </c>
      <c r="D89" s="40"/>
      <c r="E89" s="40" t="s">
        <v>9</v>
      </c>
      <c r="F89" s="40" t="s">
        <v>5675</v>
      </c>
      <c r="G89" s="40" t="s">
        <v>5676</v>
      </c>
      <c r="H89" s="40" t="s">
        <v>5669</v>
      </c>
      <c r="I89" s="40" t="s">
        <v>49</v>
      </c>
      <c r="J89" s="40">
        <v>-232.58</v>
      </c>
      <c r="K89" s="40"/>
      <c r="L89" s="40">
        <v>232.58</v>
      </c>
      <c r="M89" s="40">
        <v>-232.58</v>
      </c>
      <c r="N89" s="40"/>
      <c r="O89" s="40" t="s">
        <v>234</v>
      </c>
    </row>
    <row r="90" spans="1:15" ht="23.25" customHeight="1" x14ac:dyDescent="0.2">
      <c r="A90" s="40" t="s">
        <v>5666</v>
      </c>
      <c r="B90" s="40" t="s">
        <v>5667</v>
      </c>
      <c r="C90" s="41">
        <v>45658</v>
      </c>
      <c r="D90" s="40"/>
      <c r="E90" s="40" t="s">
        <v>9</v>
      </c>
      <c r="F90" s="40" t="s">
        <v>3623</v>
      </c>
      <c r="G90" s="40" t="s">
        <v>5677</v>
      </c>
      <c r="H90" s="40" t="s">
        <v>5669</v>
      </c>
      <c r="I90" s="40" t="s">
        <v>49</v>
      </c>
      <c r="J90" s="40">
        <v>-94.43</v>
      </c>
      <c r="K90" s="40"/>
      <c r="L90" s="40">
        <v>94.43</v>
      </c>
      <c r="M90" s="40">
        <v>-94.43</v>
      </c>
      <c r="N90" s="40"/>
      <c r="O90" s="40" t="s">
        <v>234</v>
      </c>
    </row>
    <row r="91" spans="1:15" ht="23.25" customHeight="1" x14ac:dyDescent="0.2">
      <c r="A91" s="40" t="s">
        <v>5666</v>
      </c>
      <c r="B91" s="40" t="s">
        <v>5667</v>
      </c>
      <c r="C91" s="41">
        <v>45658</v>
      </c>
      <c r="D91" s="40"/>
      <c r="E91" s="40" t="s">
        <v>9</v>
      </c>
      <c r="F91" s="40" t="s">
        <v>4556</v>
      </c>
      <c r="G91" s="40" t="s">
        <v>5678</v>
      </c>
      <c r="H91" s="40" t="s">
        <v>5669</v>
      </c>
      <c r="I91" s="40" t="s">
        <v>49</v>
      </c>
      <c r="J91" s="40">
        <v>-90</v>
      </c>
      <c r="K91" s="40"/>
      <c r="L91" s="40">
        <v>90</v>
      </c>
      <c r="M91" s="40">
        <v>-90</v>
      </c>
      <c r="N91" s="40"/>
      <c r="O91" s="40" t="s">
        <v>234</v>
      </c>
    </row>
    <row r="92" spans="1:15" ht="23.25" customHeight="1" x14ac:dyDescent="0.2">
      <c r="A92" s="40" t="s">
        <v>5666</v>
      </c>
      <c r="B92" s="40" t="s">
        <v>5667</v>
      </c>
      <c r="C92" s="41">
        <v>45658</v>
      </c>
      <c r="D92" s="40"/>
      <c r="E92" s="40" t="s">
        <v>9</v>
      </c>
      <c r="F92" s="40" t="s">
        <v>1405</v>
      </c>
      <c r="G92" s="40" t="s">
        <v>5679</v>
      </c>
      <c r="H92" s="40" t="s">
        <v>5669</v>
      </c>
      <c r="I92" s="40" t="s">
        <v>49</v>
      </c>
      <c r="J92" s="40">
        <v>-82.8</v>
      </c>
      <c r="K92" s="40"/>
      <c r="L92" s="40">
        <v>82.8</v>
      </c>
      <c r="M92" s="40">
        <v>-82.8</v>
      </c>
      <c r="N92" s="40"/>
      <c r="O92" s="40" t="s">
        <v>234</v>
      </c>
    </row>
    <row r="93" spans="1:15" ht="23.25" customHeight="1" x14ac:dyDescent="0.2">
      <c r="A93" s="40" t="s">
        <v>5666</v>
      </c>
      <c r="B93" s="40" t="s">
        <v>5667</v>
      </c>
      <c r="C93" s="41">
        <v>45658</v>
      </c>
      <c r="D93" s="40"/>
      <c r="E93" s="40" t="s">
        <v>9</v>
      </c>
      <c r="F93" s="40" t="s">
        <v>5640</v>
      </c>
      <c r="G93" s="40" t="s">
        <v>5680</v>
      </c>
      <c r="H93" s="40" t="s">
        <v>5669</v>
      </c>
      <c r="I93" s="40" t="s">
        <v>49</v>
      </c>
      <c r="J93" s="40">
        <v>-59.44</v>
      </c>
      <c r="K93" s="40"/>
      <c r="L93" s="40">
        <v>59.44</v>
      </c>
      <c r="M93" s="40">
        <v>-59.44</v>
      </c>
      <c r="N93" s="40"/>
      <c r="O93" s="40" t="s">
        <v>234</v>
      </c>
    </row>
    <row r="94" spans="1:15" ht="23.25" customHeight="1" x14ac:dyDescent="0.2">
      <c r="A94" s="40" t="s">
        <v>5666</v>
      </c>
      <c r="B94" s="40" t="s">
        <v>5667</v>
      </c>
      <c r="C94" s="41">
        <v>45658</v>
      </c>
      <c r="D94" s="40"/>
      <c r="E94" s="40" t="s">
        <v>9</v>
      </c>
      <c r="F94" s="40" t="s">
        <v>4598</v>
      </c>
      <c r="G94" s="40" t="s">
        <v>5681</v>
      </c>
      <c r="H94" s="40" t="s">
        <v>5669</v>
      </c>
      <c r="I94" s="40" t="s">
        <v>49</v>
      </c>
      <c r="J94" s="40">
        <v>-53.35</v>
      </c>
      <c r="K94" s="40"/>
      <c r="L94" s="40">
        <v>53.35</v>
      </c>
      <c r="M94" s="40">
        <v>-53.35</v>
      </c>
      <c r="N94" s="40"/>
      <c r="O94" s="40" t="s">
        <v>234</v>
      </c>
    </row>
    <row r="95" spans="1:15" ht="23.25" customHeight="1" x14ac:dyDescent="0.2">
      <c r="A95" s="40" t="s">
        <v>5666</v>
      </c>
      <c r="B95" s="40" t="s">
        <v>5667</v>
      </c>
      <c r="C95" s="41">
        <v>45658</v>
      </c>
      <c r="D95" s="40"/>
      <c r="E95" s="40" t="s">
        <v>9</v>
      </c>
      <c r="F95" s="40" t="s">
        <v>5664</v>
      </c>
      <c r="G95" s="40" t="s">
        <v>5682</v>
      </c>
      <c r="H95" s="40" t="s">
        <v>5669</v>
      </c>
      <c r="I95" s="40" t="s">
        <v>49</v>
      </c>
      <c r="J95" s="40">
        <v>-43.68</v>
      </c>
      <c r="K95" s="40"/>
      <c r="L95" s="40">
        <v>43.68</v>
      </c>
      <c r="M95" s="40">
        <v>-43.68</v>
      </c>
      <c r="N95" s="40"/>
      <c r="O95" s="40" t="s">
        <v>234</v>
      </c>
    </row>
    <row r="96" spans="1:15" ht="23.25" customHeight="1" x14ac:dyDescent="0.2">
      <c r="A96" s="40" t="s">
        <v>5666</v>
      </c>
      <c r="B96" s="40" t="s">
        <v>5667</v>
      </c>
      <c r="C96" s="41">
        <v>45658</v>
      </c>
      <c r="D96" s="40"/>
      <c r="E96" s="40" t="s">
        <v>9</v>
      </c>
      <c r="F96" s="40" t="s">
        <v>4774</v>
      </c>
      <c r="G96" s="40" t="s">
        <v>5683</v>
      </c>
      <c r="H96" s="40" t="s">
        <v>5669</v>
      </c>
      <c r="I96" s="40" t="s">
        <v>49</v>
      </c>
      <c r="J96" s="40">
        <v>-35.520000000000003</v>
      </c>
      <c r="K96" s="40"/>
      <c r="L96" s="40">
        <v>35.520000000000003</v>
      </c>
      <c r="M96" s="40">
        <v>-35.520000000000003</v>
      </c>
      <c r="N96" s="40"/>
      <c r="O96" s="40" t="s">
        <v>234</v>
      </c>
    </row>
    <row r="97" spans="1:15" ht="23.25" customHeight="1" x14ac:dyDescent="0.2">
      <c r="A97" s="40" t="s">
        <v>5666</v>
      </c>
      <c r="B97" s="40" t="s">
        <v>5667</v>
      </c>
      <c r="C97" s="41">
        <v>45658</v>
      </c>
      <c r="D97" s="40"/>
      <c r="E97" s="40" t="s">
        <v>9</v>
      </c>
      <c r="F97" s="40" t="s">
        <v>4798</v>
      </c>
      <c r="G97" s="40" t="s">
        <v>5684</v>
      </c>
      <c r="H97" s="40" t="s">
        <v>5669</v>
      </c>
      <c r="I97" s="40" t="s">
        <v>49</v>
      </c>
      <c r="J97" s="40">
        <v>-26.99</v>
      </c>
      <c r="K97" s="40"/>
      <c r="L97" s="40">
        <v>26.99</v>
      </c>
      <c r="M97" s="40">
        <v>-26.99</v>
      </c>
      <c r="N97" s="40"/>
      <c r="O97" s="40" t="s">
        <v>234</v>
      </c>
    </row>
    <row r="98" spans="1:15" ht="23.25" customHeight="1" x14ac:dyDescent="0.2">
      <c r="A98" s="40" t="s">
        <v>5666</v>
      </c>
      <c r="B98" s="40" t="s">
        <v>5667</v>
      </c>
      <c r="C98" s="41">
        <v>45658</v>
      </c>
      <c r="D98" s="40"/>
      <c r="E98" s="40" t="s">
        <v>9</v>
      </c>
      <c r="F98" s="40" t="s">
        <v>4476</v>
      </c>
      <c r="G98" s="40" t="s">
        <v>5685</v>
      </c>
      <c r="H98" s="40" t="s">
        <v>5669</v>
      </c>
      <c r="I98" s="40" t="s">
        <v>49</v>
      </c>
      <c r="J98" s="40">
        <v>-12.55</v>
      </c>
      <c r="K98" s="40"/>
      <c r="L98" s="40">
        <v>12.55</v>
      </c>
      <c r="M98" s="40">
        <v>-12.55</v>
      </c>
      <c r="N98" s="40"/>
      <c r="O98" s="40" t="s">
        <v>234</v>
      </c>
    </row>
    <row r="99" spans="1:15" ht="23.25" customHeight="1" x14ac:dyDescent="0.2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50">
        <f>SUM(M3:M98)</f>
        <v>-84337.950000000012</v>
      </c>
      <c r="N99" s="43"/>
      <c r="O99" s="43"/>
    </row>
    <row r="100" spans="1:15" ht="23.25" customHeight="1" x14ac:dyDescent="0.2"/>
    <row r="101" spans="1:15" ht="23.25" customHeight="1" x14ac:dyDescent="0.2"/>
    <row r="102" spans="1:15" ht="23.25" customHeight="1" x14ac:dyDescent="0.2"/>
    <row r="103" spans="1:15" ht="23.25" customHeight="1" x14ac:dyDescent="0.2"/>
    <row r="104" spans="1:15" ht="23.25" customHeight="1" x14ac:dyDescent="0.2"/>
    <row r="105" spans="1:15" ht="23.25" customHeight="1" x14ac:dyDescent="0.2"/>
    <row r="106" spans="1:15" ht="23.25" customHeight="1" x14ac:dyDescent="0.2"/>
    <row r="107" spans="1:15" ht="23.25" customHeight="1" x14ac:dyDescent="0.2"/>
    <row r="108" spans="1:15" ht="23.25" customHeight="1" x14ac:dyDescent="0.2"/>
    <row r="109" spans="1:15" ht="23.25" customHeight="1" x14ac:dyDescent="0.2"/>
    <row r="110" spans="1:15" ht="23.25" customHeight="1" x14ac:dyDescent="0.2"/>
    <row r="111" spans="1:15" ht="23.25" customHeight="1" x14ac:dyDescent="0.2"/>
    <row r="112" spans="1:15" ht="23.25" customHeight="1" x14ac:dyDescent="0.2"/>
    <row r="113" ht="23.25" customHeight="1" x14ac:dyDescent="0.2"/>
    <row r="114" ht="23.25" customHeight="1" x14ac:dyDescent="0.2"/>
    <row r="115" ht="23.25" customHeight="1" x14ac:dyDescent="0.2"/>
    <row r="116" ht="23.25" customHeight="1" x14ac:dyDescent="0.2"/>
    <row r="117" ht="23.25" customHeight="1" x14ac:dyDescent="0.2"/>
    <row r="118" ht="23.25" customHeight="1" x14ac:dyDescent="0.2"/>
    <row r="119" ht="23.25" customHeight="1" x14ac:dyDescent="0.2"/>
    <row r="120" ht="23.25" customHeight="1" x14ac:dyDescent="0.2"/>
    <row r="121" ht="23.25" customHeight="1" x14ac:dyDescent="0.2"/>
    <row r="122" ht="23.25" customHeight="1" x14ac:dyDescent="0.2"/>
    <row r="123" ht="23.25" customHeight="1" x14ac:dyDescent="0.2"/>
    <row r="124" ht="23.25" customHeight="1" x14ac:dyDescent="0.2"/>
    <row r="125" ht="23.25" customHeight="1" x14ac:dyDescent="0.2"/>
    <row r="126" ht="23.25" customHeight="1" x14ac:dyDescent="0.2"/>
    <row r="127" ht="23.25" customHeight="1" x14ac:dyDescent="0.2"/>
    <row r="128" ht="23.25" customHeight="1" x14ac:dyDescent="0.2"/>
    <row r="129" ht="23.25" customHeight="1" x14ac:dyDescent="0.2"/>
    <row r="130" ht="23.25" customHeight="1" x14ac:dyDescent="0.2"/>
    <row r="131" ht="23.25" customHeight="1" x14ac:dyDescent="0.2"/>
    <row r="132" ht="23.25" customHeight="1" x14ac:dyDescent="0.2"/>
    <row r="133" ht="23.25" customHeight="1" x14ac:dyDescent="0.2"/>
    <row r="134" ht="23.25" customHeight="1" x14ac:dyDescent="0.2"/>
    <row r="135" ht="23.25" customHeight="1" x14ac:dyDescent="0.2"/>
    <row r="136" ht="23.25" customHeight="1" x14ac:dyDescent="0.2"/>
    <row r="137" ht="23.25" customHeight="1" x14ac:dyDescent="0.2"/>
    <row r="138" ht="23.25" customHeight="1" x14ac:dyDescent="0.2"/>
    <row r="139" ht="23.25" customHeight="1" x14ac:dyDescent="0.2"/>
    <row r="140" ht="23.25" customHeight="1" x14ac:dyDescent="0.2"/>
    <row r="141" ht="23.25" customHeight="1" x14ac:dyDescent="0.2"/>
    <row r="142" ht="23.25" customHeight="1" x14ac:dyDescent="0.2"/>
    <row r="143" ht="23.25" customHeight="1" x14ac:dyDescent="0.2"/>
    <row r="144" ht="23.25" customHeight="1" x14ac:dyDescent="0.2"/>
    <row r="145" ht="23.25" customHeight="1" x14ac:dyDescent="0.2"/>
    <row r="146" ht="23.25" customHeight="1" x14ac:dyDescent="0.2"/>
    <row r="147" ht="23.25" customHeight="1" x14ac:dyDescent="0.2"/>
    <row r="148" ht="23.25" customHeight="1" x14ac:dyDescent="0.2"/>
    <row r="149" ht="23.25" customHeight="1" x14ac:dyDescent="0.2"/>
    <row r="150" ht="23.25" customHeight="1" x14ac:dyDescent="0.2"/>
    <row r="151" ht="23.25" customHeight="1" x14ac:dyDescent="0.2"/>
    <row r="152" ht="23.25" customHeight="1" x14ac:dyDescent="0.2"/>
    <row r="153" ht="23.25" customHeight="1" x14ac:dyDescent="0.2"/>
    <row r="154" ht="23.25" customHeight="1" x14ac:dyDescent="0.2"/>
    <row r="155" ht="23.25" customHeight="1" x14ac:dyDescent="0.2"/>
    <row r="156" ht="23.25" customHeight="1" x14ac:dyDescent="0.2"/>
    <row r="157" ht="23.25" customHeight="1" x14ac:dyDescent="0.2"/>
    <row r="158" ht="23.25" customHeight="1" x14ac:dyDescent="0.2"/>
    <row r="159" ht="23.25" customHeight="1" x14ac:dyDescent="0.2"/>
    <row r="160" ht="23.25" customHeight="1" x14ac:dyDescent="0.2"/>
    <row r="161" ht="23.25" customHeight="1" x14ac:dyDescent="0.2"/>
    <row r="162" ht="23.25" customHeight="1" x14ac:dyDescent="0.2"/>
    <row r="163" ht="23.25" customHeight="1" x14ac:dyDescent="0.2"/>
    <row r="164" ht="23.25" customHeight="1" x14ac:dyDescent="0.2"/>
    <row r="165" ht="23.25" customHeight="1" x14ac:dyDescent="0.2"/>
    <row r="166" ht="23.25" customHeight="1" x14ac:dyDescent="0.2"/>
    <row r="167" ht="23.25" customHeight="1" x14ac:dyDescent="0.2"/>
    <row r="168" ht="23.25" customHeight="1" x14ac:dyDescent="0.2"/>
    <row r="169" ht="23.25" customHeight="1" x14ac:dyDescent="0.2"/>
    <row r="170" ht="23.25" customHeight="1" x14ac:dyDescent="0.2"/>
    <row r="171" ht="23.25" customHeight="1" x14ac:dyDescent="0.2"/>
    <row r="172" ht="23.25" customHeight="1" x14ac:dyDescent="0.2"/>
    <row r="173" ht="23.25" customHeight="1" x14ac:dyDescent="0.2"/>
    <row r="174" ht="23.25" customHeight="1" x14ac:dyDescent="0.2"/>
    <row r="175" ht="23.25" customHeight="1" x14ac:dyDescent="0.2"/>
    <row r="176" ht="23.25" customHeight="1" x14ac:dyDescent="0.2"/>
    <row r="177" ht="23.25" customHeight="1" x14ac:dyDescent="0.2"/>
    <row r="178" ht="23.25" customHeight="1" x14ac:dyDescent="0.2"/>
    <row r="179" ht="23.25" customHeight="1" x14ac:dyDescent="0.2"/>
    <row r="180" ht="23.25" customHeight="1" x14ac:dyDescent="0.2"/>
    <row r="181" ht="23.25" customHeight="1" x14ac:dyDescent="0.2"/>
    <row r="182" ht="23.25" customHeight="1" x14ac:dyDescent="0.2"/>
    <row r="183" ht="23.25" customHeight="1" x14ac:dyDescent="0.2"/>
    <row r="184" ht="23.25" customHeight="1" x14ac:dyDescent="0.2"/>
    <row r="185" ht="23.25" customHeight="1" x14ac:dyDescent="0.2"/>
    <row r="186" ht="23.25" customHeight="1" x14ac:dyDescent="0.2"/>
    <row r="187" ht="23.25" customHeight="1" x14ac:dyDescent="0.2"/>
    <row r="188" ht="23.25" customHeight="1" x14ac:dyDescent="0.2"/>
    <row r="189" ht="23.25" customHeight="1" x14ac:dyDescent="0.2"/>
    <row r="190" ht="23.25" customHeight="1" x14ac:dyDescent="0.2"/>
    <row r="191" ht="23.25" customHeight="1" x14ac:dyDescent="0.2"/>
    <row r="192" ht="23.25" customHeight="1" x14ac:dyDescent="0.2"/>
    <row r="193" ht="23.25" customHeight="1" x14ac:dyDescent="0.2"/>
    <row r="194" ht="23.25" customHeight="1" x14ac:dyDescent="0.2"/>
    <row r="195" ht="23.25" customHeight="1" x14ac:dyDescent="0.2"/>
    <row r="196" ht="23.25" customHeight="1" x14ac:dyDescent="0.2"/>
    <row r="197" ht="23.25" customHeight="1" x14ac:dyDescent="0.2"/>
    <row r="198" ht="23.25" customHeight="1" x14ac:dyDescent="0.2"/>
    <row r="199" ht="23.25" customHeight="1" x14ac:dyDescent="0.2"/>
    <row r="200" ht="23.25" customHeight="1" x14ac:dyDescent="0.2"/>
    <row r="201" ht="23.25" customHeight="1" x14ac:dyDescent="0.2"/>
    <row r="202" ht="23.25" customHeight="1" x14ac:dyDescent="0.2"/>
    <row r="203" ht="23.25" customHeight="1" x14ac:dyDescent="0.2"/>
    <row r="204" ht="23.25" customHeight="1" x14ac:dyDescent="0.2"/>
    <row r="205" ht="23.25" customHeight="1" x14ac:dyDescent="0.2"/>
    <row r="206" ht="23.25" customHeight="1" x14ac:dyDescent="0.2"/>
    <row r="207" ht="23.25" customHeight="1" x14ac:dyDescent="0.2"/>
    <row r="208" ht="23.25" customHeight="1" x14ac:dyDescent="0.2"/>
    <row r="209" ht="23.25" customHeight="1" x14ac:dyDescent="0.2"/>
    <row r="210" ht="23.25" customHeight="1" x14ac:dyDescent="0.2"/>
    <row r="211" ht="23.25" customHeight="1" x14ac:dyDescent="0.2"/>
    <row r="212" ht="23.25" customHeight="1" x14ac:dyDescent="0.2"/>
    <row r="213" ht="23.25" customHeight="1" x14ac:dyDescent="0.2"/>
    <row r="214" ht="23.25" customHeight="1" x14ac:dyDescent="0.2"/>
    <row r="215" ht="23.25" customHeight="1" x14ac:dyDescent="0.2"/>
    <row r="216" ht="23.25" customHeight="1" x14ac:dyDescent="0.2"/>
    <row r="217" ht="23.25" customHeight="1" x14ac:dyDescent="0.2"/>
    <row r="218" ht="23.25" customHeight="1" x14ac:dyDescent="0.2"/>
    <row r="219" ht="23.25" customHeight="1" x14ac:dyDescent="0.2"/>
    <row r="220" ht="23.25" customHeight="1" x14ac:dyDescent="0.2"/>
    <row r="221" ht="23.25" customHeight="1" x14ac:dyDescent="0.2"/>
    <row r="222" ht="23.25" customHeight="1" x14ac:dyDescent="0.2"/>
    <row r="223" ht="23.25" customHeight="1" x14ac:dyDescent="0.2"/>
    <row r="224" ht="23.25" customHeight="1" x14ac:dyDescent="0.2"/>
    <row r="225" ht="23.25" customHeight="1" x14ac:dyDescent="0.2"/>
    <row r="226" ht="23.25" customHeight="1" x14ac:dyDescent="0.2"/>
    <row r="227" ht="23.25" customHeight="1" x14ac:dyDescent="0.2"/>
    <row r="228" ht="23.25" customHeight="1" x14ac:dyDescent="0.2"/>
    <row r="229" ht="23.25" customHeight="1" x14ac:dyDescent="0.2"/>
    <row r="230" ht="23.25" customHeight="1" x14ac:dyDescent="0.2"/>
    <row r="231" ht="23.25" customHeight="1" x14ac:dyDescent="0.2"/>
    <row r="232" ht="23.25" customHeight="1" x14ac:dyDescent="0.2"/>
    <row r="233" ht="23.25" customHeight="1" x14ac:dyDescent="0.2"/>
    <row r="234" ht="23.25" customHeight="1" x14ac:dyDescent="0.2"/>
    <row r="235" ht="23.25" customHeight="1" x14ac:dyDescent="0.2"/>
    <row r="236" ht="23.25" customHeight="1" x14ac:dyDescent="0.2"/>
    <row r="237" ht="23.25" customHeight="1" x14ac:dyDescent="0.2"/>
    <row r="238" ht="23.25" customHeight="1" x14ac:dyDescent="0.2"/>
    <row r="239" ht="23.25" customHeight="1" x14ac:dyDescent="0.2"/>
    <row r="240" ht="23.25" customHeight="1" x14ac:dyDescent="0.2"/>
    <row r="241" ht="23.25" customHeight="1" x14ac:dyDescent="0.2"/>
    <row r="242" ht="23.25" customHeight="1" x14ac:dyDescent="0.2"/>
    <row r="243" ht="23.25" customHeight="1" x14ac:dyDescent="0.2"/>
    <row r="244" ht="23.25" customHeight="1" x14ac:dyDescent="0.2"/>
    <row r="245" ht="23.25" customHeight="1" x14ac:dyDescent="0.2"/>
    <row r="246" ht="23.25" customHeight="1" x14ac:dyDescent="0.2"/>
    <row r="247" ht="23.25" customHeight="1" x14ac:dyDescent="0.2"/>
    <row r="248" ht="23.25" customHeight="1" x14ac:dyDescent="0.2"/>
    <row r="249" ht="23.25" customHeight="1" x14ac:dyDescent="0.2"/>
    <row r="250" ht="23.25" customHeight="1" x14ac:dyDescent="0.2"/>
    <row r="251" ht="23.25" customHeight="1" x14ac:dyDescent="0.2"/>
    <row r="252" ht="23.25" customHeight="1" x14ac:dyDescent="0.2"/>
    <row r="253" ht="23.25" customHeight="1" x14ac:dyDescent="0.2"/>
    <row r="254" ht="23.25" customHeight="1" x14ac:dyDescent="0.2"/>
    <row r="255" ht="23.25" customHeight="1" x14ac:dyDescent="0.2"/>
    <row r="256" ht="23.25" customHeight="1" x14ac:dyDescent="0.2"/>
    <row r="257" ht="23.25" customHeight="1" x14ac:dyDescent="0.2"/>
    <row r="258" ht="23.25" customHeight="1" x14ac:dyDescent="0.2"/>
    <row r="259" ht="23.25" customHeight="1" x14ac:dyDescent="0.2"/>
    <row r="260" ht="23.25" customHeight="1" x14ac:dyDescent="0.2"/>
    <row r="261" ht="23.25" customHeight="1" x14ac:dyDescent="0.2"/>
    <row r="262" ht="23.25" customHeight="1" x14ac:dyDescent="0.2"/>
    <row r="263" ht="23.25" customHeight="1" x14ac:dyDescent="0.2"/>
    <row r="264" ht="23.25" customHeight="1" x14ac:dyDescent="0.2"/>
    <row r="265" ht="23.25" customHeight="1" x14ac:dyDescent="0.2"/>
    <row r="266" ht="23.25" customHeight="1" x14ac:dyDescent="0.2"/>
    <row r="267" ht="23.25" customHeight="1" x14ac:dyDescent="0.2"/>
    <row r="268" ht="23.25" customHeight="1" x14ac:dyDescent="0.2"/>
    <row r="269" ht="23.25" customHeight="1" x14ac:dyDescent="0.2"/>
    <row r="270" ht="23.25" customHeight="1" x14ac:dyDescent="0.2"/>
    <row r="271" ht="23.25" customHeight="1" x14ac:dyDescent="0.2"/>
    <row r="272" ht="23.25" customHeight="1" x14ac:dyDescent="0.2"/>
    <row r="273" ht="23.25" customHeight="1" x14ac:dyDescent="0.2"/>
    <row r="274" ht="23.25" customHeight="1" x14ac:dyDescent="0.2"/>
    <row r="275" ht="23.25" customHeight="1" x14ac:dyDescent="0.2"/>
    <row r="276" ht="23.25" customHeight="1" x14ac:dyDescent="0.2"/>
    <row r="277" ht="23.25" customHeight="1" x14ac:dyDescent="0.2"/>
    <row r="278" ht="23.25" customHeight="1" x14ac:dyDescent="0.2"/>
    <row r="279" ht="23.25" customHeight="1" x14ac:dyDescent="0.2"/>
    <row r="280" ht="23.25" customHeight="1" x14ac:dyDescent="0.2"/>
    <row r="281" ht="23.25" customHeight="1" x14ac:dyDescent="0.2"/>
    <row r="282" ht="23.25" customHeight="1" x14ac:dyDescent="0.2"/>
    <row r="283" ht="23.25" customHeight="1" x14ac:dyDescent="0.2"/>
    <row r="284" ht="23.25" customHeight="1" x14ac:dyDescent="0.2"/>
    <row r="285" ht="23.25" customHeight="1" x14ac:dyDescent="0.2"/>
    <row r="286" ht="23.25" customHeight="1" x14ac:dyDescent="0.2"/>
    <row r="287" ht="23.25" customHeight="1" x14ac:dyDescent="0.2"/>
    <row r="288" ht="23.25" customHeight="1" x14ac:dyDescent="0.2"/>
    <row r="289" ht="23.25" customHeight="1" x14ac:dyDescent="0.2"/>
    <row r="290" ht="23.25" customHeight="1" x14ac:dyDescent="0.2"/>
    <row r="291" ht="23.25" customHeight="1" x14ac:dyDescent="0.2"/>
    <row r="292" ht="23.25" customHeight="1" x14ac:dyDescent="0.2"/>
    <row r="293" ht="23.25" customHeight="1" x14ac:dyDescent="0.2"/>
    <row r="294" ht="23.25" customHeight="1" x14ac:dyDescent="0.2"/>
    <row r="295" ht="23.25" customHeight="1" x14ac:dyDescent="0.2"/>
    <row r="296" ht="23.25" customHeight="1" x14ac:dyDescent="0.2"/>
    <row r="297" ht="23.25" customHeight="1" x14ac:dyDescent="0.2"/>
    <row r="298" ht="23.25" customHeight="1" x14ac:dyDescent="0.2"/>
    <row r="299" ht="23.25" customHeight="1" x14ac:dyDescent="0.2"/>
    <row r="300" ht="23.25" customHeight="1" x14ac:dyDescent="0.2"/>
    <row r="301" ht="23.25" customHeight="1" x14ac:dyDescent="0.2"/>
    <row r="302" ht="23.25" customHeight="1" x14ac:dyDescent="0.2"/>
    <row r="303" ht="23.25" customHeight="1" x14ac:dyDescent="0.2"/>
    <row r="304" ht="23.25" customHeight="1" x14ac:dyDescent="0.2"/>
    <row r="305" ht="23.25" customHeight="1" x14ac:dyDescent="0.2"/>
    <row r="306" ht="23.25" customHeight="1" x14ac:dyDescent="0.2"/>
    <row r="307" ht="23.25" customHeight="1" x14ac:dyDescent="0.2"/>
    <row r="308" ht="23.25" customHeight="1" x14ac:dyDescent="0.2"/>
    <row r="309" ht="23.25" customHeight="1" x14ac:dyDescent="0.2"/>
    <row r="310" ht="23.25" customHeight="1" x14ac:dyDescent="0.2"/>
    <row r="311" ht="23.25" customHeight="1" x14ac:dyDescent="0.2"/>
    <row r="312" ht="23.25" customHeight="1" x14ac:dyDescent="0.2"/>
    <row r="313" ht="23.25" customHeight="1" x14ac:dyDescent="0.2"/>
    <row r="314" ht="23.25" customHeight="1" x14ac:dyDescent="0.2"/>
    <row r="315" ht="23.25" customHeight="1" x14ac:dyDescent="0.2"/>
    <row r="316" ht="23.25" customHeight="1" x14ac:dyDescent="0.2"/>
    <row r="317" ht="23.25" customHeight="1" x14ac:dyDescent="0.2"/>
    <row r="318" ht="23.25" customHeight="1" x14ac:dyDescent="0.2"/>
    <row r="319" ht="23.25" customHeight="1" x14ac:dyDescent="0.2"/>
    <row r="320" ht="23.25" customHeight="1" x14ac:dyDescent="0.2"/>
    <row r="321" ht="23.25" customHeight="1" x14ac:dyDescent="0.2"/>
    <row r="322" ht="23.25" customHeight="1" x14ac:dyDescent="0.2"/>
    <row r="323" ht="23.25" customHeight="1" x14ac:dyDescent="0.2"/>
    <row r="324" ht="23.25" customHeight="1" x14ac:dyDescent="0.2"/>
    <row r="325" ht="23.25" customHeight="1" x14ac:dyDescent="0.2"/>
    <row r="326" ht="23.25" customHeight="1" x14ac:dyDescent="0.2"/>
    <row r="327" ht="23.25" customHeight="1" x14ac:dyDescent="0.2"/>
    <row r="328" ht="23.25" customHeight="1" x14ac:dyDescent="0.2"/>
    <row r="329" ht="23.25" customHeight="1" x14ac:dyDescent="0.2"/>
    <row r="330" ht="23.25" customHeight="1" x14ac:dyDescent="0.2"/>
    <row r="331" ht="23.25" customHeight="1" x14ac:dyDescent="0.2"/>
    <row r="332" ht="23.25" customHeight="1" x14ac:dyDescent="0.2"/>
    <row r="333" ht="23.25" customHeight="1" x14ac:dyDescent="0.2"/>
    <row r="334" ht="23.25" customHeight="1" x14ac:dyDescent="0.2"/>
    <row r="335" ht="23.25" customHeight="1" x14ac:dyDescent="0.2"/>
    <row r="336" ht="23.25" customHeight="1" x14ac:dyDescent="0.2"/>
    <row r="337" ht="23.25" customHeight="1" x14ac:dyDescent="0.2"/>
    <row r="338" ht="23.25" customHeight="1" x14ac:dyDescent="0.2"/>
    <row r="339" ht="23.25" customHeight="1" x14ac:dyDescent="0.2"/>
    <row r="340" ht="23.25" customHeight="1" x14ac:dyDescent="0.2"/>
    <row r="341" ht="23.25" customHeight="1" x14ac:dyDescent="0.2"/>
    <row r="342" ht="23.25" customHeight="1" x14ac:dyDescent="0.2"/>
    <row r="343" ht="23.25" customHeight="1" x14ac:dyDescent="0.2"/>
    <row r="344" ht="23.25" customHeight="1" x14ac:dyDescent="0.2"/>
    <row r="345" ht="23.25" customHeight="1" x14ac:dyDescent="0.2"/>
    <row r="346" ht="23.25" customHeight="1" x14ac:dyDescent="0.2"/>
    <row r="347" ht="23.25" customHeight="1" x14ac:dyDescent="0.2"/>
    <row r="348" ht="23.25" customHeight="1" x14ac:dyDescent="0.2"/>
    <row r="349" ht="23.25" customHeight="1" x14ac:dyDescent="0.2"/>
    <row r="350" ht="23.25" customHeight="1" x14ac:dyDescent="0.2"/>
    <row r="351" ht="23.25" customHeight="1" x14ac:dyDescent="0.2"/>
    <row r="352" ht="23.25" customHeight="1" x14ac:dyDescent="0.2"/>
    <row r="353" ht="23.25" customHeight="1" x14ac:dyDescent="0.2"/>
    <row r="354" ht="23.25" customHeight="1" x14ac:dyDescent="0.2"/>
    <row r="355" ht="23.25" customHeight="1" x14ac:dyDescent="0.2"/>
    <row r="356" ht="23.25" customHeight="1" x14ac:dyDescent="0.2"/>
    <row r="357" ht="23.25" customHeight="1" x14ac:dyDescent="0.2"/>
    <row r="358" ht="23.25" customHeight="1" x14ac:dyDescent="0.2"/>
    <row r="359" ht="23.25" customHeight="1" x14ac:dyDescent="0.2"/>
    <row r="360" ht="23.25" customHeight="1" x14ac:dyDescent="0.2"/>
    <row r="361" ht="23.25" customHeight="1" x14ac:dyDescent="0.2"/>
    <row r="362" ht="23.25" customHeight="1" x14ac:dyDescent="0.2"/>
    <row r="363" ht="23.25" customHeight="1" x14ac:dyDescent="0.2"/>
    <row r="364" ht="23.25" customHeight="1" x14ac:dyDescent="0.2"/>
    <row r="365" ht="23.25" customHeight="1" x14ac:dyDescent="0.2"/>
    <row r="366" ht="23.25" customHeight="1" x14ac:dyDescent="0.2"/>
    <row r="367" ht="23.25" customHeight="1" x14ac:dyDescent="0.2"/>
    <row r="368" ht="23.25" customHeight="1" x14ac:dyDescent="0.2"/>
    <row r="369" ht="23.25" customHeight="1" x14ac:dyDescent="0.2"/>
    <row r="370" ht="23.25" customHeight="1" x14ac:dyDescent="0.2"/>
    <row r="371" ht="23.25" customHeight="1" x14ac:dyDescent="0.2"/>
    <row r="372" ht="23.25" customHeight="1" x14ac:dyDescent="0.2"/>
    <row r="373" ht="23.25" customHeight="1" x14ac:dyDescent="0.2"/>
    <row r="374" ht="23.25" customHeight="1" x14ac:dyDescent="0.2"/>
    <row r="375" ht="23.25" customHeight="1" x14ac:dyDescent="0.2"/>
    <row r="376" ht="23.25" customHeight="1" x14ac:dyDescent="0.2"/>
    <row r="377" ht="23.25" customHeight="1" x14ac:dyDescent="0.2"/>
    <row r="378" ht="23.25" customHeight="1" x14ac:dyDescent="0.2"/>
    <row r="379" ht="23.25" customHeight="1" x14ac:dyDescent="0.2"/>
    <row r="380" ht="23.25" customHeight="1" x14ac:dyDescent="0.2"/>
    <row r="381" ht="23.25" customHeight="1" x14ac:dyDescent="0.2"/>
    <row r="382" ht="23.25" customHeight="1" x14ac:dyDescent="0.2"/>
    <row r="383" ht="23.25" customHeight="1" x14ac:dyDescent="0.2"/>
    <row r="384" ht="23.25" customHeight="1" x14ac:dyDescent="0.2"/>
    <row r="385" ht="23.25" customHeight="1" x14ac:dyDescent="0.2"/>
    <row r="386" ht="23.25" customHeight="1" x14ac:dyDescent="0.2"/>
    <row r="387" ht="23.25" customHeight="1" x14ac:dyDescent="0.2"/>
    <row r="388" ht="23.25" customHeight="1" x14ac:dyDescent="0.2"/>
    <row r="389" ht="23.25" customHeight="1" x14ac:dyDescent="0.2"/>
    <row r="390" ht="23.25" customHeight="1" x14ac:dyDescent="0.2"/>
    <row r="391" ht="23.25" customHeight="1" x14ac:dyDescent="0.2"/>
    <row r="392" ht="23.25" customHeight="1" x14ac:dyDescent="0.2"/>
    <row r="393" ht="23.25" customHeight="1" x14ac:dyDescent="0.2"/>
    <row r="394" ht="23.25" customHeight="1" x14ac:dyDescent="0.2"/>
    <row r="395" ht="23.25" customHeight="1" x14ac:dyDescent="0.2"/>
    <row r="396" ht="23.25" customHeight="1" x14ac:dyDescent="0.2"/>
    <row r="397" ht="23.25" customHeight="1" x14ac:dyDescent="0.2"/>
    <row r="398" ht="23.25" customHeight="1" x14ac:dyDescent="0.2"/>
    <row r="399" ht="23.25" customHeight="1" x14ac:dyDescent="0.2"/>
    <row r="400" ht="23.25" customHeight="1" x14ac:dyDescent="0.2"/>
    <row r="401" ht="23.25" customHeight="1" x14ac:dyDescent="0.2"/>
    <row r="402" ht="23.25" customHeight="1" x14ac:dyDescent="0.2"/>
    <row r="403" ht="23.25" customHeight="1" x14ac:dyDescent="0.2"/>
    <row r="404" ht="23.25" customHeight="1" x14ac:dyDescent="0.2"/>
    <row r="405" ht="23.25" customHeight="1" x14ac:dyDescent="0.2"/>
    <row r="406" ht="23.25" customHeight="1" x14ac:dyDescent="0.2"/>
    <row r="407" ht="23.25" customHeight="1" x14ac:dyDescent="0.2"/>
    <row r="408" ht="23.25" customHeight="1" x14ac:dyDescent="0.2"/>
    <row r="409" ht="23.25" customHeight="1" x14ac:dyDescent="0.2"/>
    <row r="410" ht="23.25" customHeight="1" x14ac:dyDescent="0.2"/>
    <row r="411" ht="23.25" customHeight="1" x14ac:dyDescent="0.2"/>
    <row r="412" ht="23.25" customHeight="1" x14ac:dyDescent="0.2"/>
    <row r="413" ht="23.25" customHeight="1" x14ac:dyDescent="0.2"/>
    <row r="414" ht="23.25" customHeight="1" x14ac:dyDescent="0.2"/>
    <row r="415" ht="23.25" customHeight="1" x14ac:dyDescent="0.2"/>
  </sheetData>
  <mergeCells count="1">
    <mergeCell ref="A2:C2"/>
  </mergeCells>
  <conditionalFormatting sqref="N2:N1048576">
    <cfRule type="duplicateValues" dxfId="44" priority="2"/>
  </conditionalFormatting>
  <conditionalFormatting sqref="N1">
    <cfRule type="duplicateValues" dxfId="1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C4EF-59A6-4621-9085-7C2C6FF3A7CF}">
  <dimension ref="A1:O5"/>
  <sheetViews>
    <sheetView showGridLines="0" topLeftCell="D1" workbookViewId="0">
      <selection activeCell="D1" sqref="A1:XFD1"/>
    </sheetView>
  </sheetViews>
  <sheetFormatPr baseColWidth="10" defaultColWidth="16.42578125" defaultRowHeight="12" x14ac:dyDescent="0.2"/>
  <cols>
    <col min="1" max="1" width="16.42578125" style="1"/>
    <col min="2" max="2" width="19.42578125" style="1" customWidth="1"/>
    <col min="3" max="7" width="16.42578125" style="1"/>
    <col min="8" max="8" width="11.140625" style="1" customWidth="1"/>
    <col min="9" max="16384" width="16.42578125" style="1"/>
  </cols>
  <sheetData>
    <row r="1" spans="1:15" s="18" customFormat="1" ht="25.5" customHeight="1" x14ac:dyDescent="0.25">
      <c r="A1" s="104" t="s">
        <v>33</v>
      </c>
      <c r="B1" s="104" t="s">
        <v>34</v>
      </c>
      <c r="C1" s="104" t="s">
        <v>35</v>
      </c>
      <c r="D1" s="104" t="s">
        <v>36</v>
      </c>
      <c r="E1" s="104" t="s">
        <v>37</v>
      </c>
      <c r="F1" s="104" t="s">
        <v>38</v>
      </c>
      <c r="G1" s="104" t="s">
        <v>39</v>
      </c>
      <c r="H1" s="104" t="s">
        <v>40</v>
      </c>
      <c r="I1" s="104" t="s">
        <v>41</v>
      </c>
      <c r="J1" s="104" t="s">
        <v>42</v>
      </c>
      <c r="K1" s="104" t="s">
        <v>3</v>
      </c>
      <c r="L1" s="104" t="s">
        <v>4</v>
      </c>
      <c r="M1" s="104" t="s">
        <v>43</v>
      </c>
      <c r="N1" s="104" t="s">
        <v>44</v>
      </c>
      <c r="O1" s="104" t="s">
        <v>45</v>
      </c>
    </row>
    <row r="2" spans="1:15" ht="18" customHeight="1" x14ac:dyDescent="0.2">
      <c r="A2" s="91" t="s">
        <v>5686</v>
      </c>
      <c r="B2" s="91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36" x14ac:dyDescent="0.2">
      <c r="A3" s="47" t="s">
        <v>5687</v>
      </c>
      <c r="B3" s="47" t="s">
        <v>5687</v>
      </c>
      <c r="C3" s="48">
        <v>46097</v>
      </c>
      <c r="D3" s="47"/>
      <c r="E3" s="47" t="s">
        <v>10</v>
      </c>
      <c r="F3" s="47" t="s">
        <v>5688</v>
      </c>
      <c r="G3" s="47" t="s">
        <v>5689</v>
      </c>
      <c r="H3" s="47"/>
      <c r="I3" s="47" t="s">
        <v>80</v>
      </c>
      <c r="J3" s="47">
        <v>-8400</v>
      </c>
      <c r="K3" s="47"/>
      <c r="L3" s="47">
        <v>29005.200000000001</v>
      </c>
      <c r="M3" s="47">
        <v>-29005.200000000001</v>
      </c>
      <c r="N3" s="47" t="s">
        <v>5690</v>
      </c>
      <c r="O3" s="47" t="s">
        <v>234</v>
      </c>
    </row>
    <row r="5" spans="1:15" ht="13.5" customHeight="1" x14ac:dyDescent="0.2">
      <c r="M5" s="31">
        <f>SUM(M3:M4)</f>
        <v>-29005.200000000001</v>
      </c>
    </row>
  </sheetData>
  <mergeCells count="1">
    <mergeCell ref="A2:B2"/>
  </mergeCells>
  <conditionalFormatting sqref="N1">
    <cfRule type="duplicateValues" dxfId="1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3526-5DB4-4E80-8E02-C8B71B6CD393}">
  <dimension ref="A1:O130"/>
  <sheetViews>
    <sheetView topLeftCell="F1" workbookViewId="0">
      <selection activeCell="F1" sqref="A1:XFD1"/>
    </sheetView>
  </sheetViews>
  <sheetFormatPr baseColWidth="10" defaultColWidth="18.42578125" defaultRowHeight="11.25" x14ac:dyDescent="0.2"/>
  <cols>
    <col min="1" max="8" width="18.42578125" style="8"/>
    <col min="9" max="9" width="9.5703125" style="8" customWidth="1"/>
    <col min="10" max="12" width="18.42578125" style="8"/>
    <col min="13" max="13" width="18.42578125" style="9"/>
    <col min="14" max="16384" width="18.42578125" style="8"/>
  </cols>
  <sheetData>
    <row r="1" spans="1:15" s="18" customFormat="1" ht="25.5" customHeight="1" x14ac:dyDescent="0.25">
      <c r="A1" s="104" t="s">
        <v>33</v>
      </c>
      <c r="B1" s="104" t="s">
        <v>34</v>
      </c>
      <c r="C1" s="104" t="s">
        <v>35</v>
      </c>
      <c r="D1" s="104" t="s">
        <v>36</v>
      </c>
      <c r="E1" s="104" t="s">
        <v>37</v>
      </c>
      <c r="F1" s="104" t="s">
        <v>38</v>
      </c>
      <c r="G1" s="104" t="s">
        <v>39</v>
      </c>
      <c r="H1" s="104" t="s">
        <v>40</v>
      </c>
      <c r="I1" s="104" t="s">
        <v>41</v>
      </c>
      <c r="J1" s="104" t="s">
        <v>42</v>
      </c>
      <c r="K1" s="104" t="s">
        <v>3</v>
      </c>
      <c r="L1" s="104" t="s">
        <v>4</v>
      </c>
      <c r="M1" s="104" t="s">
        <v>43</v>
      </c>
      <c r="N1" s="104" t="s">
        <v>44</v>
      </c>
      <c r="O1" s="104" t="s">
        <v>45</v>
      </c>
    </row>
    <row r="2" spans="1:15" ht="25.5" customHeight="1" x14ac:dyDescent="0.2">
      <c r="A2" s="92" t="s">
        <v>5691</v>
      </c>
      <c r="B2" s="93"/>
      <c r="C2" s="94"/>
      <c r="D2" s="38"/>
      <c r="E2" s="38"/>
      <c r="F2" s="38"/>
      <c r="G2" s="38"/>
      <c r="H2" s="38"/>
      <c r="I2" s="38"/>
      <c r="J2" s="38"/>
      <c r="K2" s="38"/>
      <c r="L2" s="38"/>
      <c r="M2" s="39"/>
      <c r="N2" s="38"/>
      <c r="O2" s="38"/>
    </row>
    <row r="3" spans="1:15" ht="22.5" x14ac:dyDescent="0.2">
      <c r="A3" s="40" t="s">
        <v>5692</v>
      </c>
      <c r="B3" s="40" t="s">
        <v>5692</v>
      </c>
      <c r="C3" s="41">
        <v>46106</v>
      </c>
      <c r="D3" s="40"/>
      <c r="E3" s="40" t="s">
        <v>11</v>
      </c>
      <c r="F3" s="40" t="s">
        <v>5693</v>
      </c>
      <c r="G3" s="40" t="s">
        <v>5542</v>
      </c>
      <c r="H3" s="40"/>
      <c r="I3" s="40" t="s">
        <v>80</v>
      </c>
      <c r="J3" s="40">
        <v>-3779.99</v>
      </c>
      <c r="K3" s="40"/>
      <c r="L3" s="40">
        <v>13093.88</v>
      </c>
      <c r="M3" s="40">
        <v>-13093.88</v>
      </c>
      <c r="N3" s="40"/>
      <c r="O3" s="40" t="s">
        <v>2706</v>
      </c>
    </row>
    <row r="4" spans="1:15" ht="22.5" x14ac:dyDescent="0.2">
      <c r="A4" s="40" t="s">
        <v>5694</v>
      </c>
      <c r="B4" s="40" t="s">
        <v>5694</v>
      </c>
      <c r="C4" s="41">
        <v>46098</v>
      </c>
      <c r="D4" s="40"/>
      <c r="E4" s="40" t="s">
        <v>11</v>
      </c>
      <c r="F4" s="40" t="s">
        <v>5695</v>
      </c>
      <c r="G4" s="40" t="s">
        <v>5542</v>
      </c>
      <c r="H4" s="40"/>
      <c r="I4" s="40" t="s">
        <v>80</v>
      </c>
      <c r="J4" s="40">
        <v>-28900</v>
      </c>
      <c r="K4" s="40"/>
      <c r="L4" s="40">
        <v>99387.1</v>
      </c>
      <c r="M4" s="40">
        <v>-99387.1</v>
      </c>
      <c r="N4" s="40"/>
      <c r="O4" s="40" t="s">
        <v>2706</v>
      </c>
    </row>
    <row r="5" spans="1:15" ht="22.5" x14ac:dyDescent="0.2">
      <c r="A5" s="40" t="s">
        <v>5696</v>
      </c>
      <c r="B5" s="40" t="s">
        <v>5696</v>
      </c>
      <c r="C5" s="41">
        <v>46098</v>
      </c>
      <c r="D5" s="40"/>
      <c r="E5" s="40" t="s">
        <v>11</v>
      </c>
      <c r="F5" s="40" t="s">
        <v>5695</v>
      </c>
      <c r="G5" s="40" t="s">
        <v>5542</v>
      </c>
      <c r="H5" s="40"/>
      <c r="I5" s="40" t="s">
        <v>80</v>
      </c>
      <c r="J5" s="40">
        <v>-36960</v>
      </c>
      <c r="K5" s="40"/>
      <c r="L5" s="40">
        <v>127105.44</v>
      </c>
      <c r="M5" s="40">
        <v>-127105.44</v>
      </c>
      <c r="N5" s="40"/>
      <c r="O5" s="40" t="s">
        <v>2706</v>
      </c>
    </row>
    <row r="6" spans="1:15" ht="33.75" x14ac:dyDescent="0.2">
      <c r="A6" s="40" t="s">
        <v>5697</v>
      </c>
      <c r="B6" s="40" t="s">
        <v>5697</v>
      </c>
      <c r="C6" s="41">
        <v>46098</v>
      </c>
      <c r="D6" s="40"/>
      <c r="E6" s="40" t="s">
        <v>11</v>
      </c>
      <c r="F6" s="40" t="s">
        <v>5698</v>
      </c>
      <c r="G6" s="40" t="s">
        <v>5542</v>
      </c>
      <c r="H6" s="40"/>
      <c r="I6" s="40" t="s">
        <v>80</v>
      </c>
      <c r="J6" s="40">
        <v>-9124.23</v>
      </c>
      <c r="K6" s="40"/>
      <c r="L6" s="40">
        <v>31378.23</v>
      </c>
      <c r="M6" s="40">
        <v>-31378.23</v>
      </c>
      <c r="N6" s="40"/>
      <c r="O6" s="40" t="s">
        <v>2706</v>
      </c>
    </row>
    <row r="7" spans="1:15" ht="56.25" x14ac:dyDescent="0.2">
      <c r="A7" s="40" t="s">
        <v>5699</v>
      </c>
      <c r="B7" s="40" t="s">
        <v>5700</v>
      </c>
      <c r="C7" s="41">
        <v>46073</v>
      </c>
      <c r="D7" s="41">
        <v>46073</v>
      </c>
      <c r="E7" s="40" t="s">
        <v>11</v>
      </c>
      <c r="F7" s="40" t="s">
        <v>5701</v>
      </c>
      <c r="G7" s="40" t="s">
        <v>5702</v>
      </c>
      <c r="H7" s="40" t="s">
        <v>5703</v>
      </c>
      <c r="I7" s="40" t="s">
        <v>80</v>
      </c>
      <c r="J7" s="40">
        <v>45381.5</v>
      </c>
      <c r="K7" s="40">
        <v>152754.13</v>
      </c>
      <c r="L7" s="40"/>
      <c r="M7" s="40">
        <v>152754.13</v>
      </c>
      <c r="N7" s="40"/>
      <c r="O7" s="40" t="s">
        <v>2706</v>
      </c>
    </row>
    <row r="8" spans="1:15" ht="22.5" x14ac:dyDescent="0.2">
      <c r="A8" s="40" t="s">
        <v>5704</v>
      </c>
      <c r="B8" s="40" t="s">
        <v>5704</v>
      </c>
      <c r="C8" s="41">
        <v>46073</v>
      </c>
      <c r="D8" s="40"/>
      <c r="E8" s="40" t="s">
        <v>11</v>
      </c>
      <c r="F8" s="40" t="s">
        <v>5701</v>
      </c>
      <c r="G8" s="40" t="s">
        <v>5345</v>
      </c>
      <c r="H8" s="40"/>
      <c r="I8" s="40" t="s">
        <v>80</v>
      </c>
      <c r="J8" s="40"/>
      <c r="K8" s="40"/>
      <c r="L8" s="40">
        <v>191.35</v>
      </c>
      <c r="M8" s="40">
        <v>-191.35</v>
      </c>
      <c r="N8" s="40"/>
      <c r="O8" s="40" t="s">
        <v>2706</v>
      </c>
    </row>
    <row r="9" spans="1:15" ht="22.5" x14ac:dyDescent="0.2">
      <c r="A9" s="40" t="s">
        <v>5705</v>
      </c>
      <c r="B9" s="40" t="s">
        <v>5705</v>
      </c>
      <c r="C9" s="41">
        <v>46073</v>
      </c>
      <c r="D9" s="40"/>
      <c r="E9" s="40" t="s">
        <v>11</v>
      </c>
      <c r="F9" s="40" t="s">
        <v>5701</v>
      </c>
      <c r="G9" s="40" t="s">
        <v>5345</v>
      </c>
      <c r="H9" s="40"/>
      <c r="I9" s="40" t="s">
        <v>80</v>
      </c>
      <c r="J9" s="40"/>
      <c r="K9" s="40">
        <v>20</v>
      </c>
      <c r="L9" s="40"/>
      <c r="M9" s="40">
        <v>20</v>
      </c>
      <c r="N9" s="40"/>
      <c r="O9" s="40" t="s">
        <v>2706</v>
      </c>
    </row>
    <row r="10" spans="1:15" ht="22.5" x14ac:dyDescent="0.2">
      <c r="A10" s="40" t="s">
        <v>5706</v>
      </c>
      <c r="B10" s="40" t="s">
        <v>5706</v>
      </c>
      <c r="C10" s="41">
        <v>46073</v>
      </c>
      <c r="D10" s="40"/>
      <c r="E10" s="40" t="s">
        <v>11</v>
      </c>
      <c r="F10" s="40" t="s">
        <v>5701</v>
      </c>
      <c r="G10" s="40" t="s">
        <v>5345</v>
      </c>
      <c r="H10" s="40"/>
      <c r="I10" s="40" t="s">
        <v>80</v>
      </c>
      <c r="J10" s="40"/>
      <c r="K10" s="40"/>
      <c r="L10" s="40">
        <v>140</v>
      </c>
      <c r="M10" s="40">
        <v>-140</v>
      </c>
      <c r="N10" s="40"/>
      <c r="O10" s="40" t="s">
        <v>2706</v>
      </c>
    </row>
    <row r="11" spans="1:15" ht="22.5" x14ac:dyDescent="0.2">
      <c r="A11" s="40" t="s">
        <v>5707</v>
      </c>
      <c r="B11" s="40" t="s">
        <v>5707</v>
      </c>
      <c r="C11" s="41">
        <v>46073</v>
      </c>
      <c r="D11" s="40"/>
      <c r="E11" s="40" t="s">
        <v>11</v>
      </c>
      <c r="F11" s="40" t="s">
        <v>5701</v>
      </c>
      <c r="G11" s="40" t="s">
        <v>5345</v>
      </c>
      <c r="H11" s="40"/>
      <c r="I11" s="40" t="s">
        <v>80</v>
      </c>
      <c r="J11" s="40"/>
      <c r="K11" s="40"/>
      <c r="L11" s="40">
        <v>23.76</v>
      </c>
      <c r="M11" s="40">
        <v>-23.76</v>
      </c>
      <c r="N11" s="40"/>
      <c r="O11" s="40" t="s">
        <v>2706</v>
      </c>
    </row>
    <row r="12" spans="1:15" ht="22.5" x14ac:dyDescent="0.2">
      <c r="A12" s="40" t="s">
        <v>5708</v>
      </c>
      <c r="B12" s="40" t="s">
        <v>5708</v>
      </c>
      <c r="C12" s="41">
        <v>46071</v>
      </c>
      <c r="D12" s="40"/>
      <c r="E12" s="40" t="s">
        <v>11</v>
      </c>
      <c r="F12" s="40" t="s">
        <v>5701</v>
      </c>
      <c r="G12" s="40" t="s">
        <v>5542</v>
      </c>
      <c r="H12" s="40"/>
      <c r="I12" s="40" t="s">
        <v>80</v>
      </c>
      <c r="J12" s="40">
        <v>-10744.36</v>
      </c>
      <c r="K12" s="40"/>
      <c r="L12" s="40">
        <v>35972.120000000003</v>
      </c>
      <c r="M12" s="40">
        <v>-35972.120000000003</v>
      </c>
      <c r="N12" s="40"/>
      <c r="O12" s="40" t="s">
        <v>2706</v>
      </c>
    </row>
    <row r="13" spans="1:15" ht="22.5" x14ac:dyDescent="0.2">
      <c r="A13" s="40" t="s">
        <v>5709</v>
      </c>
      <c r="B13" s="40" t="s">
        <v>5709</v>
      </c>
      <c r="C13" s="41">
        <v>46065</v>
      </c>
      <c r="D13" s="40"/>
      <c r="E13" s="40" t="s">
        <v>11</v>
      </c>
      <c r="F13" s="40" t="s">
        <v>5390</v>
      </c>
      <c r="G13" s="40" t="s">
        <v>5542</v>
      </c>
      <c r="H13" s="40"/>
      <c r="I13" s="40" t="s">
        <v>80</v>
      </c>
      <c r="J13" s="40">
        <v>-26.52</v>
      </c>
      <c r="K13" s="40"/>
      <c r="L13" s="40">
        <v>89.18</v>
      </c>
      <c r="M13" s="40">
        <v>-89.18</v>
      </c>
      <c r="N13" s="40" t="s">
        <v>5710</v>
      </c>
      <c r="O13" s="40" t="s">
        <v>2706</v>
      </c>
    </row>
    <row r="14" spans="1:15" ht="22.5" x14ac:dyDescent="0.2">
      <c r="A14" s="40" t="s">
        <v>5711</v>
      </c>
      <c r="B14" s="40" t="s">
        <v>5711</v>
      </c>
      <c r="C14" s="41">
        <v>46059</v>
      </c>
      <c r="D14" s="40"/>
      <c r="E14" s="40" t="s">
        <v>11</v>
      </c>
      <c r="F14" s="40" t="s">
        <v>5701</v>
      </c>
      <c r="G14" s="40" t="s">
        <v>5534</v>
      </c>
      <c r="H14" s="40"/>
      <c r="I14" s="40" t="s">
        <v>80</v>
      </c>
      <c r="J14" s="40">
        <v>-10000</v>
      </c>
      <c r="K14" s="40"/>
      <c r="L14" s="40">
        <v>33680</v>
      </c>
      <c r="M14" s="40">
        <v>-33680</v>
      </c>
      <c r="N14" s="40"/>
      <c r="O14" s="40" t="s">
        <v>2706</v>
      </c>
    </row>
    <row r="15" spans="1:15" ht="22.5" x14ac:dyDescent="0.2">
      <c r="A15" s="40" t="s">
        <v>5712</v>
      </c>
      <c r="B15" s="40" t="s">
        <v>5712</v>
      </c>
      <c r="C15" s="41">
        <v>46059</v>
      </c>
      <c r="D15" s="40"/>
      <c r="E15" s="40" t="s">
        <v>11</v>
      </c>
      <c r="F15" s="40" t="s">
        <v>5695</v>
      </c>
      <c r="G15" s="40" t="s">
        <v>5713</v>
      </c>
      <c r="H15" s="40"/>
      <c r="I15" s="40" t="s">
        <v>80</v>
      </c>
      <c r="J15" s="40">
        <v>-37500</v>
      </c>
      <c r="K15" s="40"/>
      <c r="L15" s="40">
        <v>126300</v>
      </c>
      <c r="M15" s="40">
        <v>-126300</v>
      </c>
      <c r="N15" s="40"/>
      <c r="O15" s="40" t="s">
        <v>2706</v>
      </c>
    </row>
    <row r="16" spans="1:15" ht="22.5" x14ac:dyDescent="0.2">
      <c r="A16" s="40" t="s">
        <v>5714</v>
      </c>
      <c r="B16" s="40" t="s">
        <v>5714</v>
      </c>
      <c r="C16" s="41">
        <v>46056</v>
      </c>
      <c r="D16" s="40"/>
      <c r="E16" s="40" t="s">
        <v>11</v>
      </c>
      <c r="F16" s="40" t="s">
        <v>5715</v>
      </c>
      <c r="G16" s="40" t="s">
        <v>5534</v>
      </c>
      <c r="H16" s="40"/>
      <c r="I16" s="40" t="s">
        <v>80</v>
      </c>
      <c r="J16" s="40">
        <v>-23960</v>
      </c>
      <c r="K16" s="40"/>
      <c r="L16" s="40">
        <v>80721.240000000005</v>
      </c>
      <c r="M16" s="40">
        <v>-80721.240000000005</v>
      </c>
      <c r="N16" s="40"/>
      <c r="O16" s="40" t="s">
        <v>2706</v>
      </c>
    </row>
    <row r="17" spans="1:15" ht="22.5" x14ac:dyDescent="0.2">
      <c r="A17" s="40" t="s">
        <v>5716</v>
      </c>
      <c r="B17" s="40" t="s">
        <v>5716</v>
      </c>
      <c r="C17" s="41">
        <v>46051</v>
      </c>
      <c r="D17" s="40"/>
      <c r="E17" s="40" t="s">
        <v>11</v>
      </c>
      <c r="F17" s="40" t="s">
        <v>5695</v>
      </c>
      <c r="G17" s="40" t="s">
        <v>5534</v>
      </c>
      <c r="H17" s="40"/>
      <c r="I17" s="40" t="s">
        <v>80</v>
      </c>
      <c r="J17" s="40">
        <v>-38700</v>
      </c>
      <c r="K17" s="40"/>
      <c r="L17" s="40">
        <v>129451.5</v>
      </c>
      <c r="M17" s="40">
        <v>-129451.5</v>
      </c>
      <c r="N17" s="40"/>
      <c r="O17" s="40" t="s">
        <v>2706</v>
      </c>
    </row>
    <row r="18" spans="1:15" ht="45" x14ac:dyDescent="0.2">
      <c r="A18" s="40" t="s">
        <v>5717</v>
      </c>
      <c r="B18" s="40" t="s">
        <v>5717</v>
      </c>
      <c r="C18" s="41">
        <v>46051</v>
      </c>
      <c r="D18" s="40"/>
      <c r="E18" s="40" t="s">
        <v>11</v>
      </c>
      <c r="F18" s="40" t="s">
        <v>5718</v>
      </c>
      <c r="G18" s="40" t="s">
        <v>5534</v>
      </c>
      <c r="H18" s="40"/>
      <c r="I18" s="40" t="s">
        <v>80</v>
      </c>
      <c r="J18" s="40">
        <v>-49823.37</v>
      </c>
      <c r="K18" s="40"/>
      <c r="L18" s="40">
        <v>166659.17000000001</v>
      </c>
      <c r="M18" s="40">
        <v>-166659.17000000001</v>
      </c>
      <c r="N18" s="40"/>
      <c r="O18" s="40" t="s">
        <v>2706</v>
      </c>
    </row>
    <row r="19" spans="1:15" ht="45" x14ac:dyDescent="0.2">
      <c r="A19" s="40" t="s">
        <v>5719</v>
      </c>
      <c r="B19" s="40" t="s">
        <v>5719</v>
      </c>
      <c r="C19" s="41">
        <v>46051</v>
      </c>
      <c r="D19" s="40"/>
      <c r="E19" s="40" t="s">
        <v>11</v>
      </c>
      <c r="F19" s="40" t="s">
        <v>5718</v>
      </c>
      <c r="G19" s="40" t="s">
        <v>5542</v>
      </c>
      <c r="H19" s="40"/>
      <c r="I19" s="40" t="s">
        <v>80</v>
      </c>
      <c r="J19" s="40">
        <v>-69046.69</v>
      </c>
      <c r="K19" s="40"/>
      <c r="L19" s="40">
        <v>230961.18</v>
      </c>
      <c r="M19" s="40">
        <v>-230961.18</v>
      </c>
      <c r="N19" s="40"/>
      <c r="O19" s="40" t="s">
        <v>2706</v>
      </c>
    </row>
    <row r="20" spans="1:15" ht="33.75" x14ac:dyDescent="0.2">
      <c r="A20" s="40" t="s">
        <v>5720</v>
      </c>
      <c r="B20" s="40" t="s">
        <v>5720</v>
      </c>
      <c r="C20" s="41">
        <v>46050</v>
      </c>
      <c r="D20" s="40"/>
      <c r="E20" s="40" t="s">
        <v>11</v>
      </c>
      <c r="F20" s="40" t="s">
        <v>5721</v>
      </c>
      <c r="G20" s="40" t="s">
        <v>5542</v>
      </c>
      <c r="H20" s="40"/>
      <c r="I20" s="40" t="s">
        <v>80</v>
      </c>
      <c r="J20" s="40">
        <v>-12070.36</v>
      </c>
      <c r="K20" s="40"/>
      <c r="L20" s="40">
        <v>40459.839999999997</v>
      </c>
      <c r="M20" s="40">
        <v>-40459.839999999997</v>
      </c>
      <c r="N20" s="40"/>
      <c r="O20" s="40" t="s">
        <v>2706</v>
      </c>
    </row>
    <row r="21" spans="1:15" ht="22.5" x14ac:dyDescent="0.2">
      <c r="A21" s="40" t="s">
        <v>5722</v>
      </c>
      <c r="B21" s="40" t="s">
        <v>5722</v>
      </c>
      <c r="C21" s="41">
        <v>46050</v>
      </c>
      <c r="D21" s="40"/>
      <c r="E21" s="40" t="s">
        <v>11</v>
      </c>
      <c r="F21" s="40" t="s">
        <v>5701</v>
      </c>
      <c r="G21" s="40" t="s">
        <v>5542</v>
      </c>
      <c r="H21" s="40"/>
      <c r="I21" s="40" t="s">
        <v>80</v>
      </c>
      <c r="J21" s="40">
        <v>-10000</v>
      </c>
      <c r="K21" s="40"/>
      <c r="L21" s="40">
        <v>33520</v>
      </c>
      <c r="M21" s="40">
        <v>-33520</v>
      </c>
      <c r="N21" s="40"/>
      <c r="O21" s="40" t="s">
        <v>2706</v>
      </c>
    </row>
    <row r="22" spans="1:15" ht="56.25" x14ac:dyDescent="0.2">
      <c r="A22" s="40" t="s">
        <v>5723</v>
      </c>
      <c r="B22" s="40" t="s">
        <v>5724</v>
      </c>
      <c r="C22" s="41">
        <v>46044</v>
      </c>
      <c r="D22" s="41">
        <v>46044</v>
      </c>
      <c r="E22" s="40" t="s">
        <v>11</v>
      </c>
      <c r="F22" s="40" t="s">
        <v>5701</v>
      </c>
      <c r="G22" s="40" t="s">
        <v>5725</v>
      </c>
      <c r="H22" s="40" t="s">
        <v>5726</v>
      </c>
      <c r="I22" s="40" t="s">
        <v>80</v>
      </c>
      <c r="J22" s="40">
        <v>54956.36</v>
      </c>
      <c r="K22" s="40">
        <v>184598.41</v>
      </c>
      <c r="L22" s="40"/>
      <c r="M22" s="40">
        <v>184598.41</v>
      </c>
      <c r="N22" s="40"/>
      <c r="O22" s="40" t="s">
        <v>2706</v>
      </c>
    </row>
    <row r="23" spans="1:15" ht="22.5" x14ac:dyDescent="0.2">
      <c r="A23" s="40" t="s">
        <v>5727</v>
      </c>
      <c r="B23" s="40" t="s">
        <v>5727</v>
      </c>
      <c r="C23" s="41">
        <v>46044</v>
      </c>
      <c r="D23" s="40"/>
      <c r="E23" s="40" t="s">
        <v>11</v>
      </c>
      <c r="F23" s="40" t="s">
        <v>5701</v>
      </c>
      <c r="G23" s="40" t="s">
        <v>5345</v>
      </c>
      <c r="H23" s="40"/>
      <c r="I23" s="40" t="s">
        <v>80</v>
      </c>
      <c r="J23" s="40"/>
      <c r="K23" s="40"/>
      <c r="L23" s="40">
        <v>0.01</v>
      </c>
      <c r="M23" s="40">
        <v>-0.01</v>
      </c>
      <c r="N23" s="40"/>
      <c r="O23" s="40" t="s">
        <v>2706</v>
      </c>
    </row>
    <row r="24" spans="1:15" ht="22.5" x14ac:dyDescent="0.2">
      <c r="A24" s="40" t="s">
        <v>5727</v>
      </c>
      <c r="B24" s="40" t="s">
        <v>5727</v>
      </c>
      <c r="C24" s="41">
        <v>46044</v>
      </c>
      <c r="D24" s="40"/>
      <c r="E24" s="40" t="s">
        <v>11</v>
      </c>
      <c r="F24" s="40" t="s">
        <v>5701</v>
      </c>
      <c r="G24" s="40" t="s">
        <v>5345</v>
      </c>
      <c r="H24" s="40"/>
      <c r="I24" s="40" t="s">
        <v>80</v>
      </c>
      <c r="J24" s="40"/>
      <c r="K24" s="40">
        <v>2.98</v>
      </c>
      <c r="L24" s="40"/>
      <c r="M24" s="40">
        <v>2.98</v>
      </c>
      <c r="N24" s="40"/>
      <c r="O24" s="40" t="s">
        <v>2706</v>
      </c>
    </row>
    <row r="25" spans="1:15" ht="22.5" x14ac:dyDescent="0.2">
      <c r="A25" s="40" t="s">
        <v>5728</v>
      </c>
      <c r="B25" s="40" t="s">
        <v>5728</v>
      </c>
      <c r="C25" s="41">
        <v>46044</v>
      </c>
      <c r="D25" s="40"/>
      <c r="E25" s="40" t="s">
        <v>11</v>
      </c>
      <c r="F25" s="40" t="s">
        <v>5701</v>
      </c>
      <c r="G25" s="40" t="s">
        <v>5345</v>
      </c>
      <c r="H25" s="40"/>
      <c r="I25" s="40" t="s">
        <v>80</v>
      </c>
      <c r="J25" s="40"/>
      <c r="K25" s="40">
        <v>17.78</v>
      </c>
      <c r="L25" s="40"/>
      <c r="M25" s="40">
        <v>17.78</v>
      </c>
      <c r="N25" s="40"/>
      <c r="O25" s="40" t="s">
        <v>2706</v>
      </c>
    </row>
    <row r="26" spans="1:15" ht="22.5" x14ac:dyDescent="0.2">
      <c r="A26" s="40" t="s">
        <v>5729</v>
      </c>
      <c r="B26" s="40" t="s">
        <v>5729</v>
      </c>
      <c r="C26" s="41">
        <v>46044</v>
      </c>
      <c r="D26" s="40"/>
      <c r="E26" s="40" t="s">
        <v>11</v>
      </c>
      <c r="F26" s="40" t="s">
        <v>5701</v>
      </c>
      <c r="G26" s="40" t="s">
        <v>5345</v>
      </c>
      <c r="H26" s="40"/>
      <c r="I26" s="40" t="s">
        <v>80</v>
      </c>
      <c r="J26" s="40"/>
      <c r="K26" s="40">
        <v>183.21</v>
      </c>
      <c r="L26" s="40"/>
      <c r="M26" s="40">
        <v>183.21</v>
      </c>
      <c r="N26" s="40"/>
      <c r="O26" s="40" t="s">
        <v>2706</v>
      </c>
    </row>
    <row r="27" spans="1:15" ht="22.5" x14ac:dyDescent="0.2">
      <c r="A27" s="40" t="s">
        <v>5730</v>
      </c>
      <c r="B27" s="40" t="s">
        <v>5730</v>
      </c>
      <c r="C27" s="41">
        <v>46044</v>
      </c>
      <c r="D27" s="40"/>
      <c r="E27" s="40" t="s">
        <v>11</v>
      </c>
      <c r="F27" s="40" t="s">
        <v>5701</v>
      </c>
      <c r="G27" s="40" t="s">
        <v>5345</v>
      </c>
      <c r="H27" s="40"/>
      <c r="I27" s="40" t="s">
        <v>80</v>
      </c>
      <c r="J27" s="40"/>
      <c r="K27" s="40">
        <v>368.2</v>
      </c>
      <c r="L27" s="40"/>
      <c r="M27" s="40">
        <v>368.2</v>
      </c>
      <c r="N27" s="40"/>
      <c r="O27" s="40" t="s">
        <v>2706</v>
      </c>
    </row>
    <row r="28" spans="1:15" ht="22.5" x14ac:dyDescent="0.2">
      <c r="A28" s="40" t="s">
        <v>5731</v>
      </c>
      <c r="B28" s="40" t="s">
        <v>5731</v>
      </c>
      <c r="C28" s="41">
        <v>46044</v>
      </c>
      <c r="D28" s="40"/>
      <c r="E28" s="40" t="s">
        <v>11</v>
      </c>
      <c r="F28" s="40" t="s">
        <v>5701</v>
      </c>
      <c r="G28" s="40" t="s">
        <v>5345</v>
      </c>
      <c r="H28" s="40"/>
      <c r="I28" s="40" t="s">
        <v>80</v>
      </c>
      <c r="J28" s="40"/>
      <c r="K28" s="40">
        <v>159.43</v>
      </c>
      <c r="L28" s="40"/>
      <c r="M28" s="40">
        <v>159.43</v>
      </c>
      <c r="N28" s="40"/>
      <c r="O28" s="40" t="s">
        <v>2706</v>
      </c>
    </row>
    <row r="29" spans="1:15" ht="22.5" x14ac:dyDescent="0.2">
      <c r="A29" s="40" t="s">
        <v>5732</v>
      </c>
      <c r="B29" s="40" t="s">
        <v>5732</v>
      </c>
      <c r="C29" s="41">
        <v>46044</v>
      </c>
      <c r="D29" s="40"/>
      <c r="E29" s="40" t="s">
        <v>11</v>
      </c>
      <c r="F29" s="40" t="s">
        <v>5715</v>
      </c>
      <c r="G29" s="40" t="s">
        <v>5542</v>
      </c>
      <c r="H29" s="40"/>
      <c r="I29" s="40" t="s">
        <v>80</v>
      </c>
      <c r="J29" s="40">
        <v>-28195</v>
      </c>
      <c r="K29" s="40"/>
      <c r="L29" s="40">
        <v>94707.01</v>
      </c>
      <c r="M29" s="40">
        <v>-94707.01</v>
      </c>
      <c r="N29" s="40"/>
      <c r="O29" s="40" t="s">
        <v>2706</v>
      </c>
    </row>
    <row r="30" spans="1:15" ht="22.5" x14ac:dyDescent="0.2">
      <c r="A30" s="40" t="s">
        <v>5733</v>
      </c>
      <c r="B30" s="40" t="s">
        <v>5733</v>
      </c>
      <c r="C30" s="41">
        <v>46042</v>
      </c>
      <c r="D30" s="40"/>
      <c r="E30" s="40" t="s">
        <v>11</v>
      </c>
      <c r="F30" s="40" t="s">
        <v>5701</v>
      </c>
      <c r="G30" s="40" t="s">
        <v>5542</v>
      </c>
      <c r="H30" s="40"/>
      <c r="I30" s="40" t="s">
        <v>80</v>
      </c>
      <c r="J30" s="40">
        <v>-10000</v>
      </c>
      <c r="K30" s="40"/>
      <c r="L30" s="40">
        <v>33660</v>
      </c>
      <c r="M30" s="40">
        <v>-33660</v>
      </c>
      <c r="N30" s="40"/>
      <c r="O30" s="40" t="s">
        <v>2706</v>
      </c>
    </row>
    <row r="31" spans="1:15" ht="22.5" x14ac:dyDescent="0.2">
      <c r="A31" s="40" t="s">
        <v>5734</v>
      </c>
      <c r="B31" s="40" t="s">
        <v>5734</v>
      </c>
      <c r="C31" s="41">
        <v>46036</v>
      </c>
      <c r="D31" s="40"/>
      <c r="E31" s="40" t="s">
        <v>11</v>
      </c>
      <c r="F31" s="40" t="s">
        <v>5701</v>
      </c>
      <c r="G31" s="40" t="s">
        <v>5542</v>
      </c>
      <c r="H31" s="40"/>
      <c r="I31" s="40" t="s">
        <v>80</v>
      </c>
      <c r="J31" s="40">
        <v>-8887.25</v>
      </c>
      <c r="K31" s="40"/>
      <c r="L31" s="40">
        <v>29870.05</v>
      </c>
      <c r="M31" s="40">
        <v>-29870.05</v>
      </c>
      <c r="N31" s="40"/>
      <c r="O31" s="40" t="s">
        <v>2706</v>
      </c>
    </row>
    <row r="32" spans="1:15" ht="56.25" x14ac:dyDescent="0.2">
      <c r="A32" s="40" t="s">
        <v>5735</v>
      </c>
      <c r="B32" s="40" t="s">
        <v>5735</v>
      </c>
      <c r="C32" s="41">
        <v>46036</v>
      </c>
      <c r="D32" s="40"/>
      <c r="E32" s="40" t="s">
        <v>11</v>
      </c>
      <c r="F32" s="40" t="s">
        <v>5701</v>
      </c>
      <c r="G32" s="40" t="s">
        <v>5736</v>
      </c>
      <c r="H32" s="40"/>
      <c r="I32" s="40" t="s">
        <v>80</v>
      </c>
      <c r="J32" s="40">
        <v>-6241.3</v>
      </c>
      <c r="K32" s="40"/>
      <c r="L32" s="40">
        <v>20977.01</v>
      </c>
      <c r="M32" s="40">
        <v>-20977.01</v>
      </c>
      <c r="N32" s="40"/>
      <c r="O32" s="40" t="s">
        <v>2706</v>
      </c>
    </row>
    <row r="33" spans="1:15" ht="22.5" x14ac:dyDescent="0.2">
      <c r="A33" s="40" t="s">
        <v>5737</v>
      </c>
      <c r="B33" s="40" t="s">
        <v>5737</v>
      </c>
      <c r="C33" s="41">
        <v>46036</v>
      </c>
      <c r="D33" s="40"/>
      <c r="E33" s="40" t="s">
        <v>11</v>
      </c>
      <c r="F33" s="40" t="s">
        <v>5738</v>
      </c>
      <c r="G33" s="40" t="s">
        <v>5542</v>
      </c>
      <c r="H33" s="40"/>
      <c r="I33" s="40" t="s">
        <v>80</v>
      </c>
      <c r="J33" s="40">
        <v>-30159.08</v>
      </c>
      <c r="K33" s="40"/>
      <c r="L33" s="40">
        <v>101364.67</v>
      </c>
      <c r="M33" s="40">
        <v>-101364.67</v>
      </c>
      <c r="N33" s="40"/>
      <c r="O33" s="40" t="s">
        <v>2706</v>
      </c>
    </row>
    <row r="34" spans="1:15" ht="45" x14ac:dyDescent="0.2">
      <c r="A34" s="40" t="s">
        <v>5739</v>
      </c>
      <c r="B34" s="40" t="s">
        <v>5740</v>
      </c>
      <c r="C34" s="41">
        <v>46021</v>
      </c>
      <c r="D34" s="41">
        <v>46021</v>
      </c>
      <c r="E34" s="40" t="s">
        <v>11</v>
      </c>
      <c r="F34" s="40" t="s">
        <v>5741</v>
      </c>
      <c r="G34" s="40" t="s">
        <v>5742</v>
      </c>
      <c r="H34" s="40" t="s">
        <v>5743</v>
      </c>
      <c r="I34" s="40" t="s">
        <v>80</v>
      </c>
      <c r="J34" s="40">
        <v>47562.04</v>
      </c>
      <c r="K34" s="40">
        <v>160379.20000000001</v>
      </c>
      <c r="L34" s="40"/>
      <c r="M34" s="40">
        <v>160379.20000000001</v>
      </c>
      <c r="N34" s="40"/>
      <c r="O34" s="40" t="s">
        <v>2706</v>
      </c>
    </row>
    <row r="35" spans="1:15" ht="22.5" x14ac:dyDescent="0.2">
      <c r="A35" s="40" t="s">
        <v>5744</v>
      </c>
      <c r="B35" s="40" t="s">
        <v>5744</v>
      </c>
      <c r="C35" s="41">
        <v>46021</v>
      </c>
      <c r="D35" s="40"/>
      <c r="E35" s="40" t="s">
        <v>11</v>
      </c>
      <c r="F35" s="40" t="s">
        <v>5741</v>
      </c>
      <c r="G35" s="40" t="s">
        <v>5345</v>
      </c>
      <c r="H35" s="40"/>
      <c r="I35" s="40" t="s">
        <v>80</v>
      </c>
      <c r="J35" s="40"/>
      <c r="K35" s="40">
        <v>2670.3</v>
      </c>
      <c r="L35" s="40"/>
      <c r="M35" s="40">
        <v>2670.3</v>
      </c>
      <c r="N35" s="40"/>
      <c r="O35" s="40" t="s">
        <v>2706</v>
      </c>
    </row>
    <row r="36" spans="1:15" ht="22.5" x14ac:dyDescent="0.2">
      <c r="A36" s="40" t="s">
        <v>5745</v>
      </c>
      <c r="B36" s="40" t="s">
        <v>5745</v>
      </c>
      <c r="C36" s="41">
        <v>46021</v>
      </c>
      <c r="D36" s="40"/>
      <c r="E36" s="40" t="s">
        <v>11</v>
      </c>
      <c r="F36" s="40" t="s">
        <v>5741</v>
      </c>
      <c r="G36" s="40" t="s">
        <v>5345</v>
      </c>
      <c r="H36" s="40"/>
      <c r="I36" s="40" t="s">
        <v>80</v>
      </c>
      <c r="J36" s="40"/>
      <c r="K36" s="40">
        <v>3990.8</v>
      </c>
      <c r="L36" s="40"/>
      <c r="M36" s="40">
        <v>3990.8</v>
      </c>
      <c r="N36" s="40"/>
      <c r="O36" s="40" t="s">
        <v>2706</v>
      </c>
    </row>
    <row r="37" spans="1:15" ht="22.5" x14ac:dyDescent="0.2">
      <c r="A37" s="40" t="s">
        <v>5746</v>
      </c>
      <c r="B37" s="40" t="s">
        <v>5746</v>
      </c>
      <c r="C37" s="41">
        <v>46021</v>
      </c>
      <c r="D37" s="40"/>
      <c r="E37" s="40" t="s">
        <v>11</v>
      </c>
      <c r="F37" s="40" t="s">
        <v>5741</v>
      </c>
      <c r="G37" s="40" t="s">
        <v>5345</v>
      </c>
      <c r="H37" s="40"/>
      <c r="I37" s="40" t="s">
        <v>80</v>
      </c>
      <c r="J37" s="40"/>
      <c r="K37" s="40">
        <v>161.81</v>
      </c>
      <c r="L37" s="40"/>
      <c r="M37" s="40">
        <v>161.81</v>
      </c>
      <c r="N37" s="40"/>
      <c r="O37" s="40" t="s">
        <v>2706</v>
      </c>
    </row>
    <row r="38" spans="1:15" ht="45" x14ac:dyDescent="0.2">
      <c r="A38" s="40" t="s">
        <v>5747</v>
      </c>
      <c r="B38" s="40" t="s">
        <v>5747</v>
      </c>
      <c r="C38" s="41">
        <v>46020</v>
      </c>
      <c r="D38" s="40"/>
      <c r="E38" s="40" t="s">
        <v>11</v>
      </c>
      <c r="F38" s="40" t="s">
        <v>5718</v>
      </c>
      <c r="G38" s="40" t="s">
        <v>5748</v>
      </c>
      <c r="H38" s="40"/>
      <c r="I38" s="40" t="s">
        <v>80</v>
      </c>
      <c r="J38" s="40">
        <v>-10620.85</v>
      </c>
      <c r="K38" s="40"/>
      <c r="L38" s="40">
        <v>35781.660000000003</v>
      </c>
      <c r="M38" s="40">
        <v>-35781.660000000003</v>
      </c>
      <c r="N38" s="40"/>
      <c r="O38" s="40" t="s">
        <v>2706</v>
      </c>
    </row>
    <row r="39" spans="1:15" ht="22.5" x14ac:dyDescent="0.2">
      <c r="A39" s="40" t="s">
        <v>5749</v>
      </c>
      <c r="B39" s="40" t="s">
        <v>5749</v>
      </c>
      <c r="C39" s="41">
        <v>46020</v>
      </c>
      <c r="D39" s="40"/>
      <c r="E39" s="40" t="s">
        <v>11</v>
      </c>
      <c r="F39" s="40" t="s">
        <v>5750</v>
      </c>
      <c r="G39" s="40" t="s">
        <v>5751</v>
      </c>
      <c r="H39" s="40"/>
      <c r="I39" s="40" t="s">
        <v>80</v>
      </c>
      <c r="J39" s="40">
        <v>-36283.14</v>
      </c>
      <c r="K39" s="40"/>
      <c r="L39" s="40">
        <v>122237.89</v>
      </c>
      <c r="M39" s="40">
        <v>-122237.89</v>
      </c>
      <c r="N39" s="40"/>
      <c r="O39" s="40" t="s">
        <v>2706</v>
      </c>
    </row>
    <row r="40" spans="1:15" ht="33.75" x14ac:dyDescent="0.2">
      <c r="A40" s="40" t="s">
        <v>5752</v>
      </c>
      <c r="B40" s="40" t="s">
        <v>5753</v>
      </c>
      <c r="C40" s="41">
        <v>46014</v>
      </c>
      <c r="D40" s="41">
        <v>46014</v>
      </c>
      <c r="E40" s="40" t="s">
        <v>11</v>
      </c>
      <c r="F40" s="40" t="s">
        <v>5695</v>
      </c>
      <c r="G40" s="40" t="s">
        <v>5754</v>
      </c>
      <c r="H40" s="40" t="s">
        <v>5755</v>
      </c>
      <c r="I40" s="40" t="s">
        <v>80</v>
      </c>
      <c r="J40" s="40">
        <v>102175.92</v>
      </c>
      <c r="K40" s="40">
        <v>344537.2</v>
      </c>
      <c r="L40" s="40"/>
      <c r="M40" s="40">
        <v>344537.2</v>
      </c>
      <c r="N40" s="40"/>
      <c r="O40" s="40" t="s">
        <v>2706</v>
      </c>
    </row>
    <row r="41" spans="1:15" ht="22.5" x14ac:dyDescent="0.2">
      <c r="A41" s="40" t="s">
        <v>5756</v>
      </c>
      <c r="B41" s="40" t="s">
        <v>5756</v>
      </c>
      <c r="C41" s="41">
        <v>46014</v>
      </c>
      <c r="D41" s="40"/>
      <c r="E41" s="40" t="s">
        <v>11</v>
      </c>
      <c r="F41" s="40" t="s">
        <v>5695</v>
      </c>
      <c r="G41" s="40" t="s">
        <v>5345</v>
      </c>
      <c r="H41" s="40"/>
      <c r="I41" s="40" t="s">
        <v>80</v>
      </c>
      <c r="J41" s="40"/>
      <c r="K41" s="40"/>
      <c r="L41" s="40">
        <v>15.05</v>
      </c>
      <c r="M41" s="40">
        <v>-15.05</v>
      </c>
      <c r="N41" s="40"/>
      <c r="O41" s="40" t="s">
        <v>2706</v>
      </c>
    </row>
    <row r="42" spans="1:15" ht="22.5" x14ac:dyDescent="0.2">
      <c r="A42" s="40" t="s">
        <v>5757</v>
      </c>
      <c r="B42" s="40" t="s">
        <v>5757</v>
      </c>
      <c r="C42" s="41">
        <v>46014</v>
      </c>
      <c r="D42" s="40"/>
      <c r="E42" s="40" t="s">
        <v>11</v>
      </c>
      <c r="F42" s="40" t="s">
        <v>5695</v>
      </c>
      <c r="G42" s="40" t="s">
        <v>5345</v>
      </c>
      <c r="H42" s="40"/>
      <c r="I42" s="40" t="s">
        <v>80</v>
      </c>
      <c r="J42" s="40"/>
      <c r="K42" s="40"/>
      <c r="L42" s="40">
        <v>36</v>
      </c>
      <c r="M42" s="40">
        <v>-36</v>
      </c>
      <c r="N42" s="40"/>
      <c r="O42" s="40" t="s">
        <v>2706</v>
      </c>
    </row>
    <row r="43" spans="1:15" ht="22.5" x14ac:dyDescent="0.2">
      <c r="A43" s="40" t="s">
        <v>5758</v>
      </c>
      <c r="B43" s="40" t="s">
        <v>5758</v>
      </c>
      <c r="C43" s="41">
        <v>46014</v>
      </c>
      <c r="D43" s="40"/>
      <c r="E43" s="40" t="s">
        <v>11</v>
      </c>
      <c r="F43" s="40" t="s">
        <v>5695</v>
      </c>
      <c r="G43" s="40" t="s">
        <v>5345</v>
      </c>
      <c r="H43" s="40"/>
      <c r="I43" s="40" t="s">
        <v>80</v>
      </c>
      <c r="J43" s="40"/>
      <c r="K43" s="40">
        <v>2847</v>
      </c>
      <c r="L43" s="40"/>
      <c r="M43" s="40">
        <v>2847</v>
      </c>
      <c r="N43" s="40"/>
      <c r="O43" s="40" t="s">
        <v>2706</v>
      </c>
    </row>
    <row r="44" spans="1:15" ht="22.5" x14ac:dyDescent="0.2">
      <c r="A44" s="40" t="s">
        <v>5759</v>
      </c>
      <c r="B44" s="40" t="s">
        <v>5759</v>
      </c>
      <c r="C44" s="41">
        <v>46014</v>
      </c>
      <c r="D44" s="40"/>
      <c r="E44" s="40" t="s">
        <v>11</v>
      </c>
      <c r="F44" s="40" t="s">
        <v>5695</v>
      </c>
      <c r="G44" s="40" t="s">
        <v>5345</v>
      </c>
      <c r="H44" s="40"/>
      <c r="I44" s="40" t="s">
        <v>80</v>
      </c>
      <c r="J44" s="40"/>
      <c r="K44" s="40">
        <v>5199.3</v>
      </c>
      <c r="L44" s="40"/>
      <c r="M44" s="40">
        <v>5199.3</v>
      </c>
      <c r="N44" s="40"/>
      <c r="O44" s="40" t="s">
        <v>2706</v>
      </c>
    </row>
    <row r="45" spans="1:15" ht="22.5" x14ac:dyDescent="0.2">
      <c r="A45" s="40" t="s">
        <v>5760</v>
      </c>
      <c r="B45" s="40" t="s">
        <v>5760</v>
      </c>
      <c r="C45" s="41">
        <v>46014</v>
      </c>
      <c r="D45" s="40"/>
      <c r="E45" s="40" t="s">
        <v>11</v>
      </c>
      <c r="F45" s="40" t="s">
        <v>5695</v>
      </c>
      <c r="G45" s="40" t="s">
        <v>5345</v>
      </c>
      <c r="H45" s="40"/>
      <c r="I45" s="40" t="s">
        <v>80</v>
      </c>
      <c r="J45" s="40"/>
      <c r="K45" s="40">
        <v>1094.9000000000001</v>
      </c>
      <c r="L45" s="40"/>
      <c r="M45" s="40">
        <v>1094.9000000000001</v>
      </c>
      <c r="N45" s="40"/>
      <c r="O45" s="40" t="s">
        <v>2706</v>
      </c>
    </row>
    <row r="46" spans="1:15" ht="22.5" x14ac:dyDescent="0.2">
      <c r="A46" s="40" t="s">
        <v>5761</v>
      </c>
      <c r="B46" s="40" t="s">
        <v>5761</v>
      </c>
      <c r="C46" s="41">
        <v>46010</v>
      </c>
      <c r="D46" s="40"/>
      <c r="E46" s="40" t="s">
        <v>11</v>
      </c>
      <c r="F46" s="40" t="s">
        <v>5762</v>
      </c>
      <c r="G46" s="40" t="s">
        <v>5542</v>
      </c>
      <c r="H46" s="40"/>
      <c r="I46" s="40" t="s">
        <v>80</v>
      </c>
      <c r="J46" s="40">
        <v>-599900</v>
      </c>
      <c r="K46" s="40"/>
      <c r="L46" s="40">
        <v>2022262.9</v>
      </c>
      <c r="M46" s="40">
        <v>-2022262.9</v>
      </c>
      <c r="N46" s="40"/>
      <c r="O46" s="40" t="s">
        <v>2706</v>
      </c>
    </row>
    <row r="47" spans="1:15" ht="22.5" x14ac:dyDescent="0.2">
      <c r="A47" s="40" t="s">
        <v>5763</v>
      </c>
      <c r="B47" s="40" t="s">
        <v>5763</v>
      </c>
      <c r="C47" s="41">
        <v>46010</v>
      </c>
      <c r="D47" s="40"/>
      <c r="E47" s="40" t="s">
        <v>11</v>
      </c>
      <c r="F47" s="40" t="s">
        <v>5701</v>
      </c>
      <c r="G47" s="40" t="s">
        <v>5542</v>
      </c>
      <c r="H47" s="40"/>
      <c r="I47" s="40" t="s">
        <v>80</v>
      </c>
      <c r="J47" s="40">
        <v>-15267</v>
      </c>
      <c r="K47" s="40"/>
      <c r="L47" s="40">
        <v>51465.06</v>
      </c>
      <c r="M47" s="40">
        <v>-51465.06</v>
      </c>
      <c r="N47" s="40"/>
      <c r="O47" s="40" t="s">
        <v>2706</v>
      </c>
    </row>
    <row r="48" spans="1:15" ht="56.25" x14ac:dyDescent="0.2">
      <c r="A48" s="40" t="s">
        <v>5764</v>
      </c>
      <c r="B48" s="40" t="s">
        <v>5765</v>
      </c>
      <c r="C48" s="41">
        <v>46007</v>
      </c>
      <c r="D48" s="41">
        <v>46007</v>
      </c>
      <c r="E48" s="40" t="s">
        <v>11</v>
      </c>
      <c r="F48" s="40" t="s">
        <v>5698</v>
      </c>
      <c r="G48" s="40" t="s">
        <v>5766</v>
      </c>
      <c r="H48" s="40" t="s">
        <v>5767</v>
      </c>
      <c r="I48" s="40" t="s">
        <v>80</v>
      </c>
      <c r="J48" s="40">
        <v>750</v>
      </c>
      <c r="K48" s="40">
        <v>2531.25</v>
      </c>
      <c r="L48" s="40"/>
      <c r="M48" s="40">
        <v>2531.25</v>
      </c>
      <c r="N48" s="40"/>
      <c r="O48" s="40" t="s">
        <v>2706</v>
      </c>
    </row>
    <row r="49" spans="1:15" ht="56.25" x14ac:dyDescent="0.2">
      <c r="A49" s="40" t="s">
        <v>5768</v>
      </c>
      <c r="B49" s="40" t="s">
        <v>5769</v>
      </c>
      <c r="C49" s="41">
        <v>46007</v>
      </c>
      <c r="D49" s="41">
        <v>46007</v>
      </c>
      <c r="E49" s="40" t="s">
        <v>11</v>
      </c>
      <c r="F49" s="40" t="s">
        <v>5698</v>
      </c>
      <c r="G49" s="40" t="s">
        <v>5770</v>
      </c>
      <c r="H49" s="40" t="s">
        <v>5771</v>
      </c>
      <c r="I49" s="40" t="s">
        <v>80</v>
      </c>
      <c r="J49" s="40">
        <v>15844.51</v>
      </c>
      <c r="K49" s="40">
        <v>53475.22</v>
      </c>
      <c r="L49" s="40"/>
      <c r="M49" s="40">
        <v>53475.22</v>
      </c>
      <c r="N49" s="40"/>
      <c r="O49" s="40" t="s">
        <v>2706</v>
      </c>
    </row>
    <row r="50" spans="1:15" ht="33.75" x14ac:dyDescent="0.2">
      <c r="A50" s="40" t="s">
        <v>5772</v>
      </c>
      <c r="B50" s="40" t="s">
        <v>5772</v>
      </c>
      <c r="C50" s="41">
        <v>46007</v>
      </c>
      <c r="D50" s="40"/>
      <c r="E50" s="40" t="s">
        <v>11</v>
      </c>
      <c r="F50" s="40" t="s">
        <v>5698</v>
      </c>
      <c r="G50" s="40" t="s">
        <v>5345</v>
      </c>
      <c r="H50" s="40"/>
      <c r="I50" s="40" t="s">
        <v>80</v>
      </c>
      <c r="J50" s="40"/>
      <c r="K50" s="40"/>
      <c r="L50" s="40">
        <v>51.75</v>
      </c>
      <c r="M50" s="40">
        <v>-51.75</v>
      </c>
      <c r="N50" s="40"/>
      <c r="O50" s="40" t="s">
        <v>2706</v>
      </c>
    </row>
    <row r="51" spans="1:15" ht="33.75" x14ac:dyDescent="0.2">
      <c r="A51" s="40" t="s">
        <v>5773</v>
      </c>
      <c r="B51" s="40" t="s">
        <v>5773</v>
      </c>
      <c r="C51" s="41">
        <v>46007</v>
      </c>
      <c r="D51" s="40"/>
      <c r="E51" s="40" t="s">
        <v>11</v>
      </c>
      <c r="F51" s="40" t="s">
        <v>5698</v>
      </c>
      <c r="G51" s="40" t="s">
        <v>5345</v>
      </c>
      <c r="H51" s="40"/>
      <c r="I51" s="40" t="s">
        <v>80</v>
      </c>
      <c r="J51" s="40"/>
      <c r="K51" s="40">
        <v>637.36</v>
      </c>
      <c r="L51" s="40"/>
      <c r="M51" s="40">
        <v>637.36</v>
      </c>
      <c r="N51" s="40"/>
      <c r="O51" s="40" t="s">
        <v>2706</v>
      </c>
    </row>
    <row r="52" spans="1:15" ht="33.75" x14ac:dyDescent="0.2">
      <c r="A52" s="40" t="s">
        <v>5774</v>
      </c>
      <c r="B52" s="40" t="s">
        <v>5774</v>
      </c>
      <c r="C52" s="41">
        <v>46007</v>
      </c>
      <c r="D52" s="40"/>
      <c r="E52" s="40" t="s">
        <v>11</v>
      </c>
      <c r="F52" s="40" t="s">
        <v>5698</v>
      </c>
      <c r="G52" s="40" t="s">
        <v>5345</v>
      </c>
      <c r="H52" s="40"/>
      <c r="I52" s="40" t="s">
        <v>80</v>
      </c>
      <c r="J52" s="40"/>
      <c r="K52" s="40">
        <v>87</v>
      </c>
      <c r="L52" s="40"/>
      <c r="M52" s="40">
        <v>87</v>
      </c>
      <c r="N52" s="40"/>
      <c r="O52" s="40" t="s">
        <v>2706</v>
      </c>
    </row>
    <row r="53" spans="1:15" ht="33.75" x14ac:dyDescent="0.2">
      <c r="A53" s="40" t="s">
        <v>5775</v>
      </c>
      <c r="B53" s="40" t="s">
        <v>5775</v>
      </c>
      <c r="C53" s="41">
        <v>46003</v>
      </c>
      <c r="D53" s="40"/>
      <c r="E53" s="40" t="s">
        <v>11</v>
      </c>
      <c r="F53" s="40" t="s">
        <v>5698</v>
      </c>
      <c r="G53" s="40" t="s">
        <v>5534</v>
      </c>
      <c r="H53" s="40"/>
      <c r="I53" s="40" t="s">
        <v>80</v>
      </c>
      <c r="J53" s="40">
        <v>-16528.46</v>
      </c>
      <c r="K53" s="40"/>
      <c r="L53" s="40">
        <v>55700.91</v>
      </c>
      <c r="M53" s="40">
        <v>-55700.91</v>
      </c>
      <c r="N53" s="40"/>
      <c r="O53" s="40" t="s">
        <v>2706</v>
      </c>
    </row>
    <row r="54" spans="1:15" ht="33.75" x14ac:dyDescent="0.2">
      <c r="A54" s="40" t="s">
        <v>5776</v>
      </c>
      <c r="B54" s="40" t="s">
        <v>5777</v>
      </c>
      <c r="C54" s="41">
        <v>46002</v>
      </c>
      <c r="D54" s="41">
        <v>46002</v>
      </c>
      <c r="E54" s="40" t="s">
        <v>11</v>
      </c>
      <c r="F54" s="40" t="s">
        <v>5695</v>
      </c>
      <c r="G54" s="40" t="s">
        <v>5778</v>
      </c>
      <c r="H54" s="40" t="s">
        <v>5779</v>
      </c>
      <c r="I54" s="40" t="s">
        <v>80</v>
      </c>
      <c r="J54" s="40">
        <v>46406.75</v>
      </c>
      <c r="K54" s="40">
        <v>156762</v>
      </c>
      <c r="L54" s="40"/>
      <c r="M54" s="40">
        <v>156762</v>
      </c>
      <c r="N54" s="40"/>
      <c r="O54" s="40" t="s">
        <v>2706</v>
      </c>
    </row>
    <row r="55" spans="1:15" ht="22.5" x14ac:dyDescent="0.2">
      <c r="A55" s="40" t="s">
        <v>5780</v>
      </c>
      <c r="B55" s="40" t="s">
        <v>5780</v>
      </c>
      <c r="C55" s="41">
        <v>46002</v>
      </c>
      <c r="D55" s="40"/>
      <c r="E55" s="40" t="s">
        <v>11</v>
      </c>
      <c r="F55" s="40" t="s">
        <v>5695</v>
      </c>
      <c r="G55" s="40" t="s">
        <v>5345</v>
      </c>
      <c r="H55" s="40"/>
      <c r="I55" s="40" t="s">
        <v>80</v>
      </c>
      <c r="J55" s="40"/>
      <c r="K55" s="40">
        <v>2470.34</v>
      </c>
      <c r="L55" s="40"/>
      <c r="M55" s="40">
        <v>2470.34</v>
      </c>
      <c r="N55" s="40"/>
      <c r="O55" s="40" t="s">
        <v>2706</v>
      </c>
    </row>
    <row r="56" spans="1:15" ht="22.5" x14ac:dyDescent="0.2">
      <c r="A56" s="40" t="s">
        <v>5781</v>
      </c>
      <c r="B56" s="40" t="s">
        <v>5781</v>
      </c>
      <c r="C56" s="41">
        <v>46002</v>
      </c>
      <c r="D56" s="40"/>
      <c r="E56" s="40" t="s">
        <v>11</v>
      </c>
      <c r="F56" s="40" t="s">
        <v>5695</v>
      </c>
      <c r="G56" s="40" t="s">
        <v>5345</v>
      </c>
      <c r="H56" s="40"/>
      <c r="I56" s="40" t="s">
        <v>80</v>
      </c>
      <c r="J56" s="40"/>
      <c r="K56" s="40">
        <v>4071</v>
      </c>
      <c r="L56" s="40"/>
      <c r="M56" s="40">
        <v>4071</v>
      </c>
      <c r="N56" s="40"/>
      <c r="O56" s="40" t="s">
        <v>2706</v>
      </c>
    </row>
    <row r="57" spans="1:15" ht="22.5" x14ac:dyDescent="0.2">
      <c r="A57" s="40" t="s">
        <v>5782</v>
      </c>
      <c r="B57" s="40" t="s">
        <v>5782</v>
      </c>
      <c r="C57" s="41">
        <v>46002</v>
      </c>
      <c r="D57" s="40"/>
      <c r="E57" s="40" t="s">
        <v>11</v>
      </c>
      <c r="F57" s="40" t="s">
        <v>5695</v>
      </c>
      <c r="G57" s="40" t="s">
        <v>5345</v>
      </c>
      <c r="H57" s="40"/>
      <c r="I57" s="40" t="s">
        <v>80</v>
      </c>
      <c r="J57" s="40"/>
      <c r="K57" s="40">
        <v>1427.16</v>
      </c>
      <c r="L57" s="40"/>
      <c r="M57" s="40">
        <v>1427.16</v>
      </c>
      <c r="N57" s="40"/>
      <c r="O57" s="40" t="s">
        <v>2706</v>
      </c>
    </row>
    <row r="58" spans="1:15" ht="22.5" x14ac:dyDescent="0.2">
      <c r="A58" s="40" t="s">
        <v>5783</v>
      </c>
      <c r="B58" s="40" t="s">
        <v>5783</v>
      </c>
      <c r="C58" s="41">
        <v>45999</v>
      </c>
      <c r="D58" s="40"/>
      <c r="E58" s="40" t="s">
        <v>11</v>
      </c>
      <c r="F58" s="40" t="s">
        <v>5695</v>
      </c>
      <c r="G58" s="40" t="s">
        <v>5625</v>
      </c>
      <c r="H58" s="40"/>
      <c r="I58" s="40" t="s">
        <v>80</v>
      </c>
      <c r="J58" s="40">
        <v>-43700</v>
      </c>
      <c r="K58" s="40"/>
      <c r="L58" s="40">
        <v>147225.29999999999</v>
      </c>
      <c r="M58" s="40">
        <v>-147225.29999999999</v>
      </c>
      <c r="N58" s="40"/>
      <c r="O58" s="40" t="s">
        <v>2706</v>
      </c>
    </row>
    <row r="59" spans="1:15" ht="22.5" x14ac:dyDescent="0.2">
      <c r="A59" s="40" t="s">
        <v>5784</v>
      </c>
      <c r="B59" s="40" t="s">
        <v>5784</v>
      </c>
      <c r="C59" s="41">
        <v>45993</v>
      </c>
      <c r="D59" s="40"/>
      <c r="E59" s="40" t="s">
        <v>11</v>
      </c>
      <c r="F59" s="40" t="s">
        <v>5701</v>
      </c>
      <c r="G59" s="40" t="s">
        <v>5542</v>
      </c>
      <c r="H59" s="40"/>
      <c r="I59" s="40" t="s">
        <v>80</v>
      </c>
      <c r="J59" s="40">
        <v>-20455</v>
      </c>
      <c r="K59" s="40"/>
      <c r="L59" s="40">
        <v>69076.539999999994</v>
      </c>
      <c r="M59" s="40">
        <v>-69076.539999999994</v>
      </c>
      <c r="N59" s="40"/>
      <c r="O59" s="40" t="s">
        <v>2706</v>
      </c>
    </row>
    <row r="60" spans="1:15" ht="22.5" x14ac:dyDescent="0.2">
      <c r="A60" s="40" t="s">
        <v>5785</v>
      </c>
      <c r="B60" s="40" t="s">
        <v>5785</v>
      </c>
      <c r="C60" s="41">
        <v>45989</v>
      </c>
      <c r="D60" s="40"/>
      <c r="E60" s="40" t="s">
        <v>11</v>
      </c>
      <c r="F60" s="40" t="s">
        <v>5695</v>
      </c>
      <c r="G60" s="40" t="s">
        <v>5542</v>
      </c>
      <c r="H60" s="40"/>
      <c r="I60" s="40" t="s">
        <v>80</v>
      </c>
      <c r="J60" s="40">
        <v>-36000</v>
      </c>
      <c r="K60" s="40"/>
      <c r="L60" s="40">
        <v>121356</v>
      </c>
      <c r="M60" s="40">
        <v>-121356</v>
      </c>
      <c r="N60" s="40"/>
      <c r="O60" s="40" t="s">
        <v>2706</v>
      </c>
    </row>
    <row r="61" spans="1:15" ht="45" x14ac:dyDescent="0.2">
      <c r="A61" s="40" t="s">
        <v>5786</v>
      </c>
      <c r="B61" s="40" t="s">
        <v>5787</v>
      </c>
      <c r="C61" s="41">
        <v>45968</v>
      </c>
      <c r="D61" s="41">
        <v>45968</v>
      </c>
      <c r="E61" s="40" t="s">
        <v>11</v>
      </c>
      <c r="F61" s="40" t="s">
        <v>5701</v>
      </c>
      <c r="G61" s="40" t="s">
        <v>5788</v>
      </c>
      <c r="H61" s="40" t="s">
        <v>5789</v>
      </c>
      <c r="I61" s="40" t="s">
        <v>80</v>
      </c>
      <c r="J61" s="40">
        <v>5</v>
      </c>
      <c r="K61" s="40">
        <v>16.89</v>
      </c>
      <c r="L61" s="40"/>
      <c r="M61" s="40">
        <v>16.89</v>
      </c>
      <c r="N61" s="40"/>
      <c r="O61" s="40" t="s">
        <v>2706</v>
      </c>
    </row>
    <row r="62" spans="1:15" ht="45" x14ac:dyDescent="0.2">
      <c r="A62" s="40" t="s">
        <v>5790</v>
      </c>
      <c r="B62" s="40" t="s">
        <v>5791</v>
      </c>
      <c r="C62" s="41">
        <v>45968</v>
      </c>
      <c r="D62" s="41">
        <v>45968</v>
      </c>
      <c r="E62" s="40" t="s">
        <v>11</v>
      </c>
      <c r="F62" s="40" t="s">
        <v>5701</v>
      </c>
      <c r="G62" s="40" t="s">
        <v>5792</v>
      </c>
      <c r="H62" s="40" t="s">
        <v>5793</v>
      </c>
      <c r="I62" s="40" t="s">
        <v>80</v>
      </c>
      <c r="J62" s="40">
        <v>60</v>
      </c>
      <c r="K62" s="40">
        <v>202.62</v>
      </c>
      <c r="L62" s="40"/>
      <c r="M62" s="40">
        <v>202.62</v>
      </c>
      <c r="N62" s="40"/>
      <c r="O62" s="40" t="s">
        <v>2706</v>
      </c>
    </row>
    <row r="63" spans="1:15" ht="22.5" x14ac:dyDescent="0.2">
      <c r="A63" s="40" t="s">
        <v>5794</v>
      </c>
      <c r="B63" s="40" t="s">
        <v>5794</v>
      </c>
      <c r="C63" s="41">
        <v>45968</v>
      </c>
      <c r="D63" s="40"/>
      <c r="E63" s="40" t="s">
        <v>11</v>
      </c>
      <c r="F63" s="40" t="s">
        <v>5701</v>
      </c>
      <c r="G63" s="40" t="s">
        <v>5345</v>
      </c>
      <c r="H63" s="40"/>
      <c r="I63" s="40" t="s">
        <v>80</v>
      </c>
      <c r="J63" s="40"/>
      <c r="K63" s="40"/>
      <c r="L63" s="40">
        <v>0.01</v>
      </c>
      <c r="M63" s="40">
        <v>-0.01</v>
      </c>
      <c r="N63" s="40"/>
      <c r="O63" s="40" t="s">
        <v>2706</v>
      </c>
    </row>
    <row r="64" spans="1:15" ht="22.5" x14ac:dyDescent="0.2">
      <c r="A64" s="40" t="s">
        <v>5795</v>
      </c>
      <c r="B64" s="40" t="s">
        <v>5795</v>
      </c>
      <c r="C64" s="41">
        <v>45968</v>
      </c>
      <c r="D64" s="40"/>
      <c r="E64" s="40" t="s">
        <v>11</v>
      </c>
      <c r="F64" s="40" t="s">
        <v>5701</v>
      </c>
      <c r="G64" s="40" t="s">
        <v>5534</v>
      </c>
      <c r="H64" s="40"/>
      <c r="I64" s="40" t="s">
        <v>80</v>
      </c>
      <c r="J64" s="40">
        <v>-8921.7000000000007</v>
      </c>
      <c r="K64" s="40"/>
      <c r="L64" s="40">
        <v>30128.58</v>
      </c>
      <c r="M64" s="40">
        <v>-30128.58</v>
      </c>
      <c r="N64" s="40"/>
      <c r="O64" s="40" t="s">
        <v>2706</v>
      </c>
    </row>
    <row r="65" spans="1:15" ht="22.5" x14ac:dyDescent="0.2">
      <c r="A65" s="40" t="s">
        <v>5796</v>
      </c>
      <c r="B65" s="40" t="s">
        <v>5796</v>
      </c>
      <c r="C65" s="41">
        <v>45960</v>
      </c>
      <c r="D65" s="40"/>
      <c r="E65" s="40" t="s">
        <v>11</v>
      </c>
      <c r="F65" s="40" t="s">
        <v>5797</v>
      </c>
      <c r="G65" s="40" t="s">
        <v>5542</v>
      </c>
      <c r="H65" s="40"/>
      <c r="I65" s="40" t="s">
        <v>80</v>
      </c>
      <c r="J65" s="40">
        <v>-24000</v>
      </c>
      <c r="K65" s="40"/>
      <c r="L65" s="40">
        <v>81456</v>
      </c>
      <c r="M65" s="40">
        <v>-81456</v>
      </c>
      <c r="N65" s="40"/>
      <c r="O65" s="40" t="s">
        <v>2706</v>
      </c>
    </row>
    <row r="66" spans="1:15" ht="45" x14ac:dyDescent="0.2">
      <c r="A66" s="40" t="s">
        <v>5798</v>
      </c>
      <c r="B66" s="40" t="s">
        <v>5799</v>
      </c>
      <c r="C66" s="41">
        <v>45946</v>
      </c>
      <c r="D66" s="41">
        <v>45946</v>
      </c>
      <c r="E66" s="40" t="s">
        <v>11</v>
      </c>
      <c r="F66" s="40" t="s">
        <v>5715</v>
      </c>
      <c r="G66" s="40" t="s">
        <v>5800</v>
      </c>
      <c r="H66" s="40" t="s">
        <v>5801</v>
      </c>
      <c r="I66" s="40" t="s">
        <v>80</v>
      </c>
      <c r="J66" s="40">
        <v>80942.19</v>
      </c>
      <c r="K66" s="40">
        <v>276498.52</v>
      </c>
      <c r="L66" s="40"/>
      <c r="M66" s="40">
        <v>276498.52</v>
      </c>
      <c r="N66" s="40"/>
      <c r="O66" s="40" t="s">
        <v>2706</v>
      </c>
    </row>
    <row r="67" spans="1:15" ht="22.5" x14ac:dyDescent="0.2">
      <c r="A67" s="40" t="s">
        <v>5802</v>
      </c>
      <c r="B67" s="40" t="s">
        <v>5802</v>
      </c>
      <c r="C67" s="41">
        <v>45946</v>
      </c>
      <c r="D67" s="40"/>
      <c r="E67" s="40" t="s">
        <v>11</v>
      </c>
      <c r="F67" s="40" t="s">
        <v>5715</v>
      </c>
      <c r="G67" s="40" t="s">
        <v>5345</v>
      </c>
      <c r="H67" s="40"/>
      <c r="I67" s="40" t="s">
        <v>80</v>
      </c>
      <c r="J67" s="40"/>
      <c r="K67" s="40">
        <v>2913.92</v>
      </c>
      <c r="L67" s="40"/>
      <c r="M67" s="40">
        <v>2913.92</v>
      </c>
      <c r="N67" s="40"/>
      <c r="O67" s="40" t="s">
        <v>2706</v>
      </c>
    </row>
    <row r="68" spans="1:15" ht="45" x14ac:dyDescent="0.2">
      <c r="A68" s="40" t="s">
        <v>5803</v>
      </c>
      <c r="B68" s="40" t="s">
        <v>5804</v>
      </c>
      <c r="C68" s="41">
        <v>45940</v>
      </c>
      <c r="D68" s="41">
        <v>45940</v>
      </c>
      <c r="E68" s="40" t="s">
        <v>11</v>
      </c>
      <c r="F68" s="40" t="s">
        <v>5741</v>
      </c>
      <c r="G68" s="40" t="s">
        <v>5805</v>
      </c>
      <c r="H68" s="40" t="s">
        <v>5806</v>
      </c>
      <c r="I68" s="40" t="s">
        <v>80</v>
      </c>
      <c r="J68" s="40">
        <v>44119.14</v>
      </c>
      <c r="K68" s="40">
        <v>151902.20000000001</v>
      </c>
      <c r="L68" s="40"/>
      <c r="M68" s="40">
        <v>151902.20000000001</v>
      </c>
      <c r="N68" s="40"/>
      <c r="O68" s="40" t="s">
        <v>2706</v>
      </c>
    </row>
    <row r="69" spans="1:15" ht="22.5" x14ac:dyDescent="0.2">
      <c r="A69" s="40" t="s">
        <v>5807</v>
      </c>
      <c r="B69" s="40" t="s">
        <v>5807</v>
      </c>
      <c r="C69" s="41">
        <v>45940</v>
      </c>
      <c r="D69" s="40"/>
      <c r="E69" s="40" t="s">
        <v>11</v>
      </c>
      <c r="F69" s="40" t="s">
        <v>5741</v>
      </c>
      <c r="G69" s="40" t="s">
        <v>5345</v>
      </c>
      <c r="H69" s="40"/>
      <c r="I69" s="40" t="s">
        <v>80</v>
      </c>
      <c r="J69" s="40"/>
      <c r="K69" s="40">
        <v>7101.99</v>
      </c>
      <c r="L69" s="40"/>
      <c r="M69" s="40">
        <v>7101.99</v>
      </c>
      <c r="N69" s="40"/>
      <c r="O69" s="40" t="s">
        <v>2706</v>
      </c>
    </row>
    <row r="70" spans="1:15" ht="22.5" x14ac:dyDescent="0.2">
      <c r="A70" s="40" t="s">
        <v>5808</v>
      </c>
      <c r="B70" s="40" t="s">
        <v>5808</v>
      </c>
      <c r="C70" s="41">
        <v>45940</v>
      </c>
      <c r="D70" s="40"/>
      <c r="E70" s="40" t="s">
        <v>11</v>
      </c>
      <c r="F70" s="40" t="s">
        <v>5741</v>
      </c>
      <c r="G70" s="40" t="s">
        <v>5345</v>
      </c>
      <c r="H70" s="40"/>
      <c r="I70" s="40" t="s">
        <v>80</v>
      </c>
      <c r="J70" s="40"/>
      <c r="K70" s="40">
        <v>3213.96</v>
      </c>
      <c r="L70" s="40"/>
      <c r="M70" s="40">
        <v>3213.96</v>
      </c>
      <c r="N70" s="40"/>
      <c r="O70" s="40" t="s">
        <v>2706</v>
      </c>
    </row>
    <row r="71" spans="1:15" ht="33.75" x14ac:dyDescent="0.2">
      <c r="A71" s="40" t="s">
        <v>5809</v>
      </c>
      <c r="B71" s="40" t="s">
        <v>5810</v>
      </c>
      <c r="C71" s="41">
        <v>46100</v>
      </c>
      <c r="D71" s="41">
        <v>46100</v>
      </c>
      <c r="E71" s="40" t="s">
        <v>11</v>
      </c>
      <c r="F71" s="40" t="s">
        <v>5811</v>
      </c>
      <c r="G71" s="40" t="s">
        <v>5812</v>
      </c>
      <c r="H71" s="40" t="s">
        <v>5813</v>
      </c>
      <c r="I71" s="40" t="s">
        <v>80</v>
      </c>
      <c r="J71" s="40">
        <v>30164.400000000001</v>
      </c>
      <c r="K71" s="40">
        <v>103614.71</v>
      </c>
      <c r="L71" s="40"/>
      <c r="M71" s="40">
        <v>103614.71</v>
      </c>
      <c r="N71" s="40" t="s">
        <v>5814</v>
      </c>
      <c r="O71" s="40" t="s">
        <v>2706</v>
      </c>
    </row>
    <row r="72" spans="1:15" ht="22.5" x14ac:dyDescent="0.2">
      <c r="A72" s="40" t="s">
        <v>5815</v>
      </c>
      <c r="B72" s="40" t="s">
        <v>5815</v>
      </c>
      <c r="C72" s="41">
        <v>46100</v>
      </c>
      <c r="D72" s="40"/>
      <c r="E72" s="40" t="s">
        <v>11</v>
      </c>
      <c r="F72" s="40" t="s">
        <v>5811</v>
      </c>
      <c r="G72" s="40" t="s">
        <v>5345</v>
      </c>
      <c r="H72" s="40"/>
      <c r="I72" s="40" t="s">
        <v>80</v>
      </c>
      <c r="J72" s="40"/>
      <c r="K72" s="40">
        <v>10.47</v>
      </c>
      <c r="L72" s="40"/>
      <c r="M72" s="40">
        <v>10.47</v>
      </c>
      <c r="N72" s="40" t="s">
        <v>5814</v>
      </c>
      <c r="O72" s="40" t="s">
        <v>2706</v>
      </c>
    </row>
    <row r="73" spans="1:15" ht="22.5" x14ac:dyDescent="0.2">
      <c r="A73" s="40" t="s">
        <v>5816</v>
      </c>
      <c r="B73" s="40" t="s">
        <v>5816</v>
      </c>
      <c r="C73" s="41">
        <v>46100</v>
      </c>
      <c r="D73" s="40"/>
      <c r="E73" s="40" t="s">
        <v>11</v>
      </c>
      <c r="F73" s="40" t="s">
        <v>5811</v>
      </c>
      <c r="G73" s="40" t="s">
        <v>5345</v>
      </c>
      <c r="H73" s="40"/>
      <c r="I73" s="40" t="s">
        <v>80</v>
      </c>
      <c r="J73" s="40"/>
      <c r="K73" s="40"/>
      <c r="L73" s="40">
        <v>1055.76</v>
      </c>
      <c r="M73" s="40">
        <v>-1055.76</v>
      </c>
      <c r="N73" s="40" t="s">
        <v>5814</v>
      </c>
      <c r="O73" s="40" t="s">
        <v>2706</v>
      </c>
    </row>
    <row r="74" spans="1:15" ht="22.5" x14ac:dyDescent="0.2">
      <c r="A74" s="40" t="s">
        <v>5817</v>
      </c>
      <c r="B74" s="40" t="s">
        <v>5817</v>
      </c>
      <c r="C74" s="41">
        <v>46100</v>
      </c>
      <c r="D74" s="40"/>
      <c r="E74" s="40" t="s">
        <v>11</v>
      </c>
      <c r="F74" s="40" t="s">
        <v>5811</v>
      </c>
      <c r="G74" s="40" t="s">
        <v>5345</v>
      </c>
      <c r="H74" s="40"/>
      <c r="I74" s="40" t="s">
        <v>80</v>
      </c>
      <c r="J74" s="40"/>
      <c r="K74" s="40"/>
      <c r="L74" s="40">
        <v>623.24</v>
      </c>
      <c r="M74" s="40">
        <v>-623.24</v>
      </c>
      <c r="N74" s="40" t="s">
        <v>5814</v>
      </c>
      <c r="O74" s="40" t="s">
        <v>2706</v>
      </c>
    </row>
    <row r="75" spans="1:15" ht="22.5" x14ac:dyDescent="0.2">
      <c r="A75" s="40" t="s">
        <v>5818</v>
      </c>
      <c r="B75" s="40" t="s">
        <v>5818</v>
      </c>
      <c r="C75" s="41">
        <v>46098</v>
      </c>
      <c r="D75" s="40"/>
      <c r="E75" s="40" t="s">
        <v>11</v>
      </c>
      <c r="F75" s="40" t="s">
        <v>5811</v>
      </c>
      <c r="G75" s="40" t="s">
        <v>5542</v>
      </c>
      <c r="H75" s="40"/>
      <c r="I75" s="40" t="s">
        <v>80</v>
      </c>
      <c r="J75" s="40">
        <v>-15082.2</v>
      </c>
      <c r="K75" s="40"/>
      <c r="L75" s="40">
        <v>51867.69</v>
      </c>
      <c r="M75" s="40">
        <v>-51867.69</v>
      </c>
      <c r="N75" s="40" t="s">
        <v>5814</v>
      </c>
      <c r="O75" s="40" t="s">
        <v>2706</v>
      </c>
    </row>
    <row r="76" spans="1:15" ht="22.5" x14ac:dyDescent="0.2">
      <c r="A76" s="40" t="s">
        <v>5819</v>
      </c>
      <c r="B76" s="40" t="s">
        <v>5819</v>
      </c>
      <c r="C76" s="41">
        <v>46034</v>
      </c>
      <c r="D76" s="40"/>
      <c r="E76" s="40" t="s">
        <v>11</v>
      </c>
      <c r="F76" s="40" t="s">
        <v>5811</v>
      </c>
      <c r="G76" s="40" t="s">
        <v>5542</v>
      </c>
      <c r="H76" s="40"/>
      <c r="I76" s="40" t="s">
        <v>80</v>
      </c>
      <c r="J76" s="40">
        <v>-15082.2</v>
      </c>
      <c r="K76" s="40"/>
      <c r="L76" s="40">
        <v>50751.6</v>
      </c>
      <c r="M76" s="40">
        <v>-50751.6</v>
      </c>
      <c r="N76" s="40" t="s">
        <v>5814</v>
      </c>
      <c r="O76" s="40" t="s">
        <v>2706</v>
      </c>
    </row>
    <row r="77" spans="1:15" ht="22.5" x14ac:dyDescent="0.2">
      <c r="A77" s="40" t="s">
        <v>5820</v>
      </c>
      <c r="B77" s="40" t="s">
        <v>5820</v>
      </c>
      <c r="C77" s="41">
        <v>45982</v>
      </c>
      <c r="D77" s="40"/>
      <c r="E77" s="40" t="s">
        <v>11</v>
      </c>
      <c r="F77" s="40" t="s">
        <v>5811</v>
      </c>
      <c r="G77" s="40" t="s">
        <v>5542</v>
      </c>
      <c r="H77" s="40"/>
      <c r="I77" s="40" t="s">
        <v>80</v>
      </c>
      <c r="J77" s="40">
        <v>-12465</v>
      </c>
      <c r="K77" s="40"/>
      <c r="L77" s="40">
        <v>42194.03</v>
      </c>
      <c r="M77" s="40">
        <v>-42194.03</v>
      </c>
      <c r="N77" s="40" t="s">
        <v>5814</v>
      </c>
      <c r="O77" s="40" t="s">
        <v>2706</v>
      </c>
    </row>
    <row r="78" spans="1:15" ht="22.5" x14ac:dyDescent="0.2">
      <c r="A78" s="40" t="s">
        <v>5821</v>
      </c>
      <c r="B78" s="40" t="s">
        <v>5821</v>
      </c>
      <c r="C78" s="41">
        <v>45938</v>
      </c>
      <c r="D78" s="40"/>
      <c r="E78" s="40" t="s">
        <v>11</v>
      </c>
      <c r="F78" s="40" t="s">
        <v>5715</v>
      </c>
      <c r="G78" s="40" t="s">
        <v>5822</v>
      </c>
      <c r="H78" s="40"/>
      <c r="I78" s="40" t="s">
        <v>80</v>
      </c>
      <c r="J78" s="40">
        <v>-97069.6</v>
      </c>
      <c r="K78" s="40"/>
      <c r="L78" s="40">
        <v>335084.26</v>
      </c>
      <c r="M78" s="40">
        <v>-335084.26</v>
      </c>
      <c r="N78" s="40"/>
      <c r="O78" s="40" t="s">
        <v>2706</v>
      </c>
    </row>
    <row r="79" spans="1:15" ht="22.5" x14ac:dyDescent="0.2">
      <c r="A79" s="40" t="s">
        <v>5823</v>
      </c>
      <c r="B79" s="40" t="s">
        <v>5823</v>
      </c>
      <c r="C79" s="41">
        <v>45931</v>
      </c>
      <c r="D79" s="40"/>
      <c r="E79" s="40" t="s">
        <v>11</v>
      </c>
      <c r="F79" s="40" t="s">
        <v>5824</v>
      </c>
      <c r="G79" s="40" t="s">
        <v>5825</v>
      </c>
      <c r="H79" s="40"/>
      <c r="I79" s="40" t="s">
        <v>80</v>
      </c>
      <c r="J79" s="40">
        <v>-608.97</v>
      </c>
      <c r="K79" s="40"/>
      <c r="L79" s="40">
        <v>2116.7800000000002</v>
      </c>
      <c r="M79" s="40">
        <v>-2116.7800000000002</v>
      </c>
      <c r="N79" s="40"/>
      <c r="O79" s="40" t="s">
        <v>2706</v>
      </c>
    </row>
    <row r="80" spans="1:15" ht="22.5" x14ac:dyDescent="0.2">
      <c r="A80" s="40" t="s">
        <v>5826</v>
      </c>
      <c r="B80" s="40" t="s">
        <v>5826</v>
      </c>
      <c r="C80" s="41">
        <v>45929</v>
      </c>
      <c r="D80" s="40"/>
      <c r="E80" s="40" t="s">
        <v>11</v>
      </c>
      <c r="F80" s="40" t="s">
        <v>5695</v>
      </c>
      <c r="G80" s="40" t="s">
        <v>5542</v>
      </c>
      <c r="H80" s="40"/>
      <c r="I80" s="40" t="s">
        <v>80</v>
      </c>
      <c r="J80" s="40">
        <v>-21900</v>
      </c>
      <c r="K80" s="40"/>
      <c r="L80" s="40">
        <v>76693.8</v>
      </c>
      <c r="M80" s="40">
        <v>-76693.8</v>
      </c>
      <c r="N80" s="40"/>
      <c r="O80" s="40" t="s">
        <v>2706</v>
      </c>
    </row>
    <row r="81" spans="1:15" ht="33.75" x14ac:dyDescent="0.2">
      <c r="A81" s="40" t="s">
        <v>5827</v>
      </c>
      <c r="B81" s="40" t="s">
        <v>5827</v>
      </c>
      <c r="C81" s="41">
        <v>45919</v>
      </c>
      <c r="D81" s="40"/>
      <c r="E81" s="40" t="s">
        <v>11</v>
      </c>
      <c r="F81" s="40" t="s">
        <v>5698</v>
      </c>
      <c r="G81" s="40" t="s">
        <v>5542</v>
      </c>
      <c r="H81" s="40"/>
      <c r="I81" s="40" t="s">
        <v>80</v>
      </c>
      <c r="J81" s="40">
        <v>-6244.58</v>
      </c>
      <c r="K81" s="40"/>
      <c r="L81" s="40">
        <v>21799.82</v>
      </c>
      <c r="M81" s="40">
        <v>-21799.82</v>
      </c>
      <c r="N81" s="40"/>
      <c r="O81" s="40" t="s">
        <v>2706</v>
      </c>
    </row>
    <row r="82" spans="1:15" ht="22.5" x14ac:dyDescent="0.2">
      <c r="A82" s="40" t="s">
        <v>5828</v>
      </c>
      <c r="B82" s="40" t="s">
        <v>5828</v>
      </c>
      <c r="C82" s="41">
        <v>45917</v>
      </c>
      <c r="D82" s="40"/>
      <c r="E82" s="40" t="s">
        <v>11</v>
      </c>
      <c r="F82" s="40" t="s">
        <v>5741</v>
      </c>
      <c r="G82" s="40" t="s">
        <v>5542</v>
      </c>
      <c r="H82" s="40"/>
      <c r="I82" s="40" t="s">
        <v>80</v>
      </c>
      <c r="J82" s="40">
        <v>-30380.639999999999</v>
      </c>
      <c r="K82" s="40"/>
      <c r="L82" s="40">
        <v>105998.05</v>
      </c>
      <c r="M82" s="40">
        <v>-105998.05</v>
      </c>
      <c r="N82" s="40"/>
      <c r="O82" s="40" t="s">
        <v>2706</v>
      </c>
    </row>
    <row r="83" spans="1:15" ht="33.75" x14ac:dyDescent="0.2">
      <c r="A83" s="40" t="s">
        <v>5829</v>
      </c>
      <c r="B83" s="40" t="s">
        <v>5830</v>
      </c>
      <c r="C83" s="41">
        <v>45901</v>
      </c>
      <c r="D83" s="41">
        <v>45901</v>
      </c>
      <c r="E83" s="40" t="s">
        <v>11</v>
      </c>
      <c r="F83" s="40" t="s">
        <v>5695</v>
      </c>
      <c r="G83" s="40" t="s">
        <v>5831</v>
      </c>
      <c r="H83" s="40" t="s">
        <v>5832</v>
      </c>
      <c r="I83" s="40" t="s">
        <v>80</v>
      </c>
      <c r="J83" s="40">
        <v>43776</v>
      </c>
      <c r="K83" s="40">
        <v>154967.04000000001</v>
      </c>
      <c r="L83" s="40"/>
      <c r="M83" s="40">
        <v>154967.04000000001</v>
      </c>
      <c r="N83" s="40"/>
      <c r="O83" s="40" t="s">
        <v>2706</v>
      </c>
    </row>
    <row r="84" spans="1:15" ht="22.5" x14ac:dyDescent="0.2">
      <c r="A84" s="40" t="s">
        <v>5833</v>
      </c>
      <c r="B84" s="40" t="s">
        <v>5833</v>
      </c>
      <c r="C84" s="41">
        <v>45901</v>
      </c>
      <c r="D84" s="40"/>
      <c r="E84" s="40" t="s">
        <v>11</v>
      </c>
      <c r="F84" s="40" t="s">
        <v>5695</v>
      </c>
      <c r="G84" s="40" t="s">
        <v>5345</v>
      </c>
      <c r="H84" s="40"/>
      <c r="I84" s="40" t="s">
        <v>80</v>
      </c>
      <c r="J84" s="40"/>
      <c r="K84" s="40">
        <v>119.05</v>
      </c>
      <c r="L84" s="40"/>
      <c r="M84" s="40">
        <v>119.05</v>
      </c>
      <c r="N84" s="40"/>
      <c r="O84" s="40" t="s">
        <v>2706</v>
      </c>
    </row>
    <row r="85" spans="1:15" ht="22.5" x14ac:dyDescent="0.2">
      <c r="A85" s="40" t="s">
        <v>5834</v>
      </c>
      <c r="B85" s="40" t="s">
        <v>5834</v>
      </c>
      <c r="C85" s="41">
        <v>45901</v>
      </c>
      <c r="D85" s="40"/>
      <c r="E85" s="40" t="s">
        <v>11</v>
      </c>
      <c r="F85" s="40" t="s">
        <v>5695</v>
      </c>
      <c r="G85" s="40" t="s">
        <v>5345</v>
      </c>
      <c r="H85" s="40"/>
      <c r="I85" s="40" t="s">
        <v>80</v>
      </c>
      <c r="J85" s="40"/>
      <c r="K85" s="40">
        <v>480</v>
      </c>
      <c r="L85" s="40"/>
      <c r="M85" s="40">
        <v>480</v>
      </c>
      <c r="N85" s="40"/>
      <c r="O85" s="40" t="s">
        <v>2706</v>
      </c>
    </row>
    <row r="86" spans="1:15" ht="22.5" x14ac:dyDescent="0.2">
      <c r="A86" s="40" t="s">
        <v>5835</v>
      </c>
      <c r="B86" s="40" t="s">
        <v>5835</v>
      </c>
      <c r="C86" s="41">
        <v>45901</v>
      </c>
      <c r="D86" s="40"/>
      <c r="E86" s="40" t="s">
        <v>11</v>
      </c>
      <c r="F86" s="40" t="s">
        <v>5695</v>
      </c>
      <c r="G86" s="40" t="s">
        <v>5345</v>
      </c>
      <c r="H86" s="40"/>
      <c r="I86" s="40" t="s">
        <v>80</v>
      </c>
      <c r="J86" s="40"/>
      <c r="K86" s="40">
        <v>718.21</v>
      </c>
      <c r="L86" s="40"/>
      <c r="M86" s="40">
        <v>718.21</v>
      </c>
      <c r="N86" s="40"/>
      <c r="O86" s="40" t="s">
        <v>2706</v>
      </c>
    </row>
    <row r="87" spans="1:15" ht="22.5" x14ac:dyDescent="0.2">
      <c r="A87" s="40" t="s">
        <v>5836</v>
      </c>
      <c r="B87" s="40" t="s">
        <v>5836</v>
      </c>
      <c r="C87" s="41">
        <v>45895</v>
      </c>
      <c r="D87" s="40"/>
      <c r="E87" s="40" t="s">
        <v>11</v>
      </c>
      <c r="F87" s="40" t="s">
        <v>5695</v>
      </c>
      <c r="G87" s="40" t="s">
        <v>5837</v>
      </c>
      <c r="H87" s="40"/>
      <c r="I87" s="40" t="s">
        <v>80</v>
      </c>
      <c r="J87" s="40">
        <v>-32700</v>
      </c>
      <c r="K87" s="40"/>
      <c r="L87" s="40">
        <v>115463.7</v>
      </c>
      <c r="M87" s="40">
        <v>-115463.7</v>
      </c>
      <c r="N87" s="40"/>
      <c r="O87" s="40" t="s">
        <v>2706</v>
      </c>
    </row>
    <row r="88" spans="1:15" ht="22.5" x14ac:dyDescent="0.2">
      <c r="A88" s="40" t="s">
        <v>5838</v>
      </c>
      <c r="B88" s="40" t="s">
        <v>5838</v>
      </c>
      <c r="C88" s="41">
        <v>45890</v>
      </c>
      <c r="D88" s="40"/>
      <c r="E88" s="40" t="s">
        <v>11</v>
      </c>
      <c r="F88" s="40" t="s">
        <v>5695</v>
      </c>
      <c r="G88" s="40" t="s">
        <v>5542</v>
      </c>
      <c r="H88" s="40"/>
      <c r="I88" s="40" t="s">
        <v>80</v>
      </c>
      <c r="J88" s="40">
        <v>-21900</v>
      </c>
      <c r="K88" s="40"/>
      <c r="L88" s="40">
        <v>77504.100000000006</v>
      </c>
      <c r="M88" s="40">
        <v>-77504.100000000006</v>
      </c>
      <c r="N88" s="40"/>
      <c r="O88" s="40" t="s">
        <v>2706</v>
      </c>
    </row>
    <row r="89" spans="1:15" ht="33.75" x14ac:dyDescent="0.2">
      <c r="A89" s="40" t="s">
        <v>5839</v>
      </c>
      <c r="B89" s="40" t="s">
        <v>5840</v>
      </c>
      <c r="C89" s="41">
        <v>45889</v>
      </c>
      <c r="D89" s="41">
        <v>45889</v>
      </c>
      <c r="E89" s="40" t="s">
        <v>11</v>
      </c>
      <c r="F89" s="40" t="s">
        <v>5695</v>
      </c>
      <c r="G89" s="40" t="s">
        <v>5841</v>
      </c>
      <c r="H89" s="40" t="s">
        <v>5842</v>
      </c>
      <c r="I89" s="40" t="s">
        <v>80</v>
      </c>
      <c r="J89" s="40">
        <v>42944.94</v>
      </c>
      <c r="K89" s="40">
        <v>151939.20000000001</v>
      </c>
      <c r="L89" s="40"/>
      <c r="M89" s="40">
        <v>151939.20000000001</v>
      </c>
      <c r="N89" s="40"/>
      <c r="O89" s="40" t="s">
        <v>2706</v>
      </c>
    </row>
    <row r="90" spans="1:15" ht="22.5" x14ac:dyDescent="0.2">
      <c r="A90" s="40" t="s">
        <v>5843</v>
      </c>
      <c r="B90" s="40" t="s">
        <v>5843</v>
      </c>
      <c r="C90" s="41">
        <v>45889</v>
      </c>
      <c r="D90" s="40"/>
      <c r="E90" s="40" t="s">
        <v>11</v>
      </c>
      <c r="F90" s="40" t="s">
        <v>5695</v>
      </c>
      <c r="G90" s="40" t="s">
        <v>5345</v>
      </c>
      <c r="H90" s="40"/>
      <c r="I90" s="40" t="s">
        <v>80</v>
      </c>
      <c r="J90" s="40"/>
      <c r="K90" s="40">
        <v>1556.74</v>
      </c>
      <c r="L90" s="40"/>
      <c r="M90" s="40">
        <v>1556.74</v>
      </c>
      <c r="N90" s="40"/>
      <c r="O90" s="40" t="s">
        <v>2706</v>
      </c>
    </row>
    <row r="91" spans="1:15" ht="22.5" x14ac:dyDescent="0.2">
      <c r="A91" s="40" t="s">
        <v>5844</v>
      </c>
      <c r="B91" s="40" t="s">
        <v>5844</v>
      </c>
      <c r="C91" s="41">
        <v>45889</v>
      </c>
      <c r="D91" s="40"/>
      <c r="E91" s="40" t="s">
        <v>11</v>
      </c>
      <c r="F91" s="40" t="s">
        <v>5695</v>
      </c>
      <c r="G91" s="40" t="s">
        <v>5345</v>
      </c>
      <c r="H91" s="40"/>
      <c r="I91" s="40" t="s">
        <v>80</v>
      </c>
      <c r="J91" s="40"/>
      <c r="K91" s="40">
        <v>2715.6</v>
      </c>
      <c r="L91" s="40"/>
      <c r="M91" s="40">
        <v>2715.6</v>
      </c>
      <c r="N91" s="40"/>
      <c r="O91" s="40" t="s">
        <v>2706</v>
      </c>
    </row>
    <row r="92" spans="1:15" ht="22.5" x14ac:dyDescent="0.2">
      <c r="A92" s="40" t="s">
        <v>5845</v>
      </c>
      <c r="B92" s="40" t="s">
        <v>5845</v>
      </c>
      <c r="C92" s="41">
        <v>45889</v>
      </c>
      <c r="D92" s="40"/>
      <c r="E92" s="40" t="s">
        <v>11</v>
      </c>
      <c r="F92" s="40" t="s">
        <v>5695</v>
      </c>
      <c r="G92" s="40" t="s">
        <v>5345</v>
      </c>
      <c r="H92" s="40"/>
      <c r="I92" s="40" t="s">
        <v>80</v>
      </c>
      <c r="J92" s="40"/>
      <c r="K92" s="40">
        <v>1314.42</v>
      </c>
      <c r="L92" s="40"/>
      <c r="M92" s="40">
        <v>1314.42</v>
      </c>
      <c r="N92" s="40"/>
      <c r="O92" s="40" t="s">
        <v>2706</v>
      </c>
    </row>
    <row r="93" spans="1:15" ht="22.5" x14ac:dyDescent="0.2">
      <c r="A93" s="40" t="s">
        <v>5846</v>
      </c>
      <c r="B93" s="40" t="s">
        <v>5846</v>
      </c>
      <c r="C93" s="41">
        <v>45884</v>
      </c>
      <c r="D93" s="40"/>
      <c r="E93" s="40" t="s">
        <v>11</v>
      </c>
      <c r="F93" s="40" t="s">
        <v>5695</v>
      </c>
      <c r="G93" s="40" t="s">
        <v>5625</v>
      </c>
      <c r="H93" s="40"/>
      <c r="I93" s="40" t="s">
        <v>80</v>
      </c>
      <c r="J93" s="40">
        <v>-23000</v>
      </c>
      <c r="K93" s="40"/>
      <c r="L93" s="40">
        <v>81765</v>
      </c>
      <c r="M93" s="40">
        <v>-81765</v>
      </c>
      <c r="N93" s="40"/>
      <c r="O93" s="40" t="s">
        <v>2706</v>
      </c>
    </row>
    <row r="94" spans="1:15" ht="22.5" x14ac:dyDescent="0.2">
      <c r="A94" s="40" t="s">
        <v>5847</v>
      </c>
      <c r="B94" s="40" t="s">
        <v>5847</v>
      </c>
      <c r="C94" s="41">
        <v>45881</v>
      </c>
      <c r="D94" s="40"/>
      <c r="E94" s="40" t="s">
        <v>11</v>
      </c>
      <c r="F94" s="40" t="s">
        <v>5741</v>
      </c>
      <c r="G94" s="40" t="s">
        <v>5848</v>
      </c>
      <c r="H94" s="40"/>
      <c r="I94" s="40" t="s">
        <v>80</v>
      </c>
      <c r="J94" s="40">
        <v>-24186.67</v>
      </c>
      <c r="K94" s="40"/>
      <c r="L94" s="40">
        <v>85548.25</v>
      </c>
      <c r="M94" s="40">
        <v>-85548.25</v>
      </c>
      <c r="N94" s="40"/>
      <c r="O94" s="40" t="s">
        <v>2706</v>
      </c>
    </row>
    <row r="95" spans="1:15" ht="22.5" x14ac:dyDescent="0.2">
      <c r="A95" s="40" t="s">
        <v>5849</v>
      </c>
      <c r="B95" s="40" t="s">
        <v>5849</v>
      </c>
      <c r="C95" s="41">
        <v>45863</v>
      </c>
      <c r="D95" s="40"/>
      <c r="E95" s="40" t="s">
        <v>11</v>
      </c>
      <c r="F95" s="40" t="s">
        <v>5695</v>
      </c>
      <c r="G95" s="40" t="s">
        <v>5542</v>
      </c>
      <c r="H95" s="40"/>
      <c r="I95" s="40" t="s">
        <v>80</v>
      </c>
      <c r="J95" s="40">
        <v>-16000</v>
      </c>
      <c r="K95" s="40"/>
      <c r="L95" s="40">
        <v>56880</v>
      </c>
      <c r="M95" s="40">
        <v>-56880</v>
      </c>
      <c r="N95" s="40"/>
      <c r="O95" s="40" t="s">
        <v>2706</v>
      </c>
    </row>
    <row r="96" spans="1:15" ht="22.5" x14ac:dyDescent="0.2">
      <c r="A96" s="40" t="s">
        <v>5850</v>
      </c>
      <c r="B96" s="40" t="s">
        <v>5850</v>
      </c>
      <c r="C96" s="41">
        <v>45856</v>
      </c>
      <c r="D96" s="40"/>
      <c r="E96" s="40" t="s">
        <v>11</v>
      </c>
      <c r="F96" s="40" t="s">
        <v>5695</v>
      </c>
      <c r="G96" s="40" t="s">
        <v>5851</v>
      </c>
      <c r="H96" s="40"/>
      <c r="I96" s="40" t="s">
        <v>80</v>
      </c>
      <c r="J96" s="40">
        <v>-30000</v>
      </c>
      <c r="K96" s="40"/>
      <c r="L96" s="40">
        <v>106680</v>
      </c>
      <c r="M96" s="40">
        <v>-106680</v>
      </c>
      <c r="N96" s="40"/>
      <c r="O96" s="40" t="s">
        <v>2706</v>
      </c>
    </row>
    <row r="97" spans="1:15" ht="22.5" x14ac:dyDescent="0.2">
      <c r="A97" s="40" t="s">
        <v>5852</v>
      </c>
      <c r="B97" s="40" t="s">
        <v>5852</v>
      </c>
      <c r="C97" s="41">
        <v>45804</v>
      </c>
      <c r="D97" s="40"/>
      <c r="E97" s="40" t="s">
        <v>11</v>
      </c>
      <c r="F97" s="40" t="s">
        <v>5741</v>
      </c>
      <c r="G97" s="40" t="s">
        <v>5534</v>
      </c>
      <c r="H97" s="40"/>
      <c r="I97" s="40" t="s">
        <v>80</v>
      </c>
      <c r="J97" s="40">
        <v>-32543.22</v>
      </c>
      <c r="K97" s="40"/>
      <c r="L97" s="40">
        <v>119270.9</v>
      </c>
      <c r="M97" s="40">
        <v>-119270.9</v>
      </c>
      <c r="N97" s="40"/>
      <c r="O97" s="40" t="s">
        <v>2706</v>
      </c>
    </row>
    <row r="98" spans="1:15" ht="33.75" x14ac:dyDescent="0.2">
      <c r="A98" s="40" t="s">
        <v>5853</v>
      </c>
      <c r="B98" s="40" t="s">
        <v>5854</v>
      </c>
      <c r="C98" s="41">
        <v>45793</v>
      </c>
      <c r="D98" s="41">
        <v>45793</v>
      </c>
      <c r="E98" s="40" t="s">
        <v>11</v>
      </c>
      <c r="F98" s="40" t="s">
        <v>5695</v>
      </c>
      <c r="G98" s="40" t="s">
        <v>5855</v>
      </c>
      <c r="H98" s="40" t="s">
        <v>5856</v>
      </c>
      <c r="I98" s="40" t="s">
        <v>80</v>
      </c>
      <c r="J98" s="40">
        <v>37224.04</v>
      </c>
      <c r="K98" s="40">
        <v>137207.81</v>
      </c>
      <c r="L98" s="40"/>
      <c r="M98" s="40">
        <v>137207.81</v>
      </c>
      <c r="N98" s="40"/>
      <c r="O98" s="40" t="s">
        <v>2706</v>
      </c>
    </row>
    <row r="99" spans="1:15" ht="22.5" x14ac:dyDescent="0.2">
      <c r="A99" s="40" t="s">
        <v>5857</v>
      </c>
      <c r="B99" s="40" t="s">
        <v>5857</v>
      </c>
      <c r="C99" s="41">
        <v>45793</v>
      </c>
      <c r="D99" s="40"/>
      <c r="E99" s="40" t="s">
        <v>11</v>
      </c>
      <c r="F99" s="40" t="s">
        <v>5695</v>
      </c>
      <c r="G99" s="40" t="s">
        <v>5345</v>
      </c>
      <c r="H99" s="40"/>
      <c r="I99" s="40" t="s">
        <v>80</v>
      </c>
      <c r="J99" s="40"/>
      <c r="K99" s="40">
        <v>62.05</v>
      </c>
      <c r="L99" s="40"/>
      <c r="M99" s="40">
        <v>62.05</v>
      </c>
      <c r="N99" s="40"/>
      <c r="O99" s="40" t="s">
        <v>2706</v>
      </c>
    </row>
    <row r="100" spans="1:15" ht="22.5" x14ac:dyDescent="0.2">
      <c r="A100" s="40" t="s">
        <v>5858</v>
      </c>
      <c r="B100" s="40" t="s">
        <v>5858</v>
      </c>
      <c r="C100" s="41">
        <v>45793</v>
      </c>
      <c r="D100" s="40"/>
      <c r="E100" s="40" t="s">
        <v>11</v>
      </c>
      <c r="F100" s="40" t="s">
        <v>5695</v>
      </c>
      <c r="G100" s="40" t="s">
        <v>5345</v>
      </c>
      <c r="H100" s="40"/>
      <c r="I100" s="40" t="s">
        <v>80</v>
      </c>
      <c r="J100" s="40"/>
      <c r="K100" s="40">
        <v>1600.5</v>
      </c>
      <c r="L100" s="40"/>
      <c r="M100" s="40">
        <v>1600.5</v>
      </c>
      <c r="N100" s="40"/>
      <c r="O100" s="40" t="s">
        <v>2706</v>
      </c>
    </row>
    <row r="101" spans="1:15" ht="22.5" x14ac:dyDescent="0.2">
      <c r="A101" s="40" t="s">
        <v>5859</v>
      </c>
      <c r="B101" s="40" t="s">
        <v>5859</v>
      </c>
      <c r="C101" s="41">
        <v>45793</v>
      </c>
      <c r="D101" s="40"/>
      <c r="E101" s="40" t="s">
        <v>11</v>
      </c>
      <c r="F101" s="40" t="s">
        <v>5695</v>
      </c>
      <c r="G101" s="40" t="s">
        <v>5345</v>
      </c>
      <c r="H101" s="40"/>
      <c r="I101" s="40" t="s">
        <v>80</v>
      </c>
      <c r="J101" s="40"/>
      <c r="K101" s="40">
        <v>673.52</v>
      </c>
      <c r="L101" s="40"/>
      <c r="M101" s="40">
        <v>673.52</v>
      </c>
      <c r="N101" s="40"/>
      <c r="O101" s="40" t="s">
        <v>2706</v>
      </c>
    </row>
    <row r="102" spans="1:15" ht="22.5" x14ac:dyDescent="0.2">
      <c r="A102" s="40" t="s">
        <v>5860</v>
      </c>
      <c r="B102" s="40" t="s">
        <v>5860</v>
      </c>
      <c r="C102" s="41">
        <v>45784</v>
      </c>
      <c r="D102" s="40"/>
      <c r="E102" s="40" t="s">
        <v>11</v>
      </c>
      <c r="F102" s="40" t="s">
        <v>5695</v>
      </c>
      <c r="G102" s="40" t="s">
        <v>5861</v>
      </c>
      <c r="H102" s="40"/>
      <c r="I102" s="40" t="s">
        <v>80</v>
      </c>
      <c r="J102" s="40">
        <v>-18293</v>
      </c>
      <c r="K102" s="40"/>
      <c r="L102" s="40">
        <v>67007.259999999995</v>
      </c>
      <c r="M102" s="40">
        <v>-67007.259999999995</v>
      </c>
      <c r="N102" s="40"/>
      <c r="O102" s="40" t="s">
        <v>2706</v>
      </c>
    </row>
    <row r="103" spans="1:15" ht="33.75" x14ac:dyDescent="0.2">
      <c r="A103" s="40" t="s">
        <v>5862</v>
      </c>
      <c r="B103" s="40" t="s">
        <v>5863</v>
      </c>
      <c r="C103" s="41">
        <v>45783</v>
      </c>
      <c r="D103" s="41">
        <v>45783</v>
      </c>
      <c r="E103" s="40" t="s">
        <v>11</v>
      </c>
      <c r="F103" s="40" t="s">
        <v>5741</v>
      </c>
      <c r="G103" s="40" t="s">
        <v>5864</v>
      </c>
      <c r="H103" s="40" t="s">
        <v>5865</v>
      </c>
      <c r="I103" s="40" t="s">
        <v>80</v>
      </c>
      <c r="J103" s="40">
        <v>500</v>
      </c>
      <c r="K103" s="40">
        <v>1831</v>
      </c>
      <c r="L103" s="40"/>
      <c r="M103" s="40">
        <v>1831</v>
      </c>
      <c r="N103" s="40"/>
      <c r="O103" s="40" t="s">
        <v>2706</v>
      </c>
    </row>
    <row r="104" spans="1:15" ht="45" x14ac:dyDescent="0.2">
      <c r="A104" s="40" t="s">
        <v>5866</v>
      </c>
      <c r="B104" s="40" t="s">
        <v>5867</v>
      </c>
      <c r="C104" s="41">
        <v>45783</v>
      </c>
      <c r="D104" s="41">
        <v>45783</v>
      </c>
      <c r="E104" s="40" t="s">
        <v>11</v>
      </c>
      <c r="F104" s="40" t="s">
        <v>5741</v>
      </c>
      <c r="G104" s="40" t="s">
        <v>5868</v>
      </c>
      <c r="H104" s="40" t="s">
        <v>5869</v>
      </c>
      <c r="I104" s="40" t="s">
        <v>80</v>
      </c>
      <c r="J104" s="40">
        <v>15144.42</v>
      </c>
      <c r="K104" s="40">
        <v>55458.87</v>
      </c>
      <c r="L104" s="40"/>
      <c r="M104" s="40">
        <v>55458.87</v>
      </c>
      <c r="N104" s="40"/>
      <c r="O104" s="40" t="s">
        <v>2706</v>
      </c>
    </row>
    <row r="105" spans="1:15" ht="22.5" x14ac:dyDescent="0.2">
      <c r="A105" s="40" t="s">
        <v>5870</v>
      </c>
      <c r="B105" s="40" t="s">
        <v>5870</v>
      </c>
      <c r="C105" s="41">
        <v>45783</v>
      </c>
      <c r="D105" s="40"/>
      <c r="E105" s="40" t="s">
        <v>11</v>
      </c>
      <c r="F105" s="40" t="s">
        <v>5741</v>
      </c>
      <c r="G105" s="40" t="s">
        <v>5345</v>
      </c>
      <c r="H105" s="40"/>
      <c r="I105" s="40" t="s">
        <v>80</v>
      </c>
      <c r="J105" s="40"/>
      <c r="K105" s="40">
        <v>696.64</v>
      </c>
      <c r="L105" s="40"/>
      <c r="M105" s="40">
        <v>696.64</v>
      </c>
      <c r="N105" s="40"/>
      <c r="O105" s="40" t="s">
        <v>2706</v>
      </c>
    </row>
    <row r="106" spans="1:15" ht="22.5" x14ac:dyDescent="0.2">
      <c r="A106" s="40" t="s">
        <v>5871</v>
      </c>
      <c r="B106" s="40" t="s">
        <v>5871</v>
      </c>
      <c r="C106" s="41">
        <v>45783</v>
      </c>
      <c r="D106" s="40"/>
      <c r="E106" s="40" t="s">
        <v>11</v>
      </c>
      <c r="F106" s="40" t="s">
        <v>5741</v>
      </c>
      <c r="G106" s="40" t="s">
        <v>5345</v>
      </c>
      <c r="H106" s="40"/>
      <c r="I106" s="40" t="s">
        <v>80</v>
      </c>
      <c r="J106" s="40"/>
      <c r="K106" s="40">
        <v>23</v>
      </c>
      <c r="L106" s="40"/>
      <c r="M106" s="40">
        <v>23</v>
      </c>
      <c r="N106" s="40"/>
      <c r="O106" s="40" t="s">
        <v>2706</v>
      </c>
    </row>
    <row r="107" spans="1:15" ht="22.5" x14ac:dyDescent="0.2">
      <c r="A107" s="40" t="s">
        <v>5872</v>
      </c>
      <c r="B107" s="40" t="s">
        <v>5872</v>
      </c>
      <c r="C107" s="41">
        <v>45783</v>
      </c>
      <c r="D107" s="40"/>
      <c r="E107" s="40" t="s">
        <v>11</v>
      </c>
      <c r="F107" s="40" t="s">
        <v>5695</v>
      </c>
      <c r="G107" s="40" t="s">
        <v>5873</v>
      </c>
      <c r="H107" s="40"/>
      <c r="I107" s="40" t="s">
        <v>80</v>
      </c>
      <c r="J107" s="40">
        <v>-21900</v>
      </c>
      <c r="K107" s="40"/>
      <c r="L107" s="40">
        <v>80197.8</v>
      </c>
      <c r="M107" s="40">
        <v>-80197.8</v>
      </c>
      <c r="N107" s="40"/>
      <c r="O107" s="40" t="s">
        <v>2706</v>
      </c>
    </row>
    <row r="108" spans="1:15" ht="22.5" x14ac:dyDescent="0.2">
      <c r="A108" s="40" t="s">
        <v>5874</v>
      </c>
      <c r="B108" s="40" t="s">
        <v>5874</v>
      </c>
      <c r="C108" s="41">
        <v>45720</v>
      </c>
      <c r="D108" s="40"/>
      <c r="E108" s="40" t="s">
        <v>11</v>
      </c>
      <c r="F108" s="40" t="s">
        <v>5695</v>
      </c>
      <c r="G108" s="40" t="s">
        <v>5875</v>
      </c>
      <c r="H108" s="40"/>
      <c r="I108" s="40" t="s">
        <v>80</v>
      </c>
      <c r="J108" s="40">
        <v>-21000</v>
      </c>
      <c r="K108" s="40"/>
      <c r="L108" s="40">
        <v>77511</v>
      </c>
      <c r="M108" s="40">
        <v>-77511</v>
      </c>
      <c r="N108" s="40"/>
      <c r="O108" s="40" t="s">
        <v>234</v>
      </c>
    </row>
    <row r="109" spans="1:15" ht="22.5" x14ac:dyDescent="0.2">
      <c r="A109" s="40" t="s">
        <v>5876</v>
      </c>
      <c r="B109" s="40" t="s">
        <v>5876</v>
      </c>
      <c r="C109" s="41">
        <v>45706</v>
      </c>
      <c r="D109" s="40"/>
      <c r="E109" s="40" t="s">
        <v>11</v>
      </c>
      <c r="F109" s="40" t="s">
        <v>5741</v>
      </c>
      <c r="G109" s="40" t="s">
        <v>5534</v>
      </c>
      <c r="H109" s="40"/>
      <c r="I109" s="40" t="s">
        <v>80</v>
      </c>
      <c r="J109" s="40">
        <v>-27772.59</v>
      </c>
      <c r="K109" s="40"/>
      <c r="L109" s="40">
        <v>102980.76</v>
      </c>
      <c r="M109" s="40">
        <v>-102980.76</v>
      </c>
      <c r="N109" s="40"/>
      <c r="O109" s="40" t="s">
        <v>2706</v>
      </c>
    </row>
    <row r="110" spans="1:15" ht="33.75" x14ac:dyDescent="0.2">
      <c r="A110" s="40" t="s">
        <v>5877</v>
      </c>
      <c r="B110" s="40" t="s">
        <v>5878</v>
      </c>
      <c r="C110" s="41">
        <v>45666</v>
      </c>
      <c r="D110" s="41">
        <v>45666</v>
      </c>
      <c r="E110" s="40" t="s">
        <v>11</v>
      </c>
      <c r="F110" s="40" t="s">
        <v>5695</v>
      </c>
      <c r="G110" s="40" t="s">
        <v>5879</v>
      </c>
      <c r="H110" s="40" t="s">
        <v>5880</v>
      </c>
      <c r="I110" s="40" t="s">
        <v>80</v>
      </c>
      <c r="J110" s="40">
        <v>9423.0499999999993</v>
      </c>
      <c r="K110" s="40">
        <v>35647.4</v>
      </c>
      <c r="L110" s="40"/>
      <c r="M110" s="40">
        <v>35647.4</v>
      </c>
      <c r="N110" s="40"/>
      <c r="O110" s="40" t="s">
        <v>234</v>
      </c>
    </row>
    <row r="111" spans="1:15" ht="22.5" x14ac:dyDescent="0.2">
      <c r="A111" s="40" t="s">
        <v>5881</v>
      </c>
      <c r="B111" s="40" t="s">
        <v>5881</v>
      </c>
      <c r="C111" s="41">
        <v>45666</v>
      </c>
      <c r="D111" s="40"/>
      <c r="E111" s="40" t="s">
        <v>11</v>
      </c>
      <c r="F111" s="40" t="s">
        <v>5695</v>
      </c>
      <c r="G111" s="40" t="s">
        <v>5345</v>
      </c>
      <c r="H111" s="40"/>
      <c r="I111" s="40" t="s">
        <v>80</v>
      </c>
      <c r="J111" s="40"/>
      <c r="K111" s="40"/>
      <c r="L111" s="40">
        <v>26.96</v>
      </c>
      <c r="M111" s="40">
        <v>-26.96</v>
      </c>
      <c r="N111" s="40"/>
      <c r="O111" s="40" t="s">
        <v>234</v>
      </c>
    </row>
    <row r="112" spans="1:15" ht="22.5" x14ac:dyDescent="0.2">
      <c r="A112" s="40" t="s">
        <v>5882</v>
      </c>
      <c r="B112" s="40" t="s">
        <v>5882</v>
      </c>
      <c r="C112" s="41">
        <v>45666</v>
      </c>
      <c r="D112" s="40"/>
      <c r="E112" s="40" t="s">
        <v>11</v>
      </c>
      <c r="F112" s="40" t="s">
        <v>5695</v>
      </c>
      <c r="G112" s="40" t="s">
        <v>5345</v>
      </c>
      <c r="H112" s="40"/>
      <c r="I112" s="40" t="s">
        <v>80</v>
      </c>
      <c r="J112" s="40"/>
      <c r="K112" s="40"/>
      <c r="L112" s="40">
        <v>193.46</v>
      </c>
      <c r="M112" s="40">
        <v>-193.46</v>
      </c>
      <c r="N112" s="40"/>
      <c r="O112" s="40" t="s">
        <v>234</v>
      </c>
    </row>
    <row r="113" spans="1:15" ht="22.5" x14ac:dyDescent="0.2">
      <c r="A113" s="40" t="s">
        <v>5883</v>
      </c>
      <c r="B113" s="40" t="s">
        <v>5883</v>
      </c>
      <c r="C113" s="41">
        <v>45666</v>
      </c>
      <c r="D113" s="40"/>
      <c r="E113" s="40" t="s">
        <v>11</v>
      </c>
      <c r="F113" s="40" t="s">
        <v>5695</v>
      </c>
      <c r="G113" s="40" t="s">
        <v>5884</v>
      </c>
      <c r="H113" s="40"/>
      <c r="I113" s="40" t="s">
        <v>80</v>
      </c>
      <c r="J113" s="40">
        <v>-16500</v>
      </c>
      <c r="K113" s="40"/>
      <c r="L113" s="40">
        <v>62419.5</v>
      </c>
      <c r="M113" s="40">
        <v>-62419.5</v>
      </c>
      <c r="N113" s="40"/>
      <c r="O113" s="40" t="s">
        <v>234</v>
      </c>
    </row>
    <row r="114" spans="1:15" ht="22.5" x14ac:dyDescent="0.2">
      <c r="A114" s="40" t="s">
        <v>5885</v>
      </c>
      <c r="B114" s="40" t="s">
        <v>5885</v>
      </c>
      <c r="C114" s="41">
        <v>45664</v>
      </c>
      <c r="D114" s="40"/>
      <c r="E114" s="40" t="s">
        <v>11</v>
      </c>
      <c r="F114" s="40" t="s">
        <v>5695</v>
      </c>
      <c r="G114" s="40" t="s">
        <v>5886</v>
      </c>
      <c r="H114" s="40"/>
      <c r="I114" s="40" t="s">
        <v>80</v>
      </c>
      <c r="J114" s="40">
        <v>-10000</v>
      </c>
      <c r="K114" s="40"/>
      <c r="L114" s="40">
        <v>37670</v>
      </c>
      <c r="M114" s="40">
        <v>-37670</v>
      </c>
      <c r="N114" s="40"/>
      <c r="O114" s="40" t="s">
        <v>234</v>
      </c>
    </row>
    <row r="115" spans="1:15" ht="22.5" x14ac:dyDescent="0.2">
      <c r="A115" s="40" t="s">
        <v>5887</v>
      </c>
      <c r="B115" s="40" t="s">
        <v>5888</v>
      </c>
      <c r="C115" s="41">
        <v>45658</v>
      </c>
      <c r="D115" s="40"/>
      <c r="E115" s="40" t="s">
        <v>11</v>
      </c>
      <c r="F115" s="40" t="s">
        <v>5695</v>
      </c>
      <c r="G115" s="40" t="s">
        <v>5889</v>
      </c>
      <c r="H115" s="40" t="s">
        <v>5669</v>
      </c>
      <c r="I115" s="40" t="s">
        <v>80</v>
      </c>
      <c r="J115" s="40">
        <v>-7738.09</v>
      </c>
      <c r="K115" s="40"/>
      <c r="L115" s="40">
        <v>29079.74</v>
      </c>
      <c r="M115" s="40">
        <v>-29079.74</v>
      </c>
      <c r="N115" s="40"/>
      <c r="O115" s="40" t="s">
        <v>234</v>
      </c>
    </row>
    <row r="116" spans="1:15" ht="22.5" x14ac:dyDescent="0.2">
      <c r="A116" s="40" t="s">
        <v>5887</v>
      </c>
      <c r="B116" s="40" t="s">
        <v>5888</v>
      </c>
      <c r="C116" s="41">
        <v>45658</v>
      </c>
      <c r="D116" s="40"/>
      <c r="E116" s="40" t="s">
        <v>11</v>
      </c>
      <c r="F116" s="40" t="s">
        <v>5890</v>
      </c>
      <c r="G116" s="40" t="s">
        <v>5891</v>
      </c>
      <c r="H116" s="40" t="s">
        <v>5669</v>
      </c>
      <c r="I116" s="40" t="s">
        <v>80</v>
      </c>
      <c r="J116" s="40">
        <v>-2795.8</v>
      </c>
      <c r="K116" s="40"/>
      <c r="L116" s="40">
        <v>10506.62</v>
      </c>
      <c r="M116" s="40">
        <v>-10506.62</v>
      </c>
      <c r="N116" s="40"/>
      <c r="O116" s="40" t="s">
        <v>234</v>
      </c>
    </row>
    <row r="117" spans="1:15" ht="22.5" x14ac:dyDescent="0.2">
      <c r="A117" s="40" t="s">
        <v>5887</v>
      </c>
      <c r="B117" s="40" t="s">
        <v>5888</v>
      </c>
      <c r="C117" s="41">
        <v>45658</v>
      </c>
      <c r="D117" s="40"/>
      <c r="E117" s="40" t="s">
        <v>11</v>
      </c>
      <c r="F117" s="40" t="s">
        <v>5892</v>
      </c>
      <c r="G117" s="40" t="s">
        <v>5893</v>
      </c>
      <c r="H117" s="40" t="s">
        <v>5669</v>
      </c>
      <c r="I117" s="40" t="s">
        <v>80</v>
      </c>
      <c r="J117" s="40">
        <v>-2913.12</v>
      </c>
      <c r="K117" s="40"/>
      <c r="L117" s="40">
        <v>10947.5</v>
      </c>
      <c r="M117" s="40">
        <v>-10947.5</v>
      </c>
      <c r="N117" s="40"/>
      <c r="O117" s="40" t="s">
        <v>234</v>
      </c>
    </row>
    <row r="118" spans="1:15" ht="22.5" x14ac:dyDescent="0.2">
      <c r="A118" s="40" t="s">
        <v>5887</v>
      </c>
      <c r="B118" s="40" t="s">
        <v>5888</v>
      </c>
      <c r="C118" s="41">
        <v>45658</v>
      </c>
      <c r="D118" s="40"/>
      <c r="E118" s="40" t="s">
        <v>11</v>
      </c>
      <c r="F118" s="40" t="s">
        <v>5894</v>
      </c>
      <c r="G118" s="40" t="s">
        <v>5895</v>
      </c>
      <c r="H118" s="40" t="s">
        <v>5669</v>
      </c>
      <c r="I118" s="40" t="s">
        <v>80</v>
      </c>
      <c r="J118" s="40">
        <v>-1805</v>
      </c>
      <c r="K118" s="40"/>
      <c r="L118" s="40">
        <v>6783.19</v>
      </c>
      <c r="M118" s="40">
        <v>-6783.19</v>
      </c>
      <c r="N118" s="40"/>
      <c r="O118" s="40" t="s">
        <v>234</v>
      </c>
    </row>
    <row r="119" spans="1:15" ht="22.5" x14ac:dyDescent="0.2">
      <c r="A119" s="40" t="s">
        <v>5887</v>
      </c>
      <c r="B119" s="40" t="s">
        <v>5888</v>
      </c>
      <c r="C119" s="41">
        <v>45658</v>
      </c>
      <c r="D119" s="40"/>
      <c r="E119" s="40" t="s">
        <v>11</v>
      </c>
      <c r="F119" s="40" t="s">
        <v>5896</v>
      </c>
      <c r="G119" s="40" t="s">
        <v>5897</v>
      </c>
      <c r="H119" s="40" t="s">
        <v>5669</v>
      </c>
      <c r="I119" s="40" t="s">
        <v>80</v>
      </c>
      <c r="J119" s="40">
        <v>-1631.34</v>
      </c>
      <c r="K119" s="40"/>
      <c r="L119" s="40">
        <v>6130.58</v>
      </c>
      <c r="M119" s="40">
        <v>-6130.58</v>
      </c>
      <c r="N119" s="40"/>
      <c r="O119" s="40" t="s">
        <v>234</v>
      </c>
    </row>
    <row r="120" spans="1:15" ht="22.5" x14ac:dyDescent="0.2">
      <c r="A120" s="40" t="s">
        <v>5887</v>
      </c>
      <c r="B120" s="40" t="s">
        <v>5888</v>
      </c>
      <c r="C120" s="41">
        <v>45658</v>
      </c>
      <c r="D120" s="40"/>
      <c r="E120" s="40" t="s">
        <v>11</v>
      </c>
      <c r="F120" s="40" t="s">
        <v>5898</v>
      </c>
      <c r="G120" s="40" t="s">
        <v>5899</v>
      </c>
      <c r="H120" s="40" t="s">
        <v>5669</v>
      </c>
      <c r="I120" s="40" t="s">
        <v>80</v>
      </c>
      <c r="J120" s="40">
        <v>-1076.17</v>
      </c>
      <c r="K120" s="40"/>
      <c r="L120" s="40">
        <v>4044.25</v>
      </c>
      <c r="M120" s="40">
        <v>-4044.25</v>
      </c>
      <c r="N120" s="40"/>
      <c r="O120" s="40" t="s">
        <v>234</v>
      </c>
    </row>
    <row r="121" spans="1:15" ht="22.5" x14ac:dyDescent="0.2">
      <c r="A121" s="40" t="s">
        <v>5887</v>
      </c>
      <c r="B121" s="40" t="s">
        <v>5888</v>
      </c>
      <c r="C121" s="41">
        <v>45658</v>
      </c>
      <c r="D121" s="40"/>
      <c r="E121" s="40" t="s">
        <v>11</v>
      </c>
      <c r="F121" s="40" t="s">
        <v>5900</v>
      </c>
      <c r="G121" s="40" t="s">
        <v>5901</v>
      </c>
      <c r="H121" s="40" t="s">
        <v>5669</v>
      </c>
      <c r="I121" s="40" t="s">
        <v>80</v>
      </c>
      <c r="J121" s="40">
        <v>-1102.95</v>
      </c>
      <c r="K121" s="40"/>
      <c r="L121" s="40">
        <v>4144.8900000000003</v>
      </c>
      <c r="M121" s="40">
        <v>-4144.8900000000003</v>
      </c>
      <c r="N121" s="40"/>
      <c r="O121" s="40" t="s">
        <v>234</v>
      </c>
    </row>
    <row r="122" spans="1:15" ht="22.5" x14ac:dyDescent="0.2">
      <c r="A122" s="40" t="s">
        <v>5887</v>
      </c>
      <c r="B122" s="40" t="s">
        <v>5888</v>
      </c>
      <c r="C122" s="41">
        <v>45658</v>
      </c>
      <c r="D122" s="40"/>
      <c r="E122" s="40" t="s">
        <v>11</v>
      </c>
      <c r="F122" s="40" t="s">
        <v>5902</v>
      </c>
      <c r="G122" s="40" t="s">
        <v>5903</v>
      </c>
      <c r="H122" s="40" t="s">
        <v>5669</v>
      </c>
      <c r="I122" s="40" t="s">
        <v>80</v>
      </c>
      <c r="J122" s="40">
        <v>-991.7</v>
      </c>
      <c r="K122" s="40"/>
      <c r="L122" s="40">
        <v>3726.81</v>
      </c>
      <c r="M122" s="40">
        <v>-3726.81</v>
      </c>
      <c r="N122" s="40"/>
      <c r="O122" s="40" t="s">
        <v>234</v>
      </c>
    </row>
    <row r="123" spans="1:15" ht="22.5" x14ac:dyDescent="0.2">
      <c r="A123" s="40" t="s">
        <v>5887</v>
      </c>
      <c r="B123" s="40" t="s">
        <v>5888</v>
      </c>
      <c r="C123" s="41">
        <v>45658</v>
      </c>
      <c r="D123" s="40"/>
      <c r="E123" s="40" t="s">
        <v>11</v>
      </c>
      <c r="F123" s="40" t="s">
        <v>5904</v>
      </c>
      <c r="G123" s="40" t="s">
        <v>5905</v>
      </c>
      <c r="H123" s="40" t="s">
        <v>5669</v>
      </c>
      <c r="I123" s="40" t="s">
        <v>80</v>
      </c>
      <c r="J123" s="40">
        <v>-805.75</v>
      </c>
      <c r="K123" s="40"/>
      <c r="L123" s="40">
        <v>3028.01</v>
      </c>
      <c r="M123" s="40">
        <v>-3028.01</v>
      </c>
      <c r="N123" s="40"/>
      <c r="O123" s="40" t="s">
        <v>234</v>
      </c>
    </row>
    <row r="124" spans="1:15" ht="22.5" x14ac:dyDescent="0.2">
      <c r="A124" s="40" t="s">
        <v>5887</v>
      </c>
      <c r="B124" s="40" t="s">
        <v>5888</v>
      </c>
      <c r="C124" s="41">
        <v>45658</v>
      </c>
      <c r="D124" s="40"/>
      <c r="E124" s="40" t="s">
        <v>11</v>
      </c>
      <c r="F124" s="40" t="s">
        <v>5906</v>
      </c>
      <c r="G124" s="40" t="s">
        <v>5907</v>
      </c>
      <c r="H124" s="40" t="s">
        <v>5669</v>
      </c>
      <c r="I124" s="40" t="s">
        <v>80</v>
      </c>
      <c r="J124" s="40">
        <v>-356.25</v>
      </c>
      <c r="K124" s="40"/>
      <c r="L124" s="40">
        <v>1338.79</v>
      </c>
      <c r="M124" s="40">
        <v>-1338.79</v>
      </c>
      <c r="N124" s="40"/>
      <c r="O124" s="40" t="s">
        <v>234</v>
      </c>
    </row>
    <row r="125" spans="1:15" ht="22.5" x14ac:dyDescent="0.2">
      <c r="A125" s="40" t="s">
        <v>5887</v>
      </c>
      <c r="B125" s="40" t="s">
        <v>5888</v>
      </c>
      <c r="C125" s="41">
        <v>45658</v>
      </c>
      <c r="D125" s="40"/>
      <c r="E125" s="40" t="s">
        <v>11</v>
      </c>
      <c r="F125" s="40" t="s">
        <v>5902</v>
      </c>
      <c r="G125" s="40" t="s">
        <v>5908</v>
      </c>
      <c r="H125" s="40" t="s">
        <v>5669</v>
      </c>
      <c r="I125" s="40" t="s">
        <v>80</v>
      </c>
      <c r="J125" s="40">
        <v>-139.47</v>
      </c>
      <c r="K125" s="40"/>
      <c r="L125" s="40">
        <v>524.13</v>
      </c>
      <c r="M125" s="40">
        <v>-524.13</v>
      </c>
      <c r="N125" s="40"/>
      <c r="O125" s="40" t="s">
        <v>234</v>
      </c>
    </row>
    <row r="126" spans="1:15" ht="22.5" x14ac:dyDescent="0.2">
      <c r="A126" s="40" t="s">
        <v>5887</v>
      </c>
      <c r="B126" s="40" t="s">
        <v>5888</v>
      </c>
      <c r="C126" s="41">
        <v>45658</v>
      </c>
      <c r="D126" s="40"/>
      <c r="E126" s="40" t="s">
        <v>11</v>
      </c>
      <c r="F126" s="40" t="s">
        <v>5909</v>
      </c>
      <c r="G126" s="40" t="s">
        <v>5910</v>
      </c>
      <c r="H126" s="40" t="s">
        <v>5669</v>
      </c>
      <c r="I126" s="40" t="s">
        <v>80</v>
      </c>
      <c r="J126" s="40">
        <v>-135.80000000000001</v>
      </c>
      <c r="K126" s="40"/>
      <c r="L126" s="40">
        <v>510.34</v>
      </c>
      <c r="M126" s="40">
        <v>-510.34</v>
      </c>
      <c r="N126" s="40"/>
      <c r="O126" s="40" t="s">
        <v>234</v>
      </c>
    </row>
    <row r="127" spans="1:15" ht="22.5" x14ac:dyDescent="0.2">
      <c r="A127" s="40" t="s">
        <v>5887</v>
      </c>
      <c r="B127" s="40" t="s">
        <v>5888</v>
      </c>
      <c r="C127" s="41">
        <v>45658</v>
      </c>
      <c r="D127" s="40"/>
      <c r="E127" s="40" t="s">
        <v>11</v>
      </c>
      <c r="F127" s="40" t="s">
        <v>5911</v>
      </c>
      <c r="G127" s="40" t="s">
        <v>5912</v>
      </c>
      <c r="H127" s="40" t="s">
        <v>5669</v>
      </c>
      <c r="I127" s="40" t="s">
        <v>80</v>
      </c>
      <c r="J127" s="40">
        <v>-13.59</v>
      </c>
      <c r="K127" s="40"/>
      <c r="L127" s="40">
        <v>51.07</v>
      </c>
      <c r="M127" s="40">
        <v>-51.07</v>
      </c>
      <c r="N127" s="40"/>
      <c r="O127" s="40" t="s">
        <v>234</v>
      </c>
    </row>
    <row r="128" spans="1:15" ht="22.5" x14ac:dyDescent="0.2">
      <c r="A128" s="40" t="s">
        <v>5887</v>
      </c>
      <c r="B128" s="40" t="s">
        <v>5888</v>
      </c>
      <c r="C128" s="41">
        <v>45658</v>
      </c>
      <c r="D128" s="40"/>
      <c r="E128" s="40" t="s">
        <v>11</v>
      </c>
      <c r="F128" s="40" t="s">
        <v>5913</v>
      </c>
      <c r="G128" s="40" t="s">
        <v>5914</v>
      </c>
      <c r="H128" s="40" t="s">
        <v>5669</v>
      </c>
      <c r="I128" s="40" t="s">
        <v>80</v>
      </c>
      <c r="J128" s="40">
        <v>-5</v>
      </c>
      <c r="K128" s="40"/>
      <c r="L128" s="40">
        <v>18.79</v>
      </c>
      <c r="M128" s="40">
        <v>-18.79</v>
      </c>
      <c r="N128" s="40"/>
      <c r="O128" s="40" t="s">
        <v>234</v>
      </c>
    </row>
    <row r="130" spans="13:13" x14ac:dyDescent="0.2">
      <c r="M130" s="51">
        <f>SUM(M3:M129)</f>
        <v>-3833712.5099999974</v>
      </c>
    </row>
  </sheetData>
  <mergeCells count="1">
    <mergeCell ref="A2:C2"/>
  </mergeCells>
  <conditionalFormatting sqref="N2:N1048576">
    <cfRule type="duplicateValues" dxfId="43" priority="2"/>
  </conditionalFormatting>
  <conditionalFormatting sqref="N1">
    <cfRule type="duplicateValues" dxfId="9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BFD7-42EB-4554-A732-6B3A0F0F7039}">
  <dimension ref="A1:O177"/>
  <sheetViews>
    <sheetView showGridLines="0" workbookViewId="0">
      <selection sqref="A1:XFD1"/>
    </sheetView>
  </sheetViews>
  <sheetFormatPr baseColWidth="10" defaultColWidth="12.42578125" defaultRowHeight="11.25" x14ac:dyDescent="0.2"/>
  <cols>
    <col min="1" max="16384" width="12.42578125" style="8"/>
  </cols>
  <sheetData>
    <row r="1" spans="1:15" s="18" customFormat="1" ht="25.5" customHeight="1" x14ac:dyDescent="0.25">
      <c r="A1" s="104" t="s">
        <v>33</v>
      </c>
      <c r="B1" s="104" t="s">
        <v>34</v>
      </c>
      <c r="C1" s="104" t="s">
        <v>35</v>
      </c>
      <c r="D1" s="104" t="s">
        <v>36</v>
      </c>
      <c r="E1" s="104" t="s">
        <v>37</v>
      </c>
      <c r="F1" s="104" t="s">
        <v>38</v>
      </c>
      <c r="G1" s="104" t="s">
        <v>39</v>
      </c>
      <c r="H1" s="104" t="s">
        <v>40</v>
      </c>
      <c r="I1" s="104" t="s">
        <v>41</v>
      </c>
      <c r="J1" s="104" t="s">
        <v>42</v>
      </c>
      <c r="K1" s="104" t="s">
        <v>3</v>
      </c>
      <c r="L1" s="104" t="s">
        <v>4</v>
      </c>
      <c r="M1" s="104" t="s">
        <v>43</v>
      </c>
      <c r="N1" s="104" t="s">
        <v>44</v>
      </c>
      <c r="O1" s="104" t="s">
        <v>45</v>
      </c>
    </row>
    <row r="2" spans="1:15" ht="27" customHeight="1" x14ac:dyDescent="0.2">
      <c r="A2" s="92" t="s">
        <v>5915</v>
      </c>
      <c r="B2" s="93"/>
      <c r="C2" s="93"/>
      <c r="D2" s="94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ht="18" customHeight="1" x14ac:dyDescent="0.2">
      <c r="A3" s="40" t="s">
        <v>5916</v>
      </c>
      <c r="B3" s="40" t="s">
        <v>5916</v>
      </c>
      <c r="C3" s="41">
        <v>46082</v>
      </c>
      <c r="D3" s="40"/>
      <c r="E3" s="40" t="s">
        <v>12</v>
      </c>
      <c r="F3" s="40" t="s">
        <v>295</v>
      </c>
      <c r="G3" s="40" t="s">
        <v>5917</v>
      </c>
      <c r="H3" s="40"/>
      <c r="I3" s="40" t="s">
        <v>49</v>
      </c>
      <c r="J3" s="40">
        <v>-1555.15</v>
      </c>
      <c r="K3" s="40"/>
      <c r="L3" s="40">
        <v>1555.15</v>
      </c>
      <c r="M3" s="40">
        <v>-1555.15</v>
      </c>
      <c r="N3" s="40"/>
      <c r="O3" s="40" t="s">
        <v>234</v>
      </c>
    </row>
    <row r="4" spans="1:15" ht="18" customHeight="1" x14ac:dyDescent="0.2">
      <c r="A4" s="40" t="s">
        <v>5918</v>
      </c>
      <c r="B4" s="40" t="s">
        <v>5918</v>
      </c>
      <c r="C4" s="41">
        <v>46081</v>
      </c>
      <c r="D4" s="40"/>
      <c r="E4" s="40" t="s">
        <v>12</v>
      </c>
      <c r="F4" s="40" t="s">
        <v>295</v>
      </c>
      <c r="G4" s="40" t="s">
        <v>5917</v>
      </c>
      <c r="H4" s="40"/>
      <c r="I4" s="40" t="s">
        <v>49</v>
      </c>
      <c r="J4" s="40">
        <v>-4561.49</v>
      </c>
      <c r="K4" s="40"/>
      <c r="L4" s="40">
        <v>4561.49</v>
      </c>
      <c r="M4" s="40">
        <v>-4561.49</v>
      </c>
      <c r="N4" s="40"/>
      <c r="O4" s="40" t="s">
        <v>234</v>
      </c>
    </row>
    <row r="5" spans="1:15" ht="18" customHeight="1" x14ac:dyDescent="0.2">
      <c r="A5" s="40" t="s">
        <v>5919</v>
      </c>
      <c r="B5" s="40" t="s">
        <v>5919</v>
      </c>
      <c r="C5" s="41">
        <v>46078</v>
      </c>
      <c r="D5" s="40"/>
      <c r="E5" s="40" t="s">
        <v>12</v>
      </c>
      <c r="F5" s="40" t="s">
        <v>295</v>
      </c>
      <c r="G5" s="40" t="s">
        <v>5917</v>
      </c>
      <c r="H5" s="40"/>
      <c r="I5" s="40" t="s">
        <v>49</v>
      </c>
      <c r="J5" s="40">
        <v>-1815.3</v>
      </c>
      <c r="K5" s="40"/>
      <c r="L5" s="40">
        <v>1815.3</v>
      </c>
      <c r="M5" s="40">
        <v>-1815.3</v>
      </c>
      <c r="N5" s="40"/>
      <c r="O5" s="40" t="s">
        <v>234</v>
      </c>
    </row>
    <row r="6" spans="1:15" ht="18" customHeight="1" x14ac:dyDescent="0.2">
      <c r="A6" s="40" t="s">
        <v>5920</v>
      </c>
      <c r="B6" s="40" t="s">
        <v>5920</v>
      </c>
      <c r="C6" s="41">
        <v>46075</v>
      </c>
      <c r="D6" s="40"/>
      <c r="E6" s="40" t="s">
        <v>12</v>
      </c>
      <c r="F6" s="40" t="s">
        <v>295</v>
      </c>
      <c r="G6" s="40" t="s">
        <v>5917</v>
      </c>
      <c r="H6" s="40"/>
      <c r="I6" s="40" t="s">
        <v>49</v>
      </c>
      <c r="J6" s="40">
        <v>-1441.84</v>
      </c>
      <c r="K6" s="40"/>
      <c r="L6" s="40">
        <v>1441.84</v>
      </c>
      <c r="M6" s="40">
        <v>-1441.84</v>
      </c>
      <c r="N6" s="40"/>
      <c r="O6" s="40" t="s">
        <v>234</v>
      </c>
    </row>
    <row r="7" spans="1:15" ht="18" customHeight="1" x14ac:dyDescent="0.2">
      <c r="A7" s="40" t="s">
        <v>5921</v>
      </c>
      <c r="B7" s="40" t="s">
        <v>5921</v>
      </c>
      <c r="C7" s="41">
        <v>46074</v>
      </c>
      <c r="D7" s="40"/>
      <c r="E7" s="40" t="s">
        <v>12</v>
      </c>
      <c r="F7" s="40" t="s">
        <v>295</v>
      </c>
      <c r="G7" s="40" t="s">
        <v>5917</v>
      </c>
      <c r="H7" s="40"/>
      <c r="I7" s="40" t="s">
        <v>49</v>
      </c>
      <c r="J7" s="40">
        <v>-972.91</v>
      </c>
      <c r="K7" s="40"/>
      <c r="L7" s="40">
        <v>972.91</v>
      </c>
      <c r="M7" s="40">
        <v>-972.91</v>
      </c>
      <c r="N7" s="40"/>
      <c r="O7" s="40" t="s">
        <v>234</v>
      </c>
    </row>
    <row r="8" spans="1:15" ht="18" customHeight="1" x14ac:dyDescent="0.2">
      <c r="A8" s="40" t="s">
        <v>5922</v>
      </c>
      <c r="B8" s="40" t="s">
        <v>5923</v>
      </c>
      <c r="C8" s="41">
        <v>46073</v>
      </c>
      <c r="D8" s="41">
        <v>46073</v>
      </c>
      <c r="E8" s="40" t="s">
        <v>12</v>
      </c>
      <c r="F8" s="40" t="s">
        <v>798</v>
      </c>
      <c r="G8" s="40" t="s">
        <v>5924</v>
      </c>
      <c r="H8" s="40" t="s">
        <v>5925</v>
      </c>
      <c r="I8" s="40" t="s">
        <v>49</v>
      </c>
      <c r="J8" s="40">
        <v>1327.35</v>
      </c>
      <c r="K8" s="40">
        <v>1327.35</v>
      </c>
      <c r="L8" s="40"/>
      <c r="M8" s="40">
        <v>1327.35</v>
      </c>
      <c r="N8" s="40" t="s">
        <v>5926</v>
      </c>
      <c r="O8" s="40" t="s">
        <v>234</v>
      </c>
    </row>
    <row r="9" spans="1:15" ht="18" customHeight="1" x14ac:dyDescent="0.2">
      <c r="A9" s="40" t="s">
        <v>5927</v>
      </c>
      <c r="B9" s="40" t="s">
        <v>5928</v>
      </c>
      <c r="C9" s="41">
        <v>46073</v>
      </c>
      <c r="D9" s="41">
        <v>46073</v>
      </c>
      <c r="E9" s="40" t="s">
        <v>12</v>
      </c>
      <c r="F9" s="40" t="s">
        <v>5082</v>
      </c>
      <c r="G9" s="40" t="s">
        <v>5929</v>
      </c>
      <c r="H9" s="40" t="s">
        <v>5930</v>
      </c>
      <c r="I9" s="40" t="s">
        <v>49</v>
      </c>
      <c r="J9" s="40">
        <v>1889.53</v>
      </c>
      <c r="K9" s="40">
        <v>1889.53</v>
      </c>
      <c r="L9" s="40"/>
      <c r="M9" s="40">
        <v>1889.53</v>
      </c>
      <c r="N9" s="40" t="s">
        <v>5926</v>
      </c>
      <c r="O9" s="40" t="s">
        <v>234</v>
      </c>
    </row>
    <row r="10" spans="1:15" ht="18" customHeight="1" x14ac:dyDescent="0.2">
      <c r="A10" s="40" t="s">
        <v>5931</v>
      </c>
      <c r="B10" s="40" t="s">
        <v>5932</v>
      </c>
      <c r="C10" s="41">
        <v>46073</v>
      </c>
      <c r="D10" s="41">
        <v>46073</v>
      </c>
      <c r="E10" s="40" t="s">
        <v>12</v>
      </c>
      <c r="F10" s="40" t="s">
        <v>798</v>
      </c>
      <c r="G10" s="40" t="s">
        <v>5933</v>
      </c>
      <c r="H10" s="40" t="s">
        <v>5934</v>
      </c>
      <c r="I10" s="40" t="s">
        <v>49</v>
      </c>
      <c r="J10" s="40">
        <v>1815.29</v>
      </c>
      <c r="K10" s="40">
        <v>1815.29</v>
      </c>
      <c r="L10" s="40"/>
      <c r="M10" s="40">
        <v>1815.29</v>
      </c>
      <c r="N10" s="40" t="s">
        <v>5926</v>
      </c>
      <c r="O10" s="40" t="s">
        <v>234</v>
      </c>
    </row>
    <row r="11" spans="1:15" ht="18" customHeight="1" x14ac:dyDescent="0.2">
      <c r="A11" s="40" t="s">
        <v>5935</v>
      </c>
      <c r="B11" s="40" t="s">
        <v>5936</v>
      </c>
      <c r="C11" s="41">
        <v>46073</v>
      </c>
      <c r="D11" s="41">
        <v>46073</v>
      </c>
      <c r="E11" s="40" t="s">
        <v>12</v>
      </c>
      <c r="F11" s="40" t="s">
        <v>798</v>
      </c>
      <c r="G11" s="40" t="s">
        <v>5937</v>
      </c>
      <c r="H11" s="40" t="s">
        <v>5938</v>
      </c>
      <c r="I11" s="40" t="s">
        <v>49</v>
      </c>
      <c r="J11" s="40">
        <v>1327.38</v>
      </c>
      <c r="K11" s="40">
        <v>1327.38</v>
      </c>
      <c r="L11" s="40"/>
      <c r="M11" s="40">
        <v>1327.38</v>
      </c>
      <c r="N11" s="40" t="s">
        <v>5926</v>
      </c>
      <c r="O11" s="40" t="s">
        <v>234</v>
      </c>
    </row>
    <row r="12" spans="1:15" ht="18" customHeight="1" x14ac:dyDescent="0.2">
      <c r="A12" s="40" t="s">
        <v>5939</v>
      </c>
      <c r="B12" s="40" t="s">
        <v>5940</v>
      </c>
      <c r="C12" s="41">
        <v>46073</v>
      </c>
      <c r="D12" s="41">
        <v>46073</v>
      </c>
      <c r="E12" s="40" t="s">
        <v>12</v>
      </c>
      <c r="F12" s="40" t="s">
        <v>798</v>
      </c>
      <c r="G12" s="40" t="s">
        <v>5941</v>
      </c>
      <c r="H12" s="40" t="s">
        <v>5942</v>
      </c>
      <c r="I12" s="40" t="s">
        <v>49</v>
      </c>
      <c r="J12" s="40">
        <v>972.91</v>
      </c>
      <c r="K12" s="40">
        <v>972.91</v>
      </c>
      <c r="L12" s="40"/>
      <c r="M12" s="40">
        <v>972.91</v>
      </c>
      <c r="N12" s="40" t="s">
        <v>5926</v>
      </c>
      <c r="O12" s="40" t="s">
        <v>234</v>
      </c>
    </row>
    <row r="13" spans="1:15" ht="18" customHeight="1" x14ac:dyDescent="0.2">
      <c r="A13" s="40" t="s">
        <v>5943</v>
      </c>
      <c r="B13" s="40" t="s">
        <v>5944</v>
      </c>
      <c r="C13" s="41">
        <v>46073</v>
      </c>
      <c r="D13" s="41">
        <v>46073</v>
      </c>
      <c r="E13" s="40" t="s">
        <v>12</v>
      </c>
      <c r="F13" s="40" t="s">
        <v>798</v>
      </c>
      <c r="G13" s="40" t="s">
        <v>5945</v>
      </c>
      <c r="H13" s="40" t="s">
        <v>5946</v>
      </c>
      <c r="I13" s="40" t="s">
        <v>49</v>
      </c>
      <c r="J13" s="40">
        <v>3268.29</v>
      </c>
      <c r="K13" s="40">
        <v>3268.29</v>
      </c>
      <c r="L13" s="40"/>
      <c r="M13" s="40">
        <v>3268.29</v>
      </c>
      <c r="N13" s="40" t="s">
        <v>5926</v>
      </c>
      <c r="O13" s="40" t="s">
        <v>234</v>
      </c>
    </row>
    <row r="14" spans="1:15" ht="18" customHeight="1" x14ac:dyDescent="0.2">
      <c r="A14" s="40" t="s">
        <v>5947</v>
      </c>
      <c r="B14" s="40" t="s">
        <v>5948</v>
      </c>
      <c r="C14" s="41">
        <v>46073</v>
      </c>
      <c r="D14" s="41">
        <v>46073</v>
      </c>
      <c r="E14" s="40" t="s">
        <v>12</v>
      </c>
      <c r="F14" s="40" t="s">
        <v>5949</v>
      </c>
      <c r="G14" s="40" t="s">
        <v>5950</v>
      </c>
      <c r="H14" s="40" t="s">
        <v>5951</v>
      </c>
      <c r="I14" s="40" t="s">
        <v>49</v>
      </c>
      <c r="J14" s="40">
        <v>1327.38</v>
      </c>
      <c r="K14" s="40">
        <v>1327.38</v>
      </c>
      <c r="L14" s="40"/>
      <c r="M14" s="40">
        <v>1327.38</v>
      </c>
      <c r="N14" s="40" t="s">
        <v>5926</v>
      </c>
      <c r="O14" s="40" t="s">
        <v>234</v>
      </c>
    </row>
    <row r="15" spans="1:15" ht="18" customHeight="1" x14ac:dyDescent="0.2">
      <c r="A15" s="40" t="s">
        <v>5952</v>
      </c>
      <c r="B15" s="40" t="s">
        <v>5953</v>
      </c>
      <c r="C15" s="41">
        <v>46073</v>
      </c>
      <c r="D15" s="41">
        <v>46073</v>
      </c>
      <c r="E15" s="40" t="s">
        <v>12</v>
      </c>
      <c r="F15" s="40" t="s">
        <v>798</v>
      </c>
      <c r="G15" s="40" t="s">
        <v>5954</v>
      </c>
      <c r="H15" s="40" t="s">
        <v>5955</v>
      </c>
      <c r="I15" s="40" t="s">
        <v>49</v>
      </c>
      <c r="J15" s="40">
        <v>5325.62</v>
      </c>
      <c r="K15" s="40">
        <v>5325.62</v>
      </c>
      <c r="L15" s="40"/>
      <c r="M15" s="40">
        <v>5325.62</v>
      </c>
      <c r="N15" s="40" t="s">
        <v>5926</v>
      </c>
      <c r="O15" s="40" t="s">
        <v>234</v>
      </c>
    </row>
    <row r="16" spans="1:15" ht="18" customHeight="1" x14ac:dyDescent="0.2">
      <c r="A16" s="40" t="s">
        <v>5956</v>
      </c>
      <c r="B16" s="40" t="s">
        <v>5957</v>
      </c>
      <c r="C16" s="41">
        <v>46073</v>
      </c>
      <c r="D16" s="41">
        <v>46073</v>
      </c>
      <c r="E16" s="40" t="s">
        <v>12</v>
      </c>
      <c r="F16" s="40" t="s">
        <v>798</v>
      </c>
      <c r="G16" s="40" t="s">
        <v>5958</v>
      </c>
      <c r="H16" s="40" t="s">
        <v>5959</v>
      </c>
      <c r="I16" s="40" t="s">
        <v>49</v>
      </c>
      <c r="J16" s="40">
        <v>3204.67</v>
      </c>
      <c r="K16" s="40">
        <v>3204.67</v>
      </c>
      <c r="L16" s="40"/>
      <c r="M16" s="40">
        <v>3204.67</v>
      </c>
      <c r="N16" s="40" t="s">
        <v>5926</v>
      </c>
      <c r="O16" s="40" t="s">
        <v>234</v>
      </c>
    </row>
    <row r="17" spans="1:15" ht="18" customHeight="1" x14ac:dyDescent="0.2">
      <c r="A17" s="40" t="s">
        <v>5960</v>
      </c>
      <c r="B17" s="40" t="s">
        <v>5961</v>
      </c>
      <c r="C17" s="41">
        <v>46073</v>
      </c>
      <c r="D17" s="41">
        <v>46073</v>
      </c>
      <c r="E17" s="40" t="s">
        <v>12</v>
      </c>
      <c r="F17" s="40" t="s">
        <v>5962</v>
      </c>
      <c r="G17" s="40" t="s">
        <v>5963</v>
      </c>
      <c r="H17" s="40" t="s">
        <v>5964</v>
      </c>
      <c r="I17" s="40" t="s">
        <v>49</v>
      </c>
      <c r="J17" s="40">
        <v>1929.11</v>
      </c>
      <c r="K17" s="40">
        <v>1929.11</v>
      </c>
      <c r="L17" s="40"/>
      <c r="M17" s="40">
        <v>1929.11</v>
      </c>
      <c r="N17" s="40" t="s">
        <v>5926</v>
      </c>
      <c r="O17" s="40" t="s">
        <v>234</v>
      </c>
    </row>
    <row r="18" spans="1:15" ht="18" customHeight="1" x14ac:dyDescent="0.2">
      <c r="A18" s="40" t="s">
        <v>5965</v>
      </c>
      <c r="B18" s="40" t="s">
        <v>5966</v>
      </c>
      <c r="C18" s="41">
        <v>46073</v>
      </c>
      <c r="D18" s="41">
        <v>46073</v>
      </c>
      <c r="E18" s="40" t="s">
        <v>12</v>
      </c>
      <c r="F18" s="40" t="s">
        <v>798</v>
      </c>
      <c r="G18" s="40" t="s">
        <v>5967</v>
      </c>
      <c r="H18" s="40" t="s">
        <v>5968</v>
      </c>
      <c r="I18" s="40" t="s">
        <v>49</v>
      </c>
      <c r="J18" s="40">
        <v>3032.98</v>
      </c>
      <c r="K18" s="40">
        <v>3032.98</v>
      </c>
      <c r="L18" s="40"/>
      <c r="M18" s="40">
        <v>3032.98</v>
      </c>
      <c r="N18" s="40" t="s">
        <v>5926</v>
      </c>
      <c r="O18" s="40" t="s">
        <v>234</v>
      </c>
    </row>
    <row r="19" spans="1:15" ht="18" customHeight="1" x14ac:dyDescent="0.2">
      <c r="A19" s="40" t="s">
        <v>5969</v>
      </c>
      <c r="B19" s="40" t="s">
        <v>5970</v>
      </c>
      <c r="C19" s="41">
        <v>46073</v>
      </c>
      <c r="D19" s="41">
        <v>46073</v>
      </c>
      <c r="E19" s="40" t="s">
        <v>12</v>
      </c>
      <c r="F19" s="40" t="s">
        <v>798</v>
      </c>
      <c r="G19" s="40" t="s">
        <v>5971</v>
      </c>
      <c r="H19" s="40" t="s">
        <v>5972</v>
      </c>
      <c r="I19" s="40" t="s">
        <v>49</v>
      </c>
      <c r="J19" s="40">
        <v>1777.36</v>
      </c>
      <c r="K19" s="40">
        <v>1777.36</v>
      </c>
      <c r="L19" s="40"/>
      <c r="M19" s="40">
        <v>1777.36</v>
      </c>
      <c r="N19" s="40" t="s">
        <v>5926</v>
      </c>
      <c r="O19" s="40" t="s">
        <v>234</v>
      </c>
    </row>
    <row r="20" spans="1:15" ht="18" customHeight="1" x14ac:dyDescent="0.2">
      <c r="A20" s="40" t="s">
        <v>5973</v>
      </c>
      <c r="B20" s="40" t="s">
        <v>5974</v>
      </c>
      <c r="C20" s="41">
        <v>46073</v>
      </c>
      <c r="D20" s="41">
        <v>46073</v>
      </c>
      <c r="E20" s="40" t="s">
        <v>12</v>
      </c>
      <c r="F20" s="40" t="s">
        <v>798</v>
      </c>
      <c r="G20" s="40" t="s">
        <v>5975</v>
      </c>
      <c r="H20" s="40" t="s">
        <v>5976</v>
      </c>
      <c r="I20" s="40" t="s">
        <v>49</v>
      </c>
      <c r="J20" s="40">
        <v>1754.62</v>
      </c>
      <c r="K20" s="40">
        <v>1754.62</v>
      </c>
      <c r="L20" s="40"/>
      <c r="M20" s="40">
        <v>1754.62</v>
      </c>
      <c r="N20" s="40" t="s">
        <v>5926</v>
      </c>
      <c r="O20" s="40" t="s">
        <v>234</v>
      </c>
    </row>
    <row r="21" spans="1:15" ht="18" customHeight="1" x14ac:dyDescent="0.2">
      <c r="A21" s="40" t="s">
        <v>5977</v>
      </c>
      <c r="B21" s="40" t="s">
        <v>5978</v>
      </c>
      <c r="C21" s="41">
        <v>46073</v>
      </c>
      <c r="D21" s="41">
        <v>46073</v>
      </c>
      <c r="E21" s="40" t="s">
        <v>12</v>
      </c>
      <c r="F21" s="40" t="s">
        <v>798</v>
      </c>
      <c r="G21" s="40" t="s">
        <v>5979</v>
      </c>
      <c r="H21" s="40" t="s">
        <v>5980</v>
      </c>
      <c r="I21" s="40" t="s">
        <v>49</v>
      </c>
      <c r="J21" s="40">
        <v>1815.3</v>
      </c>
      <c r="K21" s="40">
        <v>1815.3</v>
      </c>
      <c r="L21" s="40"/>
      <c r="M21" s="40">
        <v>1815.3</v>
      </c>
      <c r="N21" s="40" t="s">
        <v>5926</v>
      </c>
      <c r="O21" s="40" t="s">
        <v>234</v>
      </c>
    </row>
    <row r="22" spans="1:15" ht="18" customHeight="1" x14ac:dyDescent="0.2">
      <c r="A22" s="40" t="s">
        <v>5981</v>
      </c>
      <c r="B22" s="40" t="s">
        <v>5982</v>
      </c>
      <c r="C22" s="41">
        <v>46073</v>
      </c>
      <c r="D22" s="41">
        <v>46073</v>
      </c>
      <c r="E22" s="40" t="s">
        <v>12</v>
      </c>
      <c r="F22" s="40" t="s">
        <v>798</v>
      </c>
      <c r="G22" s="40" t="s">
        <v>5983</v>
      </c>
      <c r="H22" s="40" t="s">
        <v>5984</v>
      </c>
      <c r="I22" s="40" t="s">
        <v>49</v>
      </c>
      <c r="J22" s="40">
        <v>1224.72</v>
      </c>
      <c r="K22" s="40">
        <v>1224.72</v>
      </c>
      <c r="L22" s="40"/>
      <c r="M22" s="40">
        <v>1224.72</v>
      </c>
      <c r="N22" s="40" t="s">
        <v>5926</v>
      </c>
      <c r="O22" s="40" t="s">
        <v>234</v>
      </c>
    </row>
    <row r="23" spans="1:15" ht="18" customHeight="1" x14ac:dyDescent="0.2">
      <c r="A23" s="40" t="s">
        <v>5985</v>
      </c>
      <c r="B23" s="40" t="s">
        <v>5986</v>
      </c>
      <c r="C23" s="41">
        <v>46073</v>
      </c>
      <c r="D23" s="41">
        <v>46073</v>
      </c>
      <c r="E23" s="40" t="s">
        <v>12</v>
      </c>
      <c r="F23" s="40" t="s">
        <v>798</v>
      </c>
      <c r="G23" s="40" t="s">
        <v>5987</v>
      </c>
      <c r="H23" s="40" t="s">
        <v>5988</v>
      </c>
      <c r="I23" s="40" t="s">
        <v>49</v>
      </c>
      <c r="J23" s="40">
        <v>1927.47</v>
      </c>
      <c r="K23" s="40">
        <v>1927.47</v>
      </c>
      <c r="L23" s="40"/>
      <c r="M23" s="40">
        <v>1927.47</v>
      </c>
      <c r="N23" s="40" t="s">
        <v>5926</v>
      </c>
      <c r="O23" s="40" t="s">
        <v>234</v>
      </c>
    </row>
    <row r="24" spans="1:15" ht="18" customHeight="1" x14ac:dyDescent="0.2">
      <c r="A24" s="40" t="s">
        <v>5989</v>
      </c>
      <c r="B24" s="40" t="s">
        <v>5990</v>
      </c>
      <c r="C24" s="41">
        <v>46073</v>
      </c>
      <c r="D24" s="41">
        <v>46073</v>
      </c>
      <c r="E24" s="40" t="s">
        <v>12</v>
      </c>
      <c r="F24" s="40" t="s">
        <v>798</v>
      </c>
      <c r="G24" s="40" t="s">
        <v>5991</v>
      </c>
      <c r="H24" s="40" t="s">
        <v>5992</v>
      </c>
      <c r="I24" s="40" t="s">
        <v>49</v>
      </c>
      <c r="J24" s="40">
        <v>1070.6600000000001</v>
      </c>
      <c r="K24" s="40">
        <v>1070.6600000000001</v>
      </c>
      <c r="L24" s="40"/>
      <c r="M24" s="40">
        <v>1070.6600000000001</v>
      </c>
      <c r="N24" s="40" t="s">
        <v>5926</v>
      </c>
      <c r="O24" s="40" t="s">
        <v>234</v>
      </c>
    </row>
    <row r="25" spans="1:15" ht="18" customHeight="1" x14ac:dyDescent="0.2">
      <c r="A25" s="40" t="s">
        <v>5993</v>
      </c>
      <c r="B25" s="40" t="s">
        <v>5994</v>
      </c>
      <c r="C25" s="41">
        <v>46073</v>
      </c>
      <c r="D25" s="41">
        <v>46073</v>
      </c>
      <c r="E25" s="40" t="s">
        <v>12</v>
      </c>
      <c r="F25" s="40" t="s">
        <v>798</v>
      </c>
      <c r="G25" s="40" t="s">
        <v>5995</v>
      </c>
      <c r="H25" s="40" t="s">
        <v>5996</v>
      </c>
      <c r="I25" s="40" t="s">
        <v>49</v>
      </c>
      <c r="J25" s="40">
        <v>1528.5</v>
      </c>
      <c r="K25" s="40">
        <v>1528.5</v>
      </c>
      <c r="L25" s="40"/>
      <c r="M25" s="40">
        <v>1528.5</v>
      </c>
      <c r="N25" s="40" t="s">
        <v>5926</v>
      </c>
      <c r="O25" s="40" t="s">
        <v>234</v>
      </c>
    </row>
    <row r="26" spans="1:15" ht="18" customHeight="1" x14ac:dyDescent="0.2">
      <c r="A26" s="40" t="s">
        <v>5997</v>
      </c>
      <c r="B26" s="40" t="s">
        <v>5998</v>
      </c>
      <c r="C26" s="41">
        <v>46073</v>
      </c>
      <c r="D26" s="41">
        <v>46073</v>
      </c>
      <c r="E26" s="40" t="s">
        <v>12</v>
      </c>
      <c r="F26" s="40" t="s">
        <v>798</v>
      </c>
      <c r="G26" s="40" t="s">
        <v>5999</v>
      </c>
      <c r="H26" s="40" t="s">
        <v>6000</v>
      </c>
      <c r="I26" s="40" t="s">
        <v>49</v>
      </c>
      <c r="J26" s="40">
        <v>5720.8</v>
      </c>
      <c r="K26" s="40">
        <v>5720.8</v>
      </c>
      <c r="L26" s="40"/>
      <c r="M26" s="40">
        <v>5720.8</v>
      </c>
      <c r="N26" s="40" t="s">
        <v>5926</v>
      </c>
      <c r="O26" s="40" t="s">
        <v>234</v>
      </c>
    </row>
    <row r="27" spans="1:15" ht="18" customHeight="1" x14ac:dyDescent="0.2">
      <c r="A27" s="40" t="s">
        <v>6001</v>
      </c>
      <c r="B27" s="40" t="s">
        <v>6002</v>
      </c>
      <c r="C27" s="41">
        <v>46073</v>
      </c>
      <c r="D27" s="41">
        <v>46073</v>
      </c>
      <c r="E27" s="40" t="s">
        <v>12</v>
      </c>
      <c r="F27" s="40" t="s">
        <v>798</v>
      </c>
      <c r="G27" s="40" t="s">
        <v>6003</v>
      </c>
      <c r="H27" s="40" t="s">
        <v>6004</v>
      </c>
      <c r="I27" s="40" t="s">
        <v>49</v>
      </c>
      <c r="J27" s="40">
        <v>1327.36</v>
      </c>
      <c r="K27" s="40">
        <v>1327.36</v>
      </c>
      <c r="L27" s="40"/>
      <c r="M27" s="40">
        <v>1327.36</v>
      </c>
      <c r="N27" s="40" t="s">
        <v>5926</v>
      </c>
      <c r="O27" s="40" t="s">
        <v>234</v>
      </c>
    </row>
    <row r="28" spans="1:15" ht="18" customHeight="1" x14ac:dyDescent="0.2">
      <c r="A28" s="40" t="s">
        <v>6005</v>
      </c>
      <c r="B28" s="40" t="s">
        <v>6006</v>
      </c>
      <c r="C28" s="41">
        <v>46073</v>
      </c>
      <c r="D28" s="41">
        <v>46073</v>
      </c>
      <c r="E28" s="40" t="s">
        <v>12</v>
      </c>
      <c r="F28" s="40" t="s">
        <v>798</v>
      </c>
      <c r="G28" s="40" t="s">
        <v>6007</v>
      </c>
      <c r="H28" s="40" t="s">
        <v>6008</v>
      </c>
      <c r="I28" s="40" t="s">
        <v>49</v>
      </c>
      <c r="J28" s="40">
        <v>972.92</v>
      </c>
      <c r="K28" s="40">
        <v>972.92</v>
      </c>
      <c r="L28" s="40"/>
      <c r="M28" s="40">
        <v>972.92</v>
      </c>
      <c r="N28" s="40" t="s">
        <v>5926</v>
      </c>
      <c r="O28" s="40" t="s">
        <v>234</v>
      </c>
    </row>
    <row r="29" spans="1:15" ht="18" customHeight="1" x14ac:dyDescent="0.2">
      <c r="A29" s="40" t="s">
        <v>6009</v>
      </c>
      <c r="B29" s="40" t="s">
        <v>6010</v>
      </c>
      <c r="C29" s="41">
        <v>46073</v>
      </c>
      <c r="D29" s="41">
        <v>46073</v>
      </c>
      <c r="E29" s="40" t="s">
        <v>12</v>
      </c>
      <c r="F29" s="40" t="s">
        <v>798</v>
      </c>
      <c r="G29" s="40" t="s">
        <v>6011</v>
      </c>
      <c r="H29" s="40" t="s">
        <v>6012</v>
      </c>
      <c r="I29" s="40" t="s">
        <v>49</v>
      </c>
      <c r="J29" s="40">
        <v>1815.28</v>
      </c>
      <c r="K29" s="40">
        <v>1815.28</v>
      </c>
      <c r="L29" s="40"/>
      <c r="M29" s="40">
        <v>1815.28</v>
      </c>
      <c r="N29" s="40" t="s">
        <v>5926</v>
      </c>
      <c r="O29" s="40" t="s">
        <v>234</v>
      </c>
    </row>
    <row r="30" spans="1:15" ht="18" customHeight="1" x14ac:dyDescent="0.2">
      <c r="A30" s="40" t="s">
        <v>6013</v>
      </c>
      <c r="B30" s="40" t="s">
        <v>6014</v>
      </c>
      <c r="C30" s="41">
        <v>46073</v>
      </c>
      <c r="D30" s="41">
        <v>46073</v>
      </c>
      <c r="E30" s="40" t="s">
        <v>12</v>
      </c>
      <c r="F30" s="40" t="s">
        <v>798</v>
      </c>
      <c r="G30" s="40" t="s">
        <v>5937</v>
      </c>
      <c r="H30" s="40" t="s">
        <v>6015</v>
      </c>
      <c r="I30" s="40" t="s">
        <v>49</v>
      </c>
      <c r="J30" s="40">
        <v>1327.38</v>
      </c>
      <c r="K30" s="40">
        <v>1327.38</v>
      </c>
      <c r="L30" s="40"/>
      <c r="M30" s="40">
        <v>1327.38</v>
      </c>
      <c r="N30" s="40" t="s">
        <v>5926</v>
      </c>
      <c r="O30" s="40" t="s">
        <v>234</v>
      </c>
    </row>
    <row r="31" spans="1:15" ht="18" customHeight="1" x14ac:dyDescent="0.2">
      <c r="A31" s="40" t="s">
        <v>6016</v>
      </c>
      <c r="B31" s="40" t="s">
        <v>6017</v>
      </c>
      <c r="C31" s="41">
        <v>46073</v>
      </c>
      <c r="D31" s="41">
        <v>46073</v>
      </c>
      <c r="E31" s="40" t="s">
        <v>12</v>
      </c>
      <c r="F31" s="40" t="s">
        <v>798</v>
      </c>
      <c r="G31" s="40" t="s">
        <v>6018</v>
      </c>
      <c r="H31" s="40" t="s">
        <v>6019</v>
      </c>
      <c r="I31" s="40" t="s">
        <v>49</v>
      </c>
      <c r="J31" s="40">
        <v>1528.52</v>
      </c>
      <c r="K31" s="40">
        <v>1528.52</v>
      </c>
      <c r="L31" s="40"/>
      <c r="M31" s="40">
        <v>1528.52</v>
      </c>
      <c r="N31" s="40" t="s">
        <v>5926</v>
      </c>
      <c r="O31" s="40" t="s">
        <v>234</v>
      </c>
    </row>
    <row r="32" spans="1:15" ht="18" customHeight="1" x14ac:dyDescent="0.2">
      <c r="A32" s="40" t="s">
        <v>6020</v>
      </c>
      <c r="B32" s="40" t="s">
        <v>6021</v>
      </c>
      <c r="C32" s="41">
        <v>46073</v>
      </c>
      <c r="D32" s="41">
        <v>46073</v>
      </c>
      <c r="E32" s="40" t="s">
        <v>12</v>
      </c>
      <c r="F32" s="40" t="s">
        <v>6022</v>
      </c>
      <c r="G32" s="40" t="s">
        <v>6023</v>
      </c>
      <c r="H32" s="40" t="s">
        <v>6024</v>
      </c>
      <c r="I32" s="40" t="s">
        <v>49</v>
      </c>
      <c r="J32" s="40">
        <v>3204.69</v>
      </c>
      <c r="K32" s="40">
        <v>3204.69</v>
      </c>
      <c r="L32" s="40"/>
      <c r="M32" s="40">
        <v>3204.69</v>
      </c>
      <c r="N32" s="40" t="s">
        <v>5926</v>
      </c>
      <c r="O32" s="40" t="s">
        <v>234</v>
      </c>
    </row>
    <row r="33" spans="1:15" ht="18" customHeight="1" x14ac:dyDescent="0.2">
      <c r="A33" s="40" t="s">
        <v>6025</v>
      </c>
      <c r="B33" s="40" t="s">
        <v>6026</v>
      </c>
      <c r="C33" s="41">
        <v>46073</v>
      </c>
      <c r="D33" s="41">
        <v>46073</v>
      </c>
      <c r="E33" s="40" t="s">
        <v>12</v>
      </c>
      <c r="F33" s="40" t="s">
        <v>798</v>
      </c>
      <c r="G33" s="40" t="s">
        <v>6027</v>
      </c>
      <c r="H33" s="40" t="s">
        <v>6028</v>
      </c>
      <c r="I33" s="40" t="s">
        <v>49</v>
      </c>
      <c r="J33" s="40">
        <v>1441.8</v>
      </c>
      <c r="K33" s="40">
        <v>1441.8</v>
      </c>
      <c r="L33" s="40"/>
      <c r="M33" s="40">
        <v>1441.8</v>
      </c>
      <c r="N33" s="40" t="s">
        <v>5926</v>
      </c>
      <c r="O33" s="40" t="s">
        <v>234</v>
      </c>
    </row>
    <row r="34" spans="1:15" ht="18" customHeight="1" x14ac:dyDescent="0.2">
      <c r="A34" s="40" t="s">
        <v>6029</v>
      </c>
      <c r="B34" s="40" t="s">
        <v>6030</v>
      </c>
      <c r="C34" s="41">
        <v>46073</v>
      </c>
      <c r="D34" s="41">
        <v>46073</v>
      </c>
      <c r="E34" s="40" t="s">
        <v>12</v>
      </c>
      <c r="F34" s="40" t="s">
        <v>798</v>
      </c>
      <c r="G34" s="40" t="s">
        <v>6031</v>
      </c>
      <c r="H34" s="40" t="s">
        <v>6032</v>
      </c>
      <c r="I34" s="40" t="s">
        <v>49</v>
      </c>
      <c r="J34" s="40">
        <v>972.93</v>
      </c>
      <c r="K34" s="40">
        <v>972.93</v>
      </c>
      <c r="L34" s="40"/>
      <c r="M34" s="40">
        <v>972.93</v>
      </c>
      <c r="N34" s="40" t="s">
        <v>5926</v>
      </c>
      <c r="O34" s="40" t="s">
        <v>234</v>
      </c>
    </row>
    <row r="35" spans="1:15" ht="18" customHeight="1" x14ac:dyDescent="0.2">
      <c r="A35" s="40" t="s">
        <v>6033</v>
      </c>
      <c r="B35" s="40" t="s">
        <v>6034</v>
      </c>
      <c r="C35" s="41">
        <v>46073</v>
      </c>
      <c r="D35" s="41">
        <v>46073</v>
      </c>
      <c r="E35" s="40" t="s">
        <v>12</v>
      </c>
      <c r="F35" s="40" t="s">
        <v>798</v>
      </c>
      <c r="G35" s="40" t="s">
        <v>6035</v>
      </c>
      <c r="H35" s="40" t="s">
        <v>6036</v>
      </c>
      <c r="I35" s="40" t="s">
        <v>49</v>
      </c>
      <c r="J35" s="40">
        <v>1185.1199999999999</v>
      </c>
      <c r="K35" s="40">
        <v>1185.1199999999999</v>
      </c>
      <c r="L35" s="40"/>
      <c r="M35" s="40">
        <v>1185.1199999999999</v>
      </c>
      <c r="N35" s="40" t="s">
        <v>5926</v>
      </c>
      <c r="O35" s="40" t="s">
        <v>234</v>
      </c>
    </row>
    <row r="36" spans="1:15" ht="18" customHeight="1" x14ac:dyDescent="0.2">
      <c r="A36" s="40" t="s">
        <v>6037</v>
      </c>
      <c r="B36" s="40" t="s">
        <v>6038</v>
      </c>
      <c r="C36" s="41">
        <v>46073</v>
      </c>
      <c r="D36" s="41">
        <v>46073</v>
      </c>
      <c r="E36" s="40" t="s">
        <v>12</v>
      </c>
      <c r="F36" s="40" t="s">
        <v>798</v>
      </c>
      <c r="G36" s="40" t="s">
        <v>6039</v>
      </c>
      <c r="H36" s="40" t="s">
        <v>6040</v>
      </c>
      <c r="I36" s="40" t="s">
        <v>49</v>
      </c>
      <c r="J36" s="40">
        <v>469.29</v>
      </c>
      <c r="K36" s="40">
        <v>469.29</v>
      </c>
      <c r="L36" s="40"/>
      <c r="M36" s="40">
        <v>469.29</v>
      </c>
      <c r="N36" s="40" t="s">
        <v>5926</v>
      </c>
      <c r="O36" s="40" t="s">
        <v>234</v>
      </c>
    </row>
    <row r="37" spans="1:15" ht="18" customHeight="1" x14ac:dyDescent="0.2">
      <c r="A37" s="40" t="s">
        <v>6041</v>
      </c>
      <c r="B37" s="40" t="s">
        <v>6042</v>
      </c>
      <c r="C37" s="41">
        <v>46073</v>
      </c>
      <c r="D37" s="41">
        <v>46073</v>
      </c>
      <c r="E37" s="40" t="s">
        <v>12</v>
      </c>
      <c r="F37" s="40" t="s">
        <v>798</v>
      </c>
      <c r="G37" s="40" t="s">
        <v>6043</v>
      </c>
      <c r="H37" s="40" t="s">
        <v>6044</v>
      </c>
      <c r="I37" s="40" t="s">
        <v>49</v>
      </c>
      <c r="J37" s="40">
        <v>2806.34</v>
      </c>
      <c r="K37" s="40">
        <v>2806.34</v>
      </c>
      <c r="L37" s="40"/>
      <c r="M37" s="40">
        <v>2806.34</v>
      </c>
      <c r="N37" s="40" t="s">
        <v>5926</v>
      </c>
      <c r="O37" s="40" t="s">
        <v>234</v>
      </c>
    </row>
    <row r="38" spans="1:15" ht="18" customHeight="1" x14ac:dyDescent="0.2">
      <c r="A38" s="40" t="s">
        <v>6045</v>
      </c>
      <c r="B38" s="40" t="s">
        <v>6046</v>
      </c>
      <c r="C38" s="41">
        <v>46073</v>
      </c>
      <c r="D38" s="41">
        <v>46073</v>
      </c>
      <c r="E38" s="40" t="s">
        <v>12</v>
      </c>
      <c r="F38" s="40" t="s">
        <v>798</v>
      </c>
      <c r="G38" s="40" t="s">
        <v>6047</v>
      </c>
      <c r="H38" s="40" t="s">
        <v>6048</v>
      </c>
      <c r="I38" s="40" t="s">
        <v>49</v>
      </c>
      <c r="J38" s="40">
        <v>3032.99</v>
      </c>
      <c r="K38" s="40">
        <v>3032.99</v>
      </c>
      <c r="L38" s="40"/>
      <c r="M38" s="40">
        <v>3032.99</v>
      </c>
      <c r="N38" s="40" t="s">
        <v>5926</v>
      </c>
      <c r="O38" s="40" t="s">
        <v>234</v>
      </c>
    </row>
    <row r="39" spans="1:15" ht="18" customHeight="1" x14ac:dyDescent="0.2">
      <c r="A39" s="40" t="s">
        <v>6049</v>
      </c>
      <c r="B39" s="40" t="s">
        <v>6050</v>
      </c>
      <c r="C39" s="41">
        <v>46073</v>
      </c>
      <c r="D39" s="41">
        <v>46073</v>
      </c>
      <c r="E39" s="40" t="s">
        <v>12</v>
      </c>
      <c r="F39" s="40" t="s">
        <v>798</v>
      </c>
      <c r="G39" s="40" t="s">
        <v>6051</v>
      </c>
      <c r="H39" s="40" t="s">
        <v>6052</v>
      </c>
      <c r="I39" s="40" t="s">
        <v>49</v>
      </c>
      <c r="J39" s="40">
        <v>1156.8399999999999</v>
      </c>
      <c r="K39" s="40">
        <v>1156.8399999999999</v>
      </c>
      <c r="L39" s="40"/>
      <c r="M39" s="40">
        <v>1156.8399999999999</v>
      </c>
      <c r="N39" s="40" t="s">
        <v>5926</v>
      </c>
      <c r="O39" s="40" t="s">
        <v>234</v>
      </c>
    </row>
    <row r="40" spans="1:15" ht="18" customHeight="1" x14ac:dyDescent="0.2">
      <c r="A40" s="40" t="s">
        <v>6053</v>
      </c>
      <c r="B40" s="40" t="s">
        <v>6054</v>
      </c>
      <c r="C40" s="41">
        <v>46073</v>
      </c>
      <c r="D40" s="41">
        <v>46073</v>
      </c>
      <c r="E40" s="40" t="s">
        <v>12</v>
      </c>
      <c r="F40" s="40" t="s">
        <v>798</v>
      </c>
      <c r="G40" s="40" t="s">
        <v>6003</v>
      </c>
      <c r="H40" s="40" t="s">
        <v>6055</v>
      </c>
      <c r="I40" s="40" t="s">
        <v>49</v>
      </c>
      <c r="J40" s="40">
        <v>1327.36</v>
      </c>
      <c r="K40" s="40">
        <v>1327.36</v>
      </c>
      <c r="L40" s="40"/>
      <c r="M40" s="40">
        <v>1327.36</v>
      </c>
      <c r="N40" s="40" t="s">
        <v>5926</v>
      </c>
      <c r="O40" s="40" t="s">
        <v>234</v>
      </c>
    </row>
    <row r="41" spans="1:15" ht="18" customHeight="1" x14ac:dyDescent="0.2">
      <c r="A41" s="40" t="s">
        <v>6056</v>
      </c>
      <c r="B41" s="40" t="s">
        <v>6057</v>
      </c>
      <c r="C41" s="41">
        <v>46073</v>
      </c>
      <c r="D41" s="41">
        <v>46073</v>
      </c>
      <c r="E41" s="40" t="s">
        <v>12</v>
      </c>
      <c r="F41" s="40" t="s">
        <v>6058</v>
      </c>
      <c r="G41" s="40" t="s">
        <v>6059</v>
      </c>
      <c r="H41" s="40" t="s">
        <v>6060</v>
      </c>
      <c r="I41" s="40" t="s">
        <v>49</v>
      </c>
      <c r="J41" s="40">
        <v>1070.6600000000001</v>
      </c>
      <c r="K41" s="40">
        <v>1070.6600000000001</v>
      </c>
      <c r="L41" s="40"/>
      <c r="M41" s="40">
        <v>1070.6600000000001</v>
      </c>
      <c r="N41" s="40" t="s">
        <v>5926</v>
      </c>
      <c r="O41" s="40" t="s">
        <v>234</v>
      </c>
    </row>
    <row r="42" spans="1:15" ht="18" customHeight="1" x14ac:dyDescent="0.2">
      <c r="A42" s="40" t="s">
        <v>6061</v>
      </c>
      <c r="B42" s="40" t="s">
        <v>6061</v>
      </c>
      <c r="C42" s="41">
        <v>46073</v>
      </c>
      <c r="D42" s="40"/>
      <c r="E42" s="40" t="s">
        <v>12</v>
      </c>
      <c r="F42" s="40" t="s">
        <v>295</v>
      </c>
      <c r="G42" s="40" t="s">
        <v>5917</v>
      </c>
      <c r="H42" s="40"/>
      <c r="I42" s="40" t="s">
        <v>49</v>
      </c>
      <c r="J42" s="40">
        <v>-3027.57</v>
      </c>
      <c r="K42" s="40"/>
      <c r="L42" s="40">
        <v>3027.57</v>
      </c>
      <c r="M42" s="40">
        <v>-3027.57</v>
      </c>
      <c r="N42" s="40"/>
      <c r="O42" s="40" t="s">
        <v>234</v>
      </c>
    </row>
    <row r="43" spans="1:15" ht="18" customHeight="1" x14ac:dyDescent="0.2">
      <c r="A43" s="40" t="s">
        <v>6062</v>
      </c>
      <c r="B43" s="40" t="s">
        <v>6062</v>
      </c>
      <c r="C43" s="41">
        <v>46072</v>
      </c>
      <c r="D43" s="40"/>
      <c r="E43" s="40" t="s">
        <v>12</v>
      </c>
      <c r="F43" s="40" t="s">
        <v>295</v>
      </c>
      <c r="G43" s="40" t="s">
        <v>5917</v>
      </c>
      <c r="H43" s="40"/>
      <c r="I43" s="40" t="s">
        <v>49</v>
      </c>
      <c r="J43" s="40">
        <v>-3718.6</v>
      </c>
      <c r="K43" s="40"/>
      <c r="L43" s="40">
        <v>3718.6</v>
      </c>
      <c r="M43" s="40">
        <v>-3718.6</v>
      </c>
      <c r="N43" s="40"/>
      <c r="O43" s="40" t="s">
        <v>234</v>
      </c>
    </row>
    <row r="44" spans="1:15" ht="18" customHeight="1" x14ac:dyDescent="0.2">
      <c r="A44" s="40" t="s">
        <v>6063</v>
      </c>
      <c r="B44" s="40" t="s">
        <v>6063</v>
      </c>
      <c r="C44" s="41">
        <v>46072</v>
      </c>
      <c r="D44" s="40"/>
      <c r="E44" s="40" t="s">
        <v>12</v>
      </c>
      <c r="F44" s="40" t="s">
        <v>295</v>
      </c>
      <c r="G44" s="40" t="s">
        <v>5917</v>
      </c>
      <c r="H44" s="40"/>
      <c r="I44" s="40" t="s">
        <v>49</v>
      </c>
      <c r="J44" s="40">
        <v>-857.31</v>
      </c>
      <c r="K44" s="40"/>
      <c r="L44" s="40">
        <v>857.31</v>
      </c>
      <c r="M44" s="40">
        <v>-857.31</v>
      </c>
      <c r="N44" s="40"/>
      <c r="O44" s="40" t="s">
        <v>234</v>
      </c>
    </row>
    <row r="45" spans="1:15" ht="18" customHeight="1" x14ac:dyDescent="0.2">
      <c r="A45" s="40" t="s">
        <v>6064</v>
      </c>
      <c r="B45" s="40" t="s">
        <v>6064</v>
      </c>
      <c r="C45" s="41">
        <v>46068</v>
      </c>
      <c r="D45" s="40"/>
      <c r="E45" s="40" t="s">
        <v>12</v>
      </c>
      <c r="F45" s="40" t="s">
        <v>295</v>
      </c>
      <c r="G45" s="40" t="s">
        <v>5917</v>
      </c>
      <c r="H45" s="40"/>
      <c r="I45" s="40" t="s">
        <v>49</v>
      </c>
      <c r="J45" s="40">
        <v>-2398.02</v>
      </c>
      <c r="K45" s="40"/>
      <c r="L45" s="40">
        <v>2398.02</v>
      </c>
      <c r="M45" s="40">
        <v>-2398.02</v>
      </c>
      <c r="N45" s="40" t="s">
        <v>5926</v>
      </c>
      <c r="O45" s="40" t="s">
        <v>234</v>
      </c>
    </row>
    <row r="46" spans="1:15" ht="18" customHeight="1" x14ac:dyDescent="0.2">
      <c r="A46" s="40" t="s">
        <v>6065</v>
      </c>
      <c r="B46" s="40" t="s">
        <v>6065</v>
      </c>
      <c r="C46" s="41">
        <v>46067</v>
      </c>
      <c r="D46" s="40"/>
      <c r="E46" s="40" t="s">
        <v>12</v>
      </c>
      <c r="F46" s="40" t="s">
        <v>295</v>
      </c>
      <c r="G46" s="40" t="s">
        <v>5917</v>
      </c>
      <c r="H46" s="40"/>
      <c r="I46" s="40" t="s">
        <v>49</v>
      </c>
      <c r="J46" s="40">
        <v>-972.92</v>
      </c>
      <c r="K46" s="40"/>
      <c r="L46" s="40">
        <v>972.92</v>
      </c>
      <c r="M46" s="40">
        <v>-972.92</v>
      </c>
      <c r="N46" s="40" t="s">
        <v>5926</v>
      </c>
      <c r="O46" s="40" t="s">
        <v>234</v>
      </c>
    </row>
    <row r="47" spans="1:15" ht="18" customHeight="1" x14ac:dyDescent="0.2">
      <c r="A47" s="40" t="s">
        <v>6066</v>
      </c>
      <c r="B47" s="40" t="s">
        <v>6066</v>
      </c>
      <c r="C47" s="41">
        <v>46066</v>
      </c>
      <c r="D47" s="40"/>
      <c r="E47" s="40" t="s">
        <v>12</v>
      </c>
      <c r="F47" s="40" t="s">
        <v>295</v>
      </c>
      <c r="G47" s="40" t="s">
        <v>5917</v>
      </c>
      <c r="H47" s="40"/>
      <c r="I47" s="40" t="s">
        <v>49</v>
      </c>
      <c r="J47" s="40">
        <v>-355.64</v>
      </c>
      <c r="K47" s="40"/>
      <c r="L47" s="40">
        <v>355.64</v>
      </c>
      <c r="M47" s="40">
        <v>-355.64</v>
      </c>
      <c r="N47" s="40" t="s">
        <v>5926</v>
      </c>
      <c r="O47" s="40" t="s">
        <v>234</v>
      </c>
    </row>
    <row r="48" spans="1:15" ht="18" customHeight="1" x14ac:dyDescent="0.2">
      <c r="A48" s="40" t="s">
        <v>6067</v>
      </c>
      <c r="B48" s="40" t="s">
        <v>6067</v>
      </c>
      <c r="C48" s="41">
        <v>46065</v>
      </c>
      <c r="D48" s="40"/>
      <c r="E48" s="40" t="s">
        <v>12</v>
      </c>
      <c r="F48" s="40" t="s">
        <v>295</v>
      </c>
      <c r="G48" s="40" t="s">
        <v>5917</v>
      </c>
      <c r="H48" s="40"/>
      <c r="I48" s="40" t="s">
        <v>49</v>
      </c>
      <c r="J48" s="40">
        <v>-4176.43</v>
      </c>
      <c r="K48" s="40"/>
      <c r="L48" s="40">
        <v>4176.43</v>
      </c>
      <c r="M48" s="40">
        <v>-4176.43</v>
      </c>
      <c r="N48" s="40" t="s">
        <v>5926</v>
      </c>
      <c r="O48" s="40" t="s">
        <v>234</v>
      </c>
    </row>
    <row r="49" spans="1:15" ht="18" customHeight="1" x14ac:dyDescent="0.2">
      <c r="A49" s="40" t="s">
        <v>6068</v>
      </c>
      <c r="B49" s="40" t="s">
        <v>6068</v>
      </c>
      <c r="C49" s="41">
        <v>46063</v>
      </c>
      <c r="D49" s="40"/>
      <c r="E49" s="40" t="s">
        <v>12</v>
      </c>
      <c r="F49" s="40" t="s">
        <v>295</v>
      </c>
      <c r="G49" s="40" t="s">
        <v>5917</v>
      </c>
      <c r="H49" s="40"/>
      <c r="I49" s="40" t="s">
        <v>49</v>
      </c>
      <c r="J49" s="40">
        <v>-1815.28</v>
      </c>
      <c r="K49" s="40"/>
      <c r="L49" s="40">
        <v>1815.28</v>
      </c>
      <c r="M49" s="40">
        <v>-1815.28</v>
      </c>
      <c r="N49" s="40" t="s">
        <v>5926</v>
      </c>
      <c r="O49" s="40" t="s">
        <v>234</v>
      </c>
    </row>
    <row r="50" spans="1:15" ht="18" customHeight="1" x14ac:dyDescent="0.2">
      <c r="A50" s="40" t="s">
        <v>6069</v>
      </c>
      <c r="B50" s="40" t="s">
        <v>6069</v>
      </c>
      <c r="C50" s="41">
        <v>46062</v>
      </c>
      <c r="D50" s="40"/>
      <c r="E50" s="40" t="s">
        <v>12</v>
      </c>
      <c r="F50" s="40" t="s">
        <v>295</v>
      </c>
      <c r="G50" s="40" t="s">
        <v>5917</v>
      </c>
      <c r="H50" s="40"/>
      <c r="I50" s="40" t="s">
        <v>49</v>
      </c>
      <c r="J50" s="40">
        <v>-2501.4499999999998</v>
      </c>
      <c r="K50" s="40"/>
      <c r="L50" s="40">
        <v>2501.4499999999998</v>
      </c>
      <c r="M50" s="40">
        <v>-2501.4499999999998</v>
      </c>
      <c r="N50" s="40" t="s">
        <v>5926</v>
      </c>
      <c r="O50" s="40" t="s">
        <v>234</v>
      </c>
    </row>
    <row r="51" spans="1:15" ht="18" customHeight="1" x14ac:dyDescent="0.2">
      <c r="A51" s="40" t="s">
        <v>6070</v>
      </c>
      <c r="B51" s="40" t="s">
        <v>6070</v>
      </c>
      <c r="C51" s="41">
        <v>46062</v>
      </c>
      <c r="D51" s="40"/>
      <c r="E51" s="40" t="s">
        <v>12</v>
      </c>
      <c r="F51" s="40" t="s">
        <v>295</v>
      </c>
      <c r="G51" s="40" t="s">
        <v>5917</v>
      </c>
      <c r="H51" s="40"/>
      <c r="I51" s="40" t="s">
        <v>49</v>
      </c>
      <c r="J51" s="40">
        <v>-1441.8</v>
      </c>
      <c r="K51" s="40"/>
      <c r="L51" s="40">
        <v>1441.8</v>
      </c>
      <c r="M51" s="40">
        <v>-1441.8</v>
      </c>
      <c r="N51" s="40" t="s">
        <v>5926</v>
      </c>
      <c r="O51" s="40" t="s">
        <v>234</v>
      </c>
    </row>
    <row r="52" spans="1:15" ht="18" customHeight="1" x14ac:dyDescent="0.2">
      <c r="A52" s="40" t="s">
        <v>6071</v>
      </c>
      <c r="B52" s="40" t="s">
        <v>6071</v>
      </c>
      <c r="C52" s="41">
        <v>46059</v>
      </c>
      <c r="D52" s="40"/>
      <c r="E52" s="40" t="s">
        <v>12</v>
      </c>
      <c r="F52" s="40" t="s">
        <v>295</v>
      </c>
      <c r="G52" s="40" t="s">
        <v>5917</v>
      </c>
      <c r="H52" s="40"/>
      <c r="I52" s="40" t="s">
        <v>49</v>
      </c>
      <c r="J52" s="40">
        <v>-4532.05</v>
      </c>
      <c r="K52" s="40"/>
      <c r="L52" s="40">
        <v>4532.05</v>
      </c>
      <c r="M52" s="40">
        <v>-4532.05</v>
      </c>
      <c r="N52" s="40" t="s">
        <v>5926</v>
      </c>
      <c r="O52" s="40" t="s">
        <v>234</v>
      </c>
    </row>
    <row r="53" spans="1:15" ht="18" customHeight="1" x14ac:dyDescent="0.2">
      <c r="A53" s="40" t="s">
        <v>6072</v>
      </c>
      <c r="B53" s="40" t="s">
        <v>6072</v>
      </c>
      <c r="C53" s="41">
        <v>46057</v>
      </c>
      <c r="D53" s="40"/>
      <c r="E53" s="40" t="s">
        <v>12</v>
      </c>
      <c r="F53" s="40" t="s">
        <v>295</v>
      </c>
      <c r="G53" s="40" t="s">
        <v>5917</v>
      </c>
      <c r="H53" s="40"/>
      <c r="I53" s="40" t="s">
        <v>49</v>
      </c>
      <c r="J53" s="40">
        <v>-469.29</v>
      </c>
      <c r="K53" s="40"/>
      <c r="L53" s="40">
        <v>469.29</v>
      </c>
      <c r="M53" s="40">
        <v>-469.29</v>
      </c>
      <c r="N53" s="40" t="s">
        <v>5926</v>
      </c>
      <c r="O53" s="40" t="s">
        <v>234</v>
      </c>
    </row>
    <row r="54" spans="1:15" ht="18" customHeight="1" x14ac:dyDescent="0.2">
      <c r="A54" s="40" t="s">
        <v>6073</v>
      </c>
      <c r="B54" s="40" t="s">
        <v>6073</v>
      </c>
      <c r="C54" s="41">
        <v>46056</v>
      </c>
      <c r="D54" s="40"/>
      <c r="E54" s="40" t="s">
        <v>12</v>
      </c>
      <c r="F54" s="40" t="s">
        <v>295</v>
      </c>
      <c r="G54" s="40" t="s">
        <v>5917</v>
      </c>
      <c r="H54" s="40"/>
      <c r="I54" s="40" t="s">
        <v>49</v>
      </c>
      <c r="J54" s="40">
        <v>-1815.3</v>
      </c>
      <c r="K54" s="40"/>
      <c r="L54" s="40">
        <v>1815.3</v>
      </c>
      <c r="M54" s="40">
        <v>-1815.3</v>
      </c>
      <c r="N54" s="40" t="s">
        <v>5926</v>
      </c>
      <c r="O54" s="40" t="s">
        <v>234</v>
      </c>
    </row>
    <row r="55" spans="1:15" ht="18" customHeight="1" x14ac:dyDescent="0.2">
      <c r="A55" s="40" t="s">
        <v>6074</v>
      </c>
      <c r="B55" s="40" t="s">
        <v>6074</v>
      </c>
      <c r="C55" s="41">
        <v>46054</v>
      </c>
      <c r="D55" s="40"/>
      <c r="E55" s="40" t="s">
        <v>12</v>
      </c>
      <c r="F55" s="40" t="s">
        <v>295</v>
      </c>
      <c r="G55" s="40" t="s">
        <v>5917</v>
      </c>
      <c r="H55" s="40"/>
      <c r="I55" s="40" t="s">
        <v>49</v>
      </c>
      <c r="J55" s="40">
        <v>-2512.48</v>
      </c>
      <c r="K55" s="40"/>
      <c r="L55" s="40">
        <v>2512.48</v>
      </c>
      <c r="M55" s="40">
        <v>-2512.48</v>
      </c>
      <c r="N55" s="40" t="s">
        <v>5926</v>
      </c>
      <c r="O55" s="40" t="s">
        <v>234</v>
      </c>
    </row>
    <row r="56" spans="1:15" ht="18" customHeight="1" x14ac:dyDescent="0.2">
      <c r="A56" s="40" t="s">
        <v>6075</v>
      </c>
      <c r="B56" s="40" t="s">
        <v>6075</v>
      </c>
      <c r="C56" s="41">
        <v>46053</v>
      </c>
      <c r="D56" s="40"/>
      <c r="E56" s="40" t="s">
        <v>12</v>
      </c>
      <c r="F56" s="40" t="s">
        <v>295</v>
      </c>
      <c r="G56" s="40" t="s">
        <v>6076</v>
      </c>
      <c r="H56" s="40"/>
      <c r="I56" s="40" t="s">
        <v>49</v>
      </c>
      <c r="J56" s="40">
        <v>-2806.34</v>
      </c>
      <c r="K56" s="40"/>
      <c r="L56" s="40">
        <v>2806.34</v>
      </c>
      <c r="M56" s="40">
        <v>-2806.34</v>
      </c>
      <c r="N56" s="40" t="s">
        <v>5926</v>
      </c>
      <c r="O56" s="40" t="s">
        <v>234</v>
      </c>
    </row>
    <row r="57" spans="1:15" ht="18" customHeight="1" x14ac:dyDescent="0.2">
      <c r="A57" s="40" t="s">
        <v>6077</v>
      </c>
      <c r="B57" s="40" t="s">
        <v>6077</v>
      </c>
      <c r="C57" s="41">
        <v>46052</v>
      </c>
      <c r="D57" s="40"/>
      <c r="E57" s="40" t="s">
        <v>12</v>
      </c>
      <c r="F57" s="40" t="s">
        <v>295</v>
      </c>
      <c r="G57" s="40" t="s">
        <v>5917</v>
      </c>
      <c r="H57" s="40"/>
      <c r="I57" s="40" t="s">
        <v>49</v>
      </c>
      <c r="J57" s="40">
        <v>-1156.8399999999999</v>
      </c>
      <c r="K57" s="40"/>
      <c r="L57" s="40">
        <v>1156.8399999999999</v>
      </c>
      <c r="M57" s="40">
        <v>-1156.8399999999999</v>
      </c>
      <c r="N57" s="40" t="s">
        <v>5926</v>
      </c>
      <c r="O57" s="40" t="s">
        <v>234</v>
      </c>
    </row>
    <row r="58" spans="1:15" ht="18" customHeight="1" x14ac:dyDescent="0.2">
      <c r="A58" s="40" t="s">
        <v>6078</v>
      </c>
      <c r="B58" s="40" t="s">
        <v>6078</v>
      </c>
      <c r="C58" s="41">
        <v>46049</v>
      </c>
      <c r="D58" s="40"/>
      <c r="E58" s="40" t="s">
        <v>12</v>
      </c>
      <c r="F58" s="40" t="s">
        <v>295</v>
      </c>
      <c r="G58" s="40" t="s">
        <v>5917</v>
      </c>
      <c r="H58" s="40"/>
      <c r="I58" s="40" t="s">
        <v>49</v>
      </c>
      <c r="J58" s="40">
        <v>-3032.99</v>
      </c>
      <c r="K58" s="40"/>
      <c r="L58" s="40">
        <v>3032.99</v>
      </c>
      <c r="M58" s="40">
        <v>-3032.99</v>
      </c>
      <c r="N58" s="40" t="s">
        <v>5926</v>
      </c>
      <c r="O58" s="40" t="s">
        <v>234</v>
      </c>
    </row>
    <row r="59" spans="1:15" ht="18" customHeight="1" x14ac:dyDescent="0.2">
      <c r="A59" s="40" t="s">
        <v>6079</v>
      </c>
      <c r="B59" s="40" t="s">
        <v>6079</v>
      </c>
      <c r="C59" s="41">
        <v>46046</v>
      </c>
      <c r="D59" s="40"/>
      <c r="E59" s="40" t="s">
        <v>12</v>
      </c>
      <c r="F59" s="40" t="s">
        <v>295</v>
      </c>
      <c r="G59" s="40" t="s">
        <v>5917</v>
      </c>
      <c r="H59" s="40"/>
      <c r="I59" s="40" t="s">
        <v>49</v>
      </c>
      <c r="J59" s="40">
        <v>-3455.97</v>
      </c>
      <c r="K59" s="40"/>
      <c r="L59" s="40">
        <v>3455.97</v>
      </c>
      <c r="M59" s="40">
        <v>-3455.97</v>
      </c>
      <c r="N59" s="40" t="s">
        <v>5926</v>
      </c>
      <c r="O59" s="40" t="s">
        <v>234</v>
      </c>
    </row>
    <row r="60" spans="1:15" ht="18" customHeight="1" x14ac:dyDescent="0.2">
      <c r="A60" s="40" t="s">
        <v>6080</v>
      </c>
      <c r="B60" s="40" t="s">
        <v>6080</v>
      </c>
      <c r="C60" s="41">
        <v>46044</v>
      </c>
      <c r="D60" s="40"/>
      <c r="E60" s="40" t="s">
        <v>12</v>
      </c>
      <c r="F60" s="40" t="s">
        <v>295</v>
      </c>
      <c r="G60" s="40" t="s">
        <v>5917</v>
      </c>
      <c r="H60" s="40"/>
      <c r="I60" s="40" t="s">
        <v>49</v>
      </c>
      <c r="J60" s="40">
        <v>-1224.72</v>
      </c>
      <c r="K60" s="40"/>
      <c r="L60" s="40">
        <v>1224.72</v>
      </c>
      <c r="M60" s="40">
        <v>-1224.72</v>
      </c>
      <c r="N60" s="40" t="s">
        <v>5926</v>
      </c>
      <c r="O60" s="40" t="s">
        <v>234</v>
      </c>
    </row>
    <row r="61" spans="1:15" ht="18" customHeight="1" x14ac:dyDescent="0.2">
      <c r="A61" s="40" t="s">
        <v>6081</v>
      </c>
      <c r="B61" s="40" t="s">
        <v>6081</v>
      </c>
      <c r="C61" s="41">
        <v>46041</v>
      </c>
      <c r="D61" s="40"/>
      <c r="E61" s="40" t="s">
        <v>12</v>
      </c>
      <c r="F61" s="40" t="s">
        <v>295</v>
      </c>
      <c r="G61" s="40" t="s">
        <v>5917</v>
      </c>
      <c r="H61" s="40"/>
      <c r="I61" s="40" t="s">
        <v>49</v>
      </c>
      <c r="J61" s="40">
        <v>-5720.8</v>
      </c>
      <c r="K61" s="40"/>
      <c r="L61" s="40">
        <v>5720.8</v>
      </c>
      <c r="M61" s="40">
        <v>-5720.8</v>
      </c>
      <c r="N61" s="40" t="s">
        <v>5926</v>
      </c>
      <c r="O61" s="40" t="s">
        <v>234</v>
      </c>
    </row>
    <row r="62" spans="1:15" ht="18" customHeight="1" x14ac:dyDescent="0.2">
      <c r="A62" s="40" t="s">
        <v>6082</v>
      </c>
      <c r="B62" s="40" t="s">
        <v>6082</v>
      </c>
      <c r="C62" s="41">
        <v>46040</v>
      </c>
      <c r="D62" s="40"/>
      <c r="E62" s="40" t="s">
        <v>12</v>
      </c>
      <c r="F62" s="40" t="s">
        <v>295</v>
      </c>
      <c r="G62" s="40" t="s">
        <v>6076</v>
      </c>
      <c r="H62" s="40"/>
      <c r="I62" s="40" t="s">
        <v>49</v>
      </c>
      <c r="J62" s="40">
        <v>-2398.0100000000002</v>
      </c>
      <c r="K62" s="40"/>
      <c r="L62" s="40">
        <v>2398.0100000000002</v>
      </c>
      <c r="M62" s="40">
        <v>-2398.0100000000002</v>
      </c>
      <c r="N62" s="40" t="s">
        <v>5926</v>
      </c>
      <c r="O62" s="40" t="s">
        <v>234</v>
      </c>
    </row>
    <row r="63" spans="1:15" ht="18" customHeight="1" x14ac:dyDescent="0.2">
      <c r="A63" s="40" t="s">
        <v>6083</v>
      </c>
      <c r="B63" s="40" t="s">
        <v>6083</v>
      </c>
      <c r="C63" s="41">
        <v>46039</v>
      </c>
      <c r="D63" s="40"/>
      <c r="E63" s="40" t="s">
        <v>12</v>
      </c>
      <c r="F63" s="40" t="s">
        <v>295</v>
      </c>
      <c r="G63" s="40" t="s">
        <v>6076</v>
      </c>
      <c r="H63" s="40"/>
      <c r="I63" s="40" t="s">
        <v>49</v>
      </c>
      <c r="J63" s="40">
        <v>-1889.53</v>
      </c>
      <c r="K63" s="40"/>
      <c r="L63" s="40">
        <v>1889.53</v>
      </c>
      <c r="M63" s="40">
        <v>-1889.53</v>
      </c>
      <c r="N63" s="40" t="s">
        <v>5926</v>
      </c>
      <c r="O63" s="40" t="s">
        <v>234</v>
      </c>
    </row>
    <row r="64" spans="1:15" ht="18" customHeight="1" x14ac:dyDescent="0.2">
      <c r="A64" s="40" t="s">
        <v>6084</v>
      </c>
      <c r="B64" s="40" t="s">
        <v>6084</v>
      </c>
      <c r="C64" s="41">
        <v>46035</v>
      </c>
      <c r="D64" s="40"/>
      <c r="E64" s="40" t="s">
        <v>12</v>
      </c>
      <c r="F64" s="40" t="s">
        <v>295</v>
      </c>
      <c r="G64" s="40" t="s">
        <v>6076</v>
      </c>
      <c r="H64" s="40"/>
      <c r="I64" s="40" t="s">
        <v>49</v>
      </c>
      <c r="J64" s="40">
        <v>-1815.29</v>
      </c>
      <c r="K64" s="40"/>
      <c r="L64" s="40">
        <v>1815.29</v>
      </c>
      <c r="M64" s="40">
        <v>-1815.29</v>
      </c>
      <c r="N64" s="40" t="s">
        <v>5926</v>
      </c>
      <c r="O64" s="40" t="s">
        <v>234</v>
      </c>
    </row>
    <row r="65" spans="1:15" ht="18" customHeight="1" x14ac:dyDescent="0.2">
      <c r="A65" s="40" t="s">
        <v>6085</v>
      </c>
      <c r="B65" s="40" t="s">
        <v>6085</v>
      </c>
      <c r="C65" s="41">
        <v>46033</v>
      </c>
      <c r="D65" s="40"/>
      <c r="E65" s="40" t="s">
        <v>12</v>
      </c>
      <c r="F65" s="40" t="s">
        <v>295</v>
      </c>
      <c r="G65" s="40" t="s">
        <v>6076</v>
      </c>
      <c r="H65" s="40"/>
      <c r="I65" s="40" t="s">
        <v>49</v>
      </c>
      <c r="J65" s="40">
        <v>-1327.38</v>
      </c>
      <c r="K65" s="40"/>
      <c r="L65" s="40">
        <v>1327.38</v>
      </c>
      <c r="M65" s="40">
        <v>-1327.38</v>
      </c>
      <c r="N65" s="40" t="s">
        <v>5926</v>
      </c>
      <c r="O65" s="40" t="s">
        <v>234</v>
      </c>
    </row>
    <row r="66" spans="1:15" ht="18" customHeight="1" x14ac:dyDescent="0.2">
      <c r="A66" s="40" t="s">
        <v>6086</v>
      </c>
      <c r="B66" s="40" t="s">
        <v>6086</v>
      </c>
      <c r="C66" s="41">
        <v>46032</v>
      </c>
      <c r="D66" s="40"/>
      <c r="E66" s="40" t="s">
        <v>12</v>
      </c>
      <c r="F66" s="40" t="s">
        <v>295</v>
      </c>
      <c r="G66" s="40" t="s">
        <v>6076</v>
      </c>
      <c r="H66" s="40"/>
      <c r="I66" s="40" t="s">
        <v>49</v>
      </c>
      <c r="J66" s="40">
        <v>-4679.38</v>
      </c>
      <c r="K66" s="40"/>
      <c r="L66" s="40">
        <v>4679.38</v>
      </c>
      <c r="M66" s="40">
        <v>-4679.38</v>
      </c>
      <c r="N66" s="40" t="s">
        <v>5926</v>
      </c>
      <c r="O66" s="40" t="s">
        <v>234</v>
      </c>
    </row>
    <row r="67" spans="1:15" ht="18" customHeight="1" x14ac:dyDescent="0.2">
      <c r="A67" s="40" t="s">
        <v>6087</v>
      </c>
      <c r="B67" s="40" t="s">
        <v>6087</v>
      </c>
      <c r="C67" s="41">
        <v>46030</v>
      </c>
      <c r="D67" s="40"/>
      <c r="E67" s="40" t="s">
        <v>12</v>
      </c>
      <c r="F67" s="40" t="s">
        <v>295</v>
      </c>
      <c r="G67" s="40" t="s">
        <v>6076</v>
      </c>
      <c r="H67" s="40"/>
      <c r="I67" s="40" t="s">
        <v>49</v>
      </c>
      <c r="J67" s="40">
        <v>-1754.62</v>
      </c>
      <c r="K67" s="40"/>
      <c r="L67" s="40">
        <v>1754.62</v>
      </c>
      <c r="M67" s="40">
        <v>-1754.62</v>
      </c>
      <c r="N67" s="40" t="s">
        <v>5926</v>
      </c>
      <c r="O67" s="40" t="s">
        <v>234</v>
      </c>
    </row>
    <row r="68" spans="1:15" ht="18" customHeight="1" x14ac:dyDescent="0.2">
      <c r="A68" s="40" t="s">
        <v>6088</v>
      </c>
      <c r="B68" s="40" t="s">
        <v>6088</v>
      </c>
      <c r="C68" s="41">
        <v>46027</v>
      </c>
      <c r="D68" s="40"/>
      <c r="E68" s="40" t="s">
        <v>12</v>
      </c>
      <c r="F68" s="40" t="s">
        <v>295</v>
      </c>
      <c r="G68" s="40" t="s">
        <v>6076</v>
      </c>
      <c r="H68" s="40"/>
      <c r="I68" s="40" t="s">
        <v>49</v>
      </c>
      <c r="J68" s="40">
        <v>-3032.98</v>
      </c>
      <c r="K68" s="40"/>
      <c r="L68" s="40">
        <v>3032.98</v>
      </c>
      <c r="M68" s="40">
        <v>-3032.98</v>
      </c>
      <c r="N68" s="40" t="s">
        <v>5926</v>
      </c>
      <c r="O68" s="40" t="s">
        <v>234</v>
      </c>
    </row>
    <row r="69" spans="1:15" ht="18" customHeight="1" x14ac:dyDescent="0.2">
      <c r="A69" s="40" t="s">
        <v>6089</v>
      </c>
      <c r="B69" s="40" t="s">
        <v>6089</v>
      </c>
      <c r="C69" s="41">
        <v>46023</v>
      </c>
      <c r="D69" s="40"/>
      <c r="E69" s="40" t="s">
        <v>12</v>
      </c>
      <c r="F69" s="40" t="s">
        <v>295</v>
      </c>
      <c r="G69" s="40" t="s">
        <v>6076</v>
      </c>
      <c r="H69" s="40"/>
      <c r="I69" s="40" t="s">
        <v>49</v>
      </c>
      <c r="J69" s="40">
        <v>-5325.62</v>
      </c>
      <c r="K69" s="40"/>
      <c r="L69" s="40">
        <v>5325.62</v>
      </c>
      <c r="M69" s="40">
        <v>-5325.62</v>
      </c>
      <c r="N69" s="40" t="s">
        <v>5926</v>
      </c>
      <c r="O69" s="40" t="s">
        <v>234</v>
      </c>
    </row>
    <row r="70" spans="1:15" ht="18" customHeight="1" x14ac:dyDescent="0.2">
      <c r="A70" s="40" t="s">
        <v>6090</v>
      </c>
      <c r="B70" s="40" t="s">
        <v>6090</v>
      </c>
      <c r="C70" s="41">
        <v>46022</v>
      </c>
      <c r="D70" s="40"/>
      <c r="E70" s="40" t="s">
        <v>12</v>
      </c>
      <c r="F70" s="40" t="s">
        <v>295</v>
      </c>
      <c r="G70" s="40" t="s">
        <v>6076</v>
      </c>
      <c r="H70" s="40"/>
      <c r="I70" s="40" t="s">
        <v>49</v>
      </c>
      <c r="J70" s="40">
        <v>-3268.29</v>
      </c>
      <c r="K70" s="40"/>
      <c r="L70" s="40">
        <v>3268.29</v>
      </c>
      <c r="M70" s="40">
        <v>-3268.29</v>
      </c>
      <c r="N70" s="40" t="s">
        <v>5926</v>
      </c>
      <c r="O70" s="40" t="s">
        <v>234</v>
      </c>
    </row>
    <row r="71" spans="1:15" ht="18" customHeight="1" x14ac:dyDescent="0.2">
      <c r="A71" s="40" t="s">
        <v>6091</v>
      </c>
      <c r="B71" s="40" t="s">
        <v>6091</v>
      </c>
      <c r="C71" s="41">
        <v>46020</v>
      </c>
      <c r="D71" s="40"/>
      <c r="E71" s="40" t="s">
        <v>12</v>
      </c>
      <c r="F71" s="40" t="s">
        <v>295</v>
      </c>
      <c r="G71" s="40" t="s">
        <v>6076</v>
      </c>
      <c r="H71" s="40"/>
      <c r="I71" s="40" t="s">
        <v>49</v>
      </c>
      <c r="J71" s="40">
        <v>-4238.25</v>
      </c>
      <c r="K71" s="40"/>
      <c r="L71" s="40">
        <v>4238.25</v>
      </c>
      <c r="M71" s="40">
        <v>-4238.25</v>
      </c>
      <c r="N71" s="40"/>
      <c r="O71" s="40" t="s">
        <v>234</v>
      </c>
    </row>
    <row r="72" spans="1:15" ht="18" customHeight="1" x14ac:dyDescent="0.2">
      <c r="A72" s="40" t="s">
        <v>6092</v>
      </c>
      <c r="B72" s="40" t="s">
        <v>6092</v>
      </c>
      <c r="C72" s="41">
        <v>46018</v>
      </c>
      <c r="D72" s="40"/>
      <c r="E72" s="40" t="s">
        <v>12</v>
      </c>
      <c r="F72" s="40" t="s">
        <v>295</v>
      </c>
      <c r="G72" s="40" t="s">
        <v>6076</v>
      </c>
      <c r="H72" s="40"/>
      <c r="I72" s="40" t="s">
        <v>49</v>
      </c>
      <c r="J72" s="40">
        <v>-1271.29</v>
      </c>
      <c r="K72" s="40"/>
      <c r="L72" s="40">
        <v>1271.29</v>
      </c>
      <c r="M72" s="40">
        <v>-1271.29</v>
      </c>
      <c r="N72" s="40"/>
      <c r="O72" s="40" t="s">
        <v>234</v>
      </c>
    </row>
    <row r="73" spans="1:15" ht="18" customHeight="1" x14ac:dyDescent="0.2">
      <c r="A73" s="40" t="s">
        <v>6093</v>
      </c>
      <c r="B73" s="40" t="s">
        <v>6093</v>
      </c>
      <c r="C73" s="41">
        <v>46001</v>
      </c>
      <c r="D73" s="40"/>
      <c r="E73" s="40" t="s">
        <v>12</v>
      </c>
      <c r="F73" s="40" t="s">
        <v>295</v>
      </c>
      <c r="G73" s="40" t="s">
        <v>6076</v>
      </c>
      <c r="H73" s="40"/>
      <c r="I73" s="40" t="s">
        <v>49</v>
      </c>
      <c r="J73" s="40">
        <v>-3437.85</v>
      </c>
      <c r="K73" s="40"/>
      <c r="L73" s="40">
        <v>3437.85</v>
      </c>
      <c r="M73" s="40">
        <v>-3437.85</v>
      </c>
      <c r="N73" s="40"/>
      <c r="O73" s="40" t="s">
        <v>234</v>
      </c>
    </row>
    <row r="74" spans="1:15" ht="18" customHeight="1" x14ac:dyDescent="0.2">
      <c r="A74" s="40" t="s">
        <v>6094</v>
      </c>
      <c r="B74" s="40" t="s">
        <v>6094</v>
      </c>
      <c r="C74" s="41">
        <v>46001</v>
      </c>
      <c r="D74" s="40"/>
      <c r="E74" s="40" t="s">
        <v>12</v>
      </c>
      <c r="F74" s="40" t="s">
        <v>295</v>
      </c>
      <c r="G74" s="40" t="s">
        <v>6076</v>
      </c>
      <c r="H74" s="40"/>
      <c r="I74" s="40" t="s">
        <v>49</v>
      </c>
      <c r="J74" s="40">
        <v>-1042.3699999999999</v>
      </c>
      <c r="K74" s="40"/>
      <c r="L74" s="40">
        <v>1042.3699999999999</v>
      </c>
      <c r="M74" s="40">
        <v>-1042.3699999999999</v>
      </c>
      <c r="N74" s="40"/>
      <c r="O74" s="40" t="s">
        <v>234</v>
      </c>
    </row>
    <row r="75" spans="1:15" ht="18" customHeight="1" x14ac:dyDescent="0.2">
      <c r="A75" s="40" t="s">
        <v>6095</v>
      </c>
      <c r="B75" s="40" t="s">
        <v>6096</v>
      </c>
      <c r="C75" s="41">
        <v>45806</v>
      </c>
      <c r="D75" s="41">
        <v>45806</v>
      </c>
      <c r="E75" s="40" t="s">
        <v>12</v>
      </c>
      <c r="F75" s="40" t="s">
        <v>798</v>
      </c>
      <c r="G75" s="40" t="s">
        <v>6097</v>
      </c>
      <c r="H75" s="40" t="s">
        <v>6098</v>
      </c>
      <c r="I75" s="40" t="s">
        <v>49</v>
      </c>
      <c r="J75" s="40">
        <v>1708.4</v>
      </c>
      <c r="K75" s="40">
        <v>1708.4</v>
      </c>
      <c r="L75" s="40"/>
      <c r="M75" s="40">
        <v>1708.4</v>
      </c>
      <c r="N75" s="40" t="s">
        <v>6099</v>
      </c>
      <c r="O75" s="40" t="s">
        <v>234</v>
      </c>
    </row>
    <row r="76" spans="1:15" ht="18" customHeight="1" x14ac:dyDescent="0.2">
      <c r="A76" s="40" t="s">
        <v>6100</v>
      </c>
      <c r="B76" s="40" t="s">
        <v>6101</v>
      </c>
      <c r="C76" s="41">
        <v>45806</v>
      </c>
      <c r="D76" s="41">
        <v>45806</v>
      </c>
      <c r="E76" s="40" t="s">
        <v>12</v>
      </c>
      <c r="F76" s="40" t="s">
        <v>798</v>
      </c>
      <c r="G76" s="40" t="s">
        <v>6102</v>
      </c>
      <c r="H76" s="40" t="s">
        <v>6103</v>
      </c>
      <c r="I76" s="40" t="s">
        <v>49</v>
      </c>
      <c r="J76" s="40">
        <v>862.5</v>
      </c>
      <c r="K76" s="40">
        <v>862.5</v>
      </c>
      <c r="L76" s="40"/>
      <c r="M76" s="40">
        <v>862.5</v>
      </c>
      <c r="N76" s="40" t="s">
        <v>6099</v>
      </c>
      <c r="O76" s="40" t="s">
        <v>234</v>
      </c>
    </row>
    <row r="77" spans="1:15" ht="18" customHeight="1" x14ac:dyDescent="0.2">
      <c r="A77" s="40" t="s">
        <v>6104</v>
      </c>
      <c r="B77" s="40" t="s">
        <v>6105</v>
      </c>
      <c r="C77" s="41">
        <v>45805</v>
      </c>
      <c r="D77" s="41">
        <v>45805</v>
      </c>
      <c r="E77" s="40" t="s">
        <v>12</v>
      </c>
      <c r="F77" s="40" t="s">
        <v>6106</v>
      </c>
      <c r="G77" s="40" t="s">
        <v>6107</v>
      </c>
      <c r="H77" s="40" t="s">
        <v>6108</v>
      </c>
      <c r="I77" s="40" t="s">
        <v>49</v>
      </c>
      <c r="J77" s="40">
        <v>1277.51</v>
      </c>
      <c r="K77" s="40">
        <v>1277.51</v>
      </c>
      <c r="L77" s="40"/>
      <c r="M77" s="40">
        <v>1277.51</v>
      </c>
      <c r="N77" s="40" t="s">
        <v>6109</v>
      </c>
      <c r="O77" s="40" t="s">
        <v>234</v>
      </c>
    </row>
    <row r="78" spans="1:15" ht="18" customHeight="1" x14ac:dyDescent="0.2">
      <c r="A78" s="40" t="s">
        <v>6110</v>
      </c>
      <c r="B78" s="40" t="s">
        <v>6111</v>
      </c>
      <c r="C78" s="41">
        <v>45805</v>
      </c>
      <c r="D78" s="41">
        <v>45805</v>
      </c>
      <c r="E78" s="40" t="s">
        <v>12</v>
      </c>
      <c r="F78" s="40" t="s">
        <v>6112</v>
      </c>
      <c r="G78" s="40" t="s">
        <v>6113</v>
      </c>
      <c r="H78" s="40" t="s">
        <v>6114</v>
      </c>
      <c r="I78" s="40" t="s">
        <v>49</v>
      </c>
      <c r="J78" s="40">
        <v>1362.25</v>
      </c>
      <c r="K78" s="40">
        <v>1362.25</v>
      </c>
      <c r="L78" s="40"/>
      <c r="M78" s="40">
        <v>1362.25</v>
      </c>
      <c r="N78" s="40" t="s">
        <v>6115</v>
      </c>
      <c r="O78" s="40" t="s">
        <v>234</v>
      </c>
    </row>
    <row r="79" spans="1:15" ht="18" customHeight="1" x14ac:dyDescent="0.2">
      <c r="A79" s="40" t="s">
        <v>6116</v>
      </c>
      <c r="B79" s="40" t="s">
        <v>6117</v>
      </c>
      <c r="C79" s="41">
        <v>45805</v>
      </c>
      <c r="D79" s="41">
        <v>45805</v>
      </c>
      <c r="E79" s="40" t="s">
        <v>12</v>
      </c>
      <c r="F79" s="40" t="s">
        <v>6118</v>
      </c>
      <c r="G79" s="40" t="s">
        <v>6119</v>
      </c>
      <c r="H79" s="40" t="s">
        <v>6120</v>
      </c>
      <c r="I79" s="40" t="s">
        <v>49</v>
      </c>
      <c r="J79" s="40">
        <v>1326.02</v>
      </c>
      <c r="K79" s="40">
        <v>1326.02</v>
      </c>
      <c r="L79" s="40"/>
      <c r="M79" s="40">
        <v>1326.02</v>
      </c>
      <c r="N79" s="40" t="s">
        <v>6109</v>
      </c>
      <c r="O79" s="40" t="s">
        <v>234</v>
      </c>
    </row>
    <row r="80" spans="1:15" ht="18" customHeight="1" x14ac:dyDescent="0.2">
      <c r="A80" s="40" t="s">
        <v>6121</v>
      </c>
      <c r="B80" s="40" t="s">
        <v>6122</v>
      </c>
      <c r="C80" s="41">
        <v>45805</v>
      </c>
      <c r="D80" s="41">
        <v>45805</v>
      </c>
      <c r="E80" s="40" t="s">
        <v>12</v>
      </c>
      <c r="F80" s="40" t="s">
        <v>6123</v>
      </c>
      <c r="G80" s="40" t="s">
        <v>6124</v>
      </c>
      <c r="H80" s="40" t="s">
        <v>6125</v>
      </c>
      <c r="I80" s="40" t="s">
        <v>49</v>
      </c>
      <c r="J80" s="40">
        <v>2131.02</v>
      </c>
      <c r="K80" s="40">
        <v>2131.02</v>
      </c>
      <c r="L80" s="40"/>
      <c r="M80" s="40">
        <v>2131.02</v>
      </c>
      <c r="N80" s="40" t="s">
        <v>6126</v>
      </c>
      <c r="O80" s="40" t="s">
        <v>234</v>
      </c>
    </row>
    <row r="81" spans="1:15" ht="18" customHeight="1" x14ac:dyDescent="0.2">
      <c r="A81" s="40" t="s">
        <v>6127</v>
      </c>
      <c r="B81" s="40" t="s">
        <v>6128</v>
      </c>
      <c r="C81" s="41">
        <v>45805</v>
      </c>
      <c r="D81" s="41">
        <v>45805</v>
      </c>
      <c r="E81" s="40" t="s">
        <v>12</v>
      </c>
      <c r="F81" s="40" t="s">
        <v>6129</v>
      </c>
      <c r="G81" s="40" t="s">
        <v>6130</v>
      </c>
      <c r="H81" s="40" t="s">
        <v>6131</v>
      </c>
      <c r="I81" s="40" t="s">
        <v>49</v>
      </c>
      <c r="J81" s="40">
        <v>3971</v>
      </c>
      <c r="K81" s="40">
        <v>3971</v>
      </c>
      <c r="L81" s="40"/>
      <c r="M81" s="40">
        <v>3971</v>
      </c>
      <c r="N81" s="40" t="s">
        <v>6132</v>
      </c>
      <c r="O81" s="40" t="s">
        <v>234</v>
      </c>
    </row>
    <row r="82" spans="1:15" ht="18" customHeight="1" x14ac:dyDescent="0.2">
      <c r="A82" s="40" t="s">
        <v>6133</v>
      </c>
      <c r="B82" s="40" t="s">
        <v>6134</v>
      </c>
      <c r="C82" s="41">
        <v>45805</v>
      </c>
      <c r="D82" s="41">
        <v>45805</v>
      </c>
      <c r="E82" s="40" t="s">
        <v>12</v>
      </c>
      <c r="F82" s="40" t="s">
        <v>798</v>
      </c>
      <c r="G82" s="40" t="s">
        <v>6135</v>
      </c>
      <c r="H82" s="40" t="s">
        <v>6136</v>
      </c>
      <c r="I82" s="40" t="s">
        <v>49</v>
      </c>
      <c r="J82" s="40">
        <v>1737.5</v>
      </c>
      <c r="K82" s="40">
        <v>1737.5</v>
      </c>
      <c r="L82" s="40"/>
      <c r="M82" s="40">
        <v>1737.5</v>
      </c>
      <c r="N82" s="40" t="s">
        <v>6137</v>
      </c>
      <c r="O82" s="40" t="s">
        <v>234</v>
      </c>
    </row>
    <row r="83" spans="1:15" ht="18" customHeight="1" x14ac:dyDescent="0.2">
      <c r="A83" s="40" t="s">
        <v>6138</v>
      </c>
      <c r="B83" s="40" t="s">
        <v>6139</v>
      </c>
      <c r="C83" s="41">
        <v>45805</v>
      </c>
      <c r="D83" s="41">
        <v>45805</v>
      </c>
      <c r="E83" s="40" t="s">
        <v>12</v>
      </c>
      <c r="F83" s="40" t="s">
        <v>798</v>
      </c>
      <c r="G83" s="40" t="s">
        <v>6140</v>
      </c>
      <c r="H83" s="40" t="s">
        <v>6141</v>
      </c>
      <c r="I83" s="40" t="s">
        <v>49</v>
      </c>
      <c r="J83" s="40">
        <v>1708.4</v>
      </c>
      <c r="K83" s="40">
        <v>1708.4</v>
      </c>
      <c r="L83" s="40"/>
      <c r="M83" s="40">
        <v>1708.4</v>
      </c>
      <c r="N83" s="40" t="s">
        <v>6137</v>
      </c>
      <c r="O83" s="40" t="s">
        <v>234</v>
      </c>
    </row>
    <row r="84" spans="1:15" ht="18" customHeight="1" x14ac:dyDescent="0.2">
      <c r="A84" s="40" t="s">
        <v>6142</v>
      </c>
      <c r="B84" s="40" t="s">
        <v>6143</v>
      </c>
      <c r="C84" s="41">
        <v>45805</v>
      </c>
      <c r="D84" s="41">
        <v>45805</v>
      </c>
      <c r="E84" s="40" t="s">
        <v>12</v>
      </c>
      <c r="F84" s="40" t="s">
        <v>6144</v>
      </c>
      <c r="G84" s="40" t="s">
        <v>6145</v>
      </c>
      <c r="H84" s="40" t="s">
        <v>6146</v>
      </c>
      <c r="I84" s="40" t="s">
        <v>49</v>
      </c>
      <c r="J84" s="40">
        <v>1651.6</v>
      </c>
      <c r="K84" s="40">
        <v>1651.6</v>
      </c>
      <c r="L84" s="40"/>
      <c r="M84" s="40">
        <v>1651.6</v>
      </c>
      <c r="N84" s="40" t="s">
        <v>6147</v>
      </c>
      <c r="O84" s="40" t="s">
        <v>234</v>
      </c>
    </row>
    <row r="85" spans="1:15" ht="18" customHeight="1" x14ac:dyDescent="0.2">
      <c r="A85" s="40" t="s">
        <v>6148</v>
      </c>
      <c r="B85" s="40" t="s">
        <v>6149</v>
      </c>
      <c r="C85" s="41">
        <v>45805</v>
      </c>
      <c r="D85" s="41">
        <v>45805</v>
      </c>
      <c r="E85" s="40" t="s">
        <v>12</v>
      </c>
      <c r="F85" s="40" t="s">
        <v>798</v>
      </c>
      <c r="G85" s="40" t="s">
        <v>6150</v>
      </c>
      <c r="H85" s="40" t="s">
        <v>6151</v>
      </c>
      <c r="I85" s="40" t="s">
        <v>49</v>
      </c>
      <c r="J85" s="40">
        <v>862.5</v>
      </c>
      <c r="K85" s="40">
        <v>862.5</v>
      </c>
      <c r="L85" s="40"/>
      <c r="M85" s="40">
        <v>862.5</v>
      </c>
      <c r="N85" s="40" t="s">
        <v>6152</v>
      </c>
      <c r="O85" s="40" t="s">
        <v>234</v>
      </c>
    </row>
    <row r="86" spans="1:15" ht="18" customHeight="1" x14ac:dyDescent="0.2">
      <c r="A86" s="40" t="s">
        <v>6153</v>
      </c>
      <c r="B86" s="40" t="s">
        <v>6154</v>
      </c>
      <c r="C86" s="41">
        <v>45805</v>
      </c>
      <c r="D86" s="41">
        <v>45805</v>
      </c>
      <c r="E86" s="40" t="s">
        <v>12</v>
      </c>
      <c r="F86" s="40" t="s">
        <v>6155</v>
      </c>
      <c r="G86" s="40" t="s">
        <v>6156</v>
      </c>
      <c r="H86" s="40" t="s">
        <v>6157</v>
      </c>
      <c r="I86" s="40" t="s">
        <v>49</v>
      </c>
      <c r="J86" s="40">
        <v>1967.5</v>
      </c>
      <c r="K86" s="40">
        <v>1967.5</v>
      </c>
      <c r="L86" s="40"/>
      <c r="M86" s="40">
        <v>1967.5</v>
      </c>
      <c r="N86" s="40"/>
      <c r="O86" s="40" t="s">
        <v>234</v>
      </c>
    </row>
    <row r="87" spans="1:15" ht="18" customHeight="1" x14ac:dyDescent="0.2">
      <c r="A87" s="40" t="s">
        <v>6158</v>
      </c>
      <c r="B87" s="40" t="s">
        <v>6159</v>
      </c>
      <c r="C87" s="41">
        <v>45805</v>
      </c>
      <c r="D87" s="41">
        <v>45805</v>
      </c>
      <c r="E87" s="40" t="s">
        <v>12</v>
      </c>
      <c r="F87" s="40" t="s">
        <v>6160</v>
      </c>
      <c r="G87" s="40" t="s">
        <v>6161</v>
      </c>
      <c r="H87" s="40" t="s">
        <v>6162</v>
      </c>
      <c r="I87" s="40" t="s">
        <v>49</v>
      </c>
      <c r="J87" s="40">
        <v>1939.09</v>
      </c>
      <c r="K87" s="40">
        <v>1939.09</v>
      </c>
      <c r="L87" s="40"/>
      <c r="M87" s="40">
        <v>1939.09</v>
      </c>
      <c r="N87" s="40" t="s">
        <v>6163</v>
      </c>
      <c r="O87" s="40" t="s">
        <v>234</v>
      </c>
    </row>
    <row r="88" spans="1:15" ht="18" customHeight="1" x14ac:dyDescent="0.2">
      <c r="A88" s="40" t="s">
        <v>6164</v>
      </c>
      <c r="B88" s="40" t="s">
        <v>6165</v>
      </c>
      <c r="C88" s="41">
        <v>45805</v>
      </c>
      <c r="D88" s="41">
        <v>45805</v>
      </c>
      <c r="E88" s="40" t="s">
        <v>12</v>
      </c>
      <c r="F88" s="40" t="s">
        <v>798</v>
      </c>
      <c r="G88" s="40" t="s">
        <v>6166</v>
      </c>
      <c r="H88" s="40" t="s">
        <v>6167</v>
      </c>
      <c r="I88" s="40" t="s">
        <v>49</v>
      </c>
      <c r="J88" s="40">
        <v>1450</v>
      </c>
      <c r="K88" s="40">
        <v>1450</v>
      </c>
      <c r="L88" s="40"/>
      <c r="M88" s="40">
        <v>1450</v>
      </c>
      <c r="N88" s="40" t="s">
        <v>6163</v>
      </c>
      <c r="O88" s="40" t="s">
        <v>234</v>
      </c>
    </row>
    <row r="89" spans="1:15" ht="18" customHeight="1" x14ac:dyDescent="0.2">
      <c r="A89" s="40" t="s">
        <v>6168</v>
      </c>
      <c r="B89" s="40" t="s">
        <v>6169</v>
      </c>
      <c r="C89" s="41">
        <v>45805</v>
      </c>
      <c r="D89" s="41">
        <v>45805</v>
      </c>
      <c r="E89" s="40" t="s">
        <v>12</v>
      </c>
      <c r="F89" s="40" t="s">
        <v>6170</v>
      </c>
      <c r="G89" s="40" t="s">
        <v>6171</v>
      </c>
      <c r="H89" s="40" t="s">
        <v>6172</v>
      </c>
      <c r="I89" s="40" t="s">
        <v>49</v>
      </c>
      <c r="J89" s="40">
        <v>2226.6</v>
      </c>
      <c r="K89" s="40">
        <v>2226.6</v>
      </c>
      <c r="L89" s="40"/>
      <c r="M89" s="40">
        <v>2226.6</v>
      </c>
      <c r="N89" s="40" t="s">
        <v>6099</v>
      </c>
      <c r="O89" s="40" t="s">
        <v>234</v>
      </c>
    </row>
    <row r="90" spans="1:15" ht="18" customHeight="1" x14ac:dyDescent="0.2">
      <c r="A90" s="40" t="s">
        <v>6173</v>
      </c>
      <c r="B90" s="40" t="s">
        <v>6174</v>
      </c>
      <c r="C90" s="41">
        <v>45805</v>
      </c>
      <c r="D90" s="41">
        <v>45805</v>
      </c>
      <c r="E90" s="40" t="s">
        <v>12</v>
      </c>
      <c r="F90" s="40" t="s">
        <v>6175</v>
      </c>
      <c r="G90" s="40" t="s">
        <v>6176</v>
      </c>
      <c r="H90" s="40" t="s">
        <v>6177</v>
      </c>
      <c r="I90" s="40" t="s">
        <v>49</v>
      </c>
      <c r="J90" s="40">
        <v>2591.0100000000002</v>
      </c>
      <c r="K90" s="40">
        <v>2591.0100000000002</v>
      </c>
      <c r="L90" s="40"/>
      <c r="M90" s="40">
        <v>2591.0100000000002</v>
      </c>
      <c r="N90" s="40" t="s">
        <v>6178</v>
      </c>
      <c r="O90" s="40" t="s">
        <v>234</v>
      </c>
    </row>
    <row r="91" spans="1:15" ht="18" customHeight="1" x14ac:dyDescent="0.2">
      <c r="A91" s="40" t="s">
        <v>6179</v>
      </c>
      <c r="B91" s="40" t="s">
        <v>6180</v>
      </c>
      <c r="C91" s="41">
        <v>45805</v>
      </c>
      <c r="D91" s="41">
        <v>45805</v>
      </c>
      <c r="E91" s="40" t="s">
        <v>12</v>
      </c>
      <c r="F91" s="40" t="s">
        <v>798</v>
      </c>
      <c r="G91" s="40" t="s">
        <v>6181</v>
      </c>
      <c r="H91" s="40" t="s">
        <v>6182</v>
      </c>
      <c r="I91" s="40" t="s">
        <v>49</v>
      </c>
      <c r="J91" s="40">
        <v>3625.99</v>
      </c>
      <c r="K91" s="40">
        <v>3625.99</v>
      </c>
      <c r="L91" s="40"/>
      <c r="M91" s="40">
        <v>3625.99</v>
      </c>
      <c r="N91" s="40" t="s">
        <v>6183</v>
      </c>
      <c r="O91" s="40" t="s">
        <v>234</v>
      </c>
    </row>
    <row r="92" spans="1:15" ht="18" customHeight="1" x14ac:dyDescent="0.2">
      <c r="A92" s="40" t="s">
        <v>6184</v>
      </c>
      <c r="B92" s="40" t="s">
        <v>6185</v>
      </c>
      <c r="C92" s="41">
        <v>45805</v>
      </c>
      <c r="D92" s="41">
        <v>45805</v>
      </c>
      <c r="E92" s="40" t="s">
        <v>12</v>
      </c>
      <c r="F92" s="40" t="s">
        <v>6186</v>
      </c>
      <c r="G92" s="40" t="s">
        <v>6187</v>
      </c>
      <c r="H92" s="40" t="s">
        <v>6188</v>
      </c>
      <c r="I92" s="40" t="s">
        <v>49</v>
      </c>
      <c r="J92" s="40">
        <v>3261.59</v>
      </c>
      <c r="K92" s="40">
        <v>3261.59</v>
      </c>
      <c r="L92" s="40"/>
      <c r="M92" s="40">
        <v>3261.59</v>
      </c>
      <c r="N92" s="40" t="s">
        <v>6189</v>
      </c>
      <c r="O92" s="40" t="s">
        <v>234</v>
      </c>
    </row>
    <row r="93" spans="1:15" ht="18" customHeight="1" x14ac:dyDescent="0.2">
      <c r="A93" s="40" t="s">
        <v>6190</v>
      </c>
      <c r="B93" s="40" t="s">
        <v>6191</v>
      </c>
      <c r="C93" s="41">
        <v>45805</v>
      </c>
      <c r="D93" s="41">
        <v>45805</v>
      </c>
      <c r="E93" s="40" t="s">
        <v>12</v>
      </c>
      <c r="F93" s="40" t="s">
        <v>6192</v>
      </c>
      <c r="G93" s="40" t="s">
        <v>6193</v>
      </c>
      <c r="H93" s="40" t="s">
        <v>6194</v>
      </c>
      <c r="I93" s="40" t="s">
        <v>49</v>
      </c>
      <c r="J93" s="40">
        <v>2936</v>
      </c>
      <c r="K93" s="40">
        <v>2936</v>
      </c>
      <c r="L93" s="40"/>
      <c r="M93" s="40">
        <v>2936</v>
      </c>
      <c r="N93" s="40" t="s">
        <v>6195</v>
      </c>
      <c r="O93" s="40" t="s">
        <v>234</v>
      </c>
    </row>
    <row r="94" spans="1:15" ht="18" customHeight="1" x14ac:dyDescent="0.2">
      <c r="A94" s="40" t="s">
        <v>6196</v>
      </c>
      <c r="B94" s="40" t="s">
        <v>6197</v>
      </c>
      <c r="C94" s="41">
        <v>45805</v>
      </c>
      <c r="D94" s="41">
        <v>45805</v>
      </c>
      <c r="E94" s="40" t="s">
        <v>12</v>
      </c>
      <c r="F94" s="40" t="s">
        <v>6198</v>
      </c>
      <c r="G94" s="40" t="s">
        <v>6199</v>
      </c>
      <c r="H94" s="40" t="s">
        <v>6200</v>
      </c>
      <c r="I94" s="40" t="s">
        <v>49</v>
      </c>
      <c r="J94" s="40">
        <v>2361</v>
      </c>
      <c r="K94" s="40">
        <v>2361</v>
      </c>
      <c r="L94" s="40"/>
      <c r="M94" s="40">
        <v>2361</v>
      </c>
      <c r="N94" s="40" t="s">
        <v>6201</v>
      </c>
      <c r="O94" s="40" t="s">
        <v>234</v>
      </c>
    </row>
    <row r="95" spans="1:15" ht="18" customHeight="1" x14ac:dyDescent="0.2">
      <c r="A95" s="40" t="s">
        <v>6202</v>
      </c>
      <c r="B95" s="40" t="s">
        <v>6203</v>
      </c>
      <c r="C95" s="41">
        <v>45805</v>
      </c>
      <c r="D95" s="41">
        <v>45805</v>
      </c>
      <c r="E95" s="40" t="s">
        <v>12</v>
      </c>
      <c r="F95" s="40" t="s">
        <v>6204</v>
      </c>
      <c r="G95" s="40" t="s">
        <v>6205</v>
      </c>
      <c r="H95" s="40" t="s">
        <v>6206</v>
      </c>
      <c r="I95" s="40" t="s">
        <v>49</v>
      </c>
      <c r="J95" s="40">
        <v>2303.5</v>
      </c>
      <c r="K95" s="40">
        <v>2303.5</v>
      </c>
      <c r="L95" s="40"/>
      <c r="M95" s="40">
        <v>2303.5</v>
      </c>
      <c r="N95" s="40" t="s">
        <v>6207</v>
      </c>
      <c r="O95" s="40" t="s">
        <v>234</v>
      </c>
    </row>
    <row r="96" spans="1:15" ht="18" customHeight="1" x14ac:dyDescent="0.2">
      <c r="A96" s="40" t="s">
        <v>6208</v>
      </c>
      <c r="B96" s="40" t="s">
        <v>6209</v>
      </c>
      <c r="C96" s="41">
        <v>45805</v>
      </c>
      <c r="D96" s="41">
        <v>45805</v>
      </c>
      <c r="E96" s="40" t="s">
        <v>12</v>
      </c>
      <c r="F96" s="40" t="s">
        <v>6210</v>
      </c>
      <c r="G96" s="40" t="s">
        <v>6211</v>
      </c>
      <c r="H96" s="40" t="s">
        <v>6212</v>
      </c>
      <c r="I96" s="40" t="s">
        <v>49</v>
      </c>
      <c r="J96" s="40">
        <v>1943.51</v>
      </c>
      <c r="K96" s="40">
        <v>1943.51</v>
      </c>
      <c r="L96" s="40"/>
      <c r="M96" s="40">
        <v>1943.51</v>
      </c>
      <c r="N96" s="40" t="s">
        <v>6213</v>
      </c>
      <c r="O96" s="40" t="s">
        <v>234</v>
      </c>
    </row>
    <row r="97" spans="1:15" ht="18" customHeight="1" x14ac:dyDescent="0.2">
      <c r="A97" s="40" t="s">
        <v>6214</v>
      </c>
      <c r="B97" s="40" t="s">
        <v>6215</v>
      </c>
      <c r="C97" s="41">
        <v>45805</v>
      </c>
      <c r="D97" s="41">
        <v>45805</v>
      </c>
      <c r="E97" s="40" t="s">
        <v>12</v>
      </c>
      <c r="F97" s="40" t="s">
        <v>6216</v>
      </c>
      <c r="G97" s="40" t="s">
        <v>6217</v>
      </c>
      <c r="H97" s="40" t="s">
        <v>6218</v>
      </c>
      <c r="I97" s="40" t="s">
        <v>49</v>
      </c>
      <c r="J97" s="40">
        <v>1737.52</v>
      </c>
      <c r="K97" s="40">
        <v>1737.52</v>
      </c>
      <c r="L97" s="40"/>
      <c r="M97" s="40">
        <v>1737.52</v>
      </c>
      <c r="N97" s="40" t="s">
        <v>6219</v>
      </c>
      <c r="O97" s="40" t="s">
        <v>234</v>
      </c>
    </row>
    <row r="98" spans="1:15" ht="18" customHeight="1" x14ac:dyDescent="0.2">
      <c r="A98" s="40" t="s">
        <v>6220</v>
      </c>
      <c r="B98" s="40" t="s">
        <v>6221</v>
      </c>
      <c r="C98" s="41">
        <v>45805</v>
      </c>
      <c r="D98" s="41">
        <v>45805</v>
      </c>
      <c r="E98" s="40" t="s">
        <v>12</v>
      </c>
      <c r="F98" s="40" t="s">
        <v>6222</v>
      </c>
      <c r="G98" s="40" t="s">
        <v>6223</v>
      </c>
      <c r="H98" s="40" t="s">
        <v>6224</v>
      </c>
      <c r="I98" s="40" t="s">
        <v>49</v>
      </c>
      <c r="J98" s="40">
        <v>1671</v>
      </c>
      <c r="K98" s="40">
        <v>1671</v>
      </c>
      <c r="L98" s="40"/>
      <c r="M98" s="40">
        <v>1671</v>
      </c>
      <c r="N98" s="40" t="s">
        <v>6225</v>
      </c>
      <c r="O98" s="40" t="s">
        <v>234</v>
      </c>
    </row>
    <row r="99" spans="1:15" ht="18" customHeight="1" x14ac:dyDescent="0.2">
      <c r="A99" s="40" t="s">
        <v>6226</v>
      </c>
      <c r="B99" s="40" t="s">
        <v>6227</v>
      </c>
      <c r="C99" s="41">
        <v>45805</v>
      </c>
      <c r="D99" s="41">
        <v>45805</v>
      </c>
      <c r="E99" s="40" t="s">
        <v>12</v>
      </c>
      <c r="F99" s="40" t="s">
        <v>6228</v>
      </c>
      <c r="G99" s="40" t="s">
        <v>6229</v>
      </c>
      <c r="H99" s="40" t="s">
        <v>6230</v>
      </c>
      <c r="I99" s="40" t="s">
        <v>49</v>
      </c>
      <c r="J99" s="40">
        <v>1651.6</v>
      </c>
      <c r="K99" s="40">
        <v>1651.6</v>
      </c>
      <c r="L99" s="40"/>
      <c r="M99" s="40">
        <v>1651.6</v>
      </c>
      <c r="N99" s="40" t="s">
        <v>6231</v>
      </c>
      <c r="O99" s="40" t="s">
        <v>234</v>
      </c>
    </row>
    <row r="100" spans="1:15" ht="18" customHeight="1" x14ac:dyDescent="0.2">
      <c r="A100" s="40" t="s">
        <v>6232</v>
      </c>
      <c r="B100" s="40" t="s">
        <v>6233</v>
      </c>
      <c r="C100" s="41">
        <v>45805</v>
      </c>
      <c r="D100" s="41">
        <v>45805</v>
      </c>
      <c r="E100" s="40" t="s">
        <v>12</v>
      </c>
      <c r="F100" s="40" t="s">
        <v>6234</v>
      </c>
      <c r="G100" s="40" t="s">
        <v>6235</v>
      </c>
      <c r="H100" s="40" t="s">
        <v>6236</v>
      </c>
      <c r="I100" s="40" t="s">
        <v>49</v>
      </c>
      <c r="J100" s="40">
        <v>1622.51</v>
      </c>
      <c r="K100" s="40">
        <v>1622.51</v>
      </c>
      <c r="L100" s="40"/>
      <c r="M100" s="40">
        <v>1622.51</v>
      </c>
      <c r="N100" s="40" t="s">
        <v>6237</v>
      </c>
      <c r="O100" s="40" t="s">
        <v>234</v>
      </c>
    </row>
    <row r="101" spans="1:15" ht="18" customHeight="1" x14ac:dyDescent="0.2">
      <c r="A101" s="40" t="s">
        <v>6238</v>
      </c>
      <c r="B101" s="40" t="s">
        <v>6239</v>
      </c>
      <c r="C101" s="41">
        <v>45805</v>
      </c>
      <c r="D101" s="41">
        <v>45805</v>
      </c>
      <c r="E101" s="40" t="s">
        <v>12</v>
      </c>
      <c r="F101" s="40" t="s">
        <v>6240</v>
      </c>
      <c r="G101" s="40" t="s">
        <v>6241</v>
      </c>
      <c r="H101" s="40" t="s">
        <v>6242</v>
      </c>
      <c r="I101" s="40" t="s">
        <v>49</v>
      </c>
      <c r="J101" s="40">
        <v>1622.5</v>
      </c>
      <c r="K101" s="40">
        <v>1622.5</v>
      </c>
      <c r="L101" s="40"/>
      <c r="M101" s="40">
        <v>1622.5</v>
      </c>
      <c r="N101" s="40" t="s">
        <v>6243</v>
      </c>
      <c r="O101" s="40" t="s">
        <v>234</v>
      </c>
    </row>
    <row r="102" spans="1:15" ht="18" customHeight="1" x14ac:dyDescent="0.2">
      <c r="A102" s="40" t="s">
        <v>6244</v>
      </c>
      <c r="B102" s="40" t="s">
        <v>6245</v>
      </c>
      <c r="C102" s="41">
        <v>45805</v>
      </c>
      <c r="D102" s="41">
        <v>45805</v>
      </c>
      <c r="E102" s="40" t="s">
        <v>12</v>
      </c>
      <c r="F102" s="40" t="s">
        <v>6246</v>
      </c>
      <c r="G102" s="40" t="s">
        <v>6247</v>
      </c>
      <c r="H102" s="40" t="s">
        <v>6248</v>
      </c>
      <c r="I102" s="40" t="s">
        <v>49</v>
      </c>
      <c r="J102" s="40">
        <v>1622.5</v>
      </c>
      <c r="K102" s="40">
        <v>1622.5</v>
      </c>
      <c r="L102" s="40"/>
      <c r="M102" s="40">
        <v>1622.5</v>
      </c>
      <c r="N102" s="40" t="s">
        <v>6249</v>
      </c>
      <c r="O102" s="40" t="s">
        <v>234</v>
      </c>
    </row>
    <row r="103" spans="1:15" ht="18" customHeight="1" x14ac:dyDescent="0.2">
      <c r="A103" s="40" t="s">
        <v>6250</v>
      </c>
      <c r="B103" s="40" t="s">
        <v>6251</v>
      </c>
      <c r="C103" s="41">
        <v>45805</v>
      </c>
      <c r="D103" s="41">
        <v>45805</v>
      </c>
      <c r="E103" s="40" t="s">
        <v>12</v>
      </c>
      <c r="F103" s="40" t="s">
        <v>6252</v>
      </c>
      <c r="G103" s="40" t="s">
        <v>6253</v>
      </c>
      <c r="H103" s="40" t="s">
        <v>6254</v>
      </c>
      <c r="I103" s="40" t="s">
        <v>49</v>
      </c>
      <c r="J103" s="40">
        <v>1534.75</v>
      </c>
      <c r="K103" s="40">
        <v>1534.75</v>
      </c>
      <c r="L103" s="40"/>
      <c r="M103" s="40">
        <v>1534.75</v>
      </c>
      <c r="N103" s="40" t="s">
        <v>6255</v>
      </c>
      <c r="O103" s="40" t="s">
        <v>234</v>
      </c>
    </row>
    <row r="104" spans="1:15" ht="18" customHeight="1" x14ac:dyDescent="0.2">
      <c r="A104" s="40" t="s">
        <v>6256</v>
      </c>
      <c r="B104" s="40" t="s">
        <v>6257</v>
      </c>
      <c r="C104" s="41">
        <v>45805</v>
      </c>
      <c r="D104" s="41">
        <v>45805</v>
      </c>
      <c r="E104" s="40" t="s">
        <v>12</v>
      </c>
      <c r="F104" s="40" t="s">
        <v>798</v>
      </c>
      <c r="G104" s="40" t="s">
        <v>6258</v>
      </c>
      <c r="H104" s="40" t="s">
        <v>6259</v>
      </c>
      <c r="I104" s="40" t="s">
        <v>49</v>
      </c>
      <c r="J104" s="40">
        <v>1507.49</v>
      </c>
      <c r="K104" s="40">
        <v>1507.49</v>
      </c>
      <c r="L104" s="40"/>
      <c r="M104" s="40">
        <v>1507.49</v>
      </c>
      <c r="N104" s="40" t="s">
        <v>6260</v>
      </c>
      <c r="O104" s="40" t="s">
        <v>234</v>
      </c>
    </row>
    <row r="105" spans="1:15" ht="18" customHeight="1" x14ac:dyDescent="0.2">
      <c r="A105" s="40" t="s">
        <v>6261</v>
      </c>
      <c r="B105" s="40" t="s">
        <v>6262</v>
      </c>
      <c r="C105" s="41">
        <v>45805</v>
      </c>
      <c r="D105" s="41">
        <v>45805</v>
      </c>
      <c r="E105" s="40" t="s">
        <v>12</v>
      </c>
      <c r="F105" s="40" t="s">
        <v>6263</v>
      </c>
      <c r="G105" s="40" t="s">
        <v>6264</v>
      </c>
      <c r="H105" s="40" t="s">
        <v>6265</v>
      </c>
      <c r="I105" s="40" t="s">
        <v>49</v>
      </c>
      <c r="J105" s="40">
        <v>1478.4</v>
      </c>
      <c r="K105" s="40">
        <v>1478.4</v>
      </c>
      <c r="L105" s="40"/>
      <c r="M105" s="40">
        <v>1478.4</v>
      </c>
      <c r="N105" s="40" t="s">
        <v>6266</v>
      </c>
      <c r="O105" s="40" t="s">
        <v>234</v>
      </c>
    </row>
    <row r="106" spans="1:15" ht="18" customHeight="1" x14ac:dyDescent="0.2">
      <c r="A106" s="40" t="s">
        <v>6267</v>
      </c>
      <c r="B106" s="40" t="s">
        <v>6268</v>
      </c>
      <c r="C106" s="41">
        <v>45805</v>
      </c>
      <c r="D106" s="41">
        <v>45805</v>
      </c>
      <c r="E106" s="40" t="s">
        <v>12</v>
      </c>
      <c r="F106" s="40" t="s">
        <v>6269</v>
      </c>
      <c r="G106" s="40" t="s">
        <v>6270</v>
      </c>
      <c r="H106" s="40" t="s">
        <v>6271</v>
      </c>
      <c r="I106" s="40" t="s">
        <v>49</v>
      </c>
      <c r="J106" s="40">
        <v>1420.9</v>
      </c>
      <c r="K106" s="40">
        <v>1420.9</v>
      </c>
      <c r="L106" s="40"/>
      <c r="M106" s="40">
        <v>1420.9</v>
      </c>
      <c r="N106" s="40" t="s">
        <v>6272</v>
      </c>
      <c r="O106" s="40" t="s">
        <v>234</v>
      </c>
    </row>
    <row r="107" spans="1:15" ht="18" customHeight="1" x14ac:dyDescent="0.2">
      <c r="A107" s="40" t="s">
        <v>6273</v>
      </c>
      <c r="B107" s="40" t="s">
        <v>6274</v>
      </c>
      <c r="C107" s="41">
        <v>45805</v>
      </c>
      <c r="D107" s="41">
        <v>45805</v>
      </c>
      <c r="E107" s="40" t="s">
        <v>12</v>
      </c>
      <c r="F107" s="40" t="s">
        <v>6275</v>
      </c>
      <c r="G107" s="40" t="s">
        <v>6276</v>
      </c>
      <c r="H107" s="40" t="s">
        <v>6277</v>
      </c>
      <c r="I107" s="40" t="s">
        <v>49</v>
      </c>
      <c r="J107" s="40">
        <v>1392.5</v>
      </c>
      <c r="K107" s="40">
        <v>1392.5</v>
      </c>
      <c r="L107" s="40"/>
      <c r="M107" s="40">
        <v>1392.5</v>
      </c>
      <c r="N107" s="40" t="s">
        <v>6278</v>
      </c>
      <c r="O107" s="40" t="s">
        <v>234</v>
      </c>
    </row>
    <row r="108" spans="1:15" ht="18" customHeight="1" x14ac:dyDescent="0.2">
      <c r="A108" s="40" t="s">
        <v>6279</v>
      </c>
      <c r="B108" s="40" t="s">
        <v>6280</v>
      </c>
      <c r="C108" s="41">
        <v>45805</v>
      </c>
      <c r="D108" s="41">
        <v>45805</v>
      </c>
      <c r="E108" s="40" t="s">
        <v>12</v>
      </c>
      <c r="F108" s="40" t="s">
        <v>6281</v>
      </c>
      <c r="G108" s="40" t="s">
        <v>6282</v>
      </c>
      <c r="H108" s="40" t="s">
        <v>6283</v>
      </c>
      <c r="I108" s="40" t="s">
        <v>49</v>
      </c>
      <c r="J108" s="40">
        <v>1369.49</v>
      </c>
      <c r="K108" s="40">
        <v>1369.49</v>
      </c>
      <c r="L108" s="40"/>
      <c r="M108" s="40">
        <v>1369.49</v>
      </c>
      <c r="N108" s="40" t="s">
        <v>6284</v>
      </c>
      <c r="O108" s="40" t="s">
        <v>234</v>
      </c>
    </row>
    <row r="109" spans="1:15" ht="18" customHeight="1" x14ac:dyDescent="0.2">
      <c r="A109" s="40" t="s">
        <v>6285</v>
      </c>
      <c r="B109" s="40" t="s">
        <v>6286</v>
      </c>
      <c r="C109" s="41">
        <v>45805</v>
      </c>
      <c r="D109" s="41">
        <v>45805</v>
      </c>
      <c r="E109" s="40" t="s">
        <v>12</v>
      </c>
      <c r="F109" s="40" t="s">
        <v>6287</v>
      </c>
      <c r="G109" s="40" t="s">
        <v>6288</v>
      </c>
      <c r="H109" s="40" t="s">
        <v>6289</v>
      </c>
      <c r="I109" s="40" t="s">
        <v>49</v>
      </c>
      <c r="J109" s="40">
        <v>1311.02</v>
      </c>
      <c r="K109" s="40">
        <v>1311.02</v>
      </c>
      <c r="L109" s="40"/>
      <c r="M109" s="40">
        <v>1311.02</v>
      </c>
      <c r="N109" s="40" t="s">
        <v>6290</v>
      </c>
      <c r="O109" s="40" t="s">
        <v>234</v>
      </c>
    </row>
    <row r="110" spans="1:15" ht="18" customHeight="1" x14ac:dyDescent="0.2">
      <c r="A110" s="40" t="s">
        <v>6291</v>
      </c>
      <c r="B110" s="40" t="s">
        <v>6292</v>
      </c>
      <c r="C110" s="41">
        <v>45805</v>
      </c>
      <c r="D110" s="41">
        <v>45805</v>
      </c>
      <c r="E110" s="40" t="s">
        <v>12</v>
      </c>
      <c r="F110" s="40" t="s">
        <v>6293</v>
      </c>
      <c r="G110" s="40" t="s">
        <v>6294</v>
      </c>
      <c r="H110" s="40" t="s">
        <v>6295</v>
      </c>
      <c r="I110" s="40" t="s">
        <v>49</v>
      </c>
      <c r="J110" s="40">
        <v>1277.5</v>
      </c>
      <c r="K110" s="40">
        <v>1277.5</v>
      </c>
      <c r="L110" s="40"/>
      <c r="M110" s="40">
        <v>1277.5</v>
      </c>
      <c r="N110" s="40" t="s">
        <v>6296</v>
      </c>
      <c r="O110" s="40" t="s">
        <v>234</v>
      </c>
    </row>
    <row r="111" spans="1:15" ht="18" customHeight="1" x14ac:dyDescent="0.2">
      <c r="A111" s="40" t="s">
        <v>6297</v>
      </c>
      <c r="B111" s="40" t="s">
        <v>6298</v>
      </c>
      <c r="C111" s="41">
        <v>45805</v>
      </c>
      <c r="D111" s="41">
        <v>45805</v>
      </c>
      <c r="E111" s="40" t="s">
        <v>12</v>
      </c>
      <c r="F111" s="40" t="s">
        <v>6299</v>
      </c>
      <c r="G111" s="40" t="s">
        <v>6300</v>
      </c>
      <c r="H111" s="40" t="s">
        <v>6301</v>
      </c>
      <c r="I111" s="40" t="s">
        <v>49</v>
      </c>
      <c r="J111" s="40">
        <v>966</v>
      </c>
      <c r="K111" s="40">
        <v>966</v>
      </c>
      <c r="L111" s="40"/>
      <c r="M111" s="40">
        <v>966</v>
      </c>
      <c r="N111" s="40" t="s">
        <v>6302</v>
      </c>
      <c r="O111" s="40" t="s">
        <v>234</v>
      </c>
    </row>
    <row r="112" spans="1:15" ht="18" customHeight="1" x14ac:dyDescent="0.2">
      <c r="A112" s="40" t="s">
        <v>6303</v>
      </c>
      <c r="B112" s="40" t="s">
        <v>6304</v>
      </c>
      <c r="C112" s="41">
        <v>45805</v>
      </c>
      <c r="D112" s="41">
        <v>45805</v>
      </c>
      <c r="E112" s="40" t="s">
        <v>12</v>
      </c>
      <c r="F112" s="40" t="s">
        <v>6305</v>
      </c>
      <c r="G112" s="40" t="s">
        <v>6306</v>
      </c>
      <c r="H112" s="40" t="s">
        <v>6307</v>
      </c>
      <c r="I112" s="40" t="s">
        <v>49</v>
      </c>
      <c r="J112" s="40">
        <v>862.5</v>
      </c>
      <c r="K112" s="40">
        <v>862.5</v>
      </c>
      <c r="L112" s="40"/>
      <c r="M112" s="40">
        <v>862.5</v>
      </c>
      <c r="N112" s="40" t="s">
        <v>6308</v>
      </c>
      <c r="O112" s="40" t="s">
        <v>234</v>
      </c>
    </row>
    <row r="113" spans="1:15" ht="18" customHeight="1" x14ac:dyDescent="0.2">
      <c r="A113" s="40" t="s">
        <v>6309</v>
      </c>
      <c r="B113" s="40" t="s">
        <v>6310</v>
      </c>
      <c r="C113" s="41">
        <v>45805</v>
      </c>
      <c r="D113" s="41">
        <v>45805</v>
      </c>
      <c r="E113" s="40" t="s">
        <v>12</v>
      </c>
      <c r="F113" s="40" t="s">
        <v>6311</v>
      </c>
      <c r="G113" s="40" t="s">
        <v>6312</v>
      </c>
      <c r="H113" s="40" t="s">
        <v>6313</v>
      </c>
      <c r="I113" s="40" t="s">
        <v>49</v>
      </c>
      <c r="J113" s="40">
        <v>748.5</v>
      </c>
      <c r="K113" s="40">
        <v>748.5</v>
      </c>
      <c r="L113" s="40"/>
      <c r="M113" s="40">
        <v>748.5</v>
      </c>
      <c r="N113" s="40" t="s">
        <v>6314</v>
      </c>
      <c r="O113" s="40" t="s">
        <v>234</v>
      </c>
    </row>
    <row r="114" spans="1:15" ht="18" customHeight="1" x14ac:dyDescent="0.2">
      <c r="A114" s="40" t="s">
        <v>6315</v>
      </c>
      <c r="B114" s="40" t="s">
        <v>6315</v>
      </c>
      <c r="C114" s="41">
        <v>45805</v>
      </c>
      <c r="D114" s="40"/>
      <c r="E114" s="40" t="s">
        <v>12</v>
      </c>
      <c r="F114" s="40" t="s">
        <v>6118</v>
      </c>
      <c r="G114" s="40" t="s">
        <v>3574</v>
      </c>
      <c r="H114" s="40"/>
      <c r="I114" s="40" t="s">
        <v>49</v>
      </c>
      <c r="J114" s="40">
        <v>-0.01</v>
      </c>
      <c r="K114" s="40"/>
      <c r="L114" s="40">
        <v>0.01</v>
      </c>
      <c r="M114" s="40">
        <v>-0.01</v>
      </c>
      <c r="N114" s="40" t="s">
        <v>6109</v>
      </c>
      <c r="O114" s="40" t="s">
        <v>234</v>
      </c>
    </row>
    <row r="115" spans="1:15" ht="18" customHeight="1" x14ac:dyDescent="0.2">
      <c r="A115" s="40" t="s">
        <v>6316</v>
      </c>
      <c r="B115" s="40" t="s">
        <v>6316</v>
      </c>
      <c r="C115" s="41">
        <v>45782</v>
      </c>
      <c r="D115" s="40"/>
      <c r="E115" s="40" t="s">
        <v>12</v>
      </c>
      <c r="F115" s="40" t="s">
        <v>295</v>
      </c>
      <c r="G115" s="40" t="s">
        <v>5917</v>
      </c>
      <c r="H115" s="40"/>
      <c r="I115" s="40" t="s">
        <v>49</v>
      </c>
      <c r="J115" s="40">
        <v>-1139.5</v>
      </c>
      <c r="K115" s="40"/>
      <c r="L115" s="40">
        <v>1139.5</v>
      </c>
      <c r="M115" s="40">
        <v>-1139.5</v>
      </c>
      <c r="N115" s="40"/>
      <c r="O115" s="40" t="s">
        <v>234</v>
      </c>
    </row>
    <row r="116" spans="1:15" ht="18" customHeight="1" x14ac:dyDescent="0.2">
      <c r="A116" s="40" t="s">
        <v>6317</v>
      </c>
      <c r="B116" s="40" t="s">
        <v>6317</v>
      </c>
      <c r="C116" s="41">
        <v>45768</v>
      </c>
      <c r="D116" s="40"/>
      <c r="E116" s="40" t="s">
        <v>12</v>
      </c>
      <c r="F116" s="40" t="s">
        <v>295</v>
      </c>
      <c r="G116" s="40" t="s">
        <v>5917</v>
      </c>
      <c r="H116" s="40"/>
      <c r="I116" s="40" t="s">
        <v>49</v>
      </c>
      <c r="J116" s="40">
        <v>-3971</v>
      </c>
      <c r="K116" s="40"/>
      <c r="L116" s="40">
        <v>3971</v>
      </c>
      <c r="M116" s="40">
        <v>-3971</v>
      </c>
      <c r="N116" s="40" t="s">
        <v>6132</v>
      </c>
      <c r="O116" s="40" t="s">
        <v>234</v>
      </c>
    </row>
    <row r="117" spans="1:15" ht="18" customHeight="1" x14ac:dyDescent="0.2">
      <c r="A117" s="40" t="s">
        <v>6318</v>
      </c>
      <c r="B117" s="40" t="s">
        <v>6318</v>
      </c>
      <c r="C117" s="41">
        <v>45758</v>
      </c>
      <c r="D117" s="40"/>
      <c r="E117" s="40" t="s">
        <v>12</v>
      </c>
      <c r="F117" s="40" t="s">
        <v>295</v>
      </c>
      <c r="G117" s="40" t="s">
        <v>5917</v>
      </c>
      <c r="H117" s="40"/>
      <c r="I117" s="40" t="s">
        <v>49</v>
      </c>
      <c r="J117" s="40">
        <v>-2131.02</v>
      </c>
      <c r="K117" s="40"/>
      <c r="L117" s="40">
        <v>2131.02</v>
      </c>
      <c r="M117" s="40">
        <v>-2131.02</v>
      </c>
      <c r="N117" s="40" t="s">
        <v>6126</v>
      </c>
      <c r="O117" s="40" t="s">
        <v>234</v>
      </c>
    </row>
    <row r="118" spans="1:15" ht="18" customHeight="1" x14ac:dyDescent="0.2">
      <c r="A118" s="40" t="s">
        <v>6319</v>
      </c>
      <c r="B118" s="40" t="s">
        <v>6319</v>
      </c>
      <c r="C118" s="41">
        <v>45754</v>
      </c>
      <c r="D118" s="40"/>
      <c r="E118" s="40" t="s">
        <v>12</v>
      </c>
      <c r="F118" s="40" t="s">
        <v>295</v>
      </c>
      <c r="G118" s="40" t="s">
        <v>5917</v>
      </c>
      <c r="H118" s="40"/>
      <c r="I118" s="40" t="s">
        <v>49</v>
      </c>
      <c r="J118" s="40">
        <v>-2603.52</v>
      </c>
      <c r="K118" s="40"/>
      <c r="L118" s="40">
        <v>2603.52</v>
      </c>
      <c r="M118" s="40">
        <v>-2603.52</v>
      </c>
      <c r="N118" s="40" t="s">
        <v>6109</v>
      </c>
      <c r="O118" s="40" t="s">
        <v>234</v>
      </c>
    </row>
    <row r="119" spans="1:15" ht="18" customHeight="1" x14ac:dyDescent="0.2">
      <c r="A119" s="40" t="s">
        <v>6320</v>
      </c>
      <c r="B119" s="40" t="s">
        <v>6320</v>
      </c>
      <c r="C119" s="41">
        <v>45747</v>
      </c>
      <c r="D119" s="40"/>
      <c r="E119" s="40" t="s">
        <v>12</v>
      </c>
      <c r="F119" s="40" t="s">
        <v>295</v>
      </c>
      <c r="G119" s="40" t="s">
        <v>5917</v>
      </c>
      <c r="H119" s="40"/>
      <c r="I119" s="40" t="s">
        <v>49</v>
      </c>
      <c r="J119" s="40">
        <v>-2670</v>
      </c>
      <c r="K119" s="40"/>
      <c r="L119" s="40">
        <v>2670</v>
      </c>
      <c r="M119" s="40">
        <v>-2670</v>
      </c>
      <c r="N119" s="40"/>
      <c r="O119" s="40" t="s">
        <v>234</v>
      </c>
    </row>
    <row r="120" spans="1:15" ht="18" customHeight="1" x14ac:dyDescent="0.2">
      <c r="A120" s="40" t="s">
        <v>6321</v>
      </c>
      <c r="B120" s="40" t="s">
        <v>6321</v>
      </c>
      <c r="C120" s="41">
        <v>45740</v>
      </c>
      <c r="D120" s="40"/>
      <c r="E120" s="40" t="s">
        <v>12</v>
      </c>
      <c r="F120" s="40" t="s">
        <v>295</v>
      </c>
      <c r="G120" s="40" t="s">
        <v>5917</v>
      </c>
      <c r="H120" s="40"/>
      <c r="I120" s="40" t="s">
        <v>49</v>
      </c>
      <c r="J120" s="40">
        <v>-3389.09</v>
      </c>
      <c r="K120" s="40"/>
      <c r="L120" s="40">
        <v>3389.09</v>
      </c>
      <c r="M120" s="40">
        <v>-3389.09</v>
      </c>
      <c r="N120" s="40" t="s">
        <v>6163</v>
      </c>
      <c r="O120" s="40" t="s">
        <v>234</v>
      </c>
    </row>
    <row r="121" spans="1:15" ht="18" customHeight="1" x14ac:dyDescent="0.2">
      <c r="A121" s="40" t="s">
        <v>6322</v>
      </c>
      <c r="B121" s="40" t="s">
        <v>6322</v>
      </c>
      <c r="C121" s="41">
        <v>45740</v>
      </c>
      <c r="D121" s="40"/>
      <c r="E121" s="40" t="s">
        <v>12</v>
      </c>
      <c r="F121" s="40" t="s">
        <v>295</v>
      </c>
      <c r="G121" s="40" t="s">
        <v>5917</v>
      </c>
      <c r="H121" s="40"/>
      <c r="I121" s="40" t="s">
        <v>49</v>
      </c>
      <c r="J121" s="40">
        <v>-1671</v>
      </c>
      <c r="K121" s="40"/>
      <c r="L121" s="40">
        <v>1671</v>
      </c>
      <c r="M121" s="40">
        <v>-1671</v>
      </c>
      <c r="N121" s="40" t="s">
        <v>6225</v>
      </c>
      <c r="O121" s="40" t="s">
        <v>234</v>
      </c>
    </row>
    <row r="122" spans="1:15" ht="18" customHeight="1" x14ac:dyDescent="0.2">
      <c r="A122" s="40" t="s">
        <v>6323</v>
      </c>
      <c r="B122" s="40" t="s">
        <v>6323</v>
      </c>
      <c r="C122" s="41">
        <v>45733</v>
      </c>
      <c r="D122" s="40"/>
      <c r="E122" s="40" t="s">
        <v>12</v>
      </c>
      <c r="F122" s="40" t="s">
        <v>295</v>
      </c>
      <c r="G122" s="40" t="s">
        <v>5917</v>
      </c>
      <c r="H122" s="40"/>
      <c r="I122" s="40" t="s">
        <v>49</v>
      </c>
      <c r="J122" s="40">
        <v>-1507.49</v>
      </c>
      <c r="K122" s="40"/>
      <c r="L122" s="40">
        <v>1507.49</v>
      </c>
      <c r="M122" s="40">
        <v>-1507.49</v>
      </c>
      <c r="N122" s="40" t="s">
        <v>6260</v>
      </c>
      <c r="O122" s="40" t="s">
        <v>234</v>
      </c>
    </row>
    <row r="123" spans="1:15" ht="18" customHeight="1" x14ac:dyDescent="0.2">
      <c r="A123" s="40" t="s">
        <v>6324</v>
      </c>
      <c r="B123" s="40" t="s">
        <v>6324</v>
      </c>
      <c r="C123" s="41">
        <v>45733</v>
      </c>
      <c r="D123" s="40"/>
      <c r="E123" s="40" t="s">
        <v>12</v>
      </c>
      <c r="F123" s="40" t="s">
        <v>295</v>
      </c>
      <c r="G123" s="40" t="s">
        <v>5917</v>
      </c>
      <c r="H123" s="40"/>
      <c r="I123" s="40" t="s">
        <v>49</v>
      </c>
      <c r="J123" s="40">
        <v>-1277.5</v>
      </c>
      <c r="K123" s="40"/>
      <c r="L123" s="40">
        <v>1277.5</v>
      </c>
      <c r="M123" s="40">
        <v>-1277.5</v>
      </c>
      <c r="N123" s="40" t="s">
        <v>6296</v>
      </c>
      <c r="O123" s="40" t="s">
        <v>234</v>
      </c>
    </row>
    <row r="124" spans="1:15" ht="18" customHeight="1" x14ac:dyDescent="0.2">
      <c r="A124" s="40" t="s">
        <v>6325</v>
      </c>
      <c r="B124" s="40" t="s">
        <v>6325</v>
      </c>
      <c r="C124" s="41">
        <v>45733</v>
      </c>
      <c r="D124" s="40"/>
      <c r="E124" s="40" t="s">
        <v>12</v>
      </c>
      <c r="F124" s="40" t="s">
        <v>295</v>
      </c>
      <c r="G124" s="40" t="s">
        <v>5917</v>
      </c>
      <c r="H124" s="40"/>
      <c r="I124" s="40" t="s">
        <v>49</v>
      </c>
      <c r="J124" s="40">
        <v>-402.5</v>
      </c>
      <c r="K124" s="40"/>
      <c r="L124" s="40">
        <v>402.5</v>
      </c>
      <c r="M124" s="40">
        <v>-402.5</v>
      </c>
      <c r="N124" s="40" t="s">
        <v>6115</v>
      </c>
      <c r="O124" s="40" t="s">
        <v>234</v>
      </c>
    </row>
    <row r="125" spans="1:15" ht="18" customHeight="1" x14ac:dyDescent="0.2">
      <c r="A125" s="40" t="s">
        <v>6326</v>
      </c>
      <c r="B125" s="40" t="s">
        <v>6326</v>
      </c>
      <c r="C125" s="41">
        <v>45730</v>
      </c>
      <c r="D125" s="40"/>
      <c r="E125" s="40" t="s">
        <v>12</v>
      </c>
      <c r="F125" s="40" t="s">
        <v>295</v>
      </c>
      <c r="G125" s="40" t="s">
        <v>5917</v>
      </c>
      <c r="H125" s="40"/>
      <c r="I125" s="40" t="s">
        <v>49</v>
      </c>
      <c r="J125" s="40">
        <v>-959.75</v>
      </c>
      <c r="K125" s="40"/>
      <c r="L125" s="40">
        <v>959.75</v>
      </c>
      <c r="M125" s="40">
        <v>-959.75</v>
      </c>
      <c r="N125" s="40" t="s">
        <v>6115</v>
      </c>
      <c r="O125" s="40" t="s">
        <v>234</v>
      </c>
    </row>
    <row r="126" spans="1:15" ht="18" customHeight="1" x14ac:dyDescent="0.2">
      <c r="A126" s="40" t="s">
        <v>6327</v>
      </c>
      <c r="B126" s="40" t="s">
        <v>6327</v>
      </c>
      <c r="C126" s="41">
        <v>45728</v>
      </c>
      <c r="D126" s="40"/>
      <c r="E126" s="40" t="s">
        <v>12</v>
      </c>
      <c r="F126" s="40" t="s">
        <v>295</v>
      </c>
      <c r="G126" s="40" t="s">
        <v>5917</v>
      </c>
      <c r="H126" s="40"/>
      <c r="I126" s="40" t="s">
        <v>49</v>
      </c>
      <c r="J126" s="40">
        <v>-2361</v>
      </c>
      <c r="K126" s="40"/>
      <c r="L126" s="40">
        <v>2361</v>
      </c>
      <c r="M126" s="40">
        <v>-2361</v>
      </c>
      <c r="N126" s="40"/>
      <c r="O126" s="40" t="s">
        <v>234</v>
      </c>
    </row>
    <row r="127" spans="1:15" ht="18" customHeight="1" x14ac:dyDescent="0.2">
      <c r="A127" s="40" t="s">
        <v>6328</v>
      </c>
      <c r="B127" s="40" t="s">
        <v>6328</v>
      </c>
      <c r="C127" s="41">
        <v>45726</v>
      </c>
      <c r="D127" s="40"/>
      <c r="E127" s="40" t="s">
        <v>12</v>
      </c>
      <c r="F127" s="40" t="s">
        <v>295</v>
      </c>
      <c r="G127" s="40" t="s">
        <v>5917</v>
      </c>
      <c r="H127" s="40"/>
      <c r="I127" s="40" t="s">
        <v>49</v>
      </c>
      <c r="J127" s="40">
        <v>-2361</v>
      </c>
      <c r="K127" s="40"/>
      <c r="L127" s="40">
        <v>2361</v>
      </c>
      <c r="M127" s="40">
        <v>-2361</v>
      </c>
      <c r="N127" s="40" t="s">
        <v>6201</v>
      </c>
      <c r="O127" s="40" t="s">
        <v>234</v>
      </c>
    </row>
    <row r="128" spans="1:15" ht="18" customHeight="1" x14ac:dyDescent="0.2">
      <c r="A128" s="40" t="s">
        <v>6329</v>
      </c>
      <c r="B128" s="40" t="s">
        <v>6329</v>
      </c>
      <c r="C128" s="41">
        <v>45720</v>
      </c>
      <c r="D128" s="40"/>
      <c r="E128" s="40" t="s">
        <v>12</v>
      </c>
      <c r="F128" s="40" t="s">
        <v>295</v>
      </c>
      <c r="G128" s="40" t="s">
        <v>5917</v>
      </c>
      <c r="H128" s="40"/>
      <c r="I128" s="40" t="s">
        <v>49</v>
      </c>
      <c r="J128" s="40">
        <v>-2591.0100000000002</v>
      </c>
      <c r="K128" s="40"/>
      <c r="L128" s="40">
        <v>2591.0100000000002</v>
      </c>
      <c r="M128" s="40">
        <v>-2591.0100000000002</v>
      </c>
      <c r="N128" s="40" t="s">
        <v>6178</v>
      </c>
      <c r="O128" s="40" t="s">
        <v>234</v>
      </c>
    </row>
    <row r="129" spans="1:15" ht="18" customHeight="1" x14ac:dyDescent="0.2">
      <c r="A129" s="40" t="s">
        <v>6330</v>
      </c>
      <c r="B129" s="40" t="s">
        <v>6330</v>
      </c>
      <c r="C129" s="41">
        <v>45719</v>
      </c>
      <c r="D129" s="40"/>
      <c r="E129" s="40" t="s">
        <v>12</v>
      </c>
      <c r="F129" s="40" t="s">
        <v>295</v>
      </c>
      <c r="G129" s="40" t="s">
        <v>5917</v>
      </c>
      <c r="H129" s="40"/>
      <c r="I129" s="40" t="s">
        <v>49</v>
      </c>
      <c r="J129" s="40">
        <v>-1534.75</v>
      </c>
      <c r="K129" s="40"/>
      <c r="L129" s="40">
        <v>1534.75</v>
      </c>
      <c r="M129" s="40">
        <v>-1534.75</v>
      </c>
      <c r="N129" s="40" t="s">
        <v>6255</v>
      </c>
      <c r="O129" s="40" t="s">
        <v>234</v>
      </c>
    </row>
    <row r="130" spans="1:15" ht="18" customHeight="1" x14ac:dyDescent="0.2">
      <c r="A130" s="40" t="s">
        <v>6331</v>
      </c>
      <c r="B130" s="40" t="s">
        <v>6331</v>
      </c>
      <c r="C130" s="41">
        <v>45716</v>
      </c>
      <c r="D130" s="40"/>
      <c r="E130" s="40" t="s">
        <v>12</v>
      </c>
      <c r="F130" s="40" t="s">
        <v>295</v>
      </c>
      <c r="G130" s="40" t="s">
        <v>5917</v>
      </c>
      <c r="H130" s="40"/>
      <c r="I130" s="40" t="s">
        <v>49</v>
      </c>
      <c r="J130" s="40">
        <v>-3261.59</v>
      </c>
      <c r="K130" s="40"/>
      <c r="L130" s="40">
        <v>3261.59</v>
      </c>
      <c r="M130" s="40">
        <v>-3261.59</v>
      </c>
      <c r="N130" s="40" t="s">
        <v>6189</v>
      </c>
      <c r="O130" s="40" t="s">
        <v>234</v>
      </c>
    </row>
    <row r="131" spans="1:15" ht="18" customHeight="1" x14ac:dyDescent="0.2">
      <c r="A131" s="40" t="s">
        <v>6332</v>
      </c>
      <c r="B131" s="40" t="s">
        <v>6332</v>
      </c>
      <c r="C131" s="41">
        <v>45716</v>
      </c>
      <c r="D131" s="40"/>
      <c r="E131" s="40" t="s">
        <v>12</v>
      </c>
      <c r="F131" s="40" t="s">
        <v>295</v>
      </c>
      <c r="G131" s="40" t="s">
        <v>5917</v>
      </c>
      <c r="H131" s="40"/>
      <c r="I131" s="40" t="s">
        <v>49</v>
      </c>
      <c r="J131" s="40">
        <v>-2936</v>
      </c>
      <c r="K131" s="40"/>
      <c r="L131" s="40">
        <v>2936</v>
      </c>
      <c r="M131" s="40">
        <v>-2936</v>
      </c>
      <c r="N131" s="40" t="s">
        <v>6195</v>
      </c>
      <c r="O131" s="40" t="s">
        <v>234</v>
      </c>
    </row>
    <row r="132" spans="1:15" ht="18" customHeight="1" x14ac:dyDescent="0.2">
      <c r="A132" s="40" t="s">
        <v>6333</v>
      </c>
      <c r="B132" s="40" t="s">
        <v>6333</v>
      </c>
      <c r="C132" s="41">
        <v>45713</v>
      </c>
      <c r="D132" s="40"/>
      <c r="E132" s="40" t="s">
        <v>12</v>
      </c>
      <c r="F132" s="40" t="s">
        <v>295</v>
      </c>
      <c r="G132" s="40" t="s">
        <v>5917</v>
      </c>
      <c r="H132" s="40"/>
      <c r="I132" s="40" t="s">
        <v>49</v>
      </c>
      <c r="J132" s="40">
        <v>-1369.49</v>
      </c>
      <c r="K132" s="40"/>
      <c r="L132" s="40">
        <v>1369.49</v>
      </c>
      <c r="M132" s="40">
        <v>-1369.49</v>
      </c>
      <c r="N132" s="40" t="s">
        <v>6284</v>
      </c>
      <c r="O132" s="40" t="s">
        <v>234</v>
      </c>
    </row>
    <row r="133" spans="1:15" ht="18" customHeight="1" x14ac:dyDescent="0.2">
      <c r="A133" s="40" t="s">
        <v>6334</v>
      </c>
      <c r="B133" s="40" t="s">
        <v>6334</v>
      </c>
      <c r="C133" s="41">
        <v>45712</v>
      </c>
      <c r="D133" s="40"/>
      <c r="E133" s="40" t="s">
        <v>12</v>
      </c>
      <c r="F133" s="40" t="s">
        <v>295</v>
      </c>
      <c r="G133" s="40" t="s">
        <v>6335</v>
      </c>
      <c r="H133" s="40"/>
      <c r="I133" s="40" t="s">
        <v>49</v>
      </c>
      <c r="J133" s="40">
        <v>-4199.93</v>
      </c>
      <c r="K133" s="40"/>
      <c r="L133" s="40">
        <v>4199.93</v>
      </c>
      <c r="M133" s="40">
        <v>-4199.93</v>
      </c>
      <c r="N133" s="40"/>
      <c r="O133" s="40" t="s">
        <v>234</v>
      </c>
    </row>
    <row r="134" spans="1:15" ht="18" customHeight="1" x14ac:dyDescent="0.2">
      <c r="A134" s="40" t="s">
        <v>6336</v>
      </c>
      <c r="B134" s="40" t="s">
        <v>6336</v>
      </c>
      <c r="C134" s="41">
        <v>45712</v>
      </c>
      <c r="D134" s="40"/>
      <c r="E134" s="40" t="s">
        <v>12</v>
      </c>
      <c r="F134" s="40" t="s">
        <v>295</v>
      </c>
      <c r="G134" s="40" t="s">
        <v>5917</v>
      </c>
      <c r="H134" s="40"/>
      <c r="I134" s="40" t="s">
        <v>49</v>
      </c>
      <c r="J134" s="40">
        <v>-1311.02</v>
      </c>
      <c r="K134" s="40"/>
      <c r="L134" s="40">
        <v>1311.02</v>
      </c>
      <c r="M134" s="40">
        <v>-1311.02</v>
      </c>
      <c r="N134" s="40" t="s">
        <v>6290</v>
      </c>
      <c r="O134" s="40" t="s">
        <v>234</v>
      </c>
    </row>
    <row r="135" spans="1:15" ht="18" customHeight="1" x14ac:dyDescent="0.2">
      <c r="A135" s="40" t="s">
        <v>6337</v>
      </c>
      <c r="B135" s="40" t="s">
        <v>6337</v>
      </c>
      <c r="C135" s="41">
        <v>45709</v>
      </c>
      <c r="D135" s="40"/>
      <c r="E135" s="40" t="s">
        <v>12</v>
      </c>
      <c r="F135" s="40" t="s">
        <v>295</v>
      </c>
      <c r="G135" s="40" t="s">
        <v>6338</v>
      </c>
      <c r="H135" s="40"/>
      <c r="I135" s="40" t="s">
        <v>49</v>
      </c>
      <c r="J135" s="40">
        <v>-4192.2</v>
      </c>
      <c r="K135" s="40"/>
      <c r="L135" s="40">
        <v>4192.2</v>
      </c>
      <c r="M135" s="40">
        <v>-4192.2</v>
      </c>
      <c r="N135" s="40"/>
      <c r="O135" s="40" t="s">
        <v>234</v>
      </c>
    </row>
    <row r="136" spans="1:15" ht="18" customHeight="1" x14ac:dyDescent="0.2">
      <c r="A136" s="40" t="s">
        <v>6339</v>
      </c>
      <c r="B136" s="40" t="s">
        <v>6339</v>
      </c>
      <c r="C136" s="41">
        <v>45709</v>
      </c>
      <c r="D136" s="40"/>
      <c r="E136" s="40" t="s">
        <v>12</v>
      </c>
      <c r="F136" s="40" t="s">
        <v>295</v>
      </c>
      <c r="G136" s="40" t="s">
        <v>5917</v>
      </c>
      <c r="H136" s="40"/>
      <c r="I136" s="40" t="s">
        <v>49</v>
      </c>
      <c r="J136" s="40">
        <v>-2514.11</v>
      </c>
      <c r="K136" s="40"/>
      <c r="L136" s="40">
        <v>2514.11</v>
      </c>
      <c r="M136" s="40">
        <v>-2514.11</v>
      </c>
      <c r="N136" s="40"/>
      <c r="O136" s="40" t="s">
        <v>234</v>
      </c>
    </row>
    <row r="137" spans="1:15" ht="18" customHeight="1" x14ac:dyDescent="0.2">
      <c r="A137" s="40" t="s">
        <v>6340</v>
      </c>
      <c r="B137" s="40" t="s">
        <v>6340</v>
      </c>
      <c r="C137" s="41">
        <v>45708</v>
      </c>
      <c r="D137" s="40"/>
      <c r="E137" s="40" t="s">
        <v>12</v>
      </c>
      <c r="F137" s="40" t="s">
        <v>295</v>
      </c>
      <c r="G137" s="40" t="s">
        <v>5917</v>
      </c>
      <c r="H137" s="40"/>
      <c r="I137" s="40" t="s">
        <v>49</v>
      </c>
      <c r="J137" s="40">
        <v>-1622.51</v>
      </c>
      <c r="K137" s="40"/>
      <c r="L137" s="40">
        <v>1622.51</v>
      </c>
      <c r="M137" s="40">
        <v>-1622.51</v>
      </c>
      <c r="N137" s="40" t="s">
        <v>6237</v>
      </c>
      <c r="O137" s="40" t="s">
        <v>234</v>
      </c>
    </row>
    <row r="138" spans="1:15" ht="18" customHeight="1" x14ac:dyDescent="0.2">
      <c r="A138" s="40" t="s">
        <v>6341</v>
      </c>
      <c r="B138" s="40" t="s">
        <v>6341</v>
      </c>
      <c r="C138" s="41">
        <v>45706</v>
      </c>
      <c r="D138" s="40"/>
      <c r="E138" s="40" t="s">
        <v>12</v>
      </c>
      <c r="F138" s="40" t="s">
        <v>295</v>
      </c>
      <c r="G138" s="40" t="s">
        <v>5917</v>
      </c>
      <c r="H138" s="40"/>
      <c r="I138" s="40" t="s">
        <v>49</v>
      </c>
      <c r="J138" s="40">
        <v>-1622.5</v>
      </c>
      <c r="K138" s="40"/>
      <c r="L138" s="40">
        <v>1622.5</v>
      </c>
      <c r="M138" s="40">
        <v>-1622.5</v>
      </c>
      <c r="N138" s="40" t="s">
        <v>6243</v>
      </c>
      <c r="O138" s="40" t="s">
        <v>234</v>
      </c>
    </row>
    <row r="139" spans="1:15" ht="18" customHeight="1" x14ac:dyDescent="0.2">
      <c r="A139" s="40" t="s">
        <v>6342</v>
      </c>
      <c r="B139" s="40" t="s">
        <v>6342</v>
      </c>
      <c r="C139" s="41">
        <v>45705</v>
      </c>
      <c r="D139" s="40"/>
      <c r="E139" s="40" t="s">
        <v>12</v>
      </c>
      <c r="F139" s="40" t="s">
        <v>295</v>
      </c>
      <c r="G139" s="40" t="s">
        <v>5917</v>
      </c>
      <c r="H139" s="40"/>
      <c r="I139" s="40" t="s">
        <v>49</v>
      </c>
      <c r="J139" s="40">
        <v>-5220.1000000000004</v>
      </c>
      <c r="K139" s="40"/>
      <c r="L139" s="40">
        <v>5220.1000000000004</v>
      </c>
      <c r="M139" s="40">
        <v>-5220.1000000000004</v>
      </c>
      <c r="N139" s="40"/>
      <c r="O139" s="40" t="s">
        <v>234</v>
      </c>
    </row>
    <row r="140" spans="1:15" ht="18" customHeight="1" x14ac:dyDescent="0.2">
      <c r="A140" s="40" t="s">
        <v>6343</v>
      </c>
      <c r="B140" s="40" t="s">
        <v>6343</v>
      </c>
      <c r="C140" s="41">
        <v>45702</v>
      </c>
      <c r="D140" s="40"/>
      <c r="E140" s="40" t="s">
        <v>12</v>
      </c>
      <c r="F140" s="40" t="s">
        <v>295</v>
      </c>
      <c r="G140" s="40" t="s">
        <v>5917</v>
      </c>
      <c r="H140" s="40"/>
      <c r="I140" s="40" t="s">
        <v>49</v>
      </c>
      <c r="J140" s="40">
        <v>-1943.51</v>
      </c>
      <c r="K140" s="40"/>
      <c r="L140" s="40">
        <v>1943.51</v>
      </c>
      <c r="M140" s="40">
        <v>-1943.51</v>
      </c>
      <c r="N140" s="40" t="s">
        <v>6213</v>
      </c>
      <c r="O140" s="40" t="s">
        <v>234</v>
      </c>
    </row>
    <row r="141" spans="1:15" ht="18" customHeight="1" x14ac:dyDescent="0.2">
      <c r="A141" s="40" t="s">
        <v>6344</v>
      </c>
      <c r="B141" s="40" t="s">
        <v>6344</v>
      </c>
      <c r="C141" s="41">
        <v>45700</v>
      </c>
      <c r="D141" s="40"/>
      <c r="E141" s="40" t="s">
        <v>12</v>
      </c>
      <c r="F141" s="40" t="s">
        <v>295</v>
      </c>
      <c r="G141" s="40" t="s">
        <v>5917</v>
      </c>
      <c r="H141" s="40"/>
      <c r="I141" s="40" t="s">
        <v>49</v>
      </c>
      <c r="J141" s="40">
        <v>-1878</v>
      </c>
      <c r="K141" s="40"/>
      <c r="L141" s="40">
        <v>1878</v>
      </c>
      <c r="M141" s="40">
        <v>-1878</v>
      </c>
      <c r="N141" s="40"/>
      <c r="O141" s="40" t="s">
        <v>234</v>
      </c>
    </row>
    <row r="142" spans="1:15" ht="18" customHeight="1" x14ac:dyDescent="0.2">
      <c r="A142" s="40" t="s">
        <v>6345</v>
      </c>
      <c r="B142" s="40" t="s">
        <v>6345</v>
      </c>
      <c r="C142" s="41">
        <v>45698</v>
      </c>
      <c r="D142" s="40"/>
      <c r="E142" s="40" t="s">
        <v>12</v>
      </c>
      <c r="F142" s="40" t="s">
        <v>295</v>
      </c>
      <c r="G142" s="40" t="s">
        <v>5917</v>
      </c>
      <c r="H142" s="40"/>
      <c r="I142" s="40" t="s">
        <v>49</v>
      </c>
      <c r="J142" s="40">
        <v>-4107.49</v>
      </c>
      <c r="K142" s="40"/>
      <c r="L142" s="40">
        <v>4107.49</v>
      </c>
      <c r="M142" s="40">
        <v>-4107.49</v>
      </c>
      <c r="N142" s="40"/>
      <c r="O142" s="40" t="s">
        <v>234</v>
      </c>
    </row>
    <row r="143" spans="1:15" ht="18" customHeight="1" x14ac:dyDescent="0.2">
      <c r="A143" s="40" t="s">
        <v>6346</v>
      </c>
      <c r="B143" s="40" t="s">
        <v>6346</v>
      </c>
      <c r="C143" s="41">
        <v>45695</v>
      </c>
      <c r="D143" s="40"/>
      <c r="E143" s="40" t="s">
        <v>12</v>
      </c>
      <c r="F143" s="40" t="s">
        <v>295</v>
      </c>
      <c r="G143" s="40" t="s">
        <v>5917</v>
      </c>
      <c r="H143" s="40"/>
      <c r="I143" s="40" t="s">
        <v>49</v>
      </c>
      <c r="J143" s="40">
        <v>-748.5</v>
      </c>
      <c r="K143" s="40"/>
      <c r="L143" s="40">
        <v>748.5</v>
      </c>
      <c r="M143" s="40">
        <v>-748.5</v>
      </c>
      <c r="N143" s="40" t="s">
        <v>6314</v>
      </c>
      <c r="O143" s="40" t="s">
        <v>234</v>
      </c>
    </row>
    <row r="144" spans="1:15" ht="18" customHeight="1" x14ac:dyDescent="0.2">
      <c r="A144" s="40" t="s">
        <v>6347</v>
      </c>
      <c r="B144" s="40" t="s">
        <v>6347</v>
      </c>
      <c r="C144" s="41">
        <v>45694</v>
      </c>
      <c r="D144" s="40"/>
      <c r="E144" s="40" t="s">
        <v>12</v>
      </c>
      <c r="F144" s="40" t="s">
        <v>295</v>
      </c>
      <c r="G144" s="40" t="s">
        <v>5917</v>
      </c>
      <c r="H144" s="40"/>
      <c r="I144" s="40" t="s">
        <v>49</v>
      </c>
      <c r="J144" s="40">
        <v>-3625.99</v>
      </c>
      <c r="K144" s="40"/>
      <c r="L144" s="40">
        <v>3625.99</v>
      </c>
      <c r="M144" s="40">
        <v>-3625.99</v>
      </c>
      <c r="N144" s="40" t="s">
        <v>6183</v>
      </c>
      <c r="O144" s="40" t="s">
        <v>234</v>
      </c>
    </row>
    <row r="145" spans="1:15" ht="18" customHeight="1" x14ac:dyDescent="0.2">
      <c r="A145" s="40" t="s">
        <v>6348</v>
      </c>
      <c r="B145" s="40" t="s">
        <v>6348</v>
      </c>
      <c r="C145" s="41">
        <v>45692</v>
      </c>
      <c r="D145" s="40"/>
      <c r="E145" s="40" t="s">
        <v>12</v>
      </c>
      <c r="F145" s="40" t="s">
        <v>295</v>
      </c>
      <c r="G145" s="40" t="s">
        <v>5917</v>
      </c>
      <c r="H145" s="40"/>
      <c r="I145" s="40" t="s">
        <v>49</v>
      </c>
      <c r="J145" s="40">
        <v>-1651.6</v>
      </c>
      <c r="K145" s="40"/>
      <c r="L145" s="40">
        <v>1651.6</v>
      </c>
      <c r="M145" s="40">
        <v>-1651.6</v>
      </c>
      <c r="N145" s="40" t="s">
        <v>6147</v>
      </c>
      <c r="O145" s="40" t="s">
        <v>234</v>
      </c>
    </row>
    <row r="146" spans="1:15" ht="18" customHeight="1" x14ac:dyDescent="0.2">
      <c r="A146" s="40" t="s">
        <v>6349</v>
      </c>
      <c r="B146" s="40" t="s">
        <v>6349</v>
      </c>
      <c r="C146" s="41">
        <v>45691</v>
      </c>
      <c r="D146" s="40"/>
      <c r="E146" s="40" t="s">
        <v>12</v>
      </c>
      <c r="F146" s="40" t="s">
        <v>295</v>
      </c>
      <c r="G146" s="40" t="s">
        <v>5917</v>
      </c>
      <c r="H146" s="40"/>
      <c r="I146" s="40" t="s">
        <v>49</v>
      </c>
      <c r="J146" s="40">
        <v>-1737.52</v>
      </c>
      <c r="K146" s="40"/>
      <c r="L146" s="40">
        <v>1737.52</v>
      </c>
      <c r="M146" s="40">
        <v>-1737.52</v>
      </c>
      <c r="N146" s="40" t="s">
        <v>6219</v>
      </c>
      <c r="O146" s="40" t="s">
        <v>234</v>
      </c>
    </row>
    <row r="147" spans="1:15" ht="18" customHeight="1" x14ac:dyDescent="0.2">
      <c r="A147" s="40" t="s">
        <v>6350</v>
      </c>
      <c r="B147" s="40" t="s">
        <v>6350</v>
      </c>
      <c r="C147" s="41">
        <v>45691</v>
      </c>
      <c r="D147" s="40"/>
      <c r="E147" s="40" t="s">
        <v>12</v>
      </c>
      <c r="F147" s="40" t="s">
        <v>295</v>
      </c>
      <c r="G147" s="40" t="s">
        <v>5917</v>
      </c>
      <c r="H147" s="40"/>
      <c r="I147" s="40" t="s">
        <v>49</v>
      </c>
      <c r="J147" s="40">
        <v>-966</v>
      </c>
      <c r="K147" s="40"/>
      <c r="L147" s="40">
        <v>966</v>
      </c>
      <c r="M147" s="40">
        <v>-966</v>
      </c>
      <c r="N147" s="40" t="s">
        <v>6302</v>
      </c>
      <c r="O147" s="40" t="s">
        <v>234</v>
      </c>
    </row>
    <row r="148" spans="1:15" ht="18" customHeight="1" x14ac:dyDescent="0.2">
      <c r="A148" s="40" t="s">
        <v>6351</v>
      </c>
      <c r="B148" s="40" t="s">
        <v>6351</v>
      </c>
      <c r="C148" s="41">
        <v>45688</v>
      </c>
      <c r="D148" s="40"/>
      <c r="E148" s="40" t="s">
        <v>12</v>
      </c>
      <c r="F148" s="40" t="s">
        <v>295</v>
      </c>
      <c r="G148" s="40" t="s">
        <v>5917</v>
      </c>
      <c r="H148" s="40"/>
      <c r="I148" s="40" t="s">
        <v>49</v>
      </c>
      <c r="J148" s="40">
        <v>-4797.5</v>
      </c>
      <c r="K148" s="40"/>
      <c r="L148" s="40">
        <v>4797.5</v>
      </c>
      <c r="M148" s="40">
        <v>-4797.5</v>
      </c>
      <c r="N148" s="40" t="s">
        <v>6099</v>
      </c>
      <c r="O148" s="40" t="s">
        <v>234</v>
      </c>
    </row>
    <row r="149" spans="1:15" ht="18" customHeight="1" x14ac:dyDescent="0.2">
      <c r="A149" s="40" t="s">
        <v>6352</v>
      </c>
      <c r="B149" s="40" t="s">
        <v>6352</v>
      </c>
      <c r="C149" s="41">
        <v>45687</v>
      </c>
      <c r="D149" s="40"/>
      <c r="E149" s="40" t="s">
        <v>12</v>
      </c>
      <c r="F149" s="40" t="s">
        <v>295</v>
      </c>
      <c r="G149" s="40" t="s">
        <v>5917</v>
      </c>
      <c r="H149" s="40"/>
      <c r="I149" s="40" t="s">
        <v>49</v>
      </c>
      <c r="J149" s="40">
        <v>-1622.5</v>
      </c>
      <c r="K149" s="40"/>
      <c r="L149" s="40">
        <v>1622.5</v>
      </c>
      <c r="M149" s="40">
        <v>-1622.5</v>
      </c>
      <c r="N149" s="40" t="s">
        <v>6249</v>
      </c>
      <c r="O149" s="40" t="s">
        <v>234</v>
      </c>
    </row>
    <row r="150" spans="1:15" ht="18" customHeight="1" x14ac:dyDescent="0.2">
      <c r="A150" s="40" t="s">
        <v>6353</v>
      </c>
      <c r="B150" s="40" t="s">
        <v>6353</v>
      </c>
      <c r="C150" s="41">
        <v>45686</v>
      </c>
      <c r="D150" s="40"/>
      <c r="E150" s="40" t="s">
        <v>12</v>
      </c>
      <c r="F150" s="40" t="s">
        <v>295</v>
      </c>
      <c r="G150" s="40" t="s">
        <v>5917</v>
      </c>
      <c r="H150" s="40"/>
      <c r="I150" s="40" t="s">
        <v>49</v>
      </c>
      <c r="J150" s="40">
        <v>-1392.5</v>
      </c>
      <c r="K150" s="40"/>
      <c r="L150" s="40">
        <v>1392.5</v>
      </c>
      <c r="M150" s="40">
        <v>-1392.5</v>
      </c>
      <c r="N150" s="40" t="s">
        <v>6278</v>
      </c>
      <c r="O150" s="40" t="s">
        <v>234</v>
      </c>
    </row>
    <row r="151" spans="1:15" ht="18" customHeight="1" x14ac:dyDescent="0.2">
      <c r="A151" s="40" t="s">
        <v>6354</v>
      </c>
      <c r="B151" s="40" t="s">
        <v>6354</v>
      </c>
      <c r="C151" s="41">
        <v>45685</v>
      </c>
      <c r="D151" s="40"/>
      <c r="E151" s="40" t="s">
        <v>12</v>
      </c>
      <c r="F151" s="40" t="s">
        <v>295</v>
      </c>
      <c r="G151" s="40" t="s">
        <v>5917</v>
      </c>
      <c r="H151" s="40"/>
      <c r="I151" s="40" t="s">
        <v>49</v>
      </c>
      <c r="J151" s="40">
        <v>-3445.9</v>
      </c>
      <c r="K151" s="40"/>
      <c r="L151" s="40">
        <v>3445.9</v>
      </c>
      <c r="M151" s="40">
        <v>-3445.9</v>
      </c>
      <c r="N151" s="40" t="s">
        <v>6137</v>
      </c>
      <c r="O151" s="40" t="s">
        <v>234</v>
      </c>
    </row>
    <row r="152" spans="1:15" ht="18" customHeight="1" x14ac:dyDescent="0.2">
      <c r="A152" s="40" t="s">
        <v>6355</v>
      </c>
      <c r="B152" s="40" t="s">
        <v>6355</v>
      </c>
      <c r="C152" s="41">
        <v>45685</v>
      </c>
      <c r="D152" s="40"/>
      <c r="E152" s="40" t="s">
        <v>12</v>
      </c>
      <c r="F152" s="40" t="s">
        <v>295</v>
      </c>
      <c r="G152" s="40" t="s">
        <v>5917</v>
      </c>
      <c r="H152" s="40"/>
      <c r="I152" s="40" t="s">
        <v>49</v>
      </c>
      <c r="J152" s="40">
        <v>-2303.5</v>
      </c>
      <c r="K152" s="40"/>
      <c r="L152" s="40">
        <v>2303.5</v>
      </c>
      <c r="M152" s="40">
        <v>-2303.5</v>
      </c>
      <c r="N152" s="40" t="s">
        <v>6207</v>
      </c>
      <c r="O152" s="40" t="s">
        <v>234</v>
      </c>
    </row>
    <row r="153" spans="1:15" ht="18" customHeight="1" x14ac:dyDescent="0.2">
      <c r="A153" s="40" t="s">
        <v>6356</v>
      </c>
      <c r="B153" s="40" t="s">
        <v>6356</v>
      </c>
      <c r="C153" s="41">
        <v>45685</v>
      </c>
      <c r="D153" s="40"/>
      <c r="E153" s="40" t="s">
        <v>12</v>
      </c>
      <c r="F153" s="40" t="s">
        <v>295</v>
      </c>
      <c r="G153" s="40" t="s">
        <v>5917</v>
      </c>
      <c r="H153" s="40"/>
      <c r="I153" s="40" t="s">
        <v>49</v>
      </c>
      <c r="J153" s="40">
        <v>-1651.6</v>
      </c>
      <c r="K153" s="40"/>
      <c r="L153" s="40">
        <v>1651.6</v>
      </c>
      <c r="M153" s="40">
        <v>-1651.6</v>
      </c>
      <c r="N153" s="40" t="s">
        <v>6231</v>
      </c>
      <c r="O153" s="40" t="s">
        <v>234</v>
      </c>
    </row>
    <row r="154" spans="1:15" ht="18" customHeight="1" x14ac:dyDescent="0.2">
      <c r="A154" s="40" t="s">
        <v>6357</v>
      </c>
      <c r="B154" s="40" t="s">
        <v>6357</v>
      </c>
      <c r="C154" s="41">
        <v>45685</v>
      </c>
      <c r="D154" s="40"/>
      <c r="E154" s="40" t="s">
        <v>12</v>
      </c>
      <c r="F154" s="40" t="s">
        <v>295</v>
      </c>
      <c r="G154" s="40" t="s">
        <v>5917</v>
      </c>
      <c r="H154" s="40"/>
      <c r="I154" s="40" t="s">
        <v>49</v>
      </c>
      <c r="J154" s="40">
        <v>-862.52</v>
      </c>
      <c r="K154" s="40"/>
      <c r="L154" s="40">
        <v>862.52</v>
      </c>
      <c r="M154" s="40">
        <v>-862.52</v>
      </c>
      <c r="N154" s="40"/>
      <c r="O154" s="40" t="s">
        <v>234</v>
      </c>
    </row>
    <row r="155" spans="1:15" ht="18" customHeight="1" x14ac:dyDescent="0.2">
      <c r="A155" s="40" t="s">
        <v>6358</v>
      </c>
      <c r="B155" s="40" t="s">
        <v>6358</v>
      </c>
      <c r="C155" s="41">
        <v>45679</v>
      </c>
      <c r="D155" s="40"/>
      <c r="E155" s="40" t="s">
        <v>12</v>
      </c>
      <c r="F155" s="40" t="s">
        <v>295</v>
      </c>
      <c r="G155" s="40" t="s">
        <v>5917</v>
      </c>
      <c r="H155" s="40"/>
      <c r="I155" s="40" t="s">
        <v>49</v>
      </c>
      <c r="J155" s="40">
        <v>-1420.9</v>
      </c>
      <c r="K155" s="40"/>
      <c r="L155" s="40">
        <v>1420.9</v>
      </c>
      <c r="M155" s="40">
        <v>-1420.9</v>
      </c>
      <c r="N155" s="40" t="s">
        <v>6272</v>
      </c>
      <c r="O155" s="40" t="s">
        <v>234</v>
      </c>
    </row>
    <row r="156" spans="1:15" ht="18" customHeight="1" x14ac:dyDescent="0.2">
      <c r="A156" s="40" t="s">
        <v>6359</v>
      </c>
      <c r="B156" s="40" t="s">
        <v>6359</v>
      </c>
      <c r="C156" s="41">
        <v>45677</v>
      </c>
      <c r="D156" s="40"/>
      <c r="E156" s="40" t="s">
        <v>12</v>
      </c>
      <c r="F156" s="40" t="s">
        <v>295</v>
      </c>
      <c r="G156" s="40" t="s">
        <v>5917</v>
      </c>
      <c r="H156" s="40"/>
      <c r="I156" s="40" t="s">
        <v>49</v>
      </c>
      <c r="J156" s="40">
        <v>-4594.6000000000004</v>
      </c>
      <c r="K156" s="40"/>
      <c r="L156" s="40">
        <v>4594.6000000000004</v>
      </c>
      <c r="M156" s="40">
        <v>-4594.6000000000004</v>
      </c>
      <c r="N156" s="40"/>
      <c r="O156" s="40" t="s">
        <v>234</v>
      </c>
    </row>
    <row r="157" spans="1:15" ht="18" customHeight="1" x14ac:dyDescent="0.2">
      <c r="A157" s="40" t="s">
        <v>6360</v>
      </c>
      <c r="B157" s="40" t="s">
        <v>6360</v>
      </c>
      <c r="C157" s="41">
        <v>45677</v>
      </c>
      <c r="D157" s="40"/>
      <c r="E157" s="40" t="s">
        <v>12</v>
      </c>
      <c r="F157" s="40" t="s">
        <v>295</v>
      </c>
      <c r="G157" s="40" t="s">
        <v>5917</v>
      </c>
      <c r="H157" s="40"/>
      <c r="I157" s="40" t="s">
        <v>49</v>
      </c>
      <c r="J157" s="40">
        <v>-1478.4</v>
      </c>
      <c r="K157" s="40"/>
      <c r="L157" s="40">
        <v>1478.4</v>
      </c>
      <c r="M157" s="40">
        <v>-1478.4</v>
      </c>
      <c r="N157" s="40" t="s">
        <v>6266</v>
      </c>
      <c r="O157" s="40" t="s">
        <v>234</v>
      </c>
    </row>
    <row r="158" spans="1:15" ht="18" customHeight="1" x14ac:dyDescent="0.2">
      <c r="A158" s="40" t="s">
        <v>6361</v>
      </c>
      <c r="B158" s="40" t="s">
        <v>6361</v>
      </c>
      <c r="C158" s="41">
        <v>45677</v>
      </c>
      <c r="D158" s="40"/>
      <c r="E158" s="40" t="s">
        <v>12</v>
      </c>
      <c r="F158" s="40" t="s">
        <v>295</v>
      </c>
      <c r="G158" s="40" t="s">
        <v>5917</v>
      </c>
      <c r="H158" s="40"/>
      <c r="I158" s="40" t="s">
        <v>49</v>
      </c>
      <c r="J158" s="40">
        <v>-862.5</v>
      </c>
      <c r="K158" s="40"/>
      <c r="L158" s="40">
        <v>862.5</v>
      </c>
      <c r="M158" s="40">
        <v>-862.5</v>
      </c>
      <c r="N158" s="40" t="s">
        <v>6152</v>
      </c>
      <c r="O158" s="40" t="s">
        <v>234</v>
      </c>
    </row>
    <row r="159" spans="1:15" ht="18" customHeight="1" x14ac:dyDescent="0.2">
      <c r="A159" s="40" t="s">
        <v>6362</v>
      </c>
      <c r="B159" s="40" t="s">
        <v>6362</v>
      </c>
      <c r="C159" s="41">
        <v>45673</v>
      </c>
      <c r="D159" s="40"/>
      <c r="E159" s="40" t="s">
        <v>12</v>
      </c>
      <c r="F159" s="40" t="s">
        <v>295</v>
      </c>
      <c r="G159" s="40" t="s">
        <v>5917</v>
      </c>
      <c r="H159" s="40"/>
      <c r="I159" s="40" t="s">
        <v>49</v>
      </c>
      <c r="J159" s="40">
        <v>-3495.11</v>
      </c>
      <c r="K159" s="40"/>
      <c r="L159" s="40">
        <v>3495.11</v>
      </c>
      <c r="M159" s="40">
        <v>-3495.11</v>
      </c>
      <c r="N159" s="40"/>
      <c r="O159" s="40" t="s">
        <v>234</v>
      </c>
    </row>
    <row r="160" spans="1:15" ht="18" customHeight="1" x14ac:dyDescent="0.2">
      <c r="A160" s="40" t="s">
        <v>6363</v>
      </c>
      <c r="B160" s="40" t="s">
        <v>6363</v>
      </c>
      <c r="C160" s="41">
        <v>45670</v>
      </c>
      <c r="D160" s="40"/>
      <c r="E160" s="40" t="s">
        <v>12</v>
      </c>
      <c r="F160" s="40" t="s">
        <v>295</v>
      </c>
      <c r="G160" s="40" t="s">
        <v>5917</v>
      </c>
      <c r="H160" s="40"/>
      <c r="I160" s="40" t="s">
        <v>49</v>
      </c>
      <c r="J160" s="40">
        <v>-5700.88</v>
      </c>
      <c r="K160" s="40"/>
      <c r="L160" s="40">
        <v>5700.88</v>
      </c>
      <c r="M160" s="40">
        <v>-5700.88</v>
      </c>
      <c r="N160" s="40"/>
      <c r="O160" s="40" t="s">
        <v>234</v>
      </c>
    </row>
    <row r="161" spans="1:15" ht="18" customHeight="1" x14ac:dyDescent="0.2">
      <c r="A161" s="40" t="s">
        <v>6364</v>
      </c>
      <c r="B161" s="40" t="s">
        <v>6364</v>
      </c>
      <c r="C161" s="41">
        <v>45664</v>
      </c>
      <c r="D161" s="40"/>
      <c r="E161" s="40" t="s">
        <v>12</v>
      </c>
      <c r="F161" s="40" t="s">
        <v>295</v>
      </c>
      <c r="G161" s="40" t="s">
        <v>6365</v>
      </c>
      <c r="H161" s="40"/>
      <c r="I161" s="40" t="s">
        <v>49</v>
      </c>
      <c r="J161" s="40">
        <v>-3215.9</v>
      </c>
      <c r="K161" s="40"/>
      <c r="L161" s="40">
        <v>3215.9</v>
      </c>
      <c r="M161" s="40">
        <v>-3215.9</v>
      </c>
      <c r="N161" s="40"/>
      <c r="O161" s="40" t="s">
        <v>234</v>
      </c>
    </row>
    <row r="162" spans="1:15" ht="18" customHeight="1" x14ac:dyDescent="0.2">
      <c r="A162" s="40" t="s">
        <v>6366</v>
      </c>
      <c r="B162" s="40" t="s">
        <v>6366</v>
      </c>
      <c r="C162" s="41">
        <v>45664</v>
      </c>
      <c r="D162" s="40"/>
      <c r="E162" s="40" t="s">
        <v>12</v>
      </c>
      <c r="F162" s="40" t="s">
        <v>295</v>
      </c>
      <c r="G162" s="40" t="s">
        <v>6367</v>
      </c>
      <c r="H162" s="40"/>
      <c r="I162" s="40" t="s">
        <v>49</v>
      </c>
      <c r="J162" s="40">
        <v>-862.5</v>
      </c>
      <c r="K162" s="40"/>
      <c r="L162" s="40">
        <v>862.5</v>
      </c>
      <c r="M162" s="40">
        <v>-862.5</v>
      </c>
      <c r="N162" s="40" t="s">
        <v>6308</v>
      </c>
      <c r="O162" s="40" t="s">
        <v>234</v>
      </c>
    </row>
    <row r="163" spans="1:15" ht="18" customHeight="1" x14ac:dyDescent="0.2">
      <c r="A163" s="40" t="s">
        <v>6368</v>
      </c>
      <c r="B163" s="40" t="s">
        <v>6368</v>
      </c>
      <c r="C163" s="41">
        <v>45659</v>
      </c>
      <c r="D163" s="40"/>
      <c r="E163" s="40" t="s">
        <v>12</v>
      </c>
      <c r="F163" s="40" t="s">
        <v>295</v>
      </c>
      <c r="G163" s="40" t="s">
        <v>6369</v>
      </c>
      <c r="H163" s="40"/>
      <c r="I163" s="40" t="s">
        <v>49</v>
      </c>
      <c r="J163" s="40">
        <v>-9137.4</v>
      </c>
      <c r="K163" s="40"/>
      <c r="L163" s="40">
        <v>9137.4</v>
      </c>
      <c r="M163" s="40">
        <v>-9137.4</v>
      </c>
      <c r="N163" s="40"/>
      <c r="O163" s="40" t="s">
        <v>234</v>
      </c>
    </row>
    <row r="164" spans="1:15" ht="18" customHeight="1" x14ac:dyDescent="0.2">
      <c r="A164" s="40" t="s">
        <v>6370</v>
      </c>
      <c r="B164" s="40" t="s">
        <v>6370</v>
      </c>
      <c r="C164" s="41">
        <v>45659</v>
      </c>
      <c r="D164" s="40"/>
      <c r="E164" s="40" t="s">
        <v>12</v>
      </c>
      <c r="F164" s="40" t="s">
        <v>295</v>
      </c>
      <c r="G164" s="40" t="s">
        <v>6367</v>
      </c>
      <c r="H164" s="40"/>
      <c r="I164" s="40" t="s">
        <v>49</v>
      </c>
      <c r="J164" s="40">
        <v>-6353.5</v>
      </c>
      <c r="K164" s="40"/>
      <c r="L164" s="40">
        <v>6353.5</v>
      </c>
      <c r="M164" s="40">
        <v>-6353.5</v>
      </c>
      <c r="N164" s="40"/>
      <c r="O164" s="40" t="s">
        <v>234</v>
      </c>
    </row>
    <row r="165" spans="1:15" ht="18" customHeight="1" x14ac:dyDescent="0.2">
      <c r="A165" s="40" t="s">
        <v>6371</v>
      </c>
      <c r="B165" s="40" t="s">
        <v>6371</v>
      </c>
      <c r="C165" s="41">
        <v>45659</v>
      </c>
      <c r="D165" s="40"/>
      <c r="E165" s="40" t="s">
        <v>12</v>
      </c>
      <c r="F165" s="40" t="s">
        <v>295</v>
      </c>
      <c r="G165" s="40" t="s">
        <v>6367</v>
      </c>
      <c r="H165" s="40"/>
      <c r="I165" s="40" t="s">
        <v>49</v>
      </c>
      <c r="J165" s="40">
        <v>-1969.1</v>
      </c>
      <c r="K165" s="40"/>
      <c r="L165" s="40">
        <v>1969.1</v>
      </c>
      <c r="M165" s="40">
        <v>-1969.1</v>
      </c>
      <c r="N165" s="40"/>
      <c r="O165" s="40" t="s">
        <v>234</v>
      </c>
    </row>
    <row r="166" spans="1:15" ht="18" customHeight="1" x14ac:dyDescent="0.2">
      <c r="A166" s="40" t="s">
        <v>5666</v>
      </c>
      <c r="B166" s="40" t="s">
        <v>5667</v>
      </c>
      <c r="C166" s="41">
        <v>45658</v>
      </c>
      <c r="D166" s="40"/>
      <c r="E166" s="40" t="s">
        <v>12</v>
      </c>
      <c r="F166" s="40" t="s">
        <v>295</v>
      </c>
      <c r="G166" s="40" t="s">
        <v>6372</v>
      </c>
      <c r="H166" s="40" t="s">
        <v>5669</v>
      </c>
      <c r="I166" s="40" t="s">
        <v>49</v>
      </c>
      <c r="J166" s="40">
        <v>-381.16</v>
      </c>
      <c r="K166" s="40"/>
      <c r="L166" s="40">
        <v>381.16</v>
      </c>
      <c r="M166" s="40">
        <v>-381.16</v>
      </c>
      <c r="N166" s="40"/>
      <c r="O166" s="40" t="s">
        <v>234</v>
      </c>
    </row>
    <row r="167" spans="1:15" ht="18" customHeight="1" x14ac:dyDescent="0.2">
      <c r="A167" s="40" t="s">
        <v>5666</v>
      </c>
      <c r="B167" s="40" t="s">
        <v>5667</v>
      </c>
      <c r="C167" s="41">
        <v>45658</v>
      </c>
      <c r="D167" s="40"/>
      <c r="E167" s="40" t="s">
        <v>12</v>
      </c>
      <c r="F167" s="40" t="s">
        <v>295</v>
      </c>
      <c r="G167" s="40" t="s">
        <v>5917</v>
      </c>
      <c r="H167" s="40" t="s">
        <v>5669</v>
      </c>
      <c r="I167" s="40" t="s">
        <v>49</v>
      </c>
      <c r="J167" s="40">
        <v>-2929.4</v>
      </c>
      <c r="K167" s="40"/>
      <c r="L167" s="40">
        <v>2929.4</v>
      </c>
      <c r="M167" s="40">
        <v>-2929.4</v>
      </c>
      <c r="N167" s="40"/>
      <c r="O167" s="40" t="s">
        <v>234</v>
      </c>
    </row>
    <row r="168" spans="1:15" ht="18" customHeight="1" x14ac:dyDescent="0.2">
      <c r="A168" s="40" t="s">
        <v>5666</v>
      </c>
      <c r="B168" s="40" t="s">
        <v>5667</v>
      </c>
      <c r="C168" s="41">
        <v>45658</v>
      </c>
      <c r="D168" s="40"/>
      <c r="E168" s="40" t="s">
        <v>12</v>
      </c>
      <c r="F168" s="40" t="s">
        <v>295</v>
      </c>
      <c r="G168" s="40" t="s">
        <v>5917</v>
      </c>
      <c r="H168" s="40" t="s">
        <v>5669</v>
      </c>
      <c r="I168" s="40" t="s">
        <v>49</v>
      </c>
      <c r="J168" s="40">
        <v>-2007.9</v>
      </c>
      <c r="K168" s="40"/>
      <c r="L168" s="40">
        <v>2007.9</v>
      </c>
      <c r="M168" s="40">
        <v>-2007.9</v>
      </c>
      <c r="N168" s="40"/>
      <c r="O168" s="40" t="s">
        <v>234</v>
      </c>
    </row>
    <row r="169" spans="1:15" ht="18" customHeight="1" x14ac:dyDescent="0.2">
      <c r="A169" s="40" t="s">
        <v>5666</v>
      </c>
      <c r="B169" s="40" t="s">
        <v>5667</v>
      </c>
      <c r="C169" s="41">
        <v>45658</v>
      </c>
      <c r="D169" s="40"/>
      <c r="E169" s="40" t="s">
        <v>12</v>
      </c>
      <c r="F169" s="40" t="s">
        <v>295</v>
      </c>
      <c r="G169" s="40" t="s">
        <v>5917</v>
      </c>
      <c r="H169" s="40" t="s">
        <v>5669</v>
      </c>
      <c r="I169" s="40" t="s">
        <v>49</v>
      </c>
      <c r="J169" s="40">
        <v>-1406.5</v>
      </c>
      <c r="K169" s="40"/>
      <c r="L169" s="40">
        <v>1406.5</v>
      </c>
      <c r="M169" s="40">
        <v>-1406.5</v>
      </c>
      <c r="N169" s="40"/>
      <c r="O169" s="40" t="s">
        <v>234</v>
      </c>
    </row>
    <row r="170" spans="1:15" ht="18" customHeight="1" x14ac:dyDescent="0.2">
      <c r="A170" s="40" t="s">
        <v>5666</v>
      </c>
      <c r="B170" s="40" t="s">
        <v>5667</v>
      </c>
      <c r="C170" s="41">
        <v>45658</v>
      </c>
      <c r="D170" s="40"/>
      <c r="E170" s="40" t="s">
        <v>12</v>
      </c>
      <c r="F170" s="40" t="s">
        <v>295</v>
      </c>
      <c r="G170" s="40" t="s">
        <v>5917</v>
      </c>
      <c r="H170" s="40" t="s">
        <v>5669</v>
      </c>
      <c r="I170" s="40" t="s">
        <v>49</v>
      </c>
      <c r="J170" s="40">
        <v>-1261</v>
      </c>
      <c r="K170" s="40"/>
      <c r="L170" s="40">
        <v>1261</v>
      </c>
      <c r="M170" s="40">
        <v>-1261</v>
      </c>
      <c r="N170" s="40"/>
      <c r="O170" s="40" t="s">
        <v>234</v>
      </c>
    </row>
    <row r="171" spans="1:15" ht="18" customHeight="1" x14ac:dyDescent="0.2">
      <c r="A171" s="40" t="s">
        <v>5666</v>
      </c>
      <c r="B171" s="40" t="s">
        <v>5667</v>
      </c>
      <c r="C171" s="41">
        <v>45658</v>
      </c>
      <c r="D171" s="40"/>
      <c r="E171" s="40" t="s">
        <v>12</v>
      </c>
      <c r="F171" s="40" t="s">
        <v>295</v>
      </c>
      <c r="G171" s="40" t="s">
        <v>5917</v>
      </c>
      <c r="H171" s="40" t="s">
        <v>5669</v>
      </c>
      <c r="I171" s="40" t="s">
        <v>49</v>
      </c>
      <c r="J171" s="40">
        <v>-1018.5</v>
      </c>
      <c r="K171" s="40"/>
      <c r="L171" s="40">
        <v>1018.5</v>
      </c>
      <c r="M171" s="40">
        <v>-1018.5</v>
      </c>
      <c r="N171" s="40"/>
      <c r="O171" s="40" t="s">
        <v>234</v>
      </c>
    </row>
    <row r="172" spans="1:15" ht="18" customHeight="1" x14ac:dyDescent="0.2">
      <c r="A172" s="40" t="s">
        <v>5666</v>
      </c>
      <c r="B172" s="40" t="s">
        <v>5667</v>
      </c>
      <c r="C172" s="41">
        <v>45658</v>
      </c>
      <c r="D172" s="40"/>
      <c r="E172" s="40" t="s">
        <v>12</v>
      </c>
      <c r="F172" s="40" t="s">
        <v>295</v>
      </c>
      <c r="G172" s="40" t="s">
        <v>5917</v>
      </c>
      <c r="H172" s="40" t="s">
        <v>5669</v>
      </c>
      <c r="I172" s="40" t="s">
        <v>49</v>
      </c>
      <c r="J172" s="40">
        <v>-1018.5</v>
      </c>
      <c r="K172" s="40"/>
      <c r="L172" s="40">
        <v>1018.5</v>
      </c>
      <c r="M172" s="40">
        <v>-1018.5</v>
      </c>
      <c r="N172" s="40"/>
      <c r="O172" s="40" t="s">
        <v>234</v>
      </c>
    </row>
    <row r="173" spans="1:15" ht="18" customHeight="1" x14ac:dyDescent="0.2">
      <c r="A173" s="40" t="s">
        <v>5666</v>
      </c>
      <c r="B173" s="40" t="s">
        <v>5667</v>
      </c>
      <c r="C173" s="41">
        <v>45658</v>
      </c>
      <c r="D173" s="40"/>
      <c r="E173" s="40" t="s">
        <v>12</v>
      </c>
      <c r="F173" s="40" t="s">
        <v>295</v>
      </c>
      <c r="G173" s="40" t="s">
        <v>5917</v>
      </c>
      <c r="H173" s="40" t="s">
        <v>5669</v>
      </c>
      <c r="I173" s="40" t="s">
        <v>49</v>
      </c>
      <c r="J173" s="40">
        <v>-1018.5</v>
      </c>
      <c r="K173" s="40"/>
      <c r="L173" s="40">
        <v>1018.5</v>
      </c>
      <c r="M173" s="40">
        <v>-1018.5</v>
      </c>
      <c r="N173" s="40"/>
      <c r="O173" s="40" t="s">
        <v>234</v>
      </c>
    </row>
    <row r="174" spans="1:15" ht="18" customHeight="1" x14ac:dyDescent="0.2">
      <c r="A174" s="40" t="s">
        <v>5666</v>
      </c>
      <c r="B174" s="40" t="s">
        <v>5667</v>
      </c>
      <c r="C174" s="41">
        <v>45658</v>
      </c>
      <c r="D174" s="40"/>
      <c r="E174" s="40" t="s">
        <v>12</v>
      </c>
      <c r="F174" s="40" t="s">
        <v>295</v>
      </c>
      <c r="G174" s="40" t="s">
        <v>5917</v>
      </c>
      <c r="H174" s="40" t="s">
        <v>5669</v>
      </c>
      <c r="I174" s="40" t="s">
        <v>49</v>
      </c>
      <c r="J174" s="40">
        <v>-921.5</v>
      </c>
      <c r="K174" s="40"/>
      <c r="L174" s="40">
        <v>921.5</v>
      </c>
      <c r="M174" s="40">
        <v>-921.5</v>
      </c>
      <c r="N174" s="40"/>
      <c r="O174" s="40" t="s">
        <v>234</v>
      </c>
    </row>
    <row r="175" spans="1:15" ht="18" customHeight="1" x14ac:dyDescent="0.2">
      <c r="A175" s="40" t="s">
        <v>5666</v>
      </c>
      <c r="B175" s="40" t="s">
        <v>5667</v>
      </c>
      <c r="C175" s="41">
        <v>45658</v>
      </c>
      <c r="D175" s="40"/>
      <c r="E175" s="40" t="s">
        <v>12</v>
      </c>
      <c r="F175" s="40" t="s">
        <v>295</v>
      </c>
      <c r="G175" s="40" t="s">
        <v>5917</v>
      </c>
      <c r="H175" s="40" t="s">
        <v>5669</v>
      </c>
      <c r="I175" s="40" t="s">
        <v>49</v>
      </c>
      <c r="J175" s="40">
        <v>-921.5</v>
      </c>
      <c r="K175" s="40"/>
      <c r="L175" s="40">
        <v>921.5</v>
      </c>
      <c r="M175" s="40">
        <v>-921.5</v>
      </c>
      <c r="N175" s="40"/>
      <c r="O175" s="40" t="s">
        <v>234</v>
      </c>
    </row>
    <row r="177" spans="13:13" ht="18" customHeight="1" x14ac:dyDescent="0.2">
      <c r="M177" s="52">
        <f>SUM(M3:M176)</f>
        <v>-102468.22999999997</v>
      </c>
    </row>
  </sheetData>
  <mergeCells count="1">
    <mergeCell ref="A2:D2"/>
  </mergeCells>
  <conditionalFormatting sqref="N1">
    <cfRule type="duplicateValues" dxfId="8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C134-F163-4D41-9D49-175D2385042B}">
  <dimension ref="A1:O879"/>
  <sheetViews>
    <sheetView showGridLines="0" topLeftCell="F1" workbookViewId="0">
      <selection activeCell="F1" sqref="A1:XFD1"/>
    </sheetView>
  </sheetViews>
  <sheetFormatPr baseColWidth="10" defaultColWidth="21.28515625" defaultRowHeight="11.25" x14ac:dyDescent="0.2"/>
  <cols>
    <col min="1" max="8" width="21.28515625" style="8"/>
    <col min="9" max="9" width="8.7109375" style="8" customWidth="1"/>
    <col min="10" max="16384" width="21.28515625" style="8"/>
  </cols>
  <sheetData>
    <row r="1" spans="1:15" s="18" customFormat="1" ht="25.5" customHeight="1" x14ac:dyDescent="0.25">
      <c r="A1" s="104" t="s">
        <v>33</v>
      </c>
      <c r="B1" s="104" t="s">
        <v>34</v>
      </c>
      <c r="C1" s="104" t="s">
        <v>35</v>
      </c>
      <c r="D1" s="104" t="s">
        <v>36</v>
      </c>
      <c r="E1" s="104" t="s">
        <v>37</v>
      </c>
      <c r="F1" s="104" t="s">
        <v>38</v>
      </c>
      <c r="G1" s="104" t="s">
        <v>39</v>
      </c>
      <c r="H1" s="104" t="s">
        <v>40</v>
      </c>
      <c r="I1" s="104" t="s">
        <v>41</v>
      </c>
      <c r="J1" s="104" t="s">
        <v>42</v>
      </c>
      <c r="K1" s="104" t="s">
        <v>3</v>
      </c>
      <c r="L1" s="104" t="s">
        <v>4</v>
      </c>
      <c r="M1" s="104" t="s">
        <v>43</v>
      </c>
      <c r="N1" s="104" t="s">
        <v>44</v>
      </c>
      <c r="O1" s="104" t="s">
        <v>45</v>
      </c>
    </row>
    <row r="2" spans="1:15" ht="22.5" customHeight="1" x14ac:dyDescent="0.2">
      <c r="A2" s="90" t="s">
        <v>6373</v>
      </c>
      <c r="B2" s="90"/>
      <c r="C2" s="90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ht="22.5" x14ac:dyDescent="0.2">
      <c r="A3" s="40" t="s">
        <v>6374</v>
      </c>
      <c r="B3" s="40" t="s">
        <v>6374</v>
      </c>
      <c r="C3" s="41">
        <v>46112</v>
      </c>
      <c r="D3" s="40"/>
      <c r="E3" s="40" t="s">
        <v>13</v>
      </c>
      <c r="F3" s="40" t="s">
        <v>295</v>
      </c>
      <c r="G3" s="40" t="s">
        <v>6375</v>
      </c>
      <c r="H3" s="40"/>
      <c r="I3" s="40" t="s">
        <v>49</v>
      </c>
      <c r="J3" s="40">
        <v>-419.99</v>
      </c>
      <c r="K3" s="40"/>
      <c r="L3" s="40">
        <v>419.99</v>
      </c>
      <c r="M3" s="40">
        <v>-419.99</v>
      </c>
      <c r="N3" s="40"/>
      <c r="O3" s="40" t="s">
        <v>234</v>
      </c>
    </row>
    <row r="4" spans="1:15" ht="22.5" x14ac:dyDescent="0.2">
      <c r="A4" s="40" t="s">
        <v>6376</v>
      </c>
      <c r="B4" s="40" t="s">
        <v>6376</v>
      </c>
      <c r="C4" s="41">
        <v>46112</v>
      </c>
      <c r="D4" s="40"/>
      <c r="E4" s="40" t="s">
        <v>13</v>
      </c>
      <c r="F4" s="40" t="s">
        <v>295</v>
      </c>
      <c r="G4" s="40" t="s">
        <v>6377</v>
      </c>
      <c r="H4" s="40"/>
      <c r="I4" s="40" t="s">
        <v>49</v>
      </c>
      <c r="J4" s="40">
        <v>-2930.79</v>
      </c>
      <c r="K4" s="40"/>
      <c r="L4" s="40">
        <v>2930.79</v>
      </c>
      <c r="M4" s="40">
        <v>-2930.79</v>
      </c>
      <c r="N4" s="40"/>
      <c r="O4" s="40" t="s">
        <v>234</v>
      </c>
    </row>
    <row r="5" spans="1:15" ht="33.75" x14ac:dyDescent="0.2">
      <c r="A5" s="40" t="s">
        <v>4427</v>
      </c>
      <c r="B5" s="40" t="s">
        <v>4428</v>
      </c>
      <c r="C5" s="41">
        <v>46112</v>
      </c>
      <c r="D5" s="41">
        <v>46112</v>
      </c>
      <c r="E5" s="40" t="s">
        <v>13</v>
      </c>
      <c r="F5" s="40" t="s">
        <v>4429</v>
      </c>
      <c r="G5" s="40" t="s">
        <v>4430</v>
      </c>
      <c r="H5" s="40" t="s">
        <v>4431</v>
      </c>
      <c r="I5" s="40" t="s">
        <v>49</v>
      </c>
      <c r="J5" s="40">
        <v>452</v>
      </c>
      <c r="K5" s="40">
        <v>452</v>
      </c>
      <c r="L5" s="40"/>
      <c r="M5" s="40">
        <v>452</v>
      </c>
      <c r="N5" s="40"/>
      <c r="O5" s="40" t="s">
        <v>234</v>
      </c>
    </row>
    <row r="6" spans="1:15" ht="33.75" x14ac:dyDescent="0.2">
      <c r="A6" s="40" t="s">
        <v>4420</v>
      </c>
      <c r="B6" s="40" t="s">
        <v>4421</v>
      </c>
      <c r="C6" s="41">
        <v>46112</v>
      </c>
      <c r="D6" s="41">
        <v>46112</v>
      </c>
      <c r="E6" s="40" t="s">
        <v>13</v>
      </c>
      <c r="F6" s="40" t="s">
        <v>498</v>
      </c>
      <c r="G6" s="40" t="s">
        <v>4422</v>
      </c>
      <c r="H6" s="40" t="s">
        <v>4423</v>
      </c>
      <c r="I6" s="40" t="s">
        <v>49</v>
      </c>
      <c r="J6" s="40">
        <v>128.04</v>
      </c>
      <c r="K6" s="40">
        <v>128.04</v>
      </c>
      <c r="L6" s="40"/>
      <c r="M6" s="40">
        <v>128.04</v>
      </c>
      <c r="N6" s="40"/>
      <c r="O6" s="40" t="s">
        <v>234</v>
      </c>
    </row>
    <row r="7" spans="1:15" ht="33.75" x14ac:dyDescent="0.2">
      <c r="A7" s="40" t="s">
        <v>4412</v>
      </c>
      <c r="B7" s="40" t="s">
        <v>4413</v>
      </c>
      <c r="C7" s="41">
        <v>46112</v>
      </c>
      <c r="D7" s="41">
        <v>46112</v>
      </c>
      <c r="E7" s="40" t="s">
        <v>13</v>
      </c>
      <c r="F7" s="40" t="s">
        <v>4414</v>
      </c>
      <c r="G7" s="40" t="s">
        <v>4415</v>
      </c>
      <c r="H7" s="40" t="s">
        <v>4416</v>
      </c>
      <c r="I7" s="40" t="s">
        <v>49</v>
      </c>
      <c r="J7" s="40">
        <v>53.91</v>
      </c>
      <c r="K7" s="40">
        <v>53.91</v>
      </c>
      <c r="L7" s="40"/>
      <c r="M7" s="40">
        <v>53.91</v>
      </c>
      <c r="N7" s="40"/>
      <c r="O7" s="40" t="s">
        <v>234</v>
      </c>
    </row>
    <row r="8" spans="1:15" ht="33.75" x14ac:dyDescent="0.2">
      <c r="A8" s="40" t="s">
        <v>4405</v>
      </c>
      <c r="B8" s="40" t="s">
        <v>4406</v>
      </c>
      <c r="C8" s="41">
        <v>46112</v>
      </c>
      <c r="D8" s="41">
        <v>46112</v>
      </c>
      <c r="E8" s="40" t="s">
        <v>13</v>
      </c>
      <c r="F8" s="40" t="s">
        <v>1624</v>
      </c>
      <c r="G8" s="40" t="s">
        <v>4407</v>
      </c>
      <c r="H8" s="40" t="s">
        <v>4408</v>
      </c>
      <c r="I8" s="40" t="s">
        <v>49</v>
      </c>
      <c r="J8" s="40">
        <v>155</v>
      </c>
      <c r="K8" s="40">
        <v>155</v>
      </c>
      <c r="L8" s="40"/>
      <c r="M8" s="40">
        <v>155</v>
      </c>
      <c r="N8" s="40"/>
      <c r="O8" s="40" t="s">
        <v>234</v>
      </c>
    </row>
    <row r="9" spans="1:15" ht="33.75" x14ac:dyDescent="0.2">
      <c r="A9" s="40" t="s">
        <v>4397</v>
      </c>
      <c r="B9" s="40" t="s">
        <v>4398</v>
      </c>
      <c r="C9" s="41">
        <v>46112</v>
      </c>
      <c r="D9" s="41">
        <v>46112</v>
      </c>
      <c r="E9" s="40" t="s">
        <v>13</v>
      </c>
      <c r="F9" s="40" t="s">
        <v>4399</v>
      </c>
      <c r="G9" s="40" t="s">
        <v>4400</v>
      </c>
      <c r="H9" s="40" t="s">
        <v>4401</v>
      </c>
      <c r="I9" s="40" t="s">
        <v>49</v>
      </c>
      <c r="J9" s="40">
        <v>130.81</v>
      </c>
      <c r="K9" s="40">
        <v>130.81</v>
      </c>
      <c r="L9" s="40"/>
      <c r="M9" s="40">
        <v>130.81</v>
      </c>
      <c r="N9" s="40"/>
      <c r="O9" s="40" t="s">
        <v>234</v>
      </c>
    </row>
    <row r="10" spans="1:15" ht="33.75" x14ac:dyDescent="0.2">
      <c r="A10" s="40" t="s">
        <v>4391</v>
      </c>
      <c r="B10" s="40" t="s">
        <v>4392</v>
      </c>
      <c r="C10" s="41">
        <v>46112</v>
      </c>
      <c r="D10" s="41">
        <v>46112</v>
      </c>
      <c r="E10" s="40" t="s">
        <v>13</v>
      </c>
      <c r="F10" s="40" t="s">
        <v>4393</v>
      </c>
      <c r="G10" s="40" t="s">
        <v>4394</v>
      </c>
      <c r="H10" s="40" t="s">
        <v>4395</v>
      </c>
      <c r="I10" s="40" t="s">
        <v>49</v>
      </c>
      <c r="J10" s="40">
        <v>284.23</v>
      </c>
      <c r="K10" s="40">
        <v>284.23</v>
      </c>
      <c r="L10" s="40"/>
      <c r="M10" s="40">
        <v>284.23</v>
      </c>
      <c r="N10" s="40"/>
      <c r="O10" s="40" t="s">
        <v>234</v>
      </c>
    </row>
    <row r="11" spans="1:15" ht="33.75" x14ac:dyDescent="0.2">
      <c r="A11" s="40" t="s">
        <v>4383</v>
      </c>
      <c r="B11" s="40" t="s">
        <v>4384</v>
      </c>
      <c r="C11" s="41">
        <v>46112</v>
      </c>
      <c r="D11" s="41">
        <v>46112</v>
      </c>
      <c r="E11" s="40" t="s">
        <v>13</v>
      </c>
      <c r="F11" s="40" t="s">
        <v>4385</v>
      </c>
      <c r="G11" s="40" t="s">
        <v>4386</v>
      </c>
      <c r="H11" s="40" t="s">
        <v>4387</v>
      </c>
      <c r="I11" s="40" t="s">
        <v>49</v>
      </c>
      <c r="J11" s="40">
        <v>335.47</v>
      </c>
      <c r="K11" s="40">
        <v>335.47</v>
      </c>
      <c r="L11" s="40"/>
      <c r="M11" s="40">
        <v>335.47</v>
      </c>
      <c r="N11" s="40"/>
      <c r="O11" s="40" t="s">
        <v>234</v>
      </c>
    </row>
    <row r="12" spans="1:15" ht="45" x14ac:dyDescent="0.2">
      <c r="A12" s="40" t="s">
        <v>4375</v>
      </c>
      <c r="B12" s="40" t="s">
        <v>4376</v>
      </c>
      <c r="C12" s="41">
        <v>46112</v>
      </c>
      <c r="D12" s="41">
        <v>46112</v>
      </c>
      <c r="E12" s="40" t="s">
        <v>13</v>
      </c>
      <c r="F12" s="40" t="s">
        <v>4377</v>
      </c>
      <c r="G12" s="40" t="s">
        <v>4378</v>
      </c>
      <c r="H12" s="40" t="s">
        <v>4379</v>
      </c>
      <c r="I12" s="40" t="s">
        <v>49</v>
      </c>
      <c r="J12" s="40">
        <v>41.31</v>
      </c>
      <c r="K12" s="40">
        <v>41.31</v>
      </c>
      <c r="L12" s="40"/>
      <c r="M12" s="40">
        <v>41.31</v>
      </c>
      <c r="N12" s="40"/>
      <c r="O12" s="40" t="s">
        <v>234</v>
      </c>
    </row>
    <row r="13" spans="1:15" ht="33.75" x14ac:dyDescent="0.2">
      <c r="A13" s="40" t="s">
        <v>4367</v>
      </c>
      <c r="B13" s="40" t="s">
        <v>4368</v>
      </c>
      <c r="C13" s="41">
        <v>46112</v>
      </c>
      <c r="D13" s="41">
        <v>46112</v>
      </c>
      <c r="E13" s="40" t="s">
        <v>13</v>
      </c>
      <c r="F13" s="40" t="s">
        <v>4369</v>
      </c>
      <c r="G13" s="40" t="s">
        <v>4370</v>
      </c>
      <c r="H13" s="40" t="s">
        <v>4371</v>
      </c>
      <c r="I13" s="40" t="s">
        <v>49</v>
      </c>
      <c r="J13" s="40">
        <v>147.6</v>
      </c>
      <c r="K13" s="40">
        <v>147.6</v>
      </c>
      <c r="L13" s="40"/>
      <c r="M13" s="40">
        <v>147.6</v>
      </c>
      <c r="N13" s="40"/>
      <c r="O13" s="40" t="s">
        <v>234</v>
      </c>
    </row>
    <row r="14" spans="1:15" ht="33.75" x14ac:dyDescent="0.2">
      <c r="A14" s="40" t="s">
        <v>4359</v>
      </c>
      <c r="B14" s="40" t="s">
        <v>4360</v>
      </c>
      <c r="C14" s="41">
        <v>46112</v>
      </c>
      <c r="D14" s="41">
        <v>46112</v>
      </c>
      <c r="E14" s="40" t="s">
        <v>13</v>
      </c>
      <c r="F14" s="40" t="s">
        <v>4361</v>
      </c>
      <c r="G14" s="40" t="s">
        <v>4362</v>
      </c>
      <c r="H14" s="40" t="s">
        <v>4363</v>
      </c>
      <c r="I14" s="40" t="s">
        <v>49</v>
      </c>
      <c r="J14" s="40">
        <v>251.25</v>
      </c>
      <c r="K14" s="40">
        <v>251.25</v>
      </c>
      <c r="L14" s="40"/>
      <c r="M14" s="40">
        <v>251.25</v>
      </c>
      <c r="N14" s="40"/>
      <c r="O14" s="40" t="s">
        <v>234</v>
      </c>
    </row>
    <row r="15" spans="1:15" ht="33.75" x14ac:dyDescent="0.2">
      <c r="A15" s="40" t="s">
        <v>4351</v>
      </c>
      <c r="B15" s="40" t="s">
        <v>4352</v>
      </c>
      <c r="C15" s="41">
        <v>46112</v>
      </c>
      <c r="D15" s="41">
        <v>46112</v>
      </c>
      <c r="E15" s="40" t="s">
        <v>13</v>
      </c>
      <c r="F15" s="40" t="s">
        <v>4353</v>
      </c>
      <c r="G15" s="40" t="s">
        <v>4354</v>
      </c>
      <c r="H15" s="40" t="s">
        <v>4355</v>
      </c>
      <c r="I15" s="40" t="s">
        <v>49</v>
      </c>
      <c r="J15" s="40">
        <v>172.8</v>
      </c>
      <c r="K15" s="40">
        <v>172.8</v>
      </c>
      <c r="L15" s="40"/>
      <c r="M15" s="40">
        <v>172.8</v>
      </c>
      <c r="N15" s="40"/>
      <c r="O15" s="40" t="s">
        <v>234</v>
      </c>
    </row>
    <row r="16" spans="1:15" ht="33.75" x14ac:dyDescent="0.2">
      <c r="A16" s="40" t="s">
        <v>4343</v>
      </c>
      <c r="B16" s="40" t="s">
        <v>4344</v>
      </c>
      <c r="C16" s="41">
        <v>46112</v>
      </c>
      <c r="D16" s="41">
        <v>46112</v>
      </c>
      <c r="E16" s="40" t="s">
        <v>13</v>
      </c>
      <c r="F16" s="40" t="s">
        <v>4345</v>
      </c>
      <c r="G16" s="40" t="s">
        <v>4346</v>
      </c>
      <c r="H16" s="40" t="s">
        <v>4347</v>
      </c>
      <c r="I16" s="40" t="s">
        <v>49</v>
      </c>
      <c r="J16" s="40">
        <v>315.99</v>
      </c>
      <c r="K16" s="40">
        <v>315.99</v>
      </c>
      <c r="L16" s="40"/>
      <c r="M16" s="40">
        <v>315.99</v>
      </c>
      <c r="N16" s="40"/>
      <c r="O16" s="40" t="s">
        <v>234</v>
      </c>
    </row>
    <row r="17" spans="1:15" ht="33.75" x14ac:dyDescent="0.2">
      <c r="A17" s="40" t="s">
        <v>4336</v>
      </c>
      <c r="B17" s="40" t="s">
        <v>4337</v>
      </c>
      <c r="C17" s="41">
        <v>46112</v>
      </c>
      <c r="D17" s="41">
        <v>46112</v>
      </c>
      <c r="E17" s="40" t="s">
        <v>13</v>
      </c>
      <c r="F17" s="40" t="s">
        <v>310</v>
      </c>
      <c r="G17" s="40" t="s">
        <v>4338</v>
      </c>
      <c r="H17" s="40" t="s">
        <v>4339</v>
      </c>
      <c r="I17" s="40" t="s">
        <v>49</v>
      </c>
      <c r="J17" s="40">
        <v>94.05</v>
      </c>
      <c r="K17" s="40">
        <v>94.05</v>
      </c>
      <c r="L17" s="40"/>
      <c r="M17" s="40">
        <v>94.05</v>
      </c>
      <c r="N17" s="40"/>
      <c r="O17" s="40" t="s">
        <v>234</v>
      </c>
    </row>
    <row r="18" spans="1:15" ht="33.75" x14ac:dyDescent="0.2">
      <c r="A18" s="40" t="s">
        <v>4328</v>
      </c>
      <c r="B18" s="40" t="s">
        <v>4329</v>
      </c>
      <c r="C18" s="41">
        <v>46112</v>
      </c>
      <c r="D18" s="41">
        <v>46112</v>
      </c>
      <c r="E18" s="40" t="s">
        <v>13</v>
      </c>
      <c r="F18" s="40" t="s">
        <v>4330</v>
      </c>
      <c r="G18" s="40" t="s">
        <v>4331</v>
      </c>
      <c r="H18" s="40" t="s">
        <v>4332</v>
      </c>
      <c r="I18" s="40" t="s">
        <v>49</v>
      </c>
      <c r="J18" s="40">
        <v>119</v>
      </c>
      <c r="K18" s="40">
        <v>119</v>
      </c>
      <c r="L18" s="40"/>
      <c r="M18" s="40">
        <v>119</v>
      </c>
      <c r="N18" s="40"/>
      <c r="O18" s="40" t="s">
        <v>234</v>
      </c>
    </row>
    <row r="19" spans="1:15" ht="33.75" x14ac:dyDescent="0.2">
      <c r="A19" s="40" t="s">
        <v>4320</v>
      </c>
      <c r="B19" s="40" t="s">
        <v>4321</v>
      </c>
      <c r="C19" s="41">
        <v>46112</v>
      </c>
      <c r="D19" s="41">
        <v>46112</v>
      </c>
      <c r="E19" s="40" t="s">
        <v>13</v>
      </c>
      <c r="F19" s="40" t="s">
        <v>4322</v>
      </c>
      <c r="G19" s="40" t="s">
        <v>4323</v>
      </c>
      <c r="H19" s="40" t="s">
        <v>4324</v>
      </c>
      <c r="I19" s="40" t="s">
        <v>49</v>
      </c>
      <c r="J19" s="40">
        <v>94.05</v>
      </c>
      <c r="K19" s="40">
        <v>94.05</v>
      </c>
      <c r="L19" s="40"/>
      <c r="M19" s="40">
        <v>94.05</v>
      </c>
      <c r="N19" s="40"/>
      <c r="O19" s="40" t="s">
        <v>234</v>
      </c>
    </row>
    <row r="20" spans="1:15" ht="33.75" x14ac:dyDescent="0.2">
      <c r="A20" s="40" t="s">
        <v>4313</v>
      </c>
      <c r="B20" s="40" t="s">
        <v>4314</v>
      </c>
      <c r="C20" s="41">
        <v>46112</v>
      </c>
      <c r="D20" s="41">
        <v>46112</v>
      </c>
      <c r="E20" s="40" t="s">
        <v>13</v>
      </c>
      <c r="F20" s="40" t="s">
        <v>1580</v>
      </c>
      <c r="G20" s="40" t="s">
        <v>4315</v>
      </c>
      <c r="H20" s="40" t="s">
        <v>4316</v>
      </c>
      <c r="I20" s="40" t="s">
        <v>49</v>
      </c>
      <c r="J20" s="40">
        <v>516.78</v>
      </c>
      <c r="K20" s="40">
        <v>516.78</v>
      </c>
      <c r="L20" s="40"/>
      <c r="M20" s="40">
        <v>516.78</v>
      </c>
      <c r="N20" s="40"/>
      <c r="O20" s="40" t="s">
        <v>234</v>
      </c>
    </row>
    <row r="21" spans="1:15" ht="45" x14ac:dyDescent="0.2">
      <c r="A21" s="40" t="s">
        <v>4305</v>
      </c>
      <c r="B21" s="40" t="s">
        <v>4306</v>
      </c>
      <c r="C21" s="41">
        <v>46112</v>
      </c>
      <c r="D21" s="41">
        <v>46112</v>
      </c>
      <c r="E21" s="40" t="s">
        <v>13</v>
      </c>
      <c r="F21" s="40" t="s">
        <v>4307</v>
      </c>
      <c r="G21" s="40" t="s">
        <v>4308</v>
      </c>
      <c r="H21" s="40" t="s">
        <v>4309</v>
      </c>
      <c r="I21" s="40" t="s">
        <v>49</v>
      </c>
      <c r="J21" s="40">
        <v>69.290000000000006</v>
      </c>
      <c r="K21" s="40">
        <v>69.290000000000006</v>
      </c>
      <c r="L21" s="40"/>
      <c r="M21" s="40">
        <v>69.290000000000006</v>
      </c>
      <c r="N21" s="40"/>
      <c r="O21" s="40" t="s">
        <v>234</v>
      </c>
    </row>
    <row r="22" spans="1:15" ht="45" x14ac:dyDescent="0.2">
      <c r="A22" s="40" t="s">
        <v>4297</v>
      </c>
      <c r="B22" s="40" t="s">
        <v>4298</v>
      </c>
      <c r="C22" s="41">
        <v>46112</v>
      </c>
      <c r="D22" s="41">
        <v>46112</v>
      </c>
      <c r="E22" s="40" t="s">
        <v>13</v>
      </c>
      <c r="F22" s="40" t="s">
        <v>4299</v>
      </c>
      <c r="G22" s="40" t="s">
        <v>4300</v>
      </c>
      <c r="H22" s="40" t="s">
        <v>4301</v>
      </c>
      <c r="I22" s="40" t="s">
        <v>49</v>
      </c>
      <c r="J22" s="40">
        <v>81.52</v>
      </c>
      <c r="K22" s="40">
        <v>81.52</v>
      </c>
      <c r="L22" s="40"/>
      <c r="M22" s="40">
        <v>81.52</v>
      </c>
      <c r="N22" s="40"/>
      <c r="O22" s="40" t="s">
        <v>234</v>
      </c>
    </row>
    <row r="23" spans="1:15" ht="33.75" x14ac:dyDescent="0.2">
      <c r="A23" s="40" t="s">
        <v>4290</v>
      </c>
      <c r="B23" s="40" t="s">
        <v>4291</v>
      </c>
      <c r="C23" s="41">
        <v>46112</v>
      </c>
      <c r="D23" s="41">
        <v>46112</v>
      </c>
      <c r="E23" s="40" t="s">
        <v>13</v>
      </c>
      <c r="F23" s="40" t="s">
        <v>137</v>
      </c>
      <c r="G23" s="40" t="s">
        <v>4292</v>
      </c>
      <c r="H23" s="40" t="s">
        <v>4293</v>
      </c>
      <c r="I23" s="40" t="s">
        <v>49</v>
      </c>
      <c r="J23" s="40">
        <v>251.94</v>
      </c>
      <c r="K23" s="40">
        <v>251.94</v>
      </c>
      <c r="L23" s="40"/>
      <c r="M23" s="40">
        <v>251.94</v>
      </c>
      <c r="N23" s="40"/>
      <c r="O23" s="40" t="s">
        <v>234</v>
      </c>
    </row>
    <row r="24" spans="1:15" ht="33.75" x14ac:dyDescent="0.2">
      <c r="A24" s="40" t="s">
        <v>4283</v>
      </c>
      <c r="B24" s="40" t="s">
        <v>4284</v>
      </c>
      <c r="C24" s="41">
        <v>46112</v>
      </c>
      <c r="D24" s="41">
        <v>46112</v>
      </c>
      <c r="E24" s="40" t="s">
        <v>13</v>
      </c>
      <c r="F24" s="40" t="s">
        <v>658</v>
      </c>
      <c r="G24" s="40" t="s">
        <v>4285</v>
      </c>
      <c r="H24" s="40" t="s">
        <v>4286</v>
      </c>
      <c r="I24" s="40" t="s">
        <v>49</v>
      </c>
      <c r="J24" s="40">
        <v>172.14</v>
      </c>
      <c r="K24" s="40">
        <v>172.14</v>
      </c>
      <c r="L24" s="40"/>
      <c r="M24" s="40">
        <v>172.14</v>
      </c>
      <c r="N24" s="40"/>
      <c r="O24" s="40" t="s">
        <v>234</v>
      </c>
    </row>
    <row r="25" spans="1:15" ht="33.75" x14ac:dyDescent="0.2">
      <c r="A25" s="40" t="s">
        <v>4275</v>
      </c>
      <c r="B25" s="40" t="s">
        <v>4276</v>
      </c>
      <c r="C25" s="41">
        <v>46112</v>
      </c>
      <c r="D25" s="41">
        <v>46112</v>
      </c>
      <c r="E25" s="40" t="s">
        <v>13</v>
      </c>
      <c r="F25" s="40" t="s">
        <v>4277</v>
      </c>
      <c r="G25" s="40" t="s">
        <v>4278</v>
      </c>
      <c r="H25" s="40" t="s">
        <v>4279</v>
      </c>
      <c r="I25" s="40" t="s">
        <v>49</v>
      </c>
      <c r="J25" s="40">
        <v>91.26</v>
      </c>
      <c r="K25" s="40">
        <v>91.26</v>
      </c>
      <c r="L25" s="40"/>
      <c r="M25" s="40">
        <v>91.26</v>
      </c>
      <c r="N25" s="40"/>
      <c r="O25" s="40" t="s">
        <v>234</v>
      </c>
    </row>
    <row r="26" spans="1:15" ht="33.75" x14ac:dyDescent="0.2">
      <c r="A26" s="40" t="s">
        <v>4267</v>
      </c>
      <c r="B26" s="40" t="s">
        <v>4268</v>
      </c>
      <c r="C26" s="41">
        <v>46112</v>
      </c>
      <c r="D26" s="41">
        <v>46112</v>
      </c>
      <c r="E26" s="40" t="s">
        <v>13</v>
      </c>
      <c r="F26" s="40" t="s">
        <v>4269</v>
      </c>
      <c r="G26" s="40" t="s">
        <v>4270</v>
      </c>
      <c r="H26" s="40" t="s">
        <v>4271</v>
      </c>
      <c r="I26" s="40" t="s">
        <v>49</v>
      </c>
      <c r="J26" s="40">
        <v>75.5</v>
      </c>
      <c r="K26" s="40">
        <v>75.5</v>
      </c>
      <c r="L26" s="40"/>
      <c r="M26" s="40">
        <v>75.5</v>
      </c>
      <c r="N26" s="40"/>
      <c r="O26" s="40" t="s">
        <v>234</v>
      </c>
    </row>
    <row r="27" spans="1:15" ht="33.75" x14ac:dyDescent="0.2">
      <c r="A27" s="40" t="s">
        <v>4259</v>
      </c>
      <c r="B27" s="40" t="s">
        <v>4260</v>
      </c>
      <c r="C27" s="41">
        <v>46112</v>
      </c>
      <c r="D27" s="41">
        <v>46112</v>
      </c>
      <c r="E27" s="40" t="s">
        <v>13</v>
      </c>
      <c r="F27" s="40" t="s">
        <v>4261</v>
      </c>
      <c r="G27" s="40" t="s">
        <v>4262</v>
      </c>
      <c r="H27" s="40" t="s">
        <v>4263</v>
      </c>
      <c r="I27" s="40" t="s">
        <v>49</v>
      </c>
      <c r="J27" s="40">
        <v>229.43</v>
      </c>
      <c r="K27" s="40">
        <v>229.43</v>
      </c>
      <c r="L27" s="40"/>
      <c r="M27" s="40">
        <v>229.43</v>
      </c>
      <c r="N27" s="40"/>
      <c r="O27" s="40" t="s">
        <v>234</v>
      </c>
    </row>
    <row r="28" spans="1:15" ht="33.75" x14ac:dyDescent="0.2">
      <c r="A28" s="40" t="s">
        <v>4251</v>
      </c>
      <c r="B28" s="40" t="s">
        <v>4252</v>
      </c>
      <c r="C28" s="41">
        <v>46112</v>
      </c>
      <c r="D28" s="41">
        <v>46112</v>
      </c>
      <c r="E28" s="40" t="s">
        <v>13</v>
      </c>
      <c r="F28" s="40" t="s">
        <v>4253</v>
      </c>
      <c r="G28" s="40" t="s">
        <v>4254</v>
      </c>
      <c r="H28" s="40" t="s">
        <v>4255</v>
      </c>
      <c r="I28" s="40" t="s">
        <v>49</v>
      </c>
      <c r="J28" s="40">
        <v>68.67</v>
      </c>
      <c r="K28" s="40">
        <v>68.67</v>
      </c>
      <c r="L28" s="40"/>
      <c r="M28" s="40">
        <v>68.67</v>
      </c>
      <c r="N28" s="40"/>
      <c r="O28" s="40" t="s">
        <v>234</v>
      </c>
    </row>
    <row r="29" spans="1:15" ht="33.75" x14ac:dyDescent="0.2">
      <c r="A29" s="40" t="s">
        <v>4223</v>
      </c>
      <c r="B29" s="40" t="s">
        <v>4224</v>
      </c>
      <c r="C29" s="41">
        <v>46112</v>
      </c>
      <c r="D29" s="41">
        <v>46112</v>
      </c>
      <c r="E29" s="40" t="s">
        <v>13</v>
      </c>
      <c r="F29" s="40" t="s">
        <v>830</v>
      </c>
      <c r="G29" s="40" t="s">
        <v>4225</v>
      </c>
      <c r="H29" s="40" t="s">
        <v>4226</v>
      </c>
      <c r="I29" s="40" t="s">
        <v>49</v>
      </c>
      <c r="J29" s="40">
        <v>291</v>
      </c>
      <c r="K29" s="40">
        <v>291</v>
      </c>
      <c r="L29" s="40"/>
      <c r="M29" s="40">
        <v>291</v>
      </c>
      <c r="N29" s="40"/>
      <c r="O29" s="40" t="s">
        <v>234</v>
      </c>
    </row>
    <row r="30" spans="1:15" ht="33.75" x14ac:dyDescent="0.2">
      <c r="A30" s="40" t="s">
        <v>4216</v>
      </c>
      <c r="B30" s="40" t="s">
        <v>4217</v>
      </c>
      <c r="C30" s="41">
        <v>46112</v>
      </c>
      <c r="D30" s="41">
        <v>46112</v>
      </c>
      <c r="E30" s="40" t="s">
        <v>13</v>
      </c>
      <c r="F30" s="40" t="s">
        <v>1370</v>
      </c>
      <c r="G30" s="40" t="s">
        <v>4218</v>
      </c>
      <c r="H30" s="40" t="s">
        <v>4219</v>
      </c>
      <c r="I30" s="40" t="s">
        <v>49</v>
      </c>
      <c r="J30" s="40">
        <v>561.25</v>
      </c>
      <c r="K30" s="40">
        <v>561.25</v>
      </c>
      <c r="L30" s="40"/>
      <c r="M30" s="40">
        <v>561.25</v>
      </c>
      <c r="N30" s="40"/>
      <c r="O30" s="40" t="s">
        <v>234</v>
      </c>
    </row>
    <row r="31" spans="1:15" ht="33.75" x14ac:dyDescent="0.2">
      <c r="A31" s="40" t="s">
        <v>4208</v>
      </c>
      <c r="B31" s="40" t="s">
        <v>4209</v>
      </c>
      <c r="C31" s="41">
        <v>46112</v>
      </c>
      <c r="D31" s="41">
        <v>46112</v>
      </c>
      <c r="E31" s="40" t="s">
        <v>13</v>
      </c>
      <c r="F31" s="40" t="s">
        <v>4210</v>
      </c>
      <c r="G31" s="40" t="s">
        <v>4211</v>
      </c>
      <c r="H31" s="40" t="s">
        <v>4212</v>
      </c>
      <c r="I31" s="40" t="s">
        <v>49</v>
      </c>
      <c r="J31" s="40">
        <v>213.3</v>
      </c>
      <c r="K31" s="40">
        <v>213.3</v>
      </c>
      <c r="L31" s="40"/>
      <c r="M31" s="40">
        <v>213.3</v>
      </c>
      <c r="N31" s="40"/>
      <c r="O31" s="40" t="s">
        <v>234</v>
      </c>
    </row>
    <row r="32" spans="1:15" ht="33.75" x14ac:dyDescent="0.2">
      <c r="A32" s="40" t="s">
        <v>4197</v>
      </c>
      <c r="B32" s="40" t="s">
        <v>4198</v>
      </c>
      <c r="C32" s="41">
        <v>46112</v>
      </c>
      <c r="D32" s="41">
        <v>46112</v>
      </c>
      <c r="E32" s="40" t="s">
        <v>13</v>
      </c>
      <c r="F32" s="40" t="s">
        <v>4199</v>
      </c>
      <c r="G32" s="40" t="s">
        <v>4200</v>
      </c>
      <c r="H32" s="40" t="s">
        <v>4201</v>
      </c>
      <c r="I32" s="40" t="s">
        <v>49</v>
      </c>
      <c r="J32" s="40">
        <v>121.9</v>
      </c>
      <c r="K32" s="40">
        <v>121.9</v>
      </c>
      <c r="L32" s="40"/>
      <c r="M32" s="40">
        <v>121.9</v>
      </c>
      <c r="N32" s="40"/>
      <c r="O32" s="40" t="s">
        <v>234</v>
      </c>
    </row>
    <row r="33" spans="1:15" ht="33.75" x14ac:dyDescent="0.2">
      <c r="A33" s="40" t="s">
        <v>4189</v>
      </c>
      <c r="B33" s="40" t="s">
        <v>4190</v>
      </c>
      <c r="C33" s="41">
        <v>46112</v>
      </c>
      <c r="D33" s="41">
        <v>46112</v>
      </c>
      <c r="E33" s="40" t="s">
        <v>13</v>
      </c>
      <c r="F33" s="40" t="s">
        <v>4191</v>
      </c>
      <c r="G33" s="40" t="s">
        <v>4192</v>
      </c>
      <c r="H33" s="40" t="s">
        <v>4193</v>
      </c>
      <c r="I33" s="40" t="s">
        <v>49</v>
      </c>
      <c r="J33" s="40">
        <v>140.49</v>
      </c>
      <c r="K33" s="40">
        <v>140.49</v>
      </c>
      <c r="L33" s="40"/>
      <c r="M33" s="40">
        <v>140.49</v>
      </c>
      <c r="N33" s="40"/>
      <c r="O33" s="40" t="s">
        <v>234</v>
      </c>
    </row>
    <row r="34" spans="1:15" ht="33.75" x14ac:dyDescent="0.2">
      <c r="A34" s="40" t="s">
        <v>4175</v>
      </c>
      <c r="B34" s="40" t="s">
        <v>4176</v>
      </c>
      <c r="C34" s="41">
        <v>46112</v>
      </c>
      <c r="D34" s="41">
        <v>46112</v>
      </c>
      <c r="E34" s="40" t="s">
        <v>13</v>
      </c>
      <c r="F34" s="40" t="s">
        <v>4177</v>
      </c>
      <c r="G34" s="40" t="s">
        <v>4178</v>
      </c>
      <c r="H34" s="40" t="s">
        <v>4179</v>
      </c>
      <c r="I34" s="40" t="s">
        <v>49</v>
      </c>
      <c r="J34" s="40">
        <v>0.01</v>
      </c>
      <c r="K34" s="40">
        <v>0.01</v>
      </c>
      <c r="L34" s="40"/>
      <c r="M34" s="40">
        <v>0.01</v>
      </c>
      <c r="N34" s="40"/>
      <c r="O34" s="40" t="s">
        <v>234</v>
      </c>
    </row>
    <row r="35" spans="1:15" ht="33.75" x14ac:dyDescent="0.2">
      <c r="A35" s="40" t="s">
        <v>4167</v>
      </c>
      <c r="B35" s="40" t="s">
        <v>4168</v>
      </c>
      <c r="C35" s="41">
        <v>46112</v>
      </c>
      <c r="D35" s="41">
        <v>46112</v>
      </c>
      <c r="E35" s="40" t="s">
        <v>13</v>
      </c>
      <c r="F35" s="40" t="s">
        <v>4169</v>
      </c>
      <c r="G35" s="40" t="s">
        <v>4170</v>
      </c>
      <c r="H35" s="40" t="s">
        <v>4171</v>
      </c>
      <c r="I35" s="40" t="s">
        <v>49</v>
      </c>
      <c r="J35" s="40">
        <v>197.64</v>
      </c>
      <c r="K35" s="40">
        <v>197.64</v>
      </c>
      <c r="L35" s="40"/>
      <c r="M35" s="40">
        <v>197.64</v>
      </c>
      <c r="N35" s="40"/>
      <c r="O35" s="40" t="s">
        <v>234</v>
      </c>
    </row>
    <row r="36" spans="1:15" ht="33.75" x14ac:dyDescent="0.2">
      <c r="A36" s="40" t="s">
        <v>4159</v>
      </c>
      <c r="B36" s="40" t="s">
        <v>4160</v>
      </c>
      <c r="C36" s="41">
        <v>46112</v>
      </c>
      <c r="D36" s="41">
        <v>46112</v>
      </c>
      <c r="E36" s="40" t="s">
        <v>13</v>
      </c>
      <c r="F36" s="40" t="s">
        <v>4161</v>
      </c>
      <c r="G36" s="40" t="s">
        <v>4162</v>
      </c>
      <c r="H36" s="40" t="s">
        <v>4163</v>
      </c>
      <c r="I36" s="40" t="s">
        <v>49</v>
      </c>
      <c r="J36" s="40">
        <v>189.64</v>
      </c>
      <c r="K36" s="40">
        <v>189.64</v>
      </c>
      <c r="L36" s="40"/>
      <c r="M36" s="40">
        <v>189.64</v>
      </c>
      <c r="N36" s="40"/>
      <c r="O36" s="40" t="s">
        <v>234</v>
      </c>
    </row>
    <row r="37" spans="1:15" ht="33.75" x14ac:dyDescent="0.2">
      <c r="A37" s="40" t="s">
        <v>4153</v>
      </c>
      <c r="B37" s="40" t="s">
        <v>4154</v>
      </c>
      <c r="C37" s="41">
        <v>46112</v>
      </c>
      <c r="D37" s="41">
        <v>46112</v>
      </c>
      <c r="E37" s="40" t="s">
        <v>13</v>
      </c>
      <c r="F37" s="40" t="s">
        <v>4155</v>
      </c>
      <c r="G37" s="40" t="s">
        <v>4156</v>
      </c>
      <c r="H37" s="40" t="s">
        <v>4157</v>
      </c>
      <c r="I37" s="40" t="s">
        <v>49</v>
      </c>
      <c r="J37" s="40">
        <v>219.26</v>
      </c>
      <c r="K37" s="40">
        <v>219.26</v>
      </c>
      <c r="L37" s="40"/>
      <c r="M37" s="40">
        <v>219.26</v>
      </c>
      <c r="N37" s="40"/>
      <c r="O37" s="40" t="s">
        <v>234</v>
      </c>
    </row>
    <row r="38" spans="1:15" ht="33.75" x14ac:dyDescent="0.2">
      <c r="A38" s="40" t="s">
        <v>4145</v>
      </c>
      <c r="B38" s="40" t="s">
        <v>4146</v>
      </c>
      <c r="C38" s="41">
        <v>46112</v>
      </c>
      <c r="D38" s="41">
        <v>46112</v>
      </c>
      <c r="E38" s="40" t="s">
        <v>13</v>
      </c>
      <c r="F38" s="40" t="s">
        <v>4147</v>
      </c>
      <c r="G38" s="40" t="s">
        <v>4148</v>
      </c>
      <c r="H38" s="40" t="s">
        <v>4149</v>
      </c>
      <c r="I38" s="40" t="s">
        <v>49</v>
      </c>
      <c r="J38" s="40">
        <v>122.4</v>
      </c>
      <c r="K38" s="40">
        <v>122.4</v>
      </c>
      <c r="L38" s="40"/>
      <c r="M38" s="40">
        <v>122.4</v>
      </c>
      <c r="N38" s="40"/>
      <c r="O38" s="40" t="s">
        <v>234</v>
      </c>
    </row>
    <row r="39" spans="1:15" ht="33.75" x14ac:dyDescent="0.2">
      <c r="A39" s="40" t="s">
        <v>4138</v>
      </c>
      <c r="B39" s="40" t="s">
        <v>4139</v>
      </c>
      <c r="C39" s="41">
        <v>46112</v>
      </c>
      <c r="D39" s="41">
        <v>46112</v>
      </c>
      <c r="E39" s="40" t="s">
        <v>13</v>
      </c>
      <c r="F39" s="40" t="s">
        <v>4140</v>
      </c>
      <c r="G39" s="40" t="s">
        <v>4141</v>
      </c>
      <c r="H39" s="40" t="s">
        <v>4142</v>
      </c>
      <c r="I39" s="40" t="s">
        <v>49</v>
      </c>
      <c r="J39" s="40">
        <v>75.5</v>
      </c>
      <c r="K39" s="40">
        <v>75.5</v>
      </c>
      <c r="L39" s="40"/>
      <c r="M39" s="40">
        <v>75.5</v>
      </c>
      <c r="N39" s="40"/>
      <c r="O39" s="40" t="s">
        <v>234</v>
      </c>
    </row>
    <row r="40" spans="1:15" ht="33.75" x14ac:dyDescent="0.2">
      <c r="A40" s="40" t="s">
        <v>4130</v>
      </c>
      <c r="B40" s="40" t="s">
        <v>4131</v>
      </c>
      <c r="C40" s="41">
        <v>46112</v>
      </c>
      <c r="D40" s="41">
        <v>46112</v>
      </c>
      <c r="E40" s="40" t="s">
        <v>13</v>
      </c>
      <c r="F40" s="40" t="s">
        <v>4132</v>
      </c>
      <c r="G40" s="40" t="s">
        <v>4133</v>
      </c>
      <c r="H40" s="40" t="s">
        <v>4134</v>
      </c>
      <c r="I40" s="40" t="s">
        <v>49</v>
      </c>
      <c r="J40" s="40">
        <v>155.69999999999999</v>
      </c>
      <c r="K40" s="40">
        <v>155.69999999999999</v>
      </c>
      <c r="L40" s="40"/>
      <c r="M40" s="40">
        <v>155.69999999999999</v>
      </c>
      <c r="N40" s="40"/>
      <c r="O40" s="40" t="s">
        <v>234</v>
      </c>
    </row>
    <row r="41" spans="1:15" ht="33.75" x14ac:dyDescent="0.2">
      <c r="A41" s="40" t="s">
        <v>4122</v>
      </c>
      <c r="B41" s="40" t="s">
        <v>4123</v>
      </c>
      <c r="C41" s="41">
        <v>46112</v>
      </c>
      <c r="D41" s="41">
        <v>46112</v>
      </c>
      <c r="E41" s="40" t="s">
        <v>13</v>
      </c>
      <c r="F41" s="40" t="s">
        <v>4124</v>
      </c>
      <c r="G41" s="40" t="s">
        <v>4125</v>
      </c>
      <c r="H41" s="40" t="s">
        <v>4126</v>
      </c>
      <c r="I41" s="40" t="s">
        <v>49</v>
      </c>
      <c r="J41" s="40">
        <v>110.01</v>
      </c>
      <c r="K41" s="40">
        <v>110.01</v>
      </c>
      <c r="L41" s="40"/>
      <c r="M41" s="40">
        <v>110.01</v>
      </c>
      <c r="N41" s="40"/>
      <c r="O41" s="40" t="s">
        <v>234</v>
      </c>
    </row>
    <row r="42" spans="1:15" ht="33.75" x14ac:dyDescent="0.2">
      <c r="A42" s="40" t="s">
        <v>4114</v>
      </c>
      <c r="B42" s="40" t="s">
        <v>4115</v>
      </c>
      <c r="C42" s="41">
        <v>46112</v>
      </c>
      <c r="D42" s="41">
        <v>46112</v>
      </c>
      <c r="E42" s="40" t="s">
        <v>13</v>
      </c>
      <c r="F42" s="40" t="s">
        <v>4116</v>
      </c>
      <c r="G42" s="40" t="s">
        <v>4117</v>
      </c>
      <c r="H42" s="40" t="s">
        <v>4118</v>
      </c>
      <c r="I42" s="40" t="s">
        <v>49</v>
      </c>
      <c r="J42" s="40">
        <v>79</v>
      </c>
      <c r="K42" s="40">
        <v>79</v>
      </c>
      <c r="L42" s="40"/>
      <c r="M42" s="40">
        <v>79</v>
      </c>
      <c r="N42" s="40"/>
      <c r="O42" s="40" t="s">
        <v>234</v>
      </c>
    </row>
    <row r="43" spans="1:15" ht="33.75" x14ac:dyDescent="0.2">
      <c r="A43" s="40" t="s">
        <v>4109</v>
      </c>
      <c r="B43" s="40" t="s">
        <v>4110</v>
      </c>
      <c r="C43" s="41">
        <v>46112</v>
      </c>
      <c r="D43" s="41">
        <v>46112</v>
      </c>
      <c r="E43" s="40" t="s">
        <v>13</v>
      </c>
      <c r="F43" s="40" t="s">
        <v>505</v>
      </c>
      <c r="G43" s="40" t="s">
        <v>4111</v>
      </c>
      <c r="H43" s="40" t="s">
        <v>4112</v>
      </c>
      <c r="I43" s="40" t="s">
        <v>49</v>
      </c>
      <c r="J43" s="40">
        <v>142.62</v>
      </c>
      <c r="K43" s="40">
        <v>142.62</v>
      </c>
      <c r="L43" s="40"/>
      <c r="M43" s="40">
        <v>142.62</v>
      </c>
      <c r="N43" s="40"/>
      <c r="O43" s="40" t="s">
        <v>234</v>
      </c>
    </row>
    <row r="44" spans="1:15" ht="33.75" x14ac:dyDescent="0.2">
      <c r="A44" s="40" t="s">
        <v>4102</v>
      </c>
      <c r="B44" s="40" t="s">
        <v>4103</v>
      </c>
      <c r="C44" s="41">
        <v>46112</v>
      </c>
      <c r="D44" s="41">
        <v>46112</v>
      </c>
      <c r="E44" s="40" t="s">
        <v>13</v>
      </c>
      <c r="F44" s="40" t="s">
        <v>1629</v>
      </c>
      <c r="G44" s="40" t="s">
        <v>4104</v>
      </c>
      <c r="H44" s="40" t="s">
        <v>4105</v>
      </c>
      <c r="I44" s="40" t="s">
        <v>49</v>
      </c>
      <c r="J44" s="40">
        <v>53.99</v>
      </c>
      <c r="K44" s="40">
        <v>53.99</v>
      </c>
      <c r="L44" s="40"/>
      <c r="M44" s="40">
        <v>53.99</v>
      </c>
      <c r="N44" s="40"/>
      <c r="O44" s="40" t="s">
        <v>234</v>
      </c>
    </row>
    <row r="45" spans="1:15" ht="33.75" x14ac:dyDescent="0.2">
      <c r="A45" s="40" t="s">
        <v>4094</v>
      </c>
      <c r="B45" s="40" t="s">
        <v>4095</v>
      </c>
      <c r="C45" s="41">
        <v>46112</v>
      </c>
      <c r="D45" s="41">
        <v>46112</v>
      </c>
      <c r="E45" s="40" t="s">
        <v>13</v>
      </c>
      <c r="F45" s="40" t="s">
        <v>4096</v>
      </c>
      <c r="G45" s="40" t="s">
        <v>4097</v>
      </c>
      <c r="H45" s="40" t="s">
        <v>4098</v>
      </c>
      <c r="I45" s="40" t="s">
        <v>49</v>
      </c>
      <c r="J45" s="40">
        <v>344.36</v>
      </c>
      <c r="K45" s="40">
        <v>344.36</v>
      </c>
      <c r="L45" s="40"/>
      <c r="M45" s="40">
        <v>344.36</v>
      </c>
      <c r="N45" s="40"/>
      <c r="O45" s="40" t="s">
        <v>234</v>
      </c>
    </row>
    <row r="46" spans="1:15" ht="33.75" x14ac:dyDescent="0.2">
      <c r="A46" s="40" t="s">
        <v>4087</v>
      </c>
      <c r="B46" s="40" t="s">
        <v>4088</v>
      </c>
      <c r="C46" s="41">
        <v>46112</v>
      </c>
      <c r="D46" s="41">
        <v>46112</v>
      </c>
      <c r="E46" s="40" t="s">
        <v>13</v>
      </c>
      <c r="F46" s="40" t="s">
        <v>90</v>
      </c>
      <c r="G46" s="40" t="s">
        <v>4089</v>
      </c>
      <c r="H46" s="40" t="s">
        <v>4090</v>
      </c>
      <c r="I46" s="40" t="s">
        <v>49</v>
      </c>
      <c r="J46" s="40">
        <v>542.41999999999996</v>
      </c>
      <c r="K46" s="40">
        <v>542.41999999999996</v>
      </c>
      <c r="L46" s="40"/>
      <c r="M46" s="40">
        <v>542.41999999999996</v>
      </c>
      <c r="N46" s="40"/>
      <c r="O46" s="40" t="s">
        <v>234</v>
      </c>
    </row>
    <row r="47" spans="1:15" ht="33.75" x14ac:dyDescent="0.2">
      <c r="A47" s="40" t="s">
        <v>4079</v>
      </c>
      <c r="B47" s="40" t="s">
        <v>4080</v>
      </c>
      <c r="C47" s="41">
        <v>46112</v>
      </c>
      <c r="D47" s="41">
        <v>46112</v>
      </c>
      <c r="E47" s="40" t="s">
        <v>13</v>
      </c>
      <c r="F47" s="40" t="s">
        <v>4081</v>
      </c>
      <c r="G47" s="40" t="s">
        <v>4082</v>
      </c>
      <c r="H47" s="40" t="s">
        <v>4083</v>
      </c>
      <c r="I47" s="40" t="s">
        <v>49</v>
      </c>
      <c r="J47" s="40">
        <v>149.4</v>
      </c>
      <c r="K47" s="40">
        <v>149.4</v>
      </c>
      <c r="L47" s="40"/>
      <c r="M47" s="40">
        <v>149.4</v>
      </c>
      <c r="N47" s="40"/>
      <c r="O47" s="40" t="s">
        <v>234</v>
      </c>
    </row>
    <row r="48" spans="1:15" ht="33.75" x14ac:dyDescent="0.2">
      <c r="A48" s="40" t="s">
        <v>4072</v>
      </c>
      <c r="B48" s="40" t="s">
        <v>4073</v>
      </c>
      <c r="C48" s="41">
        <v>46112</v>
      </c>
      <c r="D48" s="41">
        <v>46112</v>
      </c>
      <c r="E48" s="40" t="s">
        <v>13</v>
      </c>
      <c r="F48" s="40" t="s">
        <v>1454</v>
      </c>
      <c r="G48" s="40" t="s">
        <v>4074</v>
      </c>
      <c r="H48" s="40" t="s">
        <v>4075</v>
      </c>
      <c r="I48" s="40" t="s">
        <v>49</v>
      </c>
      <c r="J48" s="40">
        <v>195.3</v>
      </c>
      <c r="K48" s="40">
        <v>195.3</v>
      </c>
      <c r="L48" s="40"/>
      <c r="M48" s="40">
        <v>195.3</v>
      </c>
      <c r="N48" s="40"/>
      <c r="O48" s="40" t="s">
        <v>234</v>
      </c>
    </row>
    <row r="49" spans="1:15" ht="33.75" x14ac:dyDescent="0.2">
      <c r="A49" s="40" t="s">
        <v>4064</v>
      </c>
      <c r="B49" s="40" t="s">
        <v>4065</v>
      </c>
      <c r="C49" s="41">
        <v>46112</v>
      </c>
      <c r="D49" s="41">
        <v>46112</v>
      </c>
      <c r="E49" s="40" t="s">
        <v>13</v>
      </c>
      <c r="F49" s="40" t="s">
        <v>4066</v>
      </c>
      <c r="G49" s="40" t="s">
        <v>4067</v>
      </c>
      <c r="H49" s="40" t="s">
        <v>4068</v>
      </c>
      <c r="I49" s="40" t="s">
        <v>49</v>
      </c>
      <c r="J49" s="40">
        <v>98.83</v>
      </c>
      <c r="K49" s="40">
        <v>98.83</v>
      </c>
      <c r="L49" s="40"/>
      <c r="M49" s="40">
        <v>98.83</v>
      </c>
      <c r="N49" s="40"/>
      <c r="O49" s="40" t="s">
        <v>234</v>
      </c>
    </row>
    <row r="50" spans="1:15" ht="45" x14ac:dyDescent="0.2">
      <c r="A50" s="40" t="s">
        <v>4058</v>
      </c>
      <c r="B50" s="40" t="s">
        <v>4059</v>
      </c>
      <c r="C50" s="41">
        <v>46112</v>
      </c>
      <c r="D50" s="41">
        <v>46112</v>
      </c>
      <c r="E50" s="40" t="s">
        <v>13</v>
      </c>
      <c r="F50" s="40" t="s">
        <v>4060</v>
      </c>
      <c r="G50" s="40" t="s">
        <v>4061</v>
      </c>
      <c r="H50" s="40" t="s">
        <v>4062</v>
      </c>
      <c r="I50" s="40" t="s">
        <v>49</v>
      </c>
      <c r="J50" s="40">
        <v>52.5</v>
      </c>
      <c r="K50" s="40">
        <v>52.5</v>
      </c>
      <c r="L50" s="40"/>
      <c r="M50" s="40">
        <v>52.5</v>
      </c>
      <c r="N50" s="40"/>
      <c r="O50" s="40" t="s">
        <v>234</v>
      </c>
    </row>
    <row r="51" spans="1:15" ht="33.75" x14ac:dyDescent="0.2">
      <c r="A51" s="40" t="s">
        <v>4050</v>
      </c>
      <c r="B51" s="40" t="s">
        <v>4051</v>
      </c>
      <c r="C51" s="41">
        <v>46112</v>
      </c>
      <c r="D51" s="41">
        <v>46112</v>
      </c>
      <c r="E51" s="40" t="s">
        <v>13</v>
      </c>
      <c r="F51" s="40" t="s">
        <v>4052</v>
      </c>
      <c r="G51" s="40" t="s">
        <v>4053</v>
      </c>
      <c r="H51" s="40" t="s">
        <v>4054</v>
      </c>
      <c r="I51" s="40" t="s">
        <v>49</v>
      </c>
      <c r="J51" s="40">
        <v>70.5</v>
      </c>
      <c r="K51" s="40">
        <v>70.5</v>
      </c>
      <c r="L51" s="40"/>
      <c r="M51" s="40">
        <v>70.5</v>
      </c>
      <c r="N51" s="40"/>
      <c r="O51" s="40" t="s">
        <v>234</v>
      </c>
    </row>
    <row r="52" spans="1:15" ht="33.75" x14ac:dyDescent="0.2">
      <c r="A52" s="40" t="s">
        <v>4042</v>
      </c>
      <c r="B52" s="40" t="s">
        <v>4043</v>
      </c>
      <c r="C52" s="41">
        <v>46112</v>
      </c>
      <c r="D52" s="41">
        <v>46112</v>
      </c>
      <c r="E52" s="40" t="s">
        <v>13</v>
      </c>
      <c r="F52" s="40" t="s">
        <v>4044</v>
      </c>
      <c r="G52" s="40" t="s">
        <v>4045</v>
      </c>
      <c r="H52" s="40" t="s">
        <v>4046</v>
      </c>
      <c r="I52" s="40" t="s">
        <v>49</v>
      </c>
      <c r="J52" s="40">
        <v>350.47</v>
      </c>
      <c r="K52" s="40">
        <v>350.47</v>
      </c>
      <c r="L52" s="40"/>
      <c r="M52" s="40">
        <v>350.47</v>
      </c>
      <c r="N52" s="40"/>
      <c r="O52" s="40" t="s">
        <v>234</v>
      </c>
    </row>
    <row r="53" spans="1:15" ht="33.75" x14ac:dyDescent="0.2">
      <c r="A53" s="40" t="s">
        <v>4036</v>
      </c>
      <c r="B53" s="40" t="s">
        <v>4037</v>
      </c>
      <c r="C53" s="41">
        <v>46112</v>
      </c>
      <c r="D53" s="41">
        <v>46112</v>
      </c>
      <c r="E53" s="40" t="s">
        <v>13</v>
      </c>
      <c r="F53" s="40" t="s">
        <v>4038</v>
      </c>
      <c r="G53" s="40" t="s">
        <v>4039</v>
      </c>
      <c r="H53" s="40" t="s">
        <v>4040</v>
      </c>
      <c r="I53" s="40" t="s">
        <v>49</v>
      </c>
      <c r="J53" s="40">
        <v>118.5</v>
      </c>
      <c r="K53" s="40">
        <v>118.5</v>
      </c>
      <c r="L53" s="40"/>
      <c r="M53" s="40">
        <v>118.5</v>
      </c>
      <c r="N53" s="40"/>
      <c r="O53" s="40" t="s">
        <v>234</v>
      </c>
    </row>
    <row r="54" spans="1:15" ht="33.75" x14ac:dyDescent="0.2">
      <c r="A54" s="40" t="s">
        <v>4030</v>
      </c>
      <c r="B54" s="40" t="s">
        <v>4031</v>
      </c>
      <c r="C54" s="41">
        <v>46112</v>
      </c>
      <c r="D54" s="41">
        <v>46112</v>
      </c>
      <c r="E54" s="40" t="s">
        <v>13</v>
      </c>
      <c r="F54" s="40" t="s">
        <v>4032</v>
      </c>
      <c r="G54" s="40" t="s">
        <v>4033</v>
      </c>
      <c r="H54" s="40" t="s">
        <v>4034</v>
      </c>
      <c r="I54" s="40" t="s">
        <v>49</v>
      </c>
      <c r="J54" s="40">
        <v>72.5</v>
      </c>
      <c r="K54" s="40">
        <v>72.5</v>
      </c>
      <c r="L54" s="40"/>
      <c r="M54" s="40">
        <v>72.5</v>
      </c>
      <c r="N54" s="40"/>
      <c r="O54" s="40" t="s">
        <v>234</v>
      </c>
    </row>
    <row r="55" spans="1:15" ht="33.75" x14ac:dyDescent="0.2">
      <c r="A55" s="40" t="s">
        <v>4022</v>
      </c>
      <c r="B55" s="40" t="s">
        <v>4023</v>
      </c>
      <c r="C55" s="41">
        <v>46112</v>
      </c>
      <c r="D55" s="41">
        <v>46112</v>
      </c>
      <c r="E55" s="40" t="s">
        <v>13</v>
      </c>
      <c r="F55" s="40" t="s">
        <v>4024</v>
      </c>
      <c r="G55" s="40" t="s">
        <v>4025</v>
      </c>
      <c r="H55" s="40" t="s">
        <v>4026</v>
      </c>
      <c r="I55" s="40" t="s">
        <v>49</v>
      </c>
      <c r="J55" s="40">
        <v>169.12</v>
      </c>
      <c r="K55" s="40">
        <v>169.12</v>
      </c>
      <c r="L55" s="40"/>
      <c r="M55" s="40">
        <v>169.12</v>
      </c>
      <c r="N55" s="40"/>
      <c r="O55" s="40" t="s">
        <v>234</v>
      </c>
    </row>
    <row r="56" spans="1:15" ht="33.75" x14ac:dyDescent="0.2">
      <c r="A56" s="40" t="s">
        <v>4014</v>
      </c>
      <c r="B56" s="40" t="s">
        <v>4015</v>
      </c>
      <c r="C56" s="41">
        <v>46112</v>
      </c>
      <c r="D56" s="41">
        <v>46112</v>
      </c>
      <c r="E56" s="40" t="s">
        <v>13</v>
      </c>
      <c r="F56" s="40" t="s">
        <v>4016</v>
      </c>
      <c r="G56" s="40" t="s">
        <v>4017</v>
      </c>
      <c r="H56" s="40" t="s">
        <v>4018</v>
      </c>
      <c r="I56" s="40" t="s">
        <v>49</v>
      </c>
      <c r="J56" s="40">
        <v>941.73</v>
      </c>
      <c r="K56" s="40">
        <v>941.73</v>
      </c>
      <c r="L56" s="40"/>
      <c r="M56" s="40">
        <v>941.73</v>
      </c>
      <c r="N56" s="40"/>
      <c r="O56" s="40" t="s">
        <v>234</v>
      </c>
    </row>
    <row r="57" spans="1:15" ht="22.5" x14ac:dyDescent="0.2">
      <c r="A57" s="40" t="s">
        <v>4006</v>
      </c>
      <c r="B57" s="40" t="s">
        <v>4007</v>
      </c>
      <c r="C57" s="41">
        <v>46112</v>
      </c>
      <c r="D57" s="41">
        <v>46112</v>
      </c>
      <c r="E57" s="40" t="s">
        <v>13</v>
      </c>
      <c r="F57" s="40" t="s">
        <v>4008</v>
      </c>
      <c r="G57" s="40" t="s">
        <v>4009</v>
      </c>
      <c r="H57" s="40" t="s">
        <v>4010</v>
      </c>
      <c r="I57" s="40" t="s">
        <v>49</v>
      </c>
      <c r="J57" s="40">
        <v>67.94</v>
      </c>
      <c r="K57" s="40">
        <v>67.94</v>
      </c>
      <c r="L57" s="40"/>
      <c r="M57" s="40">
        <v>67.94</v>
      </c>
      <c r="N57" s="40"/>
      <c r="O57" s="40" t="s">
        <v>234</v>
      </c>
    </row>
    <row r="58" spans="1:15" ht="33.75" x14ac:dyDescent="0.2">
      <c r="A58" s="40" t="s">
        <v>3998</v>
      </c>
      <c r="B58" s="40" t="s">
        <v>3999</v>
      </c>
      <c r="C58" s="41">
        <v>46112</v>
      </c>
      <c r="D58" s="41">
        <v>46112</v>
      </c>
      <c r="E58" s="40" t="s">
        <v>13</v>
      </c>
      <c r="F58" s="40" t="s">
        <v>4000</v>
      </c>
      <c r="G58" s="40" t="s">
        <v>4001</v>
      </c>
      <c r="H58" s="40" t="s">
        <v>4002</v>
      </c>
      <c r="I58" s="40" t="s">
        <v>49</v>
      </c>
      <c r="J58" s="40">
        <v>493.49</v>
      </c>
      <c r="K58" s="40">
        <v>493.49</v>
      </c>
      <c r="L58" s="40"/>
      <c r="M58" s="40">
        <v>493.49</v>
      </c>
      <c r="N58" s="40"/>
      <c r="O58" s="40" t="s">
        <v>234</v>
      </c>
    </row>
    <row r="59" spans="1:15" ht="33.75" x14ac:dyDescent="0.2">
      <c r="A59" s="40" t="s">
        <v>3993</v>
      </c>
      <c r="B59" s="40" t="s">
        <v>3994</v>
      </c>
      <c r="C59" s="41">
        <v>46112</v>
      </c>
      <c r="D59" s="41">
        <v>46112</v>
      </c>
      <c r="E59" s="40" t="s">
        <v>13</v>
      </c>
      <c r="F59" s="40" t="s">
        <v>3902</v>
      </c>
      <c r="G59" s="40" t="s">
        <v>3995</v>
      </c>
      <c r="H59" s="40" t="s">
        <v>3996</v>
      </c>
      <c r="I59" s="40" t="s">
        <v>49</v>
      </c>
      <c r="J59" s="40">
        <v>61.02</v>
      </c>
      <c r="K59" s="40">
        <v>61.02</v>
      </c>
      <c r="L59" s="40"/>
      <c r="M59" s="40">
        <v>61.02</v>
      </c>
      <c r="N59" s="40"/>
      <c r="O59" s="40" t="s">
        <v>234</v>
      </c>
    </row>
    <row r="60" spans="1:15" ht="33.75" x14ac:dyDescent="0.2">
      <c r="A60" s="40" t="s">
        <v>3988</v>
      </c>
      <c r="B60" s="40" t="s">
        <v>3989</v>
      </c>
      <c r="C60" s="41">
        <v>46112</v>
      </c>
      <c r="D60" s="41">
        <v>46112</v>
      </c>
      <c r="E60" s="40" t="s">
        <v>13</v>
      </c>
      <c r="F60" s="40" t="s">
        <v>1040</v>
      </c>
      <c r="G60" s="40" t="s">
        <v>3990</v>
      </c>
      <c r="H60" s="40" t="s">
        <v>3991</v>
      </c>
      <c r="I60" s="40" t="s">
        <v>49</v>
      </c>
      <c r="J60" s="40">
        <v>196.54</v>
      </c>
      <c r="K60" s="40">
        <v>196.54</v>
      </c>
      <c r="L60" s="40"/>
      <c r="M60" s="40">
        <v>196.54</v>
      </c>
      <c r="N60" s="40"/>
      <c r="O60" s="40" t="s">
        <v>234</v>
      </c>
    </row>
    <row r="61" spans="1:15" ht="33.75" x14ac:dyDescent="0.2">
      <c r="A61" s="40" t="s">
        <v>3983</v>
      </c>
      <c r="B61" s="40" t="s">
        <v>3984</v>
      </c>
      <c r="C61" s="41">
        <v>46112</v>
      </c>
      <c r="D61" s="41">
        <v>46112</v>
      </c>
      <c r="E61" s="40" t="s">
        <v>13</v>
      </c>
      <c r="F61" s="40" t="s">
        <v>3966</v>
      </c>
      <c r="G61" s="40" t="s">
        <v>3985</v>
      </c>
      <c r="H61" s="40" t="s">
        <v>3986</v>
      </c>
      <c r="I61" s="40" t="s">
        <v>49</v>
      </c>
      <c r="J61" s="40">
        <v>20.399999999999999</v>
      </c>
      <c r="K61" s="40">
        <v>20.399999999999999</v>
      </c>
      <c r="L61" s="40"/>
      <c r="M61" s="40">
        <v>20.399999999999999</v>
      </c>
      <c r="N61" s="40"/>
      <c r="O61" s="40" t="s">
        <v>234</v>
      </c>
    </row>
    <row r="62" spans="1:15" ht="33.75" x14ac:dyDescent="0.2">
      <c r="A62" s="40" t="s">
        <v>3978</v>
      </c>
      <c r="B62" s="40" t="s">
        <v>3979</v>
      </c>
      <c r="C62" s="41">
        <v>46112</v>
      </c>
      <c r="D62" s="41">
        <v>46112</v>
      </c>
      <c r="E62" s="40" t="s">
        <v>13</v>
      </c>
      <c r="F62" s="40" t="s">
        <v>1449</v>
      </c>
      <c r="G62" s="40" t="s">
        <v>3980</v>
      </c>
      <c r="H62" s="40" t="s">
        <v>3981</v>
      </c>
      <c r="I62" s="40" t="s">
        <v>49</v>
      </c>
      <c r="J62" s="40">
        <v>74.66</v>
      </c>
      <c r="K62" s="40">
        <v>74.66</v>
      </c>
      <c r="L62" s="40"/>
      <c r="M62" s="40">
        <v>74.66</v>
      </c>
      <c r="N62" s="40"/>
      <c r="O62" s="40" t="s">
        <v>234</v>
      </c>
    </row>
    <row r="63" spans="1:15" ht="33.75" x14ac:dyDescent="0.2">
      <c r="A63" s="40" t="s">
        <v>3972</v>
      </c>
      <c r="B63" s="40" t="s">
        <v>3973</v>
      </c>
      <c r="C63" s="41">
        <v>46112</v>
      </c>
      <c r="D63" s="41">
        <v>46112</v>
      </c>
      <c r="E63" s="40" t="s">
        <v>13</v>
      </c>
      <c r="F63" s="40" t="s">
        <v>3974</v>
      </c>
      <c r="G63" s="40" t="s">
        <v>3975</v>
      </c>
      <c r="H63" s="40" t="s">
        <v>3976</v>
      </c>
      <c r="I63" s="40" t="s">
        <v>49</v>
      </c>
      <c r="J63" s="40">
        <v>232.2</v>
      </c>
      <c r="K63" s="40">
        <v>232.2</v>
      </c>
      <c r="L63" s="40"/>
      <c r="M63" s="40">
        <v>232.2</v>
      </c>
      <c r="N63" s="40"/>
      <c r="O63" s="40" t="s">
        <v>234</v>
      </c>
    </row>
    <row r="64" spans="1:15" ht="33.75" x14ac:dyDescent="0.2">
      <c r="A64" s="40" t="s">
        <v>3964</v>
      </c>
      <c r="B64" s="40" t="s">
        <v>3965</v>
      </c>
      <c r="C64" s="41">
        <v>46112</v>
      </c>
      <c r="D64" s="41">
        <v>46112</v>
      </c>
      <c r="E64" s="40" t="s">
        <v>13</v>
      </c>
      <c r="F64" s="40" t="s">
        <v>3966</v>
      </c>
      <c r="G64" s="40" t="s">
        <v>3967</v>
      </c>
      <c r="H64" s="40" t="s">
        <v>3968</v>
      </c>
      <c r="I64" s="40" t="s">
        <v>49</v>
      </c>
      <c r="J64" s="40">
        <v>13.61</v>
      </c>
      <c r="K64" s="40">
        <v>13.61</v>
      </c>
      <c r="L64" s="40"/>
      <c r="M64" s="40">
        <v>13.61</v>
      </c>
      <c r="N64" s="40"/>
      <c r="O64" s="40" t="s">
        <v>234</v>
      </c>
    </row>
    <row r="65" spans="1:15" ht="33.75" x14ac:dyDescent="0.2">
      <c r="A65" s="40" t="s">
        <v>3956</v>
      </c>
      <c r="B65" s="40" t="s">
        <v>3957</v>
      </c>
      <c r="C65" s="41">
        <v>46112</v>
      </c>
      <c r="D65" s="41">
        <v>46112</v>
      </c>
      <c r="E65" s="40" t="s">
        <v>13</v>
      </c>
      <c r="F65" s="40" t="s">
        <v>3958</v>
      </c>
      <c r="G65" s="40" t="s">
        <v>3959</v>
      </c>
      <c r="H65" s="40" t="s">
        <v>3960</v>
      </c>
      <c r="I65" s="40" t="s">
        <v>49</v>
      </c>
      <c r="J65" s="40">
        <v>108.61</v>
      </c>
      <c r="K65" s="40">
        <v>108.61</v>
      </c>
      <c r="L65" s="40"/>
      <c r="M65" s="40">
        <v>108.61</v>
      </c>
      <c r="N65" s="40"/>
      <c r="O65" s="40" t="s">
        <v>234</v>
      </c>
    </row>
    <row r="66" spans="1:15" ht="33.75" x14ac:dyDescent="0.2">
      <c r="A66" s="40" t="s">
        <v>3949</v>
      </c>
      <c r="B66" s="40" t="s">
        <v>3950</v>
      </c>
      <c r="C66" s="41">
        <v>46112</v>
      </c>
      <c r="D66" s="41">
        <v>46112</v>
      </c>
      <c r="E66" s="40" t="s">
        <v>13</v>
      </c>
      <c r="F66" s="40" t="s">
        <v>505</v>
      </c>
      <c r="G66" s="40" t="s">
        <v>3951</v>
      </c>
      <c r="H66" s="40" t="s">
        <v>3952</v>
      </c>
      <c r="I66" s="40" t="s">
        <v>49</v>
      </c>
      <c r="J66" s="40">
        <v>97.76</v>
      </c>
      <c r="K66" s="40">
        <v>97.76</v>
      </c>
      <c r="L66" s="40"/>
      <c r="M66" s="40">
        <v>97.76</v>
      </c>
      <c r="N66" s="40"/>
      <c r="O66" s="40" t="s">
        <v>234</v>
      </c>
    </row>
    <row r="67" spans="1:15" ht="33.75" x14ac:dyDescent="0.2">
      <c r="A67" s="40" t="s">
        <v>3940</v>
      </c>
      <c r="B67" s="40" t="s">
        <v>3941</v>
      </c>
      <c r="C67" s="41">
        <v>46112</v>
      </c>
      <c r="D67" s="41">
        <v>46112</v>
      </c>
      <c r="E67" s="40" t="s">
        <v>13</v>
      </c>
      <c r="F67" s="40" t="s">
        <v>3942</v>
      </c>
      <c r="G67" s="40" t="s">
        <v>3943</v>
      </c>
      <c r="H67" s="40" t="s">
        <v>3944</v>
      </c>
      <c r="I67" s="40" t="s">
        <v>49</v>
      </c>
      <c r="J67" s="40">
        <v>160.94</v>
      </c>
      <c r="K67" s="40">
        <v>160.94</v>
      </c>
      <c r="L67" s="40"/>
      <c r="M67" s="40">
        <v>160.94</v>
      </c>
      <c r="N67" s="40"/>
      <c r="O67" s="40" t="s">
        <v>234</v>
      </c>
    </row>
    <row r="68" spans="1:15" ht="33.75" x14ac:dyDescent="0.2">
      <c r="A68" s="40" t="s">
        <v>3935</v>
      </c>
      <c r="B68" s="40" t="s">
        <v>3936</v>
      </c>
      <c r="C68" s="41">
        <v>46112</v>
      </c>
      <c r="D68" s="41">
        <v>46112</v>
      </c>
      <c r="E68" s="40" t="s">
        <v>13</v>
      </c>
      <c r="F68" s="40" t="s">
        <v>56</v>
      </c>
      <c r="G68" s="40" t="s">
        <v>3937</v>
      </c>
      <c r="H68" s="40" t="s">
        <v>3938</v>
      </c>
      <c r="I68" s="40" t="s">
        <v>49</v>
      </c>
      <c r="J68" s="40">
        <v>136.66999999999999</v>
      </c>
      <c r="K68" s="40">
        <v>136.66999999999999</v>
      </c>
      <c r="L68" s="40"/>
      <c r="M68" s="40">
        <v>136.66999999999999</v>
      </c>
      <c r="N68" s="40"/>
      <c r="O68" s="40" t="s">
        <v>234</v>
      </c>
    </row>
    <row r="69" spans="1:15" ht="33.75" x14ac:dyDescent="0.2">
      <c r="A69" s="40" t="s">
        <v>3929</v>
      </c>
      <c r="B69" s="40" t="s">
        <v>3930</v>
      </c>
      <c r="C69" s="41">
        <v>46112</v>
      </c>
      <c r="D69" s="41">
        <v>46112</v>
      </c>
      <c r="E69" s="40" t="s">
        <v>13</v>
      </c>
      <c r="F69" s="40" t="s">
        <v>3879</v>
      </c>
      <c r="G69" s="40" t="s">
        <v>3895</v>
      </c>
      <c r="H69" s="40" t="s">
        <v>3931</v>
      </c>
      <c r="I69" s="40" t="s">
        <v>49</v>
      </c>
      <c r="J69" s="40">
        <v>86.4</v>
      </c>
      <c r="K69" s="40">
        <v>86.4</v>
      </c>
      <c r="L69" s="40"/>
      <c r="M69" s="40">
        <v>86.4</v>
      </c>
      <c r="N69" s="40"/>
      <c r="O69" s="40" t="s">
        <v>234</v>
      </c>
    </row>
    <row r="70" spans="1:15" ht="33.75" x14ac:dyDescent="0.2">
      <c r="A70" s="40" t="s">
        <v>3923</v>
      </c>
      <c r="B70" s="40" t="s">
        <v>3924</v>
      </c>
      <c r="C70" s="41">
        <v>46112</v>
      </c>
      <c r="D70" s="41">
        <v>46112</v>
      </c>
      <c r="E70" s="40" t="s">
        <v>13</v>
      </c>
      <c r="F70" s="40" t="s">
        <v>3925</v>
      </c>
      <c r="G70" s="40" t="s">
        <v>3926</v>
      </c>
      <c r="H70" s="40" t="s">
        <v>3927</v>
      </c>
      <c r="I70" s="40" t="s">
        <v>49</v>
      </c>
      <c r="J70" s="40">
        <v>85.86</v>
      </c>
      <c r="K70" s="40">
        <v>85.86</v>
      </c>
      <c r="L70" s="40"/>
      <c r="M70" s="40">
        <v>85.86</v>
      </c>
      <c r="N70" s="40"/>
      <c r="O70" s="40" t="s">
        <v>234</v>
      </c>
    </row>
    <row r="71" spans="1:15" ht="33.75" x14ac:dyDescent="0.2">
      <c r="A71" s="40" t="s">
        <v>3916</v>
      </c>
      <c r="B71" s="40" t="s">
        <v>3917</v>
      </c>
      <c r="C71" s="41">
        <v>46112</v>
      </c>
      <c r="D71" s="41">
        <v>46112</v>
      </c>
      <c r="E71" s="40" t="s">
        <v>13</v>
      </c>
      <c r="F71" s="40" t="s">
        <v>505</v>
      </c>
      <c r="G71" s="40" t="s">
        <v>3918</v>
      </c>
      <c r="H71" s="40" t="s">
        <v>3919</v>
      </c>
      <c r="I71" s="40" t="s">
        <v>49</v>
      </c>
      <c r="J71" s="40">
        <v>144.28</v>
      </c>
      <c r="K71" s="40">
        <v>144.28</v>
      </c>
      <c r="L71" s="40"/>
      <c r="M71" s="40">
        <v>144.28</v>
      </c>
      <c r="N71" s="40"/>
      <c r="O71" s="40" t="s">
        <v>234</v>
      </c>
    </row>
    <row r="72" spans="1:15" ht="33.75" x14ac:dyDescent="0.2">
      <c r="A72" s="40" t="s">
        <v>3908</v>
      </c>
      <c r="B72" s="40" t="s">
        <v>3909</v>
      </c>
      <c r="C72" s="41">
        <v>46112</v>
      </c>
      <c r="D72" s="41">
        <v>46112</v>
      </c>
      <c r="E72" s="40" t="s">
        <v>13</v>
      </c>
      <c r="F72" s="40" t="s">
        <v>3910</v>
      </c>
      <c r="G72" s="40" t="s">
        <v>3911</v>
      </c>
      <c r="H72" s="40" t="s">
        <v>3912</v>
      </c>
      <c r="I72" s="40" t="s">
        <v>49</v>
      </c>
      <c r="J72" s="40">
        <v>96.3</v>
      </c>
      <c r="K72" s="40">
        <v>96.3</v>
      </c>
      <c r="L72" s="40"/>
      <c r="M72" s="40">
        <v>96.3</v>
      </c>
      <c r="N72" s="40"/>
      <c r="O72" s="40" t="s">
        <v>234</v>
      </c>
    </row>
    <row r="73" spans="1:15" ht="33.75" x14ac:dyDescent="0.2">
      <c r="A73" s="40" t="s">
        <v>3900</v>
      </c>
      <c r="B73" s="40" t="s">
        <v>3901</v>
      </c>
      <c r="C73" s="41">
        <v>46112</v>
      </c>
      <c r="D73" s="41">
        <v>46112</v>
      </c>
      <c r="E73" s="40" t="s">
        <v>13</v>
      </c>
      <c r="F73" s="40" t="s">
        <v>3902</v>
      </c>
      <c r="G73" s="40" t="s">
        <v>3903</v>
      </c>
      <c r="H73" s="40" t="s">
        <v>3904</v>
      </c>
      <c r="I73" s="40" t="s">
        <v>49</v>
      </c>
      <c r="J73" s="40">
        <v>64.45</v>
      </c>
      <c r="K73" s="40">
        <v>64.45</v>
      </c>
      <c r="L73" s="40"/>
      <c r="M73" s="40">
        <v>64.45</v>
      </c>
      <c r="N73" s="40"/>
      <c r="O73" s="40" t="s">
        <v>234</v>
      </c>
    </row>
    <row r="74" spans="1:15" ht="33.75" x14ac:dyDescent="0.2">
      <c r="A74" s="40" t="s">
        <v>3893</v>
      </c>
      <c r="B74" s="40" t="s">
        <v>3894</v>
      </c>
      <c r="C74" s="41">
        <v>46112</v>
      </c>
      <c r="D74" s="41">
        <v>46112</v>
      </c>
      <c r="E74" s="40" t="s">
        <v>13</v>
      </c>
      <c r="F74" s="40" t="s">
        <v>3879</v>
      </c>
      <c r="G74" s="40" t="s">
        <v>3895</v>
      </c>
      <c r="H74" s="40" t="s">
        <v>3896</v>
      </c>
      <c r="I74" s="40" t="s">
        <v>49</v>
      </c>
      <c r="J74" s="40">
        <v>86.4</v>
      </c>
      <c r="K74" s="40">
        <v>86.4</v>
      </c>
      <c r="L74" s="40"/>
      <c r="M74" s="40">
        <v>86.4</v>
      </c>
      <c r="N74" s="40"/>
      <c r="O74" s="40" t="s">
        <v>234</v>
      </c>
    </row>
    <row r="75" spans="1:15" ht="33.75" x14ac:dyDescent="0.2">
      <c r="A75" s="40" t="s">
        <v>3885</v>
      </c>
      <c r="B75" s="40" t="s">
        <v>3886</v>
      </c>
      <c r="C75" s="41">
        <v>46112</v>
      </c>
      <c r="D75" s="41">
        <v>46112</v>
      </c>
      <c r="E75" s="40" t="s">
        <v>13</v>
      </c>
      <c r="F75" s="40" t="s">
        <v>3887</v>
      </c>
      <c r="G75" s="40" t="s">
        <v>3888</v>
      </c>
      <c r="H75" s="40" t="s">
        <v>3889</v>
      </c>
      <c r="I75" s="40" t="s">
        <v>49</v>
      </c>
      <c r="J75" s="40">
        <v>125.28</v>
      </c>
      <c r="K75" s="40">
        <v>125.28</v>
      </c>
      <c r="L75" s="40"/>
      <c r="M75" s="40">
        <v>125.28</v>
      </c>
      <c r="N75" s="40"/>
      <c r="O75" s="40" t="s">
        <v>234</v>
      </c>
    </row>
    <row r="76" spans="1:15" ht="33.75" x14ac:dyDescent="0.2">
      <c r="A76" s="40" t="s">
        <v>3877</v>
      </c>
      <c r="B76" s="40" t="s">
        <v>3878</v>
      </c>
      <c r="C76" s="41">
        <v>46112</v>
      </c>
      <c r="D76" s="41">
        <v>46112</v>
      </c>
      <c r="E76" s="40" t="s">
        <v>13</v>
      </c>
      <c r="F76" s="40" t="s">
        <v>3879</v>
      </c>
      <c r="G76" s="40" t="s">
        <v>3880</v>
      </c>
      <c r="H76" s="40" t="s">
        <v>3881</v>
      </c>
      <c r="I76" s="40" t="s">
        <v>49</v>
      </c>
      <c r="J76" s="40">
        <v>43.2</v>
      </c>
      <c r="K76" s="40">
        <v>43.2</v>
      </c>
      <c r="L76" s="40"/>
      <c r="M76" s="40">
        <v>43.2</v>
      </c>
      <c r="N76" s="40"/>
      <c r="O76" s="40" t="s">
        <v>234</v>
      </c>
    </row>
    <row r="77" spans="1:15" ht="33.75" x14ac:dyDescent="0.2">
      <c r="A77" s="40" t="s">
        <v>3869</v>
      </c>
      <c r="B77" s="40" t="s">
        <v>3870</v>
      </c>
      <c r="C77" s="41">
        <v>46112</v>
      </c>
      <c r="D77" s="41">
        <v>46112</v>
      </c>
      <c r="E77" s="40" t="s">
        <v>13</v>
      </c>
      <c r="F77" s="40" t="s">
        <v>3871</v>
      </c>
      <c r="G77" s="40" t="s">
        <v>3872</v>
      </c>
      <c r="H77" s="40" t="s">
        <v>3873</v>
      </c>
      <c r="I77" s="40" t="s">
        <v>49</v>
      </c>
      <c r="J77" s="40">
        <v>59.23</v>
      </c>
      <c r="K77" s="40">
        <v>59.23</v>
      </c>
      <c r="L77" s="40"/>
      <c r="M77" s="40">
        <v>59.23</v>
      </c>
      <c r="N77" s="40"/>
      <c r="O77" s="40" t="s">
        <v>234</v>
      </c>
    </row>
    <row r="78" spans="1:15" ht="33.75" x14ac:dyDescent="0.2">
      <c r="A78" s="40" t="s">
        <v>3861</v>
      </c>
      <c r="B78" s="40" t="s">
        <v>3862</v>
      </c>
      <c r="C78" s="41">
        <v>46112</v>
      </c>
      <c r="D78" s="41">
        <v>46112</v>
      </c>
      <c r="E78" s="40" t="s">
        <v>13</v>
      </c>
      <c r="F78" s="40" t="s">
        <v>3863</v>
      </c>
      <c r="G78" s="40" t="s">
        <v>3864</v>
      </c>
      <c r="H78" s="40" t="s">
        <v>3865</v>
      </c>
      <c r="I78" s="40" t="s">
        <v>49</v>
      </c>
      <c r="J78" s="40">
        <v>257.39999999999998</v>
      </c>
      <c r="K78" s="40">
        <v>257.39999999999998</v>
      </c>
      <c r="L78" s="40"/>
      <c r="M78" s="40">
        <v>257.39999999999998</v>
      </c>
      <c r="N78" s="40"/>
      <c r="O78" s="40" t="s">
        <v>234</v>
      </c>
    </row>
    <row r="79" spans="1:15" ht="33.75" x14ac:dyDescent="0.2">
      <c r="A79" s="40" t="s">
        <v>3843</v>
      </c>
      <c r="B79" s="40" t="s">
        <v>3844</v>
      </c>
      <c r="C79" s="41">
        <v>46112</v>
      </c>
      <c r="D79" s="41">
        <v>46112</v>
      </c>
      <c r="E79" s="40" t="s">
        <v>13</v>
      </c>
      <c r="F79" s="40" t="s">
        <v>3845</v>
      </c>
      <c r="G79" s="40" t="s">
        <v>3846</v>
      </c>
      <c r="H79" s="40" t="s">
        <v>3847</v>
      </c>
      <c r="I79" s="40" t="s">
        <v>49</v>
      </c>
      <c r="J79" s="40">
        <v>127.42</v>
      </c>
      <c r="K79" s="40">
        <v>127.42</v>
      </c>
      <c r="L79" s="40"/>
      <c r="M79" s="40">
        <v>127.42</v>
      </c>
      <c r="N79" s="40"/>
      <c r="O79" s="40" t="s">
        <v>234</v>
      </c>
    </row>
    <row r="80" spans="1:15" ht="33.75" x14ac:dyDescent="0.2">
      <c r="A80" s="40" t="s">
        <v>3837</v>
      </c>
      <c r="B80" s="40" t="s">
        <v>3838</v>
      </c>
      <c r="C80" s="41">
        <v>46112</v>
      </c>
      <c r="D80" s="41">
        <v>46112</v>
      </c>
      <c r="E80" s="40" t="s">
        <v>13</v>
      </c>
      <c r="F80" s="40" t="s">
        <v>3839</v>
      </c>
      <c r="G80" s="40" t="s">
        <v>3840</v>
      </c>
      <c r="H80" s="40" t="s">
        <v>3841</v>
      </c>
      <c r="I80" s="40" t="s">
        <v>49</v>
      </c>
      <c r="J80" s="40">
        <v>127.42</v>
      </c>
      <c r="K80" s="40">
        <v>127.42</v>
      </c>
      <c r="L80" s="40"/>
      <c r="M80" s="40">
        <v>127.42</v>
      </c>
      <c r="N80" s="40"/>
      <c r="O80" s="40" t="s">
        <v>234</v>
      </c>
    </row>
    <row r="81" spans="1:15" ht="33.75" x14ac:dyDescent="0.2">
      <c r="A81" s="40" t="s">
        <v>3831</v>
      </c>
      <c r="B81" s="40" t="s">
        <v>3832</v>
      </c>
      <c r="C81" s="41">
        <v>46112</v>
      </c>
      <c r="D81" s="41">
        <v>46112</v>
      </c>
      <c r="E81" s="40" t="s">
        <v>13</v>
      </c>
      <c r="F81" s="40" t="s">
        <v>3833</v>
      </c>
      <c r="G81" s="40" t="s">
        <v>3834</v>
      </c>
      <c r="H81" s="40" t="s">
        <v>3835</v>
      </c>
      <c r="I81" s="40" t="s">
        <v>49</v>
      </c>
      <c r="J81" s="40">
        <v>137.19999999999999</v>
      </c>
      <c r="K81" s="40">
        <v>137.19999999999999</v>
      </c>
      <c r="L81" s="40"/>
      <c r="M81" s="40">
        <v>137.19999999999999</v>
      </c>
      <c r="N81" s="40"/>
      <c r="O81" s="40" t="s">
        <v>234</v>
      </c>
    </row>
    <row r="82" spans="1:15" ht="33.75" x14ac:dyDescent="0.2">
      <c r="A82" s="40" t="s">
        <v>3825</v>
      </c>
      <c r="B82" s="40" t="s">
        <v>3826</v>
      </c>
      <c r="C82" s="41">
        <v>46112</v>
      </c>
      <c r="D82" s="41">
        <v>46112</v>
      </c>
      <c r="E82" s="40" t="s">
        <v>13</v>
      </c>
      <c r="F82" s="40" t="s">
        <v>3827</v>
      </c>
      <c r="G82" s="40" t="s">
        <v>3828</v>
      </c>
      <c r="H82" s="40" t="s">
        <v>3829</v>
      </c>
      <c r="I82" s="40" t="s">
        <v>49</v>
      </c>
      <c r="J82" s="40">
        <v>147.1</v>
      </c>
      <c r="K82" s="40">
        <v>147.1</v>
      </c>
      <c r="L82" s="40"/>
      <c r="M82" s="40">
        <v>147.1</v>
      </c>
      <c r="N82" s="40"/>
      <c r="O82" s="40" t="s">
        <v>234</v>
      </c>
    </row>
    <row r="83" spans="1:15" ht="33.75" x14ac:dyDescent="0.2">
      <c r="A83" s="40" t="s">
        <v>3819</v>
      </c>
      <c r="B83" s="40" t="s">
        <v>3820</v>
      </c>
      <c r="C83" s="41">
        <v>46112</v>
      </c>
      <c r="D83" s="41">
        <v>46112</v>
      </c>
      <c r="E83" s="40" t="s">
        <v>13</v>
      </c>
      <c r="F83" s="40" t="s">
        <v>3821</v>
      </c>
      <c r="G83" s="40" t="s">
        <v>3822</v>
      </c>
      <c r="H83" s="40" t="s">
        <v>3823</v>
      </c>
      <c r="I83" s="40" t="s">
        <v>49</v>
      </c>
      <c r="J83" s="40">
        <v>384.74</v>
      </c>
      <c r="K83" s="40">
        <v>384.74</v>
      </c>
      <c r="L83" s="40"/>
      <c r="M83" s="40">
        <v>384.74</v>
      </c>
      <c r="N83" s="40"/>
      <c r="O83" s="40" t="s">
        <v>234</v>
      </c>
    </row>
    <row r="84" spans="1:15" ht="33.75" x14ac:dyDescent="0.2">
      <c r="A84" s="40" t="s">
        <v>3813</v>
      </c>
      <c r="B84" s="40" t="s">
        <v>3814</v>
      </c>
      <c r="C84" s="41">
        <v>46112</v>
      </c>
      <c r="D84" s="41">
        <v>46112</v>
      </c>
      <c r="E84" s="40" t="s">
        <v>13</v>
      </c>
      <c r="F84" s="40" t="s">
        <v>3815</v>
      </c>
      <c r="G84" s="40" t="s">
        <v>3816</v>
      </c>
      <c r="H84" s="40" t="s">
        <v>3817</v>
      </c>
      <c r="I84" s="40" t="s">
        <v>49</v>
      </c>
      <c r="J84" s="40">
        <v>181.72</v>
      </c>
      <c r="K84" s="40">
        <v>181.72</v>
      </c>
      <c r="L84" s="40"/>
      <c r="M84" s="40">
        <v>181.72</v>
      </c>
      <c r="N84" s="40"/>
      <c r="O84" s="40" t="s">
        <v>234</v>
      </c>
    </row>
    <row r="85" spans="1:15" ht="33.75" x14ac:dyDescent="0.2">
      <c r="A85" s="40" t="s">
        <v>3807</v>
      </c>
      <c r="B85" s="40" t="s">
        <v>3808</v>
      </c>
      <c r="C85" s="41">
        <v>46112</v>
      </c>
      <c r="D85" s="41">
        <v>46112</v>
      </c>
      <c r="E85" s="40" t="s">
        <v>13</v>
      </c>
      <c r="F85" s="40" t="s">
        <v>3809</v>
      </c>
      <c r="G85" s="40" t="s">
        <v>3810</v>
      </c>
      <c r="H85" s="40" t="s">
        <v>3811</v>
      </c>
      <c r="I85" s="40" t="s">
        <v>49</v>
      </c>
      <c r="J85" s="40">
        <v>130.5</v>
      </c>
      <c r="K85" s="40">
        <v>130.5</v>
      </c>
      <c r="L85" s="40"/>
      <c r="M85" s="40">
        <v>130.5</v>
      </c>
      <c r="N85" s="40"/>
      <c r="O85" s="40" t="s">
        <v>234</v>
      </c>
    </row>
    <row r="86" spans="1:15" ht="33.75" x14ac:dyDescent="0.2">
      <c r="A86" s="40" t="s">
        <v>3801</v>
      </c>
      <c r="B86" s="40" t="s">
        <v>3802</v>
      </c>
      <c r="C86" s="41">
        <v>46112</v>
      </c>
      <c r="D86" s="41">
        <v>46112</v>
      </c>
      <c r="E86" s="40" t="s">
        <v>13</v>
      </c>
      <c r="F86" s="40" t="s">
        <v>3803</v>
      </c>
      <c r="G86" s="40" t="s">
        <v>3804</v>
      </c>
      <c r="H86" s="40" t="s">
        <v>3805</v>
      </c>
      <c r="I86" s="40" t="s">
        <v>49</v>
      </c>
      <c r="J86" s="40">
        <v>134.91</v>
      </c>
      <c r="K86" s="40">
        <v>134.91</v>
      </c>
      <c r="L86" s="40"/>
      <c r="M86" s="40">
        <v>134.91</v>
      </c>
      <c r="N86" s="40"/>
      <c r="O86" s="40" t="s">
        <v>234</v>
      </c>
    </row>
    <row r="87" spans="1:15" ht="33.75" x14ac:dyDescent="0.2">
      <c r="A87" s="40" t="s">
        <v>3795</v>
      </c>
      <c r="B87" s="40" t="s">
        <v>3796</v>
      </c>
      <c r="C87" s="41">
        <v>46112</v>
      </c>
      <c r="D87" s="41">
        <v>46112</v>
      </c>
      <c r="E87" s="40" t="s">
        <v>13</v>
      </c>
      <c r="F87" s="40" t="s">
        <v>3797</v>
      </c>
      <c r="G87" s="40" t="s">
        <v>3798</v>
      </c>
      <c r="H87" s="40" t="s">
        <v>3799</v>
      </c>
      <c r="I87" s="40" t="s">
        <v>49</v>
      </c>
      <c r="J87" s="40">
        <v>113.91</v>
      </c>
      <c r="K87" s="40">
        <v>113.91</v>
      </c>
      <c r="L87" s="40"/>
      <c r="M87" s="40">
        <v>113.91</v>
      </c>
      <c r="N87" s="40"/>
      <c r="O87" s="40" t="s">
        <v>234</v>
      </c>
    </row>
    <row r="88" spans="1:15" ht="33.75" x14ac:dyDescent="0.2">
      <c r="A88" s="40" t="s">
        <v>3789</v>
      </c>
      <c r="B88" s="40" t="s">
        <v>3790</v>
      </c>
      <c r="C88" s="41">
        <v>46112</v>
      </c>
      <c r="D88" s="41">
        <v>46112</v>
      </c>
      <c r="E88" s="40" t="s">
        <v>13</v>
      </c>
      <c r="F88" s="40" t="s">
        <v>3791</v>
      </c>
      <c r="G88" s="40" t="s">
        <v>3792</v>
      </c>
      <c r="H88" s="40" t="s">
        <v>3793</v>
      </c>
      <c r="I88" s="40" t="s">
        <v>49</v>
      </c>
      <c r="J88" s="40">
        <v>187.01</v>
      </c>
      <c r="K88" s="40">
        <v>187.01</v>
      </c>
      <c r="L88" s="40"/>
      <c r="M88" s="40">
        <v>187.01</v>
      </c>
      <c r="N88" s="40"/>
      <c r="O88" s="40" t="s">
        <v>234</v>
      </c>
    </row>
    <row r="89" spans="1:15" ht="33.75" x14ac:dyDescent="0.2">
      <c r="A89" s="40" t="s">
        <v>3783</v>
      </c>
      <c r="B89" s="40" t="s">
        <v>3784</v>
      </c>
      <c r="C89" s="41">
        <v>46112</v>
      </c>
      <c r="D89" s="41">
        <v>46112</v>
      </c>
      <c r="E89" s="40" t="s">
        <v>13</v>
      </c>
      <c r="F89" s="40" t="s">
        <v>3785</v>
      </c>
      <c r="G89" s="40" t="s">
        <v>3786</v>
      </c>
      <c r="H89" s="40" t="s">
        <v>3787</v>
      </c>
      <c r="I89" s="40" t="s">
        <v>49</v>
      </c>
      <c r="J89" s="40">
        <v>306</v>
      </c>
      <c r="K89" s="40">
        <v>306</v>
      </c>
      <c r="L89" s="40"/>
      <c r="M89" s="40">
        <v>306</v>
      </c>
      <c r="N89" s="40"/>
      <c r="O89" s="40" t="s">
        <v>234</v>
      </c>
    </row>
    <row r="90" spans="1:15" ht="33.75" x14ac:dyDescent="0.2">
      <c r="A90" s="40" t="s">
        <v>3778</v>
      </c>
      <c r="B90" s="40" t="s">
        <v>3779</v>
      </c>
      <c r="C90" s="41">
        <v>46112</v>
      </c>
      <c r="D90" s="41">
        <v>46112</v>
      </c>
      <c r="E90" s="40" t="s">
        <v>13</v>
      </c>
      <c r="F90" s="40" t="s">
        <v>2263</v>
      </c>
      <c r="G90" s="40" t="s">
        <v>3780</v>
      </c>
      <c r="H90" s="40" t="s">
        <v>3781</v>
      </c>
      <c r="I90" s="40" t="s">
        <v>49</v>
      </c>
      <c r="J90" s="40">
        <v>90.9</v>
      </c>
      <c r="K90" s="40">
        <v>90.9</v>
      </c>
      <c r="L90" s="40"/>
      <c r="M90" s="40">
        <v>90.9</v>
      </c>
      <c r="N90" s="40"/>
      <c r="O90" s="40" t="s">
        <v>234</v>
      </c>
    </row>
    <row r="91" spans="1:15" ht="22.5" x14ac:dyDescent="0.2">
      <c r="A91" s="40" t="s">
        <v>6378</v>
      </c>
      <c r="B91" s="40" t="s">
        <v>6378</v>
      </c>
      <c r="C91" s="41">
        <v>46108</v>
      </c>
      <c r="D91" s="40"/>
      <c r="E91" s="40" t="s">
        <v>13</v>
      </c>
      <c r="F91" s="40" t="s">
        <v>295</v>
      </c>
      <c r="G91" s="40" t="s">
        <v>6377</v>
      </c>
      <c r="H91" s="40"/>
      <c r="I91" s="40" t="s">
        <v>49</v>
      </c>
      <c r="J91" s="40">
        <v>-21089.45</v>
      </c>
      <c r="K91" s="40"/>
      <c r="L91" s="40">
        <v>21089.45</v>
      </c>
      <c r="M91" s="40">
        <v>-21089.45</v>
      </c>
      <c r="N91" s="40"/>
      <c r="O91" s="40" t="s">
        <v>234</v>
      </c>
    </row>
    <row r="92" spans="1:15" ht="22.5" x14ac:dyDescent="0.2">
      <c r="A92" s="40" t="s">
        <v>6379</v>
      </c>
      <c r="B92" s="40" t="s">
        <v>6379</v>
      </c>
      <c r="C92" s="41">
        <v>46106</v>
      </c>
      <c r="D92" s="40"/>
      <c r="E92" s="40" t="s">
        <v>13</v>
      </c>
      <c r="F92" s="40" t="s">
        <v>295</v>
      </c>
      <c r="G92" s="40" t="s">
        <v>6380</v>
      </c>
      <c r="H92" s="40"/>
      <c r="I92" s="40" t="s">
        <v>49</v>
      </c>
      <c r="J92" s="40">
        <v>-451.76</v>
      </c>
      <c r="K92" s="40"/>
      <c r="L92" s="40">
        <v>451.76</v>
      </c>
      <c r="M92" s="40">
        <v>-451.76</v>
      </c>
      <c r="N92" s="40"/>
      <c r="O92" s="40" t="s">
        <v>234</v>
      </c>
    </row>
    <row r="93" spans="1:15" ht="22.5" x14ac:dyDescent="0.2">
      <c r="A93" s="40" t="s">
        <v>6381</v>
      </c>
      <c r="B93" s="40" t="s">
        <v>6381</v>
      </c>
      <c r="C93" s="41">
        <v>46105</v>
      </c>
      <c r="D93" s="40"/>
      <c r="E93" s="40" t="s">
        <v>13</v>
      </c>
      <c r="F93" s="40" t="s">
        <v>295</v>
      </c>
      <c r="G93" s="40" t="s">
        <v>6375</v>
      </c>
      <c r="H93" s="40"/>
      <c r="I93" s="40" t="s">
        <v>49</v>
      </c>
      <c r="J93" s="40">
        <v>-46.18</v>
      </c>
      <c r="K93" s="40"/>
      <c r="L93" s="40">
        <v>46.18</v>
      </c>
      <c r="M93" s="40">
        <v>-46.18</v>
      </c>
      <c r="N93" s="40"/>
      <c r="O93" s="40" t="s">
        <v>234</v>
      </c>
    </row>
    <row r="94" spans="1:15" ht="22.5" x14ac:dyDescent="0.2">
      <c r="A94" s="40" t="s">
        <v>6382</v>
      </c>
      <c r="B94" s="40" t="s">
        <v>6382</v>
      </c>
      <c r="C94" s="41">
        <v>46100</v>
      </c>
      <c r="D94" s="40"/>
      <c r="E94" s="40" t="s">
        <v>13</v>
      </c>
      <c r="F94" s="40" t="s">
        <v>295</v>
      </c>
      <c r="G94" s="40" t="s">
        <v>6383</v>
      </c>
      <c r="H94" s="40"/>
      <c r="I94" s="40" t="s">
        <v>49</v>
      </c>
      <c r="J94" s="40">
        <v>-173.04</v>
      </c>
      <c r="K94" s="40"/>
      <c r="L94" s="40">
        <v>173.04</v>
      </c>
      <c r="M94" s="40">
        <v>-173.04</v>
      </c>
      <c r="N94" s="40"/>
      <c r="O94" s="40" t="s">
        <v>234</v>
      </c>
    </row>
    <row r="95" spans="1:15" ht="22.5" x14ac:dyDescent="0.2">
      <c r="A95" s="40" t="s">
        <v>6384</v>
      </c>
      <c r="B95" s="40" t="s">
        <v>6384</v>
      </c>
      <c r="C95" s="41">
        <v>46094</v>
      </c>
      <c r="D95" s="40"/>
      <c r="E95" s="40" t="s">
        <v>13</v>
      </c>
      <c r="F95" s="40" t="s">
        <v>295</v>
      </c>
      <c r="G95" s="40" t="s">
        <v>6383</v>
      </c>
      <c r="H95" s="40"/>
      <c r="I95" s="40" t="s">
        <v>49</v>
      </c>
      <c r="J95" s="40">
        <v>-100.48</v>
      </c>
      <c r="K95" s="40"/>
      <c r="L95" s="40">
        <v>100.48</v>
      </c>
      <c r="M95" s="40">
        <v>-100.48</v>
      </c>
      <c r="N95" s="40"/>
      <c r="O95" s="40" t="s">
        <v>234</v>
      </c>
    </row>
    <row r="96" spans="1:15" ht="22.5" x14ac:dyDescent="0.2">
      <c r="A96" s="40" t="s">
        <v>6385</v>
      </c>
      <c r="B96" s="40" t="s">
        <v>6385</v>
      </c>
      <c r="C96" s="41">
        <v>46091</v>
      </c>
      <c r="D96" s="40"/>
      <c r="E96" s="40" t="s">
        <v>13</v>
      </c>
      <c r="F96" s="40" t="s">
        <v>295</v>
      </c>
      <c r="G96" s="40" t="s">
        <v>6380</v>
      </c>
      <c r="H96" s="40"/>
      <c r="I96" s="40" t="s">
        <v>49</v>
      </c>
      <c r="J96" s="40">
        <v>-270.02</v>
      </c>
      <c r="K96" s="40"/>
      <c r="L96" s="40">
        <v>270.02</v>
      </c>
      <c r="M96" s="40">
        <v>-270.02</v>
      </c>
      <c r="N96" s="40"/>
      <c r="O96" s="40" t="s">
        <v>234</v>
      </c>
    </row>
    <row r="97" spans="1:15" ht="22.5" x14ac:dyDescent="0.2">
      <c r="A97" s="40" t="s">
        <v>6386</v>
      </c>
      <c r="B97" s="40" t="s">
        <v>6386</v>
      </c>
      <c r="C97" s="41">
        <v>46086</v>
      </c>
      <c r="D97" s="40"/>
      <c r="E97" s="40" t="s">
        <v>13</v>
      </c>
      <c r="F97" s="40" t="s">
        <v>295</v>
      </c>
      <c r="G97" s="40" t="s">
        <v>6383</v>
      </c>
      <c r="H97" s="40"/>
      <c r="I97" s="40" t="s">
        <v>49</v>
      </c>
      <c r="J97" s="40">
        <v>-537.73</v>
      </c>
      <c r="K97" s="40"/>
      <c r="L97" s="40">
        <v>537.73</v>
      </c>
      <c r="M97" s="40">
        <v>-537.73</v>
      </c>
      <c r="N97" s="40"/>
      <c r="O97" s="40" t="s">
        <v>234</v>
      </c>
    </row>
    <row r="98" spans="1:15" ht="22.5" x14ac:dyDescent="0.2">
      <c r="A98" s="40" t="s">
        <v>6387</v>
      </c>
      <c r="B98" s="40" t="s">
        <v>6387</v>
      </c>
      <c r="C98" s="41">
        <v>46084</v>
      </c>
      <c r="D98" s="40"/>
      <c r="E98" s="40" t="s">
        <v>13</v>
      </c>
      <c r="F98" s="40" t="s">
        <v>295</v>
      </c>
      <c r="G98" s="40" t="s">
        <v>6375</v>
      </c>
      <c r="H98" s="40"/>
      <c r="I98" s="40" t="s">
        <v>49</v>
      </c>
      <c r="J98" s="40">
        <v>-138.78</v>
      </c>
      <c r="K98" s="40"/>
      <c r="L98" s="40">
        <v>138.78</v>
      </c>
      <c r="M98" s="40">
        <v>-138.78</v>
      </c>
      <c r="N98" s="40"/>
      <c r="O98" s="40" t="s">
        <v>234</v>
      </c>
    </row>
    <row r="99" spans="1:15" ht="22.5" x14ac:dyDescent="0.2">
      <c r="A99" s="40" t="s">
        <v>6388</v>
      </c>
      <c r="B99" s="40" t="s">
        <v>6388</v>
      </c>
      <c r="C99" s="41">
        <v>46079</v>
      </c>
      <c r="D99" s="40"/>
      <c r="E99" s="40" t="s">
        <v>13</v>
      </c>
      <c r="F99" s="40" t="s">
        <v>295</v>
      </c>
      <c r="G99" s="40" t="s">
        <v>6383</v>
      </c>
      <c r="H99" s="40"/>
      <c r="I99" s="40" t="s">
        <v>49</v>
      </c>
      <c r="J99" s="40">
        <v>-359.14</v>
      </c>
      <c r="K99" s="40"/>
      <c r="L99" s="40">
        <v>359.14</v>
      </c>
      <c r="M99" s="40">
        <v>-359.14</v>
      </c>
      <c r="N99" s="40"/>
      <c r="O99" s="40" t="s">
        <v>234</v>
      </c>
    </row>
    <row r="100" spans="1:15" ht="22.5" x14ac:dyDescent="0.2">
      <c r="A100" s="40" t="s">
        <v>6389</v>
      </c>
      <c r="B100" s="40" t="s">
        <v>6389</v>
      </c>
      <c r="C100" s="41">
        <v>46078</v>
      </c>
      <c r="D100" s="40"/>
      <c r="E100" s="40" t="s">
        <v>13</v>
      </c>
      <c r="F100" s="40" t="s">
        <v>295</v>
      </c>
      <c r="G100" s="40" t="s">
        <v>6380</v>
      </c>
      <c r="H100" s="40"/>
      <c r="I100" s="40" t="s">
        <v>49</v>
      </c>
      <c r="J100" s="40">
        <v>-125.46</v>
      </c>
      <c r="K100" s="40"/>
      <c r="L100" s="40">
        <v>125.46</v>
      </c>
      <c r="M100" s="40">
        <v>-125.46</v>
      </c>
      <c r="N100" s="40"/>
      <c r="O100" s="40" t="s">
        <v>234</v>
      </c>
    </row>
    <row r="101" spans="1:15" ht="22.5" x14ac:dyDescent="0.2">
      <c r="A101" s="40" t="s">
        <v>6390</v>
      </c>
      <c r="B101" s="40" t="s">
        <v>6390</v>
      </c>
      <c r="C101" s="41">
        <v>46077</v>
      </c>
      <c r="D101" s="40"/>
      <c r="E101" s="40" t="s">
        <v>13</v>
      </c>
      <c r="F101" s="40" t="s">
        <v>295</v>
      </c>
      <c r="G101" s="40" t="s">
        <v>6375</v>
      </c>
      <c r="H101" s="40"/>
      <c r="I101" s="40" t="s">
        <v>49</v>
      </c>
      <c r="J101" s="40">
        <v>-38.880000000000003</v>
      </c>
      <c r="K101" s="40"/>
      <c r="L101" s="40">
        <v>38.880000000000003</v>
      </c>
      <c r="M101" s="40">
        <v>-38.880000000000003</v>
      </c>
      <c r="N101" s="40"/>
      <c r="O101" s="40" t="s">
        <v>234</v>
      </c>
    </row>
    <row r="102" spans="1:15" ht="22.5" x14ac:dyDescent="0.2">
      <c r="A102" s="40" t="s">
        <v>6391</v>
      </c>
      <c r="B102" s="40" t="s">
        <v>6391</v>
      </c>
      <c r="C102" s="41">
        <v>46072</v>
      </c>
      <c r="D102" s="40"/>
      <c r="E102" s="40" t="s">
        <v>13</v>
      </c>
      <c r="F102" s="40" t="s">
        <v>295</v>
      </c>
      <c r="G102" s="40" t="s">
        <v>6383</v>
      </c>
      <c r="H102" s="40"/>
      <c r="I102" s="40" t="s">
        <v>49</v>
      </c>
      <c r="J102" s="40">
        <v>-92.87</v>
      </c>
      <c r="K102" s="40"/>
      <c r="L102" s="40">
        <v>92.87</v>
      </c>
      <c r="M102" s="40">
        <v>-92.87</v>
      </c>
      <c r="N102" s="40"/>
      <c r="O102" s="40" t="s">
        <v>234</v>
      </c>
    </row>
    <row r="103" spans="1:15" ht="22.5" x14ac:dyDescent="0.2">
      <c r="A103" s="40" t="s">
        <v>6392</v>
      </c>
      <c r="B103" s="40" t="s">
        <v>6392</v>
      </c>
      <c r="C103" s="41">
        <v>46070</v>
      </c>
      <c r="D103" s="40"/>
      <c r="E103" s="40" t="s">
        <v>13</v>
      </c>
      <c r="F103" s="40" t="s">
        <v>295</v>
      </c>
      <c r="G103" s="40" t="s">
        <v>6393</v>
      </c>
      <c r="H103" s="40"/>
      <c r="I103" s="40" t="s">
        <v>49</v>
      </c>
      <c r="J103" s="40">
        <v>-261.60000000000002</v>
      </c>
      <c r="K103" s="40"/>
      <c r="L103" s="40">
        <v>261.60000000000002</v>
      </c>
      <c r="M103" s="40">
        <v>-261.60000000000002</v>
      </c>
      <c r="N103" s="40"/>
      <c r="O103" s="40" t="s">
        <v>234</v>
      </c>
    </row>
    <row r="104" spans="1:15" ht="22.5" x14ac:dyDescent="0.2">
      <c r="A104" s="40" t="s">
        <v>6394</v>
      </c>
      <c r="B104" s="40" t="s">
        <v>6394</v>
      </c>
      <c r="C104" s="41">
        <v>46066</v>
      </c>
      <c r="D104" s="40"/>
      <c r="E104" s="40" t="s">
        <v>13</v>
      </c>
      <c r="F104" s="40" t="s">
        <v>295</v>
      </c>
      <c r="G104" s="40" t="s">
        <v>6377</v>
      </c>
      <c r="H104" s="40"/>
      <c r="I104" s="40" t="s">
        <v>49</v>
      </c>
      <c r="J104" s="40">
        <v>-3355.82</v>
      </c>
      <c r="K104" s="40"/>
      <c r="L104" s="40">
        <v>3355.82</v>
      </c>
      <c r="M104" s="40">
        <v>-3355.82</v>
      </c>
      <c r="N104" s="40"/>
      <c r="O104" s="40" t="s">
        <v>234</v>
      </c>
    </row>
    <row r="105" spans="1:15" ht="22.5" x14ac:dyDescent="0.2">
      <c r="A105" s="40" t="s">
        <v>6395</v>
      </c>
      <c r="B105" s="40" t="s">
        <v>6395</v>
      </c>
      <c r="C105" s="41">
        <v>46065</v>
      </c>
      <c r="D105" s="40"/>
      <c r="E105" s="40" t="s">
        <v>13</v>
      </c>
      <c r="F105" s="40" t="s">
        <v>295</v>
      </c>
      <c r="G105" s="40" t="s">
        <v>6383</v>
      </c>
      <c r="H105" s="40"/>
      <c r="I105" s="40" t="s">
        <v>49</v>
      </c>
      <c r="J105" s="40">
        <v>-144.09</v>
      </c>
      <c r="K105" s="40"/>
      <c r="L105" s="40">
        <v>144.09</v>
      </c>
      <c r="M105" s="40">
        <v>-144.09</v>
      </c>
      <c r="N105" s="40"/>
      <c r="O105" s="40" t="s">
        <v>234</v>
      </c>
    </row>
    <row r="106" spans="1:15" ht="22.5" x14ac:dyDescent="0.2">
      <c r="A106" s="40" t="s">
        <v>6396</v>
      </c>
      <c r="B106" s="40" t="s">
        <v>6396</v>
      </c>
      <c r="C106" s="41">
        <v>46063</v>
      </c>
      <c r="D106" s="40"/>
      <c r="E106" s="40" t="s">
        <v>13</v>
      </c>
      <c r="F106" s="40" t="s">
        <v>295</v>
      </c>
      <c r="G106" s="40" t="s">
        <v>6375</v>
      </c>
      <c r="H106" s="40"/>
      <c r="I106" s="40" t="s">
        <v>49</v>
      </c>
      <c r="J106" s="40">
        <v>-54.39</v>
      </c>
      <c r="K106" s="40"/>
      <c r="L106" s="40">
        <v>54.39</v>
      </c>
      <c r="M106" s="40">
        <v>-54.39</v>
      </c>
      <c r="N106" s="40"/>
      <c r="O106" s="40" t="s">
        <v>234</v>
      </c>
    </row>
    <row r="107" spans="1:15" ht="22.5" x14ac:dyDescent="0.2">
      <c r="A107" s="40" t="s">
        <v>6397</v>
      </c>
      <c r="B107" s="40" t="s">
        <v>6397</v>
      </c>
      <c r="C107" s="41">
        <v>46063</v>
      </c>
      <c r="D107" s="40"/>
      <c r="E107" s="40" t="s">
        <v>13</v>
      </c>
      <c r="F107" s="40" t="s">
        <v>295</v>
      </c>
      <c r="G107" s="40" t="s">
        <v>6380</v>
      </c>
      <c r="H107" s="40"/>
      <c r="I107" s="40" t="s">
        <v>49</v>
      </c>
      <c r="J107" s="40">
        <v>-686.59</v>
      </c>
      <c r="K107" s="40"/>
      <c r="L107" s="40">
        <v>686.59</v>
      </c>
      <c r="M107" s="40">
        <v>-686.59</v>
      </c>
      <c r="N107" s="40"/>
      <c r="O107" s="40" t="s">
        <v>234</v>
      </c>
    </row>
    <row r="108" spans="1:15" ht="22.5" x14ac:dyDescent="0.2">
      <c r="A108" s="40" t="s">
        <v>6398</v>
      </c>
      <c r="B108" s="40" t="s">
        <v>6398</v>
      </c>
      <c r="C108" s="41">
        <v>46056</v>
      </c>
      <c r="D108" s="40"/>
      <c r="E108" s="40" t="s">
        <v>13</v>
      </c>
      <c r="F108" s="40" t="s">
        <v>295</v>
      </c>
      <c r="G108" s="40" t="s">
        <v>6375</v>
      </c>
      <c r="H108" s="40"/>
      <c r="I108" s="40" t="s">
        <v>49</v>
      </c>
      <c r="J108" s="40">
        <v>-252.61</v>
      </c>
      <c r="K108" s="40"/>
      <c r="L108" s="40">
        <v>252.61</v>
      </c>
      <c r="M108" s="40">
        <v>-252.61</v>
      </c>
      <c r="N108" s="40"/>
      <c r="O108" s="40" t="s">
        <v>234</v>
      </c>
    </row>
    <row r="109" spans="1:15" ht="22.5" x14ac:dyDescent="0.2">
      <c r="A109" s="40" t="s">
        <v>6399</v>
      </c>
      <c r="B109" s="40" t="s">
        <v>6399</v>
      </c>
      <c r="C109" s="41">
        <v>46055</v>
      </c>
      <c r="D109" s="40"/>
      <c r="E109" s="40" t="s">
        <v>13</v>
      </c>
      <c r="F109" s="40" t="s">
        <v>295</v>
      </c>
      <c r="G109" s="40" t="s">
        <v>6377</v>
      </c>
      <c r="H109" s="40"/>
      <c r="I109" s="40" t="s">
        <v>49</v>
      </c>
      <c r="J109" s="40">
        <v>-2771.14</v>
      </c>
      <c r="K109" s="40"/>
      <c r="L109" s="40">
        <v>2771.14</v>
      </c>
      <c r="M109" s="40">
        <v>-2771.14</v>
      </c>
      <c r="N109" s="40"/>
      <c r="O109" s="40" t="s">
        <v>234</v>
      </c>
    </row>
    <row r="110" spans="1:15" ht="22.5" x14ac:dyDescent="0.2">
      <c r="A110" s="40" t="s">
        <v>6400</v>
      </c>
      <c r="B110" s="40" t="s">
        <v>6400</v>
      </c>
      <c r="C110" s="41">
        <v>46050</v>
      </c>
      <c r="D110" s="40"/>
      <c r="E110" s="40" t="s">
        <v>13</v>
      </c>
      <c r="F110" s="40" t="s">
        <v>295</v>
      </c>
      <c r="G110" s="40" t="s">
        <v>6401</v>
      </c>
      <c r="H110" s="40"/>
      <c r="I110" s="40" t="s">
        <v>49</v>
      </c>
      <c r="J110" s="40">
        <v>-346.68</v>
      </c>
      <c r="K110" s="40"/>
      <c r="L110" s="40">
        <v>346.68</v>
      </c>
      <c r="M110" s="40">
        <v>-346.68</v>
      </c>
      <c r="N110" s="40"/>
      <c r="O110" s="40" t="s">
        <v>234</v>
      </c>
    </row>
    <row r="111" spans="1:15" ht="22.5" x14ac:dyDescent="0.2">
      <c r="A111" s="40" t="s">
        <v>2977</v>
      </c>
      <c r="B111" s="40" t="s">
        <v>2977</v>
      </c>
      <c r="C111" s="41">
        <v>46048</v>
      </c>
      <c r="D111" s="40"/>
      <c r="E111" s="40" t="s">
        <v>13</v>
      </c>
      <c r="F111" s="40" t="s">
        <v>295</v>
      </c>
      <c r="G111" s="40" t="s">
        <v>6377</v>
      </c>
      <c r="H111" s="40"/>
      <c r="I111" s="40" t="s">
        <v>49</v>
      </c>
      <c r="J111" s="40">
        <v>-2824.81</v>
      </c>
      <c r="K111" s="40"/>
      <c r="L111" s="40">
        <v>2824.81</v>
      </c>
      <c r="M111" s="40">
        <v>-2824.81</v>
      </c>
      <c r="N111" s="40"/>
      <c r="O111" s="40" t="s">
        <v>234</v>
      </c>
    </row>
    <row r="112" spans="1:15" ht="22.5" x14ac:dyDescent="0.2">
      <c r="A112" s="40" t="s">
        <v>6402</v>
      </c>
      <c r="B112" s="40" t="s">
        <v>6402</v>
      </c>
      <c r="C112" s="41">
        <v>46048</v>
      </c>
      <c r="D112" s="40"/>
      <c r="E112" s="40" t="s">
        <v>13</v>
      </c>
      <c r="F112" s="40" t="s">
        <v>295</v>
      </c>
      <c r="G112" s="40" t="s">
        <v>6380</v>
      </c>
      <c r="H112" s="40"/>
      <c r="I112" s="40" t="s">
        <v>49</v>
      </c>
      <c r="J112" s="40">
        <v>-683.3</v>
      </c>
      <c r="K112" s="40"/>
      <c r="L112" s="40">
        <v>683.3</v>
      </c>
      <c r="M112" s="40">
        <v>-683.3</v>
      </c>
      <c r="N112" s="40"/>
      <c r="O112" s="40" t="s">
        <v>234</v>
      </c>
    </row>
    <row r="113" spans="1:15" ht="22.5" x14ac:dyDescent="0.2">
      <c r="A113" s="40" t="s">
        <v>2978</v>
      </c>
      <c r="B113" s="40" t="s">
        <v>2978</v>
      </c>
      <c r="C113" s="41">
        <v>46041</v>
      </c>
      <c r="D113" s="40"/>
      <c r="E113" s="40" t="s">
        <v>13</v>
      </c>
      <c r="F113" s="40" t="s">
        <v>295</v>
      </c>
      <c r="G113" s="40" t="s">
        <v>6377</v>
      </c>
      <c r="H113" s="40"/>
      <c r="I113" s="40" t="s">
        <v>49</v>
      </c>
      <c r="J113" s="40">
        <v>-1172.03</v>
      </c>
      <c r="K113" s="40"/>
      <c r="L113" s="40">
        <v>1172.03</v>
      </c>
      <c r="M113" s="40">
        <v>-1172.03</v>
      </c>
      <c r="N113" s="40"/>
      <c r="O113" s="40" t="s">
        <v>234</v>
      </c>
    </row>
    <row r="114" spans="1:15" ht="22.5" x14ac:dyDescent="0.2">
      <c r="A114" s="40" t="s">
        <v>6403</v>
      </c>
      <c r="B114" s="40" t="s">
        <v>6403</v>
      </c>
      <c r="C114" s="41">
        <v>46037</v>
      </c>
      <c r="D114" s="40"/>
      <c r="E114" s="40" t="s">
        <v>13</v>
      </c>
      <c r="F114" s="40" t="s">
        <v>295</v>
      </c>
      <c r="G114" s="40" t="s">
        <v>6383</v>
      </c>
      <c r="H114" s="40"/>
      <c r="I114" s="40" t="s">
        <v>49</v>
      </c>
      <c r="J114" s="40">
        <v>-253.77</v>
      </c>
      <c r="K114" s="40"/>
      <c r="L114" s="40">
        <v>253.77</v>
      </c>
      <c r="M114" s="40">
        <v>-253.77</v>
      </c>
      <c r="N114" s="40"/>
      <c r="O114" s="40" t="s">
        <v>234</v>
      </c>
    </row>
    <row r="115" spans="1:15" ht="22.5" x14ac:dyDescent="0.2">
      <c r="A115" s="40" t="s">
        <v>6404</v>
      </c>
      <c r="B115" s="40" t="s">
        <v>6404</v>
      </c>
      <c r="C115" s="41">
        <v>46035</v>
      </c>
      <c r="D115" s="40"/>
      <c r="E115" s="40" t="s">
        <v>13</v>
      </c>
      <c r="F115" s="40" t="s">
        <v>295</v>
      </c>
      <c r="G115" s="40" t="s">
        <v>6377</v>
      </c>
      <c r="H115" s="40"/>
      <c r="I115" s="40" t="s">
        <v>49</v>
      </c>
      <c r="J115" s="40">
        <v>-3039.48</v>
      </c>
      <c r="K115" s="40"/>
      <c r="L115" s="40">
        <v>3039.48</v>
      </c>
      <c r="M115" s="40">
        <v>-3039.48</v>
      </c>
      <c r="N115" s="40"/>
      <c r="O115" s="40" t="s">
        <v>234</v>
      </c>
    </row>
    <row r="116" spans="1:15" ht="22.5" x14ac:dyDescent="0.2">
      <c r="A116" s="40" t="s">
        <v>6405</v>
      </c>
      <c r="B116" s="40" t="s">
        <v>6405</v>
      </c>
      <c r="C116" s="41">
        <v>46034</v>
      </c>
      <c r="D116" s="40"/>
      <c r="E116" s="40" t="s">
        <v>13</v>
      </c>
      <c r="F116" s="40" t="s">
        <v>295</v>
      </c>
      <c r="G116" s="40" t="s">
        <v>6380</v>
      </c>
      <c r="H116" s="40"/>
      <c r="I116" s="40" t="s">
        <v>49</v>
      </c>
      <c r="J116" s="40">
        <v>-461.24</v>
      </c>
      <c r="K116" s="40"/>
      <c r="L116" s="40">
        <v>461.24</v>
      </c>
      <c r="M116" s="40">
        <v>-461.24</v>
      </c>
      <c r="N116" s="40"/>
      <c r="O116" s="40" t="s">
        <v>234</v>
      </c>
    </row>
    <row r="117" spans="1:15" ht="22.5" x14ac:dyDescent="0.2">
      <c r="A117" s="40" t="s">
        <v>6406</v>
      </c>
      <c r="B117" s="40" t="s">
        <v>6406</v>
      </c>
      <c r="C117" s="41">
        <v>46030</v>
      </c>
      <c r="D117" s="40"/>
      <c r="E117" s="40" t="s">
        <v>13</v>
      </c>
      <c r="F117" s="40" t="s">
        <v>295</v>
      </c>
      <c r="G117" s="40" t="s">
        <v>6377</v>
      </c>
      <c r="H117" s="40"/>
      <c r="I117" s="40" t="s">
        <v>49</v>
      </c>
      <c r="J117" s="40">
        <v>-2050</v>
      </c>
      <c r="K117" s="40"/>
      <c r="L117" s="40">
        <v>2050</v>
      </c>
      <c r="M117" s="40">
        <v>-2050</v>
      </c>
      <c r="N117" s="40"/>
      <c r="O117" s="40" t="s">
        <v>234</v>
      </c>
    </row>
    <row r="118" spans="1:15" ht="22.5" x14ac:dyDescent="0.2">
      <c r="A118" s="40" t="s">
        <v>6407</v>
      </c>
      <c r="B118" s="40" t="s">
        <v>6408</v>
      </c>
      <c r="C118" s="41">
        <v>46030</v>
      </c>
      <c r="D118" s="41">
        <v>46030</v>
      </c>
      <c r="E118" s="40" t="s">
        <v>13</v>
      </c>
      <c r="F118" s="40" t="s">
        <v>748</v>
      </c>
      <c r="G118" s="40" t="s">
        <v>6409</v>
      </c>
      <c r="H118" s="40" t="s">
        <v>6410</v>
      </c>
      <c r="I118" s="40" t="s">
        <v>49</v>
      </c>
      <c r="J118" s="40">
        <v>112.27</v>
      </c>
      <c r="K118" s="40">
        <v>112.27</v>
      </c>
      <c r="L118" s="40"/>
      <c r="M118" s="40">
        <v>112.27</v>
      </c>
      <c r="N118" s="40"/>
      <c r="O118" s="40" t="s">
        <v>234</v>
      </c>
    </row>
    <row r="119" spans="1:15" ht="33.75" x14ac:dyDescent="0.2">
      <c r="A119" s="40" t="s">
        <v>6411</v>
      </c>
      <c r="B119" s="40" t="s">
        <v>6412</v>
      </c>
      <c r="C119" s="41">
        <v>46030</v>
      </c>
      <c r="D119" s="41">
        <v>46030</v>
      </c>
      <c r="E119" s="40" t="s">
        <v>13</v>
      </c>
      <c r="F119" s="40" t="s">
        <v>6413</v>
      </c>
      <c r="G119" s="40" t="s">
        <v>6414</v>
      </c>
      <c r="H119" s="40" t="s">
        <v>6415</v>
      </c>
      <c r="I119" s="40" t="s">
        <v>49</v>
      </c>
      <c r="J119" s="40">
        <v>413.72</v>
      </c>
      <c r="K119" s="40">
        <v>413.72</v>
      </c>
      <c r="L119" s="40"/>
      <c r="M119" s="40">
        <v>413.72</v>
      </c>
      <c r="N119" s="40"/>
      <c r="O119" s="40" t="s">
        <v>234</v>
      </c>
    </row>
    <row r="120" spans="1:15" ht="33.75" x14ac:dyDescent="0.2">
      <c r="A120" s="40" t="s">
        <v>6416</v>
      </c>
      <c r="B120" s="40" t="s">
        <v>6417</v>
      </c>
      <c r="C120" s="41">
        <v>46030</v>
      </c>
      <c r="D120" s="41">
        <v>46030</v>
      </c>
      <c r="E120" s="40" t="s">
        <v>13</v>
      </c>
      <c r="F120" s="40" t="s">
        <v>6418</v>
      </c>
      <c r="G120" s="40" t="s">
        <v>6419</v>
      </c>
      <c r="H120" s="40" t="s">
        <v>6420</v>
      </c>
      <c r="I120" s="40" t="s">
        <v>49</v>
      </c>
      <c r="J120" s="40">
        <v>304.64</v>
      </c>
      <c r="K120" s="40">
        <v>304.64</v>
      </c>
      <c r="L120" s="40"/>
      <c r="M120" s="40">
        <v>304.64</v>
      </c>
      <c r="N120" s="40"/>
      <c r="O120" s="40" t="s">
        <v>234</v>
      </c>
    </row>
    <row r="121" spans="1:15" ht="33.75" x14ac:dyDescent="0.2">
      <c r="A121" s="40" t="s">
        <v>6421</v>
      </c>
      <c r="B121" s="40" t="s">
        <v>6422</v>
      </c>
      <c r="C121" s="41">
        <v>46030</v>
      </c>
      <c r="D121" s="41">
        <v>46030</v>
      </c>
      <c r="E121" s="40" t="s">
        <v>13</v>
      </c>
      <c r="F121" s="40" t="s">
        <v>6423</v>
      </c>
      <c r="G121" s="40" t="s">
        <v>6424</v>
      </c>
      <c r="H121" s="40" t="s">
        <v>6425</v>
      </c>
      <c r="I121" s="40" t="s">
        <v>49</v>
      </c>
      <c r="J121" s="40">
        <v>238.99</v>
      </c>
      <c r="K121" s="40">
        <v>238.99</v>
      </c>
      <c r="L121" s="40"/>
      <c r="M121" s="40">
        <v>238.99</v>
      </c>
      <c r="N121" s="40"/>
      <c r="O121" s="40" t="s">
        <v>234</v>
      </c>
    </row>
    <row r="122" spans="1:15" ht="33.75" x14ac:dyDescent="0.2">
      <c r="A122" s="40" t="s">
        <v>6426</v>
      </c>
      <c r="B122" s="40" t="s">
        <v>6427</v>
      </c>
      <c r="C122" s="41">
        <v>46030</v>
      </c>
      <c r="D122" s="41">
        <v>46030</v>
      </c>
      <c r="E122" s="40" t="s">
        <v>13</v>
      </c>
      <c r="F122" s="40" t="s">
        <v>658</v>
      </c>
      <c r="G122" s="40" t="s">
        <v>6428</v>
      </c>
      <c r="H122" s="40" t="s">
        <v>6429</v>
      </c>
      <c r="I122" s="40" t="s">
        <v>49</v>
      </c>
      <c r="J122" s="40">
        <v>178.92</v>
      </c>
      <c r="K122" s="40">
        <v>178.92</v>
      </c>
      <c r="L122" s="40"/>
      <c r="M122" s="40">
        <v>178.92</v>
      </c>
      <c r="N122" s="40"/>
      <c r="O122" s="40" t="s">
        <v>234</v>
      </c>
    </row>
    <row r="123" spans="1:15" ht="45" x14ac:dyDescent="0.2">
      <c r="A123" s="40" t="s">
        <v>6430</v>
      </c>
      <c r="B123" s="40" t="s">
        <v>6431</v>
      </c>
      <c r="C123" s="41">
        <v>46030</v>
      </c>
      <c r="D123" s="41">
        <v>46030</v>
      </c>
      <c r="E123" s="40" t="s">
        <v>13</v>
      </c>
      <c r="F123" s="40" t="s">
        <v>6432</v>
      </c>
      <c r="G123" s="40" t="s">
        <v>6433</v>
      </c>
      <c r="H123" s="40" t="s">
        <v>6434</v>
      </c>
      <c r="I123" s="40" t="s">
        <v>49</v>
      </c>
      <c r="J123" s="40">
        <v>35.99</v>
      </c>
      <c r="K123" s="40">
        <v>35.99</v>
      </c>
      <c r="L123" s="40"/>
      <c r="M123" s="40">
        <v>35.99</v>
      </c>
      <c r="N123" s="40"/>
      <c r="O123" s="40" t="s">
        <v>234</v>
      </c>
    </row>
    <row r="124" spans="1:15" ht="33.75" x14ac:dyDescent="0.2">
      <c r="A124" s="40" t="s">
        <v>6435</v>
      </c>
      <c r="B124" s="40" t="s">
        <v>6436</v>
      </c>
      <c r="C124" s="41">
        <v>46030</v>
      </c>
      <c r="D124" s="41">
        <v>46030</v>
      </c>
      <c r="E124" s="40" t="s">
        <v>13</v>
      </c>
      <c r="F124" s="40" t="s">
        <v>6437</v>
      </c>
      <c r="G124" s="40" t="s">
        <v>6438</v>
      </c>
      <c r="H124" s="40" t="s">
        <v>6439</v>
      </c>
      <c r="I124" s="40" t="s">
        <v>49</v>
      </c>
      <c r="J124" s="40">
        <v>99.9</v>
      </c>
      <c r="K124" s="40">
        <v>99.9</v>
      </c>
      <c r="L124" s="40"/>
      <c r="M124" s="40">
        <v>99.9</v>
      </c>
      <c r="N124" s="40"/>
      <c r="O124" s="40" t="s">
        <v>234</v>
      </c>
    </row>
    <row r="125" spans="1:15" ht="33.75" x14ac:dyDescent="0.2">
      <c r="A125" s="40" t="s">
        <v>6440</v>
      </c>
      <c r="B125" s="40" t="s">
        <v>6441</v>
      </c>
      <c r="C125" s="41">
        <v>46030</v>
      </c>
      <c r="D125" s="41">
        <v>46030</v>
      </c>
      <c r="E125" s="40" t="s">
        <v>13</v>
      </c>
      <c r="F125" s="40" t="s">
        <v>6442</v>
      </c>
      <c r="G125" s="40" t="s">
        <v>6443</v>
      </c>
      <c r="H125" s="40" t="s">
        <v>6444</v>
      </c>
      <c r="I125" s="40" t="s">
        <v>49</v>
      </c>
      <c r="J125" s="40">
        <v>137.19999999999999</v>
      </c>
      <c r="K125" s="40">
        <v>137.19999999999999</v>
      </c>
      <c r="L125" s="40"/>
      <c r="M125" s="40">
        <v>137.19999999999999</v>
      </c>
      <c r="N125" s="40"/>
      <c r="O125" s="40" t="s">
        <v>234</v>
      </c>
    </row>
    <row r="126" spans="1:15" ht="45" x14ac:dyDescent="0.2">
      <c r="A126" s="40" t="s">
        <v>6445</v>
      </c>
      <c r="B126" s="40" t="s">
        <v>6446</v>
      </c>
      <c r="C126" s="41">
        <v>46030</v>
      </c>
      <c r="D126" s="41">
        <v>46030</v>
      </c>
      <c r="E126" s="40" t="s">
        <v>13</v>
      </c>
      <c r="F126" s="40" t="s">
        <v>6447</v>
      </c>
      <c r="G126" s="40" t="s">
        <v>6448</v>
      </c>
      <c r="H126" s="40" t="s">
        <v>6449</v>
      </c>
      <c r="I126" s="40" t="s">
        <v>49</v>
      </c>
      <c r="J126" s="40">
        <v>209.4</v>
      </c>
      <c r="K126" s="40">
        <v>209.4</v>
      </c>
      <c r="L126" s="40"/>
      <c r="M126" s="40">
        <v>209.4</v>
      </c>
      <c r="N126" s="40"/>
      <c r="O126" s="40" t="s">
        <v>234</v>
      </c>
    </row>
    <row r="127" spans="1:15" ht="22.5" x14ac:dyDescent="0.2">
      <c r="A127" s="40" t="s">
        <v>6450</v>
      </c>
      <c r="B127" s="40" t="s">
        <v>6450</v>
      </c>
      <c r="C127" s="41">
        <v>46027</v>
      </c>
      <c r="D127" s="40"/>
      <c r="E127" s="40" t="s">
        <v>13</v>
      </c>
      <c r="F127" s="40" t="s">
        <v>295</v>
      </c>
      <c r="G127" s="40" t="s">
        <v>6383</v>
      </c>
      <c r="H127" s="40"/>
      <c r="I127" s="40" t="s">
        <v>49</v>
      </c>
      <c r="J127" s="40">
        <v>-187.83</v>
      </c>
      <c r="K127" s="40"/>
      <c r="L127" s="40">
        <v>187.83</v>
      </c>
      <c r="M127" s="40">
        <v>-187.83</v>
      </c>
      <c r="N127" s="40"/>
      <c r="O127" s="40" t="s">
        <v>234</v>
      </c>
    </row>
    <row r="128" spans="1:15" ht="33.75" x14ac:dyDescent="0.2">
      <c r="A128" s="40" t="s">
        <v>6451</v>
      </c>
      <c r="B128" s="40" t="s">
        <v>6452</v>
      </c>
      <c r="C128" s="41">
        <v>46023</v>
      </c>
      <c r="D128" s="41">
        <v>46023</v>
      </c>
      <c r="E128" s="40" t="s">
        <v>13</v>
      </c>
      <c r="F128" s="40" t="s">
        <v>6453</v>
      </c>
      <c r="G128" s="40" t="s">
        <v>6454</v>
      </c>
      <c r="H128" s="40" t="s">
        <v>6455</v>
      </c>
      <c r="I128" s="40" t="s">
        <v>49</v>
      </c>
      <c r="J128" s="40">
        <v>104.5</v>
      </c>
      <c r="K128" s="40">
        <v>104.5</v>
      </c>
      <c r="L128" s="40"/>
      <c r="M128" s="40">
        <v>104.5</v>
      </c>
      <c r="N128" s="40"/>
      <c r="O128" s="40" t="s">
        <v>234</v>
      </c>
    </row>
    <row r="129" spans="1:15" ht="33.75" x14ac:dyDescent="0.2">
      <c r="A129" s="40" t="s">
        <v>6456</v>
      </c>
      <c r="B129" s="40" t="s">
        <v>6457</v>
      </c>
      <c r="C129" s="41">
        <v>46023</v>
      </c>
      <c r="D129" s="41">
        <v>46023</v>
      </c>
      <c r="E129" s="40" t="s">
        <v>13</v>
      </c>
      <c r="F129" s="40" t="s">
        <v>6458</v>
      </c>
      <c r="G129" s="40" t="s">
        <v>6459</v>
      </c>
      <c r="H129" s="40" t="s">
        <v>6460</v>
      </c>
      <c r="I129" s="40" t="s">
        <v>49</v>
      </c>
      <c r="J129" s="40">
        <v>191.2</v>
      </c>
      <c r="K129" s="40">
        <v>191.2</v>
      </c>
      <c r="L129" s="40"/>
      <c r="M129" s="40">
        <v>191.2</v>
      </c>
      <c r="N129" s="40"/>
      <c r="O129" s="40" t="s">
        <v>234</v>
      </c>
    </row>
    <row r="130" spans="1:15" ht="33.75" x14ac:dyDescent="0.2">
      <c r="A130" s="40" t="s">
        <v>6461</v>
      </c>
      <c r="B130" s="40" t="s">
        <v>6462</v>
      </c>
      <c r="C130" s="41">
        <v>46023</v>
      </c>
      <c r="D130" s="41">
        <v>46023</v>
      </c>
      <c r="E130" s="40" t="s">
        <v>13</v>
      </c>
      <c r="F130" s="40" t="s">
        <v>6463</v>
      </c>
      <c r="G130" s="40" t="s">
        <v>6464</v>
      </c>
      <c r="H130" s="40" t="s">
        <v>6465</v>
      </c>
      <c r="I130" s="40" t="s">
        <v>49</v>
      </c>
      <c r="J130" s="40">
        <v>98.83</v>
      </c>
      <c r="K130" s="40">
        <v>98.83</v>
      </c>
      <c r="L130" s="40"/>
      <c r="M130" s="40">
        <v>98.83</v>
      </c>
      <c r="N130" s="40"/>
      <c r="O130" s="40" t="s">
        <v>234</v>
      </c>
    </row>
    <row r="131" spans="1:15" ht="33.75" x14ac:dyDescent="0.2">
      <c r="A131" s="40" t="s">
        <v>6466</v>
      </c>
      <c r="B131" s="40" t="s">
        <v>6467</v>
      </c>
      <c r="C131" s="41">
        <v>46023</v>
      </c>
      <c r="D131" s="41">
        <v>46023</v>
      </c>
      <c r="E131" s="40" t="s">
        <v>13</v>
      </c>
      <c r="F131" s="40" t="s">
        <v>4361</v>
      </c>
      <c r="G131" s="40" t="s">
        <v>6468</v>
      </c>
      <c r="H131" s="40" t="s">
        <v>6469</v>
      </c>
      <c r="I131" s="40" t="s">
        <v>49</v>
      </c>
      <c r="J131" s="40">
        <v>149.72999999999999</v>
      </c>
      <c r="K131" s="40">
        <v>149.72999999999999</v>
      </c>
      <c r="L131" s="40"/>
      <c r="M131" s="40">
        <v>149.72999999999999</v>
      </c>
      <c r="N131" s="40"/>
      <c r="O131" s="40" t="s">
        <v>234</v>
      </c>
    </row>
    <row r="132" spans="1:15" ht="33.75" x14ac:dyDescent="0.2">
      <c r="A132" s="40" t="s">
        <v>6470</v>
      </c>
      <c r="B132" s="40" t="s">
        <v>6471</v>
      </c>
      <c r="C132" s="41">
        <v>46023</v>
      </c>
      <c r="D132" s="41">
        <v>46023</v>
      </c>
      <c r="E132" s="40" t="s">
        <v>13</v>
      </c>
      <c r="F132" s="40" t="s">
        <v>6472</v>
      </c>
      <c r="G132" s="40" t="s">
        <v>6473</v>
      </c>
      <c r="H132" s="40" t="s">
        <v>6474</v>
      </c>
      <c r="I132" s="40" t="s">
        <v>49</v>
      </c>
      <c r="J132" s="40">
        <v>140.49</v>
      </c>
      <c r="K132" s="40">
        <v>140.49</v>
      </c>
      <c r="L132" s="40"/>
      <c r="M132" s="40">
        <v>140.49</v>
      </c>
      <c r="N132" s="40"/>
      <c r="O132" s="40" t="s">
        <v>234</v>
      </c>
    </row>
    <row r="133" spans="1:15" ht="33.75" x14ac:dyDescent="0.2">
      <c r="A133" s="40" t="s">
        <v>6475</v>
      </c>
      <c r="B133" s="40" t="s">
        <v>6476</v>
      </c>
      <c r="C133" s="41">
        <v>46023</v>
      </c>
      <c r="D133" s="41">
        <v>46023</v>
      </c>
      <c r="E133" s="40" t="s">
        <v>13</v>
      </c>
      <c r="F133" s="40" t="s">
        <v>6477</v>
      </c>
      <c r="G133" s="40" t="s">
        <v>6478</v>
      </c>
      <c r="H133" s="40" t="s">
        <v>6479</v>
      </c>
      <c r="I133" s="40" t="s">
        <v>49</v>
      </c>
      <c r="J133" s="40">
        <v>274.39999999999998</v>
      </c>
      <c r="K133" s="40">
        <v>274.39999999999998</v>
      </c>
      <c r="L133" s="40"/>
      <c r="M133" s="40">
        <v>274.39999999999998</v>
      </c>
      <c r="N133" s="40"/>
      <c r="O133" s="40" t="s">
        <v>234</v>
      </c>
    </row>
    <row r="134" spans="1:15" ht="56.25" x14ac:dyDescent="0.2">
      <c r="A134" s="40" t="s">
        <v>6480</v>
      </c>
      <c r="B134" s="40" t="s">
        <v>6481</v>
      </c>
      <c r="C134" s="41">
        <v>46023</v>
      </c>
      <c r="D134" s="41">
        <v>46023</v>
      </c>
      <c r="E134" s="40" t="s">
        <v>13</v>
      </c>
      <c r="F134" s="40" t="s">
        <v>6482</v>
      </c>
      <c r="G134" s="40" t="s">
        <v>6483</v>
      </c>
      <c r="H134" s="40" t="s">
        <v>6484</v>
      </c>
      <c r="I134" s="40" t="s">
        <v>49</v>
      </c>
      <c r="J134" s="40">
        <v>232.57</v>
      </c>
      <c r="K134" s="40">
        <v>232.57</v>
      </c>
      <c r="L134" s="40"/>
      <c r="M134" s="40">
        <v>232.57</v>
      </c>
      <c r="N134" s="40"/>
      <c r="O134" s="40" t="s">
        <v>234</v>
      </c>
    </row>
    <row r="135" spans="1:15" ht="33.75" x14ac:dyDescent="0.2">
      <c r="A135" s="40" t="s">
        <v>6485</v>
      </c>
      <c r="B135" s="40" t="s">
        <v>6486</v>
      </c>
      <c r="C135" s="41">
        <v>46023</v>
      </c>
      <c r="D135" s="41">
        <v>46023</v>
      </c>
      <c r="E135" s="40" t="s">
        <v>13</v>
      </c>
      <c r="F135" s="40" t="s">
        <v>6487</v>
      </c>
      <c r="G135" s="40" t="s">
        <v>6488</v>
      </c>
      <c r="H135" s="40" t="s">
        <v>6489</v>
      </c>
      <c r="I135" s="40" t="s">
        <v>49</v>
      </c>
      <c r="J135" s="40">
        <v>95.12</v>
      </c>
      <c r="K135" s="40">
        <v>95.12</v>
      </c>
      <c r="L135" s="40"/>
      <c r="M135" s="40">
        <v>95.12</v>
      </c>
      <c r="N135" s="40"/>
      <c r="O135" s="40" t="s">
        <v>234</v>
      </c>
    </row>
    <row r="136" spans="1:15" ht="33.75" x14ac:dyDescent="0.2">
      <c r="A136" s="40" t="s">
        <v>6490</v>
      </c>
      <c r="B136" s="40" t="s">
        <v>6491</v>
      </c>
      <c r="C136" s="41">
        <v>46023</v>
      </c>
      <c r="D136" s="41">
        <v>46023</v>
      </c>
      <c r="E136" s="40" t="s">
        <v>13</v>
      </c>
      <c r="F136" s="40" t="s">
        <v>6492</v>
      </c>
      <c r="G136" s="40" t="s">
        <v>6493</v>
      </c>
      <c r="H136" s="40" t="s">
        <v>6494</v>
      </c>
      <c r="I136" s="40" t="s">
        <v>49</v>
      </c>
      <c r="J136" s="40">
        <v>382.42</v>
      </c>
      <c r="K136" s="40">
        <v>382.42</v>
      </c>
      <c r="L136" s="40"/>
      <c r="M136" s="40">
        <v>382.42</v>
      </c>
      <c r="N136" s="40"/>
      <c r="O136" s="40" t="s">
        <v>234</v>
      </c>
    </row>
    <row r="137" spans="1:15" ht="33.75" x14ac:dyDescent="0.2">
      <c r="A137" s="40" t="s">
        <v>6495</v>
      </c>
      <c r="B137" s="40" t="s">
        <v>6496</v>
      </c>
      <c r="C137" s="41">
        <v>46023</v>
      </c>
      <c r="D137" s="41">
        <v>46023</v>
      </c>
      <c r="E137" s="40" t="s">
        <v>13</v>
      </c>
      <c r="F137" s="40" t="s">
        <v>1391</v>
      </c>
      <c r="G137" s="40" t="s">
        <v>6497</v>
      </c>
      <c r="H137" s="40" t="s">
        <v>6498</v>
      </c>
      <c r="I137" s="40" t="s">
        <v>49</v>
      </c>
      <c r="J137" s="40">
        <v>137.94999999999999</v>
      </c>
      <c r="K137" s="40">
        <v>137.94999999999999</v>
      </c>
      <c r="L137" s="40"/>
      <c r="M137" s="40">
        <v>137.94999999999999</v>
      </c>
      <c r="N137" s="40"/>
      <c r="O137" s="40" t="s">
        <v>234</v>
      </c>
    </row>
    <row r="138" spans="1:15" ht="56.25" x14ac:dyDescent="0.2">
      <c r="A138" s="40" t="s">
        <v>6499</v>
      </c>
      <c r="B138" s="40" t="s">
        <v>6500</v>
      </c>
      <c r="C138" s="41">
        <v>46023</v>
      </c>
      <c r="D138" s="41">
        <v>46023</v>
      </c>
      <c r="E138" s="40" t="s">
        <v>13</v>
      </c>
      <c r="F138" s="40" t="s">
        <v>6482</v>
      </c>
      <c r="G138" s="40" t="s">
        <v>6501</v>
      </c>
      <c r="H138" s="40" t="s">
        <v>6502</v>
      </c>
      <c r="I138" s="40" t="s">
        <v>49</v>
      </c>
      <c r="J138" s="40">
        <v>90.81</v>
      </c>
      <c r="K138" s="40">
        <v>90.81</v>
      </c>
      <c r="L138" s="40"/>
      <c r="M138" s="40">
        <v>90.81</v>
      </c>
      <c r="N138" s="40"/>
      <c r="O138" s="40" t="s">
        <v>234</v>
      </c>
    </row>
    <row r="139" spans="1:15" ht="33.75" x14ac:dyDescent="0.2">
      <c r="A139" s="40" t="s">
        <v>6503</v>
      </c>
      <c r="B139" s="40" t="s">
        <v>6504</v>
      </c>
      <c r="C139" s="41">
        <v>46023</v>
      </c>
      <c r="D139" s="41">
        <v>46023</v>
      </c>
      <c r="E139" s="40" t="s">
        <v>13</v>
      </c>
      <c r="F139" s="40" t="s">
        <v>6505</v>
      </c>
      <c r="G139" s="40" t="s">
        <v>6506</v>
      </c>
      <c r="H139" s="40" t="s">
        <v>6507</v>
      </c>
      <c r="I139" s="40" t="s">
        <v>49</v>
      </c>
      <c r="J139" s="40">
        <v>66.5</v>
      </c>
      <c r="K139" s="40">
        <v>66.5</v>
      </c>
      <c r="L139" s="40"/>
      <c r="M139" s="40">
        <v>66.5</v>
      </c>
      <c r="N139" s="40"/>
      <c r="O139" s="40" t="s">
        <v>234</v>
      </c>
    </row>
    <row r="140" spans="1:15" ht="33.75" x14ac:dyDescent="0.2">
      <c r="A140" s="40" t="s">
        <v>6508</v>
      </c>
      <c r="B140" s="40" t="s">
        <v>6509</v>
      </c>
      <c r="C140" s="41">
        <v>46023</v>
      </c>
      <c r="D140" s="41">
        <v>46023</v>
      </c>
      <c r="E140" s="40" t="s">
        <v>13</v>
      </c>
      <c r="F140" s="40" t="s">
        <v>6510</v>
      </c>
      <c r="G140" s="40" t="s">
        <v>6511</v>
      </c>
      <c r="H140" s="40" t="s">
        <v>6512</v>
      </c>
      <c r="I140" s="40" t="s">
        <v>49</v>
      </c>
      <c r="J140" s="40">
        <v>162.5</v>
      </c>
      <c r="K140" s="40">
        <v>162.5</v>
      </c>
      <c r="L140" s="40"/>
      <c r="M140" s="40">
        <v>162.5</v>
      </c>
      <c r="N140" s="40"/>
      <c r="O140" s="40" t="s">
        <v>234</v>
      </c>
    </row>
    <row r="141" spans="1:15" ht="33.75" x14ac:dyDescent="0.2">
      <c r="A141" s="40" t="s">
        <v>6513</v>
      </c>
      <c r="B141" s="40" t="s">
        <v>6514</v>
      </c>
      <c r="C141" s="41">
        <v>46023</v>
      </c>
      <c r="D141" s="41">
        <v>46023</v>
      </c>
      <c r="E141" s="40" t="s">
        <v>13</v>
      </c>
      <c r="F141" s="40" t="s">
        <v>6515</v>
      </c>
      <c r="G141" s="40" t="s">
        <v>6516</v>
      </c>
      <c r="H141" s="40" t="s">
        <v>6517</v>
      </c>
      <c r="I141" s="40" t="s">
        <v>49</v>
      </c>
      <c r="J141" s="40">
        <v>128.24</v>
      </c>
      <c r="K141" s="40">
        <v>128.24</v>
      </c>
      <c r="L141" s="40"/>
      <c r="M141" s="40">
        <v>128.24</v>
      </c>
      <c r="N141" s="40"/>
      <c r="O141" s="40" t="s">
        <v>234</v>
      </c>
    </row>
    <row r="142" spans="1:15" ht="33.75" x14ac:dyDescent="0.2">
      <c r="A142" s="40" t="s">
        <v>6518</v>
      </c>
      <c r="B142" s="40" t="s">
        <v>6519</v>
      </c>
      <c r="C142" s="41">
        <v>46023</v>
      </c>
      <c r="D142" s="41">
        <v>46023</v>
      </c>
      <c r="E142" s="40" t="s">
        <v>13</v>
      </c>
      <c r="F142" s="40" t="s">
        <v>1744</v>
      </c>
      <c r="G142" s="40" t="s">
        <v>6520</v>
      </c>
      <c r="H142" s="40" t="s">
        <v>6521</v>
      </c>
      <c r="I142" s="40" t="s">
        <v>49</v>
      </c>
      <c r="J142" s="40">
        <v>104.9</v>
      </c>
      <c r="K142" s="40">
        <v>104.9</v>
      </c>
      <c r="L142" s="40"/>
      <c r="M142" s="40">
        <v>104.9</v>
      </c>
      <c r="N142" s="40"/>
      <c r="O142" s="40" t="s">
        <v>234</v>
      </c>
    </row>
    <row r="143" spans="1:15" ht="33.75" x14ac:dyDescent="0.2">
      <c r="A143" s="40" t="s">
        <v>6522</v>
      </c>
      <c r="B143" s="40" t="s">
        <v>6523</v>
      </c>
      <c r="C143" s="41">
        <v>46023</v>
      </c>
      <c r="D143" s="41">
        <v>46023</v>
      </c>
      <c r="E143" s="40" t="s">
        <v>13</v>
      </c>
      <c r="F143" s="40" t="s">
        <v>6524</v>
      </c>
      <c r="G143" s="40" t="s">
        <v>6525</v>
      </c>
      <c r="H143" s="40" t="s">
        <v>6526</v>
      </c>
      <c r="I143" s="40" t="s">
        <v>49</v>
      </c>
      <c r="J143" s="40">
        <v>51</v>
      </c>
      <c r="K143" s="40">
        <v>51</v>
      </c>
      <c r="L143" s="40"/>
      <c r="M143" s="40">
        <v>51</v>
      </c>
      <c r="N143" s="40"/>
      <c r="O143" s="40" t="s">
        <v>234</v>
      </c>
    </row>
    <row r="144" spans="1:15" ht="33.75" x14ac:dyDescent="0.2">
      <c r="A144" s="40" t="s">
        <v>6527</v>
      </c>
      <c r="B144" s="40" t="s">
        <v>6528</v>
      </c>
      <c r="C144" s="41">
        <v>46023</v>
      </c>
      <c r="D144" s="41">
        <v>46023</v>
      </c>
      <c r="E144" s="40" t="s">
        <v>13</v>
      </c>
      <c r="F144" s="40" t="s">
        <v>6529</v>
      </c>
      <c r="G144" s="40" t="s">
        <v>6530</v>
      </c>
      <c r="H144" s="40" t="s">
        <v>6531</v>
      </c>
      <c r="I144" s="40" t="s">
        <v>49</v>
      </c>
      <c r="J144" s="40">
        <v>76.900000000000006</v>
      </c>
      <c r="K144" s="40">
        <v>76.900000000000006</v>
      </c>
      <c r="L144" s="40"/>
      <c r="M144" s="40">
        <v>76.900000000000006</v>
      </c>
      <c r="N144" s="40"/>
      <c r="O144" s="40" t="s">
        <v>234</v>
      </c>
    </row>
    <row r="145" spans="1:15" ht="45" x14ac:dyDescent="0.2">
      <c r="A145" s="40" t="s">
        <v>6532</v>
      </c>
      <c r="B145" s="40" t="s">
        <v>6533</v>
      </c>
      <c r="C145" s="41">
        <v>46023</v>
      </c>
      <c r="D145" s="41">
        <v>46023</v>
      </c>
      <c r="E145" s="40" t="s">
        <v>13</v>
      </c>
      <c r="F145" s="40" t="s">
        <v>6534</v>
      </c>
      <c r="G145" s="40" t="s">
        <v>6535</v>
      </c>
      <c r="H145" s="40" t="s">
        <v>6536</v>
      </c>
      <c r="I145" s="40" t="s">
        <v>49</v>
      </c>
      <c r="J145" s="40">
        <v>308.39</v>
      </c>
      <c r="K145" s="40">
        <v>308.39</v>
      </c>
      <c r="L145" s="40"/>
      <c r="M145" s="40">
        <v>308.39</v>
      </c>
      <c r="N145" s="40"/>
      <c r="O145" s="40" t="s">
        <v>234</v>
      </c>
    </row>
    <row r="146" spans="1:15" ht="33.75" x14ac:dyDescent="0.2">
      <c r="A146" s="40" t="s">
        <v>6537</v>
      </c>
      <c r="B146" s="40" t="s">
        <v>6538</v>
      </c>
      <c r="C146" s="41">
        <v>46023</v>
      </c>
      <c r="D146" s="41">
        <v>46023</v>
      </c>
      <c r="E146" s="40" t="s">
        <v>13</v>
      </c>
      <c r="F146" s="40" t="s">
        <v>6539</v>
      </c>
      <c r="G146" s="40" t="s">
        <v>6540</v>
      </c>
      <c r="H146" s="40" t="s">
        <v>6541</v>
      </c>
      <c r="I146" s="40" t="s">
        <v>49</v>
      </c>
      <c r="J146" s="40">
        <v>110.16</v>
      </c>
      <c r="K146" s="40">
        <v>110.16</v>
      </c>
      <c r="L146" s="40"/>
      <c r="M146" s="40">
        <v>110.16</v>
      </c>
      <c r="N146" s="40"/>
      <c r="O146" s="40" t="s">
        <v>234</v>
      </c>
    </row>
    <row r="147" spans="1:15" ht="33.75" x14ac:dyDescent="0.2">
      <c r="A147" s="40" t="s">
        <v>6542</v>
      </c>
      <c r="B147" s="40" t="s">
        <v>6543</v>
      </c>
      <c r="C147" s="41">
        <v>46023</v>
      </c>
      <c r="D147" s="41">
        <v>46023</v>
      </c>
      <c r="E147" s="40" t="s">
        <v>13</v>
      </c>
      <c r="F147" s="40" t="s">
        <v>6544</v>
      </c>
      <c r="G147" s="40" t="s">
        <v>6545</v>
      </c>
      <c r="H147" s="40" t="s">
        <v>6546</v>
      </c>
      <c r="I147" s="40" t="s">
        <v>49</v>
      </c>
      <c r="J147" s="40">
        <v>111.08</v>
      </c>
      <c r="K147" s="40">
        <v>111.08</v>
      </c>
      <c r="L147" s="40"/>
      <c r="M147" s="40">
        <v>111.08</v>
      </c>
      <c r="N147" s="40"/>
      <c r="O147" s="40" t="s">
        <v>234</v>
      </c>
    </row>
    <row r="148" spans="1:15" ht="33.75" x14ac:dyDescent="0.2">
      <c r="A148" s="40" t="s">
        <v>6547</v>
      </c>
      <c r="B148" s="40" t="s">
        <v>6548</v>
      </c>
      <c r="C148" s="41">
        <v>46023</v>
      </c>
      <c r="D148" s="41">
        <v>46023</v>
      </c>
      <c r="E148" s="40" t="s">
        <v>13</v>
      </c>
      <c r="F148" s="40" t="s">
        <v>6549</v>
      </c>
      <c r="G148" s="40" t="s">
        <v>6550</v>
      </c>
      <c r="H148" s="40" t="s">
        <v>6551</v>
      </c>
      <c r="I148" s="40" t="s">
        <v>49</v>
      </c>
      <c r="J148" s="40">
        <v>73.87</v>
      </c>
      <c r="K148" s="40">
        <v>73.87</v>
      </c>
      <c r="L148" s="40"/>
      <c r="M148" s="40">
        <v>73.87</v>
      </c>
      <c r="N148" s="40"/>
      <c r="O148" s="40" t="s">
        <v>234</v>
      </c>
    </row>
    <row r="149" spans="1:15" ht="33.75" x14ac:dyDescent="0.2">
      <c r="A149" s="40" t="s">
        <v>6552</v>
      </c>
      <c r="B149" s="40" t="s">
        <v>6553</v>
      </c>
      <c r="C149" s="41">
        <v>46023</v>
      </c>
      <c r="D149" s="41">
        <v>46023</v>
      </c>
      <c r="E149" s="40" t="s">
        <v>13</v>
      </c>
      <c r="F149" s="40" t="s">
        <v>6554</v>
      </c>
      <c r="G149" s="40" t="s">
        <v>6555</v>
      </c>
      <c r="H149" s="40" t="s">
        <v>6556</v>
      </c>
      <c r="I149" s="40" t="s">
        <v>49</v>
      </c>
      <c r="J149" s="40">
        <v>27.48</v>
      </c>
      <c r="K149" s="40">
        <v>27.48</v>
      </c>
      <c r="L149" s="40"/>
      <c r="M149" s="40">
        <v>27.48</v>
      </c>
      <c r="N149" s="40"/>
      <c r="O149" s="40" t="s">
        <v>234</v>
      </c>
    </row>
    <row r="150" spans="1:15" ht="33.75" x14ac:dyDescent="0.2">
      <c r="A150" s="40" t="s">
        <v>6557</v>
      </c>
      <c r="B150" s="40" t="s">
        <v>6558</v>
      </c>
      <c r="C150" s="41">
        <v>46023</v>
      </c>
      <c r="D150" s="41">
        <v>46023</v>
      </c>
      <c r="E150" s="40" t="s">
        <v>13</v>
      </c>
      <c r="F150" s="40" t="s">
        <v>658</v>
      </c>
      <c r="G150" s="40" t="s">
        <v>6559</v>
      </c>
      <c r="H150" s="40" t="s">
        <v>6560</v>
      </c>
      <c r="I150" s="40" t="s">
        <v>49</v>
      </c>
      <c r="J150" s="40">
        <v>178.94</v>
      </c>
      <c r="K150" s="40">
        <v>178.94</v>
      </c>
      <c r="L150" s="40"/>
      <c r="M150" s="40">
        <v>178.94</v>
      </c>
      <c r="N150" s="40"/>
      <c r="O150" s="40" t="s">
        <v>234</v>
      </c>
    </row>
    <row r="151" spans="1:15" ht="33.75" x14ac:dyDescent="0.2">
      <c r="A151" s="40" t="s">
        <v>6561</v>
      </c>
      <c r="B151" s="40" t="s">
        <v>6562</v>
      </c>
      <c r="C151" s="41">
        <v>46023</v>
      </c>
      <c r="D151" s="41">
        <v>46023</v>
      </c>
      <c r="E151" s="40" t="s">
        <v>13</v>
      </c>
      <c r="F151" s="40" t="s">
        <v>6563</v>
      </c>
      <c r="G151" s="40" t="s">
        <v>6564</v>
      </c>
      <c r="H151" s="40" t="s">
        <v>6565</v>
      </c>
      <c r="I151" s="40" t="s">
        <v>49</v>
      </c>
      <c r="J151" s="40">
        <v>166.05</v>
      </c>
      <c r="K151" s="40">
        <v>166.05</v>
      </c>
      <c r="L151" s="40"/>
      <c r="M151" s="40">
        <v>166.05</v>
      </c>
      <c r="N151" s="40"/>
      <c r="O151" s="40" t="s">
        <v>234</v>
      </c>
    </row>
    <row r="152" spans="1:15" ht="33.75" x14ac:dyDescent="0.2">
      <c r="A152" s="40" t="s">
        <v>6566</v>
      </c>
      <c r="B152" s="40" t="s">
        <v>6567</v>
      </c>
      <c r="C152" s="41">
        <v>46023</v>
      </c>
      <c r="D152" s="41">
        <v>46023</v>
      </c>
      <c r="E152" s="40" t="s">
        <v>13</v>
      </c>
      <c r="F152" s="40" t="s">
        <v>6568</v>
      </c>
      <c r="G152" s="40" t="s">
        <v>6569</v>
      </c>
      <c r="H152" s="40" t="s">
        <v>6570</v>
      </c>
      <c r="I152" s="40" t="s">
        <v>49</v>
      </c>
      <c r="J152" s="40">
        <v>437.3</v>
      </c>
      <c r="K152" s="40">
        <v>437.3</v>
      </c>
      <c r="L152" s="40"/>
      <c r="M152" s="40">
        <v>437.3</v>
      </c>
      <c r="N152" s="40"/>
      <c r="O152" s="40" t="s">
        <v>234</v>
      </c>
    </row>
    <row r="153" spans="1:15" ht="33.75" x14ac:dyDescent="0.2">
      <c r="A153" s="40" t="s">
        <v>6571</v>
      </c>
      <c r="B153" s="40" t="s">
        <v>6572</v>
      </c>
      <c r="C153" s="41">
        <v>46023</v>
      </c>
      <c r="D153" s="41">
        <v>46023</v>
      </c>
      <c r="E153" s="40" t="s">
        <v>13</v>
      </c>
      <c r="F153" s="40" t="s">
        <v>6573</v>
      </c>
      <c r="G153" s="40" t="s">
        <v>6574</v>
      </c>
      <c r="H153" s="40" t="s">
        <v>6575</v>
      </c>
      <c r="I153" s="40" t="s">
        <v>49</v>
      </c>
      <c r="J153" s="40">
        <v>122.05</v>
      </c>
      <c r="K153" s="40">
        <v>122.05</v>
      </c>
      <c r="L153" s="40"/>
      <c r="M153" s="40">
        <v>122.05</v>
      </c>
      <c r="N153" s="40"/>
      <c r="O153" s="40" t="s">
        <v>234</v>
      </c>
    </row>
    <row r="154" spans="1:15" ht="33.75" x14ac:dyDescent="0.2">
      <c r="A154" s="40" t="s">
        <v>6576</v>
      </c>
      <c r="B154" s="40" t="s">
        <v>6577</v>
      </c>
      <c r="C154" s="41">
        <v>46023</v>
      </c>
      <c r="D154" s="41">
        <v>46023</v>
      </c>
      <c r="E154" s="40" t="s">
        <v>13</v>
      </c>
      <c r="F154" s="40" t="s">
        <v>6578</v>
      </c>
      <c r="G154" s="40" t="s">
        <v>6579</v>
      </c>
      <c r="H154" s="40" t="s">
        <v>6580</v>
      </c>
      <c r="I154" s="40" t="s">
        <v>49</v>
      </c>
      <c r="J154" s="40">
        <v>59.4</v>
      </c>
      <c r="K154" s="40">
        <v>59.4</v>
      </c>
      <c r="L154" s="40"/>
      <c r="M154" s="40">
        <v>59.4</v>
      </c>
      <c r="N154" s="40"/>
      <c r="O154" s="40" t="s">
        <v>234</v>
      </c>
    </row>
    <row r="155" spans="1:15" ht="33.75" x14ac:dyDescent="0.2">
      <c r="A155" s="40" t="s">
        <v>6581</v>
      </c>
      <c r="B155" s="40" t="s">
        <v>6582</v>
      </c>
      <c r="C155" s="41">
        <v>46023</v>
      </c>
      <c r="D155" s="41">
        <v>46023</v>
      </c>
      <c r="E155" s="40" t="s">
        <v>13</v>
      </c>
      <c r="F155" s="40" t="s">
        <v>4361</v>
      </c>
      <c r="G155" s="40" t="s">
        <v>6583</v>
      </c>
      <c r="H155" s="40" t="s">
        <v>6584</v>
      </c>
      <c r="I155" s="40" t="s">
        <v>49</v>
      </c>
      <c r="J155" s="40">
        <v>137.04</v>
      </c>
      <c r="K155" s="40">
        <v>137.04</v>
      </c>
      <c r="L155" s="40"/>
      <c r="M155" s="40">
        <v>137.04</v>
      </c>
      <c r="N155" s="40"/>
      <c r="O155" s="40" t="s">
        <v>234</v>
      </c>
    </row>
    <row r="156" spans="1:15" ht="33.75" x14ac:dyDescent="0.2">
      <c r="A156" s="40" t="s">
        <v>6585</v>
      </c>
      <c r="B156" s="40" t="s">
        <v>6586</v>
      </c>
      <c r="C156" s="41">
        <v>46023</v>
      </c>
      <c r="D156" s="41">
        <v>46023</v>
      </c>
      <c r="E156" s="40" t="s">
        <v>13</v>
      </c>
      <c r="F156" s="40" t="s">
        <v>6487</v>
      </c>
      <c r="G156" s="40" t="s">
        <v>6587</v>
      </c>
      <c r="H156" s="40" t="s">
        <v>6588</v>
      </c>
      <c r="I156" s="40" t="s">
        <v>49</v>
      </c>
      <c r="J156" s="40">
        <v>103.9</v>
      </c>
      <c r="K156" s="40">
        <v>103.9</v>
      </c>
      <c r="L156" s="40"/>
      <c r="M156" s="40">
        <v>103.9</v>
      </c>
      <c r="N156" s="40"/>
      <c r="O156" s="40" t="s">
        <v>234</v>
      </c>
    </row>
    <row r="157" spans="1:15" ht="33.75" x14ac:dyDescent="0.2">
      <c r="A157" s="40" t="s">
        <v>6589</v>
      </c>
      <c r="B157" s="40" t="s">
        <v>6590</v>
      </c>
      <c r="C157" s="41">
        <v>46023</v>
      </c>
      <c r="D157" s="41">
        <v>46023</v>
      </c>
      <c r="E157" s="40" t="s">
        <v>13</v>
      </c>
      <c r="F157" s="40" t="s">
        <v>6591</v>
      </c>
      <c r="G157" s="40" t="s">
        <v>6592</v>
      </c>
      <c r="H157" s="40" t="s">
        <v>6593</v>
      </c>
      <c r="I157" s="40" t="s">
        <v>49</v>
      </c>
      <c r="J157" s="40">
        <v>252.09</v>
      </c>
      <c r="K157" s="40">
        <v>252.09</v>
      </c>
      <c r="L157" s="40"/>
      <c r="M157" s="40">
        <v>252.09</v>
      </c>
      <c r="N157" s="40"/>
      <c r="O157" s="40" t="s">
        <v>234</v>
      </c>
    </row>
    <row r="158" spans="1:15" ht="33.75" x14ac:dyDescent="0.2">
      <c r="A158" s="40" t="s">
        <v>6594</v>
      </c>
      <c r="B158" s="40" t="s">
        <v>6595</v>
      </c>
      <c r="C158" s="41">
        <v>46023</v>
      </c>
      <c r="D158" s="41">
        <v>46023</v>
      </c>
      <c r="E158" s="40" t="s">
        <v>13</v>
      </c>
      <c r="F158" s="40" t="s">
        <v>6596</v>
      </c>
      <c r="G158" s="40" t="s">
        <v>6597</v>
      </c>
      <c r="H158" s="40" t="s">
        <v>6598</v>
      </c>
      <c r="I158" s="40" t="s">
        <v>49</v>
      </c>
      <c r="J158" s="40">
        <v>108</v>
      </c>
      <c r="K158" s="40">
        <v>108</v>
      </c>
      <c r="L158" s="40"/>
      <c r="M158" s="40">
        <v>108</v>
      </c>
      <c r="N158" s="40"/>
      <c r="O158" s="40" t="s">
        <v>234</v>
      </c>
    </row>
    <row r="159" spans="1:15" ht="33.75" x14ac:dyDescent="0.2">
      <c r="A159" s="40" t="s">
        <v>6599</v>
      </c>
      <c r="B159" s="40" t="s">
        <v>6600</v>
      </c>
      <c r="C159" s="41">
        <v>46023</v>
      </c>
      <c r="D159" s="41">
        <v>46023</v>
      </c>
      <c r="E159" s="40" t="s">
        <v>13</v>
      </c>
      <c r="F159" s="40" t="s">
        <v>6601</v>
      </c>
      <c r="G159" s="40" t="s">
        <v>6602</v>
      </c>
      <c r="H159" s="40" t="s">
        <v>6603</v>
      </c>
      <c r="I159" s="40" t="s">
        <v>49</v>
      </c>
      <c r="J159" s="40">
        <v>48</v>
      </c>
      <c r="K159" s="40">
        <v>48</v>
      </c>
      <c r="L159" s="40"/>
      <c r="M159" s="40">
        <v>48</v>
      </c>
      <c r="N159" s="40"/>
      <c r="O159" s="40" t="s">
        <v>234</v>
      </c>
    </row>
    <row r="160" spans="1:15" ht="33.75" x14ac:dyDescent="0.2">
      <c r="A160" s="40" t="s">
        <v>6604</v>
      </c>
      <c r="B160" s="40" t="s">
        <v>6605</v>
      </c>
      <c r="C160" s="41">
        <v>46023</v>
      </c>
      <c r="D160" s="41">
        <v>46023</v>
      </c>
      <c r="E160" s="40" t="s">
        <v>13</v>
      </c>
      <c r="F160" s="40" t="s">
        <v>6606</v>
      </c>
      <c r="G160" s="40" t="s">
        <v>6607</v>
      </c>
      <c r="H160" s="40" t="s">
        <v>6608</v>
      </c>
      <c r="I160" s="40" t="s">
        <v>49</v>
      </c>
      <c r="J160" s="40">
        <v>157.21</v>
      </c>
      <c r="K160" s="40">
        <v>157.21</v>
      </c>
      <c r="L160" s="40"/>
      <c r="M160" s="40">
        <v>157.21</v>
      </c>
      <c r="N160" s="40"/>
      <c r="O160" s="40" t="s">
        <v>234</v>
      </c>
    </row>
    <row r="161" spans="1:15" ht="33.75" x14ac:dyDescent="0.2">
      <c r="A161" s="40" t="s">
        <v>6609</v>
      </c>
      <c r="B161" s="40" t="s">
        <v>6610</v>
      </c>
      <c r="C161" s="41">
        <v>46023</v>
      </c>
      <c r="D161" s="41">
        <v>46023</v>
      </c>
      <c r="E161" s="40" t="s">
        <v>13</v>
      </c>
      <c r="F161" s="40" t="s">
        <v>6611</v>
      </c>
      <c r="G161" s="40" t="s">
        <v>6612</v>
      </c>
      <c r="H161" s="40" t="s">
        <v>6613</v>
      </c>
      <c r="I161" s="40" t="s">
        <v>49</v>
      </c>
      <c r="J161" s="40">
        <v>70.58</v>
      </c>
      <c r="K161" s="40">
        <v>70.58</v>
      </c>
      <c r="L161" s="40"/>
      <c r="M161" s="40">
        <v>70.58</v>
      </c>
      <c r="N161" s="40"/>
      <c r="O161" s="40" t="s">
        <v>234</v>
      </c>
    </row>
    <row r="162" spans="1:15" ht="33.75" x14ac:dyDescent="0.2">
      <c r="A162" s="40" t="s">
        <v>6614</v>
      </c>
      <c r="B162" s="40" t="s">
        <v>6615</v>
      </c>
      <c r="C162" s="41">
        <v>46023</v>
      </c>
      <c r="D162" s="41">
        <v>46023</v>
      </c>
      <c r="E162" s="40" t="s">
        <v>13</v>
      </c>
      <c r="F162" s="40" t="s">
        <v>6616</v>
      </c>
      <c r="G162" s="40" t="s">
        <v>6617</v>
      </c>
      <c r="H162" s="40" t="s">
        <v>6618</v>
      </c>
      <c r="I162" s="40" t="s">
        <v>49</v>
      </c>
      <c r="J162" s="40">
        <v>89.51</v>
      </c>
      <c r="K162" s="40">
        <v>89.51</v>
      </c>
      <c r="L162" s="40"/>
      <c r="M162" s="40">
        <v>89.51</v>
      </c>
      <c r="N162" s="40"/>
      <c r="O162" s="40" t="s">
        <v>234</v>
      </c>
    </row>
    <row r="163" spans="1:15" ht="33.75" x14ac:dyDescent="0.2">
      <c r="A163" s="40" t="s">
        <v>6619</v>
      </c>
      <c r="B163" s="40" t="s">
        <v>6620</v>
      </c>
      <c r="C163" s="41">
        <v>46023</v>
      </c>
      <c r="D163" s="41">
        <v>46023</v>
      </c>
      <c r="E163" s="40" t="s">
        <v>13</v>
      </c>
      <c r="F163" s="40" t="s">
        <v>6621</v>
      </c>
      <c r="G163" s="40" t="s">
        <v>6622</v>
      </c>
      <c r="H163" s="40" t="s">
        <v>6623</v>
      </c>
      <c r="I163" s="40" t="s">
        <v>49</v>
      </c>
      <c r="J163" s="40">
        <v>144.66</v>
      </c>
      <c r="K163" s="40">
        <v>144.66</v>
      </c>
      <c r="L163" s="40"/>
      <c r="M163" s="40">
        <v>144.66</v>
      </c>
      <c r="N163" s="40"/>
      <c r="O163" s="40" t="s">
        <v>234</v>
      </c>
    </row>
    <row r="164" spans="1:15" ht="33.75" x14ac:dyDescent="0.2">
      <c r="A164" s="40" t="s">
        <v>6624</v>
      </c>
      <c r="B164" s="40" t="s">
        <v>6625</v>
      </c>
      <c r="C164" s="41">
        <v>46023</v>
      </c>
      <c r="D164" s="41">
        <v>46023</v>
      </c>
      <c r="E164" s="40" t="s">
        <v>13</v>
      </c>
      <c r="F164" s="40" t="s">
        <v>6626</v>
      </c>
      <c r="G164" s="40" t="s">
        <v>6627</v>
      </c>
      <c r="H164" s="40" t="s">
        <v>6628</v>
      </c>
      <c r="I164" s="40" t="s">
        <v>49</v>
      </c>
      <c r="J164" s="40">
        <v>75.459999999999994</v>
      </c>
      <c r="K164" s="40">
        <v>75.459999999999994</v>
      </c>
      <c r="L164" s="40"/>
      <c r="M164" s="40">
        <v>75.459999999999994</v>
      </c>
      <c r="N164" s="40"/>
      <c r="O164" s="40" t="s">
        <v>234</v>
      </c>
    </row>
    <row r="165" spans="1:15" ht="33.75" x14ac:dyDescent="0.2">
      <c r="A165" s="40" t="s">
        <v>6629</v>
      </c>
      <c r="B165" s="40" t="s">
        <v>6630</v>
      </c>
      <c r="C165" s="41">
        <v>46023</v>
      </c>
      <c r="D165" s="41">
        <v>46023</v>
      </c>
      <c r="E165" s="40" t="s">
        <v>13</v>
      </c>
      <c r="F165" s="40" t="s">
        <v>1040</v>
      </c>
      <c r="G165" s="40" t="s">
        <v>6631</v>
      </c>
      <c r="H165" s="40" t="s">
        <v>6632</v>
      </c>
      <c r="I165" s="40" t="s">
        <v>49</v>
      </c>
      <c r="J165" s="40">
        <v>215.01</v>
      </c>
      <c r="K165" s="40">
        <v>215.01</v>
      </c>
      <c r="L165" s="40"/>
      <c r="M165" s="40">
        <v>215.01</v>
      </c>
      <c r="N165" s="40"/>
      <c r="O165" s="40" t="s">
        <v>234</v>
      </c>
    </row>
    <row r="166" spans="1:15" ht="33.75" x14ac:dyDescent="0.2">
      <c r="A166" s="40" t="s">
        <v>6633</v>
      </c>
      <c r="B166" s="40" t="s">
        <v>6634</v>
      </c>
      <c r="C166" s="41">
        <v>46023</v>
      </c>
      <c r="D166" s="41">
        <v>46023</v>
      </c>
      <c r="E166" s="40" t="s">
        <v>13</v>
      </c>
      <c r="F166" s="40" t="s">
        <v>1454</v>
      </c>
      <c r="G166" s="40" t="s">
        <v>6635</v>
      </c>
      <c r="H166" s="40" t="s">
        <v>6636</v>
      </c>
      <c r="I166" s="40" t="s">
        <v>49</v>
      </c>
      <c r="J166" s="40">
        <v>108.01</v>
      </c>
      <c r="K166" s="40">
        <v>108.01</v>
      </c>
      <c r="L166" s="40"/>
      <c r="M166" s="40">
        <v>108.01</v>
      </c>
      <c r="N166" s="40"/>
      <c r="O166" s="40" t="s">
        <v>234</v>
      </c>
    </row>
    <row r="167" spans="1:15" ht="33.75" x14ac:dyDescent="0.2">
      <c r="A167" s="40" t="s">
        <v>6637</v>
      </c>
      <c r="B167" s="40" t="s">
        <v>6638</v>
      </c>
      <c r="C167" s="41">
        <v>46023</v>
      </c>
      <c r="D167" s="41">
        <v>46023</v>
      </c>
      <c r="E167" s="40" t="s">
        <v>13</v>
      </c>
      <c r="F167" s="40" t="s">
        <v>6639</v>
      </c>
      <c r="G167" s="40" t="s">
        <v>6640</v>
      </c>
      <c r="H167" s="40" t="s">
        <v>6641</v>
      </c>
      <c r="I167" s="40" t="s">
        <v>49</v>
      </c>
      <c r="J167" s="40">
        <v>89.29</v>
      </c>
      <c r="K167" s="40">
        <v>89.29</v>
      </c>
      <c r="L167" s="40"/>
      <c r="M167" s="40">
        <v>89.29</v>
      </c>
      <c r="N167" s="40"/>
      <c r="O167" s="40" t="s">
        <v>234</v>
      </c>
    </row>
    <row r="168" spans="1:15" ht="33.75" x14ac:dyDescent="0.2">
      <c r="A168" s="40" t="s">
        <v>6642</v>
      </c>
      <c r="B168" s="40" t="s">
        <v>6643</v>
      </c>
      <c r="C168" s="41">
        <v>46023</v>
      </c>
      <c r="D168" s="41">
        <v>46023</v>
      </c>
      <c r="E168" s="40" t="s">
        <v>13</v>
      </c>
      <c r="F168" s="40" t="s">
        <v>2035</v>
      </c>
      <c r="G168" s="40" t="s">
        <v>6644</v>
      </c>
      <c r="H168" s="40" t="s">
        <v>6645</v>
      </c>
      <c r="I168" s="40" t="s">
        <v>49</v>
      </c>
      <c r="J168" s="40">
        <v>67.12</v>
      </c>
      <c r="K168" s="40">
        <v>67.12</v>
      </c>
      <c r="L168" s="40"/>
      <c r="M168" s="40">
        <v>67.12</v>
      </c>
      <c r="N168" s="40"/>
      <c r="O168" s="40" t="s">
        <v>234</v>
      </c>
    </row>
    <row r="169" spans="1:15" ht="33.75" x14ac:dyDescent="0.2">
      <c r="A169" s="40" t="s">
        <v>6646</v>
      </c>
      <c r="B169" s="40" t="s">
        <v>6647</v>
      </c>
      <c r="C169" s="41">
        <v>46023</v>
      </c>
      <c r="D169" s="41">
        <v>46023</v>
      </c>
      <c r="E169" s="40" t="s">
        <v>13</v>
      </c>
      <c r="F169" s="40" t="s">
        <v>1370</v>
      </c>
      <c r="G169" s="40" t="s">
        <v>6648</v>
      </c>
      <c r="H169" s="40" t="s">
        <v>6649</v>
      </c>
      <c r="I169" s="40" t="s">
        <v>49</v>
      </c>
      <c r="J169" s="40">
        <v>567.04</v>
      </c>
      <c r="K169" s="40">
        <v>567.04</v>
      </c>
      <c r="L169" s="40"/>
      <c r="M169" s="40">
        <v>567.04</v>
      </c>
      <c r="N169" s="40"/>
      <c r="O169" s="40" t="s">
        <v>234</v>
      </c>
    </row>
    <row r="170" spans="1:15" ht="45" x14ac:dyDescent="0.2">
      <c r="A170" s="40" t="s">
        <v>6650</v>
      </c>
      <c r="B170" s="40" t="s">
        <v>6651</v>
      </c>
      <c r="C170" s="41">
        <v>46023</v>
      </c>
      <c r="D170" s="41">
        <v>46023</v>
      </c>
      <c r="E170" s="40" t="s">
        <v>13</v>
      </c>
      <c r="F170" s="40" t="s">
        <v>6652</v>
      </c>
      <c r="G170" s="40" t="s">
        <v>6653</v>
      </c>
      <c r="H170" s="40" t="s">
        <v>6654</v>
      </c>
      <c r="I170" s="40" t="s">
        <v>49</v>
      </c>
      <c r="J170" s="40">
        <v>92.17</v>
      </c>
      <c r="K170" s="40">
        <v>92.17</v>
      </c>
      <c r="L170" s="40"/>
      <c r="M170" s="40">
        <v>92.17</v>
      </c>
      <c r="N170" s="40"/>
      <c r="O170" s="40" t="s">
        <v>234</v>
      </c>
    </row>
    <row r="171" spans="1:15" ht="33.75" x14ac:dyDescent="0.2">
      <c r="A171" s="40" t="s">
        <v>6655</v>
      </c>
      <c r="B171" s="40" t="s">
        <v>6656</v>
      </c>
      <c r="C171" s="41">
        <v>46023</v>
      </c>
      <c r="D171" s="41">
        <v>46023</v>
      </c>
      <c r="E171" s="40" t="s">
        <v>13</v>
      </c>
      <c r="F171" s="40" t="s">
        <v>90</v>
      </c>
      <c r="G171" s="40" t="s">
        <v>6657</v>
      </c>
      <c r="H171" s="40" t="s">
        <v>6658</v>
      </c>
      <c r="I171" s="40" t="s">
        <v>49</v>
      </c>
      <c r="J171" s="40">
        <v>279.17</v>
      </c>
      <c r="K171" s="40">
        <v>279.17</v>
      </c>
      <c r="L171" s="40"/>
      <c r="M171" s="40">
        <v>279.17</v>
      </c>
      <c r="N171" s="40"/>
      <c r="O171" s="40" t="s">
        <v>234</v>
      </c>
    </row>
    <row r="172" spans="1:15" ht="45" x14ac:dyDescent="0.2">
      <c r="A172" s="40" t="s">
        <v>6659</v>
      </c>
      <c r="B172" s="40" t="s">
        <v>6660</v>
      </c>
      <c r="C172" s="41">
        <v>46023</v>
      </c>
      <c r="D172" s="41">
        <v>46023</v>
      </c>
      <c r="E172" s="40" t="s">
        <v>13</v>
      </c>
      <c r="F172" s="40" t="s">
        <v>6661</v>
      </c>
      <c r="G172" s="40" t="s">
        <v>6662</v>
      </c>
      <c r="H172" s="40" t="s">
        <v>6663</v>
      </c>
      <c r="I172" s="40" t="s">
        <v>49</v>
      </c>
      <c r="J172" s="40">
        <v>56.15</v>
      </c>
      <c r="K172" s="40">
        <v>56.15</v>
      </c>
      <c r="L172" s="40"/>
      <c r="M172" s="40">
        <v>56.15</v>
      </c>
      <c r="N172" s="40"/>
      <c r="O172" s="40" t="s">
        <v>234</v>
      </c>
    </row>
    <row r="173" spans="1:15" ht="33.75" x14ac:dyDescent="0.2">
      <c r="A173" s="40" t="s">
        <v>6664</v>
      </c>
      <c r="B173" s="40" t="s">
        <v>6665</v>
      </c>
      <c r="C173" s="41">
        <v>46023</v>
      </c>
      <c r="D173" s="41">
        <v>46023</v>
      </c>
      <c r="E173" s="40" t="s">
        <v>13</v>
      </c>
      <c r="F173" s="40" t="s">
        <v>6666</v>
      </c>
      <c r="G173" s="40" t="s">
        <v>6667</v>
      </c>
      <c r="H173" s="40" t="s">
        <v>6668</v>
      </c>
      <c r="I173" s="40" t="s">
        <v>49</v>
      </c>
      <c r="J173" s="40">
        <v>287.10000000000002</v>
      </c>
      <c r="K173" s="40">
        <v>287.10000000000002</v>
      </c>
      <c r="L173" s="40"/>
      <c r="M173" s="40">
        <v>287.10000000000002</v>
      </c>
      <c r="N173" s="40"/>
      <c r="O173" s="40" t="s">
        <v>234</v>
      </c>
    </row>
    <row r="174" spans="1:15" ht="45" x14ac:dyDescent="0.2">
      <c r="A174" s="40" t="s">
        <v>6669</v>
      </c>
      <c r="B174" s="40" t="s">
        <v>6670</v>
      </c>
      <c r="C174" s="41">
        <v>46023</v>
      </c>
      <c r="D174" s="41">
        <v>46023</v>
      </c>
      <c r="E174" s="40" t="s">
        <v>13</v>
      </c>
      <c r="F174" s="40" t="s">
        <v>6671</v>
      </c>
      <c r="G174" s="40" t="s">
        <v>6672</v>
      </c>
      <c r="H174" s="40" t="s">
        <v>6673</v>
      </c>
      <c r="I174" s="40" t="s">
        <v>49</v>
      </c>
      <c r="J174" s="40">
        <v>228.25</v>
      </c>
      <c r="K174" s="40">
        <v>228.25</v>
      </c>
      <c r="L174" s="40"/>
      <c r="M174" s="40">
        <v>228.25</v>
      </c>
      <c r="N174" s="40"/>
      <c r="O174" s="40" t="s">
        <v>234</v>
      </c>
    </row>
    <row r="175" spans="1:15" ht="33.75" x14ac:dyDescent="0.2">
      <c r="A175" s="40" t="s">
        <v>6674</v>
      </c>
      <c r="B175" s="40" t="s">
        <v>6675</v>
      </c>
      <c r="C175" s="41">
        <v>46023</v>
      </c>
      <c r="D175" s="41">
        <v>46023</v>
      </c>
      <c r="E175" s="40" t="s">
        <v>13</v>
      </c>
      <c r="F175" s="40" t="s">
        <v>6676</v>
      </c>
      <c r="G175" s="40" t="s">
        <v>6677</v>
      </c>
      <c r="H175" s="40" t="s">
        <v>6678</v>
      </c>
      <c r="I175" s="40" t="s">
        <v>49</v>
      </c>
      <c r="J175" s="40">
        <v>669.05</v>
      </c>
      <c r="K175" s="40">
        <v>669.05</v>
      </c>
      <c r="L175" s="40"/>
      <c r="M175" s="40">
        <v>669.05</v>
      </c>
      <c r="N175" s="40"/>
      <c r="O175" s="40" t="s">
        <v>234</v>
      </c>
    </row>
    <row r="176" spans="1:15" ht="33.75" x14ac:dyDescent="0.2">
      <c r="A176" s="40" t="s">
        <v>6679</v>
      </c>
      <c r="B176" s="40" t="s">
        <v>6680</v>
      </c>
      <c r="C176" s="41">
        <v>46023</v>
      </c>
      <c r="D176" s="41">
        <v>46023</v>
      </c>
      <c r="E176" s="40" t="s">
        <v>13</v>
      </c>
      <c r="F176" s="40" t="s">
        <v>1224</v>
      </c>
      <c r="G176" s="40" t="s">
        <v>6681</v>
      </c>
      <c r="H176" s="40" t="s">
        <v>6682</v>
      </c>
      <c r="I176" s="40" t="s">
        <v>49</v>
      </c>
      <c r="J176" s="40">
        <v>121.18</v>
      </c>
      <c r="K176" s="40">
        <v>121.18</v>
      </c>
      <c r="L176" s="40"/>
      <c r="M176" s="40">
        <v>121.18</v>
      </c>
      <c r="N176" s="40"/>
      <c r="O176" s="40" t="s">
        <v>234</v>
      </c>
    </row>
    <row r="177" spans="1:15" ht="33.75" x14ac:dyDescent="0.2">
      <c r="A177" s="40" t="s">
        <v>6683</v>
      </c>
      <c r="B177" s="40" t="s">
        <v>6684</v>
      </c>
      <c r="C177" s="41">
        <v>46023</v>
      </c>
      <c r="D177" s="41">
        <v>46023</v>
      </c>
      <c r="E177" s="40" t="s">
        <v>13</v>
      </c>
      <c r="F177" s="40" t="s">
        <v>667</v>
      </c>
      <c r="G177" s="40" t="s">
        <v>6685</v>
      </c>
      <c r="H177" s="40" t="s">
        <v>6686</v>
      </c>
      <c r="I177" s="40" t="s">
        <v>49</v>
      </c>
      <c r="J177" s="40">
        <v>64</v>
      </c>
      <c r="K177" s="40">
        <v>64</v>
      </c>
      <c r="L177" s="40"/>
      <c r="M177" s="40">
        <v>64</v>
      </c>
      <c r="N177" s="40"/>
      <c r="O177" s="40" t="s">
        <v>234</v>
      </c>
    </row>
    <row r="178" spans="1:15" ht="33.75" x14ac:dyDescent="0.2">
      <c r="A178" s="40" t="s">
        <v>6687</v>
      </c>
      <c r="B178" s="40" t="s">
        <v>6688</v>
      </c>
      <c r="C178" s="41">
        <v>46023</v>
      </c>
      <c r="D178" s="41">
        <v>46023</v>
      </c>
      <c r="E178" s="40" t="s">
        <v>13</v>
      </c>
      <c r="F178" s="40" t="s">
        <v>6689</v>
      </c>
      <c r="G178" s="40" t="s">
        <v>6690</v>
      </c>
      <c r="H178" s="40" t="s">
        <v>6691</v>
      </c>
      <c r="I178" s="40" t="s">
        <v>49</v>
      </c>
      <c r="J178" s="40">
        <v>135.35</v>
      </c>
      <c r="K178" s="40">
        <v>135.35</v>
      </c>
      <c r="L178" s="40"/>
      <c r="M178" s="40">
        <v>135.35</v>
      </c>
      <c r="N178" s="40"/>
      <c r="O178" s="40" t="s">
        <v>234</v>
      </c>
    </row>
    <row r="179" spans="1:15" ht="33.75" x14ac:dyDescent="0.2">
      <c r="A179" s="40" t="s">
        <v>6692</v>
      </c>
      <c r="B179" s="40" t="s">
        <v>6693</v>
      </c>
      <c r="C179" s="41">
        <v>46023</v>
      </c>
      <c r="D179" s="41">
        <v>46023</v>
      </c>
      <c r="E179" s="40" t="s">
        <v>13</v>
      </c>
      <c r="F179" s="40" t="s">
        <v>6694</v>
      </c>
      <c r="G179" s="40" t="s">
        <v>6695</v>
      </c>
      <c r="H179" s="40" t="s">
        <v>6696</v>
      </c>
      <c r="I179" s="40" t="s">
        <v>49</v>
      </c>
      <c r="J179" s="40">
        <v>127.97</v>
      </c>
      <c r="K179" s="40">
        <v>127.97</v>
      </c>
      <c r="L179" s="40"/>
      <c r="M179" s="40">
        <v>127.97</v>
      </c>
      <c r="N179" s="40"/>
      <c r="O179" s="40" t="s">
        <v>234</v>
      </c>
    </row>
    <row r="180" spans="1:15" ht="33.75" x14ac:dyDescent="0.2">
      <c r="A180" s="40" t="s">
        <v>6697</v>
      </c>
      <c r="B180" s="40" t="s">
        <v>6698</v>
      </c>
      <c r="C180" s="41">
        <v>46023</v>
      </c>
      <c r="D180" s="41">
        <v>46023</v>
      </c>
      <c r="E180" s="40" t="s">
        <v>13</v>
      </c>
      <c r="F180" s="40" t="s">
        <v>6699</v>
      </c>
      <c r="G180" s="40" t="s">
        <v>6700</v>
      </c>
      <c r="H180" s="40" t="s">
        <v>6701</v>
      </c>
      <c r="I180" s="40" t="s">
        <v>49</v>
      </c>
      <c r="J180" s="40">
        <v>204.92</v>
      </c>
      <c r="K180" s="40">
        <v>204.92</v>
      </c>
      <c r="L180" s="40"/>
      <c r="M180" s="40">
        <v>204.92</v>
      </c>
      <c r="N180" s="40"/>
      <c r="O180" s="40" t="s">
        <v>234</v>
      </c>
    </row>
    <row r="181" spans="1:15" ht="33.75" x14ac:dyDescent="0.2">
      <c r="A181" s="40" t="s">
        <v>6702</v>
      </c>
      <c r="B181" s="40" t="s">
        <v>6703</v>
      </c>
      <c r="C181" s="41">
        <v>46023</v>
      </c>
      <c r="D181" s="41">
        <v>46023</v>
      </c>
      <c r="E181" s="40" t="s">
        <v>13</v>
      </c>
      <c r="F181" s="40" t="s">
        <v>6704</v>
      </c>
      <c r="G181" s="40" t="s">
        <v>6705</v>
      </c>
      <c r="H181" s="40" t="s">
        <v>6706</v>
      </c>
      <c r="I181" s="40" t="s">
        <v>49</v>
      </c>
      <c r="J181" s="40">
        <v>126.25</v>
      </c>
      <c r="K181" s="40">
        <v>126.25</v>
      </c>
      <c r="L181" s="40"/>
      <c r="M181" s="40">
        <v>126.25</v>
      </c>
      <c r="N181" s="40"/>
      <c r="O181" s="40" t="s">
        <v>234</v>
      </c>
    </row>
    <row r="182" spans="1:15" ht="33.75" x14ac:dyDescent="0.2">
      <c r="A182" s="40" t="s">
        <v>6707</v>
      </c>
      <c r="B182" s="40" t="s">
        <v>6708</v>
      </c>
      <c r="C182" s="41">
        <v>46023</v>
      </c>
      <c r="D182" s="41">
        <v>46023</v>
      </c>
      <c r="E182" s="40" t="s">
        <v>13</v>
      </c>
      <c r="F182" s="40" t="s">
        <v>6709</v>
      </c>
      <c r="G182" s="40" t="s">
        <v>6710</v>
      </c>
      <c r="H182" s="40" t="s">
        <v>6711</v>
      </c>
      <c r="I182" s="40" t="s">
        <v>49</v>
      </c>
      <c r="J182" s="40">
        <v>211.76</v>
      </c>
      <c r="K182" s="40">
        <v>211.76</v>
      </c>
      <c r="L182" s="40"/>
      <c r="M182" s="40">
        <v>211.76</v>
      </c>
      <c r="N182" s="40"/>
      <c r="O182" s="40" t="s">
        <v>234</v>
      </c>
    </row>
    <row r="183" spans="1:15" ht="33.75" x14ac:dyDescent="0.2">
      <c r="A183" s="40" t="s">
        <v>6712</v>
      </c>
      <c r="B183" s="40" t="s">
        <v>6713</v>
      </c>
      <c r="C183" s="41">
        <v>46023</v>
      </c>
      <c r="D183" s="41">
        <v>46023</v>
      </c>
      <c r="E183" s="40" t="s">
        <v>13</v>
      </c>
      <c r="F183" s="40" t="s">
        <v>6714</v>
      </c>
      <c r="G183" s="40" t="s">
        <v>6715</v>
      </c>
      <c r="H183" s="40" t="s">
        <v>6716</v>
      </c>
      <c r="I183" s="40" t="s">
        <v>49</v>
      </c>
      <c r="J183" s="40">
        <v>109.2</v>
      </c>
      <c r="K183" s="40">
        <v>109.2</v>
      </c>
      <c r="L183" s="40"/>
      <c r="M183" s="40">
        <v>109.2</v>
      </c>
      <c r="N183" s="40"/>
      <c r="O183" s="40" t="s">
        <v>234</v>
      </c>
    </row>
    <row r="184" spans="1:15" ht="33.75" x14ac:dyDescent="0.2">
      <c r="A184" s="40" t="s">
        <v>6717</v>
      </c>
      <c r="B184" s="40" t="s">
        <v>6718</v>
      </c>
      <c r="C184" s="41">
        <v>46023</v>
      </c>
      <c r="D184" s="41">
        <v>46023</v>
      </c>
      <c r="E184" s="40" t="s">
        <v>13</v>
      </c>
      <c r="F184" s="40" t="s">
        <v>6719</v>
      </c>
      <c r="G184" s="40" t="s">
        <v>6720</v>
      </c>
      <c r="H184" s="40" t="s">
        <v>6721</v>
      </c>
      <c r="I184" s="40" t="s">
        <v>49</v>
      </c>
      <c r="J184" s="40">
        <v>53.99</v>
      </c>
      <c r="K184" s="40">
        <v>53.99</v>
      </c>
      <c r="L184" s="40"/>
      <c r="M184" s="40">
        <v>53.99</v>
      </c>
      <c r="N184" s="40"/>
      <c r="O184" s="40" t="s">
        <v>234</v>
      </c>
    </row>
    <row r="185" spans="1:15" ht="33.75" x14ac:dyDescent="0.2">
      <c r="A185" s="40" t="s">
        <v>6722</v>
      </c>
      <c r="B185" s="40" t="s">
        <v>6723</v>
      </c>
      <c r="C185" s="41">
        <v>46023</v>
      </c>
      <c r="D185" s="41">
        <v>46023</v>
      </c>
      <c r="E185" s="40" t="s">
        <v>13</v>
      </c>
      <c r="F185" s="40" t="s">
        <v>6724</v>
      </c>
      <c r="G185" s="40" t="s">
        <v>6725</v>
      </c>
      <c r="H185" s="40" t="s">
        <v>6726</v>
      </c>
      <c r="I185" s="40" t="s">
        <v>49</v>
      </c>
      <c r="J185" s="40">
        <v>39.25</v>
      </c>
      <c r="K185" s="40">
        <v>39.25</v>
      </c>
      <c r="L185" s="40"/>
      <c r="M185" s="40">
        <v>39.25</v>
      </c>
      <c r="N185" s="40"/>
      <c r="O185" s="40" t="s">
        <v>234</v>
      </c>
    </row>
    <row r="186" spans="1:15" ht="33.75" x14ac:dyDescent="0.2">
      <c r="A186" s="40" t="s">
        <v>6727</v>
      </c>
      <c r="B186" s="40" t="s">
        <v>6728</v>
      </c>
      <c r="C186" s="41">
        <v>46023</v>
      </c>
      <c r="D186" s="41">
        <v>46023</v>
      </c>
      <c r="E186" s="40" t="s">
        <v>13</v>
      </c>
      <c r="F186" s="40" t="s">
        <v>6729</v>
      </c>
      <c r="G186" s="40" t="s">
        <v>6730</v>
      </c>
      <c r="H186" s="40" t="s">
        <v>6731</v>
      </c>
      <c r="I186" s="40" t="s">
        <v>49</v>
      </c>
      <c r="J186" s="40">
        <v>63.7</v>
      </c>
      <c r="K186" s="40">
        <v>63.7</v>
      </c>
      <c r="L186" s="40"/>
      <c r="M186" s="40">
        <v>63.7</v>
      </c>
      <c r="N186" s="40"/>
      <c r="O186" s="40" t="s">
        <v>234</v>
      </c>
    </row>
    <row r="187" spans="1:15" ht="33.75" x14ac:dyDescent="0.2">
      <c r="A187" s="40" t="s">
        <v>6732</v>
      </c>
      <c r="B187" s="40" t="s">
        <v>6733</v>
      </c>
      <c r="C187" s="41">
        <v>46023</v>
      </c>
      <c r="D187" s="41">
        <v>46023</v>
      </c>
      <c r="E187" s="40" t="s">
        <v>13</v>
      </c>
      <c r="F187" s="40" t="s">
        <v>6734</v>
      </c>
      <c r="G187" s="40" t="s">
        <v>6735</v>
      </c>
      <c r="H187" s="40" t="s">
        <v>6736</v>
      </c>
      <c r="I187" s="40" t="s">
        <v>49</v>
      </c>
      <c r="J187" s="40">
        <v>191.24</v>
      </c>
      <c r="K187" s="40">
        <v>191.24</v>
      </c>
      <c r="L187" s="40"/>
      <c r="M187" s="40">
        <v>191.24</v>
      </c>
      <c r="N187" s="40"/>
      <c r="O187" s="40" t="s">
        <v>234</v>
      </c>
    </row>
    <row r="188" spans="1:15" ht="33.75" x14ac:dyDescent="0.2">
      <c r="A188" s="40" t="s">
        <v>6737</v>
      </c>
      <c r="B188" s="40" t="s">
        <v>6738</v>
      </c>
      <c r="C188" s="41">
        <v>46023</v>
      </c>
      <c r="D188" s="41">
        <v>46023</v>
      </c>
      <c r="E188" s="40" t="s">
        <v>13</v>
      </c>
      <c r="F188" s="40" t="s">
        <v>6739</v>
      </c>
      <c r="G188" s="40" t="s">
        <v>6740</v>
      </c>
      <c r="H188" s="40" t="s">
        <v>6741</v>
      </c>
      <c r="I188" s="40" t="s">
        <v>49</v>
      </c>
      <c r="J188" s="40">
        <v>249.81</v>
      </c>
      <c r="K188" s="40">
        <v>249.81</v>
      </c>
      <c r="L188" s="40"/>
      <c r="M188" s="40">
        <v>249.81</v>
      </c>
      <c r="N188" s="40"/>
      <c r="O188" s="40" t="s">
        <v>234</v>
      </c>
    </row>
    <row r="189" spans="1:15" ht="33.75" x14ac:dyDescent="0.2">
      <c r="A189" s="40" t="s">
        <v>6742</v>
      </c>
      <c r="B189" s="40" t="s">
        <v>6743</v>
      </c>
      <c r="C189" s="41">
        <v>46023</v>
      </c>
      <c r="D189" s="41">
        <v>46023</v>
      </c>
      <c r="E189" s="40" t="s">
        <v>13</v>
      </c>
      <c r="F189" s="40" t="s">
        <v>6744</v>
      </c>
      <c r="G189" s="40" t="s">
        <v>6745</v>
      </c>
      <c r="H189" s="40" t="s">
        <v>6746</v>
      </c>
      <c r="I189" s="40" t="s">
        <v>49</v>
      </c>
      <c r="J189" s="40">
        <v>91.05</v>
      </c>
      <c r="K189" s="40">
        <v>91.05</v>
      </c>
      <c r="L189" s="40"/>
      <c r="M189" s="40">
        <v>91.05</v>
      </c>
      <c r="N189" s="40"/>
      <c r="O189" s="40" t="s">
        <v>234</v>
      </c>
    </row>
    <row r="190" spans="1:15" ht="33.75" x14ac:dyDescent="0.2">
      <c r="A190" s="40" t="s">
        <v>6747</v>
      </c>
      <c r="B190" s="40" t="s">
        <v>6748</v>
      </c>
      <c r="C190" s="41">
        <v>46023</v>
      </c>
      <c r="D190" s="41">
        <v>46023</v>
      </c>
      <c r="E190" s="40" t="s">
        <v>13</v>
      </c>
      <c r="F190" s="40" t="s">
        <v>6749</v>
      </c>
      <c r="G190" s="40" t="s">
        <v>6750</v>
      </c>
      <c r="H190" s="40" t="s">
        <v>6751</v>
      </c>
      <c r="I190" s="40" t="s">
        <v>49</v>
      </c>
      <c r="J190" s="40">
        <v>56.25</v>
      </c>
      <c r="K190" s="40">
        <v>56.25</v>
      </c>
      <c r="L190" s="40"/>
      <c r="M190" s="40">
        <v>56.25</v>
      </c>
      <c r="N190" s="40"/>
      <c r="O190" s="40" t="s">
        <v>234</v>
      </c>
    </row>
    <row r="191" spans="1:15" ht="33.75" x14ac:dyDescent="0.2">
      <c r="A191" s="40" t="s">
        <v>6752</v>
      </c>
      <c r="B191" s="40" t="s">
        <v>6753</v>
      </c>
      <c r="C191" s="41">
        <v>46023</v>
      </c>
      <c r="D191" s="41">
        <v>46023</v>
      </c>
      <c r="E191" s="40" t="s">
        <v>13</v>
      </c>
      <c r="F191" s="40" t="s">
        <v>6754</v>
      </c>
      <c r="G191" s="40" t="s">
        <v>6755</v>
      </c>
      <c r="H191" s="40" t="s">
        <v>6756</v>
      </c>
      <c r="I191" s="40" t="s">
        <v>49</v>
      </c>
      <c r="J191" s="40">
        <v>85</v>
      </c>
      <c r="K191" s="40">
        <v>85</v>
      </c>
      <c r="L191" s="40"/>
      <c r="M191" s="40">
        <v>85</v>
      </c>
      <c r="N191" s="40"/>
      <c r="O191" s="40" t="s">
        <v>234</v>
      </c>
    </row>
    <row r="192" spans="1:15" ht="33.75" x14ac:dyDescent="0.2">
      <c r="A192" s="40" t="s">
        <v>6757</v>
      </c>
      <c r="B192" s="40" t="s">
        <v>6758</v>
      </c>
      <c r="C192" s="41">
        <v>46023</v>
      </c>
      <c r="D192" s="41">
        <v>46023</v>
      </c>
      <c r="E192" s="40" t="s">
        <v>13</v>
      </c>
      <c r="F192" s="40" t="s">
        <v>6759</v>
      </c>
      <c r="G192" s="40" t="s">
        <v>6760</v>
      </c>
      <c r="H192" s="40" t="s">
        <v>6761</v>
      </c>
      <c r="I192" s="40" t="s">
        <v>49</v>
      </c>
      <c r="J192" s="40">
        <v>328.08</v>
      </c>
      <c r="K192" s="40">
        <v>328.08</v>
      </c>
      <c r="L192" s="40"/>
      <c r="M192" s="40">
        <v>328.08</v>
      </c>
      <c r="N192" s="40"/>
      <c r="O192" s="40" t="s">
        <v>234</v>
      </c>
    </row>
    <row r="193" spans="1:15" ht="33.75" x14ac:dyDescent="0.2">
      <c r="A193" s="40" t="s">
        <v>6762</v>
      </c>
      <c r="B193" s="40" t="s">
        <v>6763</v>
      </c>
      <c r="C193" s="41">
        <v>46023</v>
      </c>
      <c r="D193" s="41">
        <v>46023</v>
      </c>
      <c r="E193" s="40" t="s">
        <v>13</v>
      </c>
      <c r="F193" s="40" t="s">
        <v>904</v>
      </c>
      <c r="G193" s="40" t="s">
        <v>6764</v>
      </c>
      <c r="H193" s="40" t="s">
        <v>6765</v>
      </c>
      <c r="I193" s="40" t="s">
        <v>49</v>
      </c>
      <c r="J193" s="40">
        <v>524.70000000000005</v>
      </c>
      <c r="K193" s="40">
        <v>524.70000000000005</v>
      </c>
      <c r="L193" s="40"/>
      <c r="M193" s="40">
        <v>524.70000000000005</v>
      </c>
      <c r="N193" s="40"/>
      <c r="O193" s="40" t="s">
        <v>234</v>
      </c>
    </row>
    <row r="194" spans="1:15" ht="33.75" x14ac:dyDescent="0.2">
      <c r="A194" s="40" t="s">
        <v>6766</v>
      </c>
      <c r="B194" s="40" t="s">
        <v>6767</v>
      </c>
      <c r="C194" s="41">
        <v>46023</v>
      </c>
      <c r="D194" s="41">
        <v>46023</v>
      </c>
      <c r="E194" s="40" t="s">
        <v>13</v>
      </c>
      <c r="F194" s="40" t="s">
        <v>6768</v>
      </c>
      <c r="G194" s="40" t="s">
        <v>6769</v>
      </c>
      <c r="H194" s="40" t="s">
        <v>6770</v>
      </c>
      <c r="I194" s="40" t="s">
        <v>49</v>
      </c>
      <c r="J194" s="40">
        <v>676.01</v>
      </c>
      <c r="K194" s="40">
        <v>676.01</v>
      </c>
      <c r="L194" s="40"/>
      <c r="M194" s="40">
        <v>676.01</v>
      </c>
      <c r="N194" s="40"/>
      <c r="O194" s="40" t="s">
        <v>234</v>
      </c>
    </row>
    <row r="195" spans="1:15" ht="33.75" x14ac:dyDescent="0.2">
      <c r="A195" s="40" t="s">
        <v>6771</v>
      </c>
      <c r="B195" s="40" t="s">
        <v>6772</v>
      </c>
      <c r="C195" s="41">
        <v>46023</v>
      </c>
      <c r="D195" s="41">
        <v>46023</v>
      </c>
      <c r="E195" s="40" t="s">
        <v>13</v>
      </c>
      <c r="F195" s="40" t="s">
        <v>6773</v>
      </c>
      <c r="G195" s="40" t="s">
        <v>6774</v>
      </c>
      <c r="H195" s="40" t="s">
        <v>6775</v>
      </c>
      <c r="I195" s="40" t="s">
        <v>49</v>
      </c>
      <c r="J195" s="40">
        <v>148.5</v>
      </c>
      <c r="K195" s="40">
        <v>148.5</v>
      </c>
      <c r="L195" s="40"/>
      <c r="M195" s="40">
        <v>148.5</v>
      </c>
      <c r="N195" s="40"/>
      <c r="O195" s="40" t="s">
        <v>234</v>
      </c>
    </row>
    <row r="196" spans="1:15" ht="33.75" x14ac:dyDescent="0.2">
      <c r="A196" s="40" t="s">
        <v>6776</v>
      </c>
      <c r="B196" s="40" t="s">
        <v>6777</v>
      </c>
      <c r="C196" s="41">
        <v>46023</v>
      </c>
      <c r="D196" s="41">
        <v>46023</v>
      </c>
      <c r="E196" s="40" t="s">
        <v>13</v>
      </c>
      <c r="F196" s="40" t="s">
        <v>6778</v>
      </c>
      <c r="G196" s="40" t="s">
        <v>6779</v>
      </c>
      <c r="H196" s="40" t="s">
        <v>6780</v>
      </c>
      <c r="I196" s="40" t="s">
        <v>49</v>
      </c>
      <c r="J196" s="40">
        <v>211.5</v>
      </c>
      <c r="K196" s="40">
        <v>211.5</v>
      </c>
      <c r="L196" s="40"/>
      <c r="M196" s="40">
        <v>211.5</v>
      </c>
      <c r="N196" s="40"/>
      <c r="O196" s="40" t="s">
        <v>234</v>
      </c>
    </row>
    <row r="197" spans="1:15" ht="33.75" x14ac:dyDescent="0.2">
      <c r="A197" s="40" t="s">
        <v>6781</v>
      </c>
      <c r="B197" s="40" t="s">
        <v>6782</v>
      </c>
      <c r="C197" s="41">
        <v>46023</v>
      </c>
      <c r="D197" s="41">
        <v>46023</v>
      </c>
      <c r="E197" s="40" t="s">
        <v>13</v>
      </c>
      <c r="F197" s="40" t="s">
        <v>6783</v>
      </c>
      <c r="G197" s="40" t="s">
        <v>6784</v>
      </c>
      <c r="H197" s="40" t="s">
        <v>6785</v>
      </c>
      <c r="I197" s="40" t="s">
        <v>49</v>
      </c>
      <c r="J197" s="40">
        <v>61.01</v>
      </c>
      <c r="K197" s="40">
        <v>61.01</v>
      </c>
      <c r="L197" s="40"/>
      <c r="M197" s="40">
        <v>61.01</v>
      </c>
      <c r="N197" s="40"/>
      <c r="O197" s="40" t="s">
        <v>234</v>
      </c>
    </row>
    <row r="198" spans="1:15" ht="33.75" x14ac:dyDescent="0.2">
      <c r="A198" s="40" t="s">
        <v>6786</v>
      </c>
      <c r="B198" s="40" t="s">
        <v>6787</v>
      </c>
      <c r="C198" s="41">
        <v>46023</v>
      </c>
      <c r="D198" s="41">
        <v>46023</v>
      </c>
      <c r="E198" s="40" t="s">
        <v>13</v>
      </c>
      <c r="F198" s="40" t="s">
        <v>6788</v>
      </c>
      <c r="G198" s="40" t="s">
        <v>6789</v>
      </c>
      <c r="H198" s="40" t="s">
        <v>6790</v>
      </c>
      <c r="I198" s="40" t="s">
        <v>49</v>
      </c>
      <c r="J198" s="40">
        <v>131.04</v>
      </c>
      <c r="K198" s="40">
        <v>131.04</v>
      </c>
      <c r="L198" s="40"/>
      <c r="M198" s="40">
        <v>131.04</v>
      </c>
      <c r="N198" s="40"/>
      <c r="O198" s="40" t="s">
        <v>234</v>
      </c>
    </row>
    <row r="199" spans="1:15" ht="33.75" x14ac:dyDescent="0.2">
      <c r="A199" s="40" t="s">
        <v>6791</v>
      </c>
      <c r="B199" s="40" t="s">
        <v>6792</v>
      </c>
      <c r="C199" s="41">
        <v>46023</v>
      </c>
      <c r="D199" s="41">
        <v>46023</v>
      </c>
      <c r="E199" s="40" t="s">
        <v>13</v>
      </c>
      <c r="F199" s="40" t="s">
        <v>1744</v>
      </c>
      <c r="G199" s="40" t="s">
        <v>6793</v>
      </c>
      <c r="H199" s="40" t="s">
        <v>6794</v>
      </c>
      <c r="I199" s="40" t="s">
        <v>49</v>
      </c>
      <c r="J199" s="40">
        <v>81.5</v>
      </c>
      <c r="K199" s="40">
        <v>81.5</v>
      </c>
      <c r="L199" s="40"/>
      <c r="M199" s="40">
        <v>81.5</v>
      </c>
      <c r="N199" s="40"/>
      <c r="O199" s="40" t="s">
        <v>234</v>
      </c>
    </row>
    <row r="200" spans="1:15" ht="33.75" x14ac:dyDescent="0.2">
      <c r="A200" s="40" t="s">
        <v>6795</v>
      </c>
      <c r="B200" s="40" t="s">
        <v>6796</v>
      </c>
      <c r="C200" s="41">
        <v>46023</v>
      </c>
      <c r="D200" s="41">
        <v>46023</v>
      </c>
      <c r="E200" s="40" t="s">
        <v>13</v>
      </c>
      <c r="F200" s="40" t="s">
        <v>6729</v>
      </c>
      <c r="G200" s="40" t="s">
        <v>6730</v>
      </c>
      <c r="H200" s="40" t="s">
        <v>6797</v>
      </c>
      <c r="I200" s="40" t="s">
        <v>49</v>
      </c>
      <c r="J200" s="40">
        <v>63.7</v>
      </c>
      <c r="K200" s="40">
        <v>63.7</v>
      </c>
      <c r="L200" s="40"/>
      <c r="M200" s="40">
        <v>63.7</v>
      </c>
      <c r="N200" s="40"/>
      <c r="O200" s="40" t="s">
        <v>234</v>
      </c>
    </row>
    <row r="201" spans="1:15" ht="33.75" x14ac:dyDescent="0.2">
      <c r="A201" s="40" t="s">
        <v>6798</v>
      </c>
      <c r="B201" s="40" t="s">
        <v>6799</v>
      </c>
      <c r="C201" s="41">
        <v>46023</v>
      </c>
      <c r="D201" s="41">
        <v>46023</v>
      </c>
      <c r="E201" s="40" t="s">
        <v>13</v>
      </c>
      <c r="F201" s="40" t="s">
        <v>543</v>
      </c>
      <c r="G201" s="40" t="s">
        <v>6800</v>
      </c>
      <c r="H201" s="40" t="s">
        <v>6801</v>
      </c>
      <c r="I201" s="40" t="s">
        <v>49</v>
      </c>
      <c r="J201" s="40">
        <v>170.25</v>
      </c>
      <c r="K201" s="40">
        <v>170.25</v>
      </c>
      <c r="L201" s="40"/>
      <c r="M201" s="40">
        <v>170.25</v>
      </c>
      <c r="N201" s="40"/>
      <c r="O201" s="40" t="s">
        <v>234</v>
      </c>
    </row>
    <row r="202" spans="1:15" ht="33.75" x14ac:dyDescent="0.2">
      <c r="A202" s="40" t="s">
        <v>6802</v>
      </c>
      <c r="B202" s="40" t="s">
        <v>6803</v>
      </c>
      <c r="C202" s="41">
        <v>46023</v>
      </c>
      <c r="D202" s="41">
        <v>46023</v>
      </c>
      <c r="E202" s="40" t="s">
        <v>13</v>
      </c>
      <c r="F202" s="40" t="s">
        <v>6804</v>
      </c>
      <c r="G202" s="40" t="s">
        <v>6805</v>
      </c>
      <c r="H202" s="40" t="s">
        <v>6806</v>
      </c>
      <c r="I202" s="40" t="s">
        <v>49</v>
      </c>
      <c r="J202" s="40">
        <v>52.9</v>
      </c>
      <c r="K202" s="40">
        <v>52.9</v>
      </c>
      <c r="L202" s="40"/>
      <c r="M202" s="40">
        <v>52.9</v>
      </c>
      <c r="N202" s="40"/>
      <c r="O202" s="40" t="s">
        <v>234</v>
      </c>
    </row>
    <row r="203" spans="1:15" ht="33.75" x14ac:dyDescent="0.2">
      <c r="A203" s="40" t="s">
        <v>6807</v>
      </c>
      <c r="B203" s="40" t="s">
        <v>6808</v>
      </c>
      <c r="C203" s="41">
        <v>46023</v>
      </c>
      <c r="D203" s="41">
        <v>46023</v>
      </c>
      <c r="E203" s="40" t="s">
        <v>13</v>
      </c>
      <c r="F203" s="40" t="s">
        <v>6809</v>
      </c>
      <c r="G203" s="40" t="s">
        <v>6810</v>
      </c>
      <c r="H203" s="40" t="s">
        <v>6811</v>
      </c>
      <c r="I203" s="40" t="s">
        <v>49</v>
      </c>
      <c r="J203" s="40">
        <v>220.25</v>
      </c>
      <c r="K203" s="40">
        <v>220.25</v>
      </c>
      <c r="L203" s="40"/>
      <c r="M203" s="40">
        <v>220.25</v>
      </c>
      <c r="N203" s="40"/>
      <c r="O203" s="40" t="s">
        <v>234</v>
      </c>
    </row>
    <row r="204" spans="1:15" ht="33.75" x14ac:dyDescent="0.2">
      <c r="A204" s="40" t="s">
        <v>6812</v>
      </c>
      <c r="B204" s="40" t="s">
        <v>6813</v>
      </c>
      <c r="C204" s="41">
        <v>46023</v>
      </c>
      <c r="D204" s="41">
        <v>46023</v>
      </c>
      <c r="E204" s="40" t="s">
        <v>13</v>
      </c>
      <c r="F204" s="40" t="s">
        <v>6814</v>
      </c>
      <c r="G204" s="40" t="s">
        <v>6815</v>
      </c>
      <c r="H204" s="40" t="s">
        <v>6816</v>
      </c>
      <c r="I204" s="40" t="s">
        <v>49</v>
      </c>
      <c r="J204" s="40">
        <v>94.33</v>
      </c>
      <c r="K204" s="40">
        <v>94.33</v>
      </c>
      <c r="L204" s="40"/>
      <c r="M204" s="40">
        <v>94.33</v>
      </c>
      <c r="N204" s="40"/>
      <c r="O204" s="40" t="s">
        <v>234</v>
      </c>
    </row>
    <row r="205" spans="1:15" ht="33.75" x14ac:dyDescent="0.2">
      <c r="A205" s="40" t="s">
        <v>6817</v>
      </c>
      <c r="B205" s="40" t="s">
        <v>6818</v>
      </c>
      <c r="C205" s="41">
        <v>46023</v>
      </c>
      <c r="D205" s="41">
        <v>46023</v>
      </c>
      <c r="E205" s="40" t="s">
        <v>13</v>
      </c>
      <c r="F205" s="40" t="s">
        <v>6819</v>
      </c>
      <c r="G205" s="40" t="s">
        <v>6820</v>
      </c>
      <c r="H205" s="40" t="s">
        <v>6821</v>
      </c>
      <c r="I205" s="40" t="s">
        <v>49</v>
      </c>
      <c r="J205" s="40">
        <v>80.650000000000006</v>
      </c>
      <c r="K205" s="40">
        <v>80.650000000000006</v>
      </c>
      <c r="L205" s="40"/>
      <c r="M205" s="40">
        <v>80.650000000000006</v>
      </c>
      <c r="N205" s="40"/>
      <c r="O205" s="40" t="s">
        <v>234</v>
      </c>
    </row>
    <row r="206" spans="1:15" ht="33.75" x14ac:dyDescent="0.2">
      <c r="A206" s="40" t="s">
        <v>6822</v>
      </c>
      <c r="B206" s="40" t="s">
        <v>6823</v>
      </c>
      <c r="C206" s="41">
        <v>46023</v>
      </c>
      <c r="D206" s="41">
        <v>46023</v>
      </c>
      <c r="E206" s="40" t="s">
        <v>13</v>
      </c>
      <c r="F206" s="40" t="s">
        <v>6824</v>
      </c>
      <c r="G206" s="40" t="s">
        <v>6825</v>
      </c>
      <c r="H206" s="40" t="s">
        <v>6826</v>
      </c>
      <c r="I206" s="40" t="s">
        <v>49</v>
      </c>
      <c r="J206" s="40">
        <v>110.65</v>
      </c>
      <c r="K206" s="40">
        <v>110.65</v>
      </c>
      <c r="L206" s="40"/>
      <c r="M206" s="40">
        <v>110.65</v>
      </c>
      <c r="N206" s="40"/>
      <c r="O206" s="40" t="s">
        <v>234</v>
      </c>
    </row>
    <row r="207" spans="1:15" ht="33.75" x14ac:dyDescent="0.2">
      <c r="A207" s="40" t="s">
        <v>6827</v>
      </c>
      <c r="B207" s="40" t="s">
        <v>6828</v>
      </c>
      <c r="C207" s="41">
        <v>46023</v>
      </c>
      <c r="D207" s="41">
        <v>46023</v>
      </c>
      <c r="E207" s="40" t="s">
        <v>13</v>
      </c>
      <c r="F207" s="40" t="s">
        <v>6824</v>
      </c>
      <c r="G207" s="40" t="s">
        <v>6829</v>
      </c>
      <c r="H207" s="40" t="s">
        <v>6830</v>
      </c>
      <c r="I207" s="40" t="s">
        <v>49</v>
      </c>
      <c r="J207" s="40">
        <v>56.25</v>
      </c>
      <c r="K207" s="40">
        <v>56.25</v>
      </c>
      <c r="L207" s="40"/>
      <c r="M207" s="40">
        <v>56.25</v>
      </c>
      <c r="N207" s="40"/>
      <c r="O207" s="40" t="s">
        <v>234</v>
      </c>
    </row>
    <row r="208" spans="1:15" ht="33.75" x14ac:dyDescent="0.2">
      <c r="A208" s="40" t="s">
        <v>6831</v>
      </c>
      <c r="B208" s="40" t="s">
        <v>6832</v>
      </c>
      <c r="C208" s="41">
        <v>46023</v>
      </c>
      <c r="D208" s="41">
        <v>46023</v>
      </c>
      <c r="E208" s="40" t="s">
        <v>13</v>
      </c>
      <c r="F208" s="40" t="s">
        <v>6833</v>
      </c>
      <c r="G208" s="40" t="s">
        <v>6834</v>
      </c>
      <c r="H208" s="40" t="s">
        <v>6835</v>
      </c>
      <c r="I208" s="40" t="s">
        <v>49</v>
      </c>
      <c r="J208" s="40">
        <v>61.01</v>
      </c>
      <c r="K208" s="40">
        <v>61.01</v>
      </c>
      <c r="L208" s="40"/>
      <c r="M208" s="40">
        <v>61.01</v>
      </c>
      <c r="N208" s="40"/>
      <c r="O208" s="40" t="s">
        <v>234</v>
      </c>
    </row>
    <row r="209" spans="1:15" ht="45" x14ac:dyDescent="0.2">
      <c r="A209" s="40" t="s">
        <v>6836</v>
      </c>
      <c r="B209" s="40" t="s">
        <v>6837</v>
      </c>
      <c r="C209" s="41">
        <v>46023</v>
      </c>
      <c r="D209" s="41">
        <v>46023</v>
      </c>
      <c r="E209" s="40" t="s">
        <v>13</v>
      </c>
      <c r="F209" s="40" t="s">
        <v>980</v>
      </c>
      <c r="G209" s="40" t="s">
        <v>6838</v>
      </c>
      <c r="H209" s="40" t="s">
        <v>6839</v>
      </c>
      <c r="I209" s="40" t="s">
        <v>49</v>
      </c>
      <c r="J209" s="40">
        <v>92.64</v>
      </c>
      <c r="K209" s="40">
        <v>92.64</v>
      </c>
      <c r="L209" s="40"/>
      <c r="M209" s="40">
        <v>92.64</v>
      </c>
      <c r="N209" s="40"/>
      <c r="O209" s="40" t="s">
        <v>234</v>
      </c>
    </row>
    <row r="210" spans="1:15" ht="33.75" x14ac:dyDescent="0.2">
      <c r="A210" s="40" t="s">
        <v>6840</v>
      </c>
      <c r="B210" s="40" t="s">
        <v>6841</v>
      </c>
      <c r="C210" s="41">
        <v>46023</v>
      </c>
      <c r="D210" s="41">
        <v>46023</v>
      </c>
      <c r="E210" s="40" t="s">
        <v>13</v>
      </c>
      <c r="F210" s="40" t="s">
        <v>6842</v>
      </c>
      <c r="G210" s="40" t="s">
        <v>6843</v>
      </c>
      <c r="H210" s="40" t="s">
        <v>6844</v>
      </c>
      <c r="I210" s="40" t="s">
        <v>49</v>
      </c>
      <c r="J210" s="40">
        <v>114</v>
      </c>
      <c r="K210" s="40">
        <v>114</v>
      </c>
      <c r="L210" s="40"/>
      <c r="M210" s="40">
        <v>114</v>
      </c>
      <c r="N210" s="40"/>
      <c r="O210" s="40" t="s">
        <v>234</v>
      </c>
    </row>
    <row r="211" spans="1:15" ht="33.75" x14ac:dyDescent="0.2">
      <c r="A211" s="40" t="s">
        <v>6845</v>
      </c>
      <c r="B211" s="40" t="s">
        <v>6846</v>
      </c>
      <c r="C211" s="41">
        <v>46023</v>
      </c>
      <c r="D211" s="41">
        <v>46023</v>
      </c>
      <c r="E211" s="40" t="s">
        <v>13</v>
      </c>
      <c r="F211" s="40" t="s">
        <v>6847</v>
      </c>
      <c r="G211" s="40" t="s">
        <v>6848</v>
      </c>
      <c r="H211" s="40" t="s">
        <v>6849</v>
      </c>
      <c r="I211" s="40" t="s">
        <v>49</v>
      </c>
      <c r="J211" s="40">
        <v>141.75</v>
      </c>
      <c r="K211" s="40">
        <v>141.75</v>
      </c>
      <c r="L211" s="40"/>
      <c r="M211" s="40">
        <v>141.75</v>
      </c>
      <c r="N211" s="40"/>
      <c r="O211" s="40" t="s">
        <v>234</v>
      </c>
    </row>
    <row r="212" spans="1:15" ht="33.75" x14ac:dyDescent="0.2">
      <c r="A212" s="40" t="s">
        <v>6850</v>
      </c>
      <c r="B212" s="40" t="s">
        <v>6851</v>
      </c>
      <c r="C212" s="41">
        <v>46023</v>
      </c>
      <c r="D212" s="41">
        <v>46023</v>
      </c>
      <c r="E212" s="40" t="s">
        <v>13</v>
      </c>
      <c r="F212" s="40" t="s">
        <v>6852</v>
      </c>
      <c r="G212" s="40" t="s">
        <v>6853</v>
      </c>
      <c r="H212" s="40" t="s">
        <v>6854</v>
      </c>
      <c r="I212" s="40" t="s">
        <v>49</v>
      </c>
      <c r="J212" s="40">
        <v>128.96</v>
      </c>
      <c r="K212" s="40">
        <v>128.96</v>
      </c>
      <c r="L212" s="40"/>
      <c r="M212" s="40">
        <v>128.96</v>
      </c>
      <c r="N212" s="40"/>
      <c r="O212" s="40" t="s">
        <v>234</v>
      </c>
    </row>
    <row r="213" spans="1:15" ht="45" x14ac:dyDescent="0.2">
      <c r="A213" s="40" t="s">
        <v>6855</v>
      </c>
      <c r="B213" s="40" t="s">
        <v>6856</v>
      </c>
      <c r="C213" s="41">
        <v>46023</v>
      </c>
      <c r="D213" s="41">
        <v>46023</v>
      </c>
      <c r="E213" s="40" t="s">
        <v>13</v>
      </c>
      <c r="F213" s="40" t="s">
        <v>6857</v>
      </c>
      <c r="G213" s="40" t="s">
        <v>6858</v>
      </c>
      <c r="H213" s="40" t="s">
        <v>6859</v>
      </c>
      <c r="I213" s="40" t="s">
        <v>49</v>
      </c>
      <c r="J213" s="40">
        <v>142.74</v>
      </c>
      <c r="K213" s="40">
        <v>142.74</v>
      </c>
      <c r="L213" s="40"/>
      <c r="M213" s="40">
        <v>142.74</v>
      </c>
      <c r="N213" s="40"/>
      <c r="O213" s="40" t="s">
        <v>234</v>
      </c>
    </row>
    <row r="214" spans="1:15" ht="33.75" x14ac:dyDescent="0.2">
      <c r="A214" s="40" t="s">
        <v>6860</v>
      </c>
      <c r="B214" s="40" t="s">
        <v>6861</v>
      </c>
      <c r="C214" s="41">
        <v>46023</v>
      </c>
      <c r="D214" s="41">
        <v>46023</v>
      </c>
      <c r="E214" s="40" t="s">
        <v>13</v>
      </c>
      <c r="F214" s="40" t="s">
        <v>6862</v>
      </c>
      <c r="G214" s="40" t="s">
        <v>6863</v>
      </c>
      <c r="H214" s="40" t="s">
        <v>6864</v>
      </c>
      <c r="I214" s="40" t="s">
        <v>49</v>
      </c>
      <c r="J214" s="40">
        <v>81.260000000000005</v>
      </c>
      <c r="K214" s="40">
        <v>81.260000000000005</v>
      </c>
      <c r="L214" s="40"/>
      <c r="M214" s="40">
        <v>81.260000000000005</v>
      </c>
      <c r="N214" s="40"/>
      <c r="O214" s="40" t="s">
        <v>234</v>
      </c>
    </row>
    <row r="215" spans="1:15" ht="33.75" x14ac:dyDescent="0.2">
      <c r="A215" s="40" t="s">
        <v>6865</v>
      </c>
      <c r="B215" s="40" t="s">
        <v>6866</v>
      </c>
      <c r="C215" s="41">
        <v>46023</v>
      </c>
      <c r="D215" s="41">
        <v>46023</v>
      </c>
      <c r="E215" s="40" t="s">
        <v>13</v>
      </c>
      <c r="F215" s="40" t="s">
        <v>6867</v>
      </c>
      <c r="G215" s="40" t="s">
        <v>6868</v>
      </c>
      <c r="H215" s="40" t="s">
        <v>6869</v>
      </c>
      <c r="I215" s="40" t="s">
        <v>49</v>
      </c>
      <c r="J215" s="40">
        <v>1671.81</v>
      </c>
      <c r="K215" s="40">
        <v>1671.81</v>
      </c>
      <c r="L215" s="40"/>
      <c r="M215" s="40">
        <v>1671.81</v>
      </c>
      <c r="N215" s="40"/>
      <c r="O215" s="40" t="s">
        <v>234</v>
      </c>
    </row>
    <row r="216" spans="1:15" ht="33.75" x14ac:dyDescent="0.2">
      <c r="A216" s="40" t="s">
        <v>6870</v>
      </c>
      <c r="B216" s="40" t="s">
        <v>6871</v>
      </c>
      <c r="C216" s="41">
        <v>46023</v>
      </c>
      <c r="D216" s="41">
        <v>46023</v>
      </c>
      <c r="E216" s="40" t="s">
        <v>13</v>
      </c>
      <c r="F216" s="40" t="s">
        <v>6872</v>
      </c>
      <c r="G216" s="40" t="s">
        <v>6873</v>
      </c>
      <c r="H216" s="40" t="s">
        <v>6874</v>
      </c>
      <c r="I216" s="40" t="s">
        <v>49</v>
      </c>
      <c r="J216" s="40">
        <v>81.5</v>
      </c>
      <c r="K216" s="40">
        <v>81.5</v>
      </c>
      <c r="L216" s="40"/>
      <c r="M216" s="40">
        <v>81.5</v>
      </c>
      <c r="N216" s="40"/>
      <c r="O216" s="40" t="s">
        <v>234</v>
      </c>
    </row>
    <row r="217" spans="1:15" ht="33.75" x14ac:dyDescent="0.2">
      <c r="A217" s="40" t="s">
        <v>6875</v>
      </c>
      <c r="B217" s="40" t="s">
        <v>6876</v>
      </c>
      <c r="C217" s="41">
        <v>46023</v>
      </c>
      <c r="D217" s="41">
        <v>46023</v>
      </c>
      <c r="E217" s="40" t="s">
        <v>13</v>
      </c>
      <c r="F217" s="40" t="s">
        <v>6877</v>
      </c>
      <c r="G217" s="40" t="s">
        <v>6878</v>
      </c>
      <c r="H217" s="40" t="s">
        <v>6879</v>
      </c>
      <c r="I217" s="40" t="s">
        <v>49</v>
      </c>
      <c r="J217" s="40">
        <v>81.5</v>
      </c>
      <c r="K217" s="40">
        <v>81.5</v>
      </c>
      <c r="L217" s="40"/>
      <c r="M217" s="40">
        <v>81.5</v>
      </c>
      <c r="N217" s="40"/>
      <c r="O217" s="40" t="s">
        <v>234</v>
      </c>
    </row>
    <row r="218" spans="1:15" ht="33.75" x14ac:dyDescent="0.2">
      <c r="A218" s="40" t="s">
        <v>6880</v>
      </c>
      <c r="B218" s="40" t="s">
        <v>6881</v>
      </c>
      <c r="C218" s="41">
        <v>46023</v>
      </c>
      <c r="D218" s="41">
        <v>46023</v>
      </c>
      <c r="E218" s="40" t="s">
        <v>13</v>
      </c>
      <c r="F218" s="40" t="s">
        <v>791</v>
      </c>
      <c r="G218" s="40" t="s">
        <v>6882</v>
      </c>
      <c r="H218" s="40" t="s">
        <v>6883</v>
      </c>
      <c r="I218" s="40" t="s">
        <v>49</v>
      </c>
      <c r="J218" s="40">
        <v>140</v>
      </c>
      <c r="K218" s="40">
        <v>140</v>
      </c>
      <c r="L218" s="40"/>
      <c r="M218" s="40">
        <v>140</v>
      </c>
      <c r="N218" s="40"/>
      <c r="O218" s="40" t="s">
        <v>234</v>
      </c>
    </row>
    <row r="219" spans="1:15" ht="33.75" x14ac:dyDescent="0.2">
      <c r="A219" s="40" t="s">
        <v>6884</v>
      </c>
      <c r="B219" s="40" t="s">
        <v>6885</v>
      </c>
      <c r="C219" s="41">
        <v>46023</v>
      </c>
      <c r="D219" s="41">
        <v>46023</v>
      </c>
      <c r="E219" s="40" t="s">
        <v>13</v>
      </c>
      <c r="F219" s="40" t="s">
        <v>6886</v>
      </c>
      <c r="G219" s="40" t="s">
        <v>6887</v>
      </c>
      <c r="H219" s="40" t="s">
        <v>6888</v>
      </c>
      <c r="I219" s="40" t="s">
        <v>49</v>
      </c>
      <c r="J219" s="40">
        <v>128.01</v>
      </c>
      <c r="K219" s="40">
        <v>128.01</v>
      </c>
      <c r="L219" s="40"/>
      <c r="M219" s="40">
        <v>128.01</v>
      </c>
      <c r="N219" s="40"/>
      <c r="O219" s="40" t="s">
        <v>234</v>
      </c>
    </row>
    <row r="220" spans="1:15" ht="56.25" x14ac:dyDescent="0.2">
      <c r="A220" s="40" t="s">
        <v>6889</v>
      </c>
      <c r="B220" s="40" t="s">
        <v>6890</v>
      </c>
      <c r="C220" s="41">
        <v>46023</v>
      </c>
      <c r="D220" s="41">
        <v>46023</v>
      </c>
      <c r="E220" s="40" t="s">
        <v>13</v>
      </c>
      <c r="F220" s="40" t="s">
        <v>6891</v>
      </c>
      <c r="G220" s="40" t="s">
        <v>6892</v>
      </c>
      <c r="H220" s="40" t="s">
        <v>6893</v>
      </c>
      <c r="I220" s="40" t="s">
        <v>49</v>
      </c>
      <c r="J220" s="40">
        <v>96.45</v>
      </c>
      <c r="K220" s="40">
        <v>96.45</v>
      </c>
      <c r="L220" s="40"/>
      <c r="M220" s="40">
        <v>96.45</v>
      </c>
      <c r="N220" s="40"/>
      <c r="O220" s="40" t="s">
        <v>234</v>
      </c>
    </row>
    <row r="221" spans="1:15" ht="33.75" x14ac:dyDescent="0.2">
      <c r="A221" s="40" t="s">
        <v>6894</v>
      </c>
      <c r="B221" s="40" t="s">
        <v>6895</v>
      </c>
      <c r="C221" s="41">
        <v>46023</v>
      </c>
      <c r="D221" s="41">
        <v>46023</v>
      </c>
      <c r="E221" s="40" t="s">
        <v>13</v>
      </c>
      <c r="F221" s="40" t="s">
        <v>388</v>
      </c>
      <c r="G221" s="40" t="s">
        <v>6896</v>
      </c>
      <c r="H221" s="40" t="s">
        <v>6897</v>
      </c>
      <c r="I221" s="40" t="s">
        <v>49</v>
      </c>
      <c r="J221" s="40">
        <v>131.41</v>
      </c>
      <c r="K221" s="40">
        <v>131.41</v>
      </c>
      <c r="L221" s="40"/>
      <c r="M221" s="40">
        <v>131.41</v>
      </c>
      <c r="N221" s="40"/>
      <c r="O221" s="40" t="s">
        <v>234</v>
      </c>
    </row>
    <row r="222" spans="1:15" ht="33.75" x14ac:dyDescent="0.2">
      <c r="A222" s="40" t="s">
        <v>6898</v>
      </c>
      <c r="B222" s="40" t="s">
        <v>6899</v>
      </c>
      <c r="C222" s="41">
        <v>46023</v>
      </c>
      <c r="D222" s="41">
        <v>46023</v>
      </c>
      <c r="E222" s="40" t="s">
        <v>13</v>
      </c>
      <c r="F222" s="40" t="s">
        <v>6900</v>
      </c>
      <c r="G222" s="40" t="s">
        <v>6901</v>
      </c>
      <c r="H222" s="40" t="s">
        <v>6902</v>
      </c>
      <c r="I222" s="40" t="s">
        <v>49</v>
      </c>
      <c r="J222" s="40">
        <v>59</v>
      </c>
      <c r="K222" s="40">
        <v>59</v>
      </c>
      <c r="L222" s="40"/>
      <c r="M222" s="40">
        <v>59</v>
      </c>
      <c r="N222" s="40"/>
      <c r="O222" s="40" t="s">
        <v>234</v>
      </c>
    </row>
    <row r="223" spans="1:15" ht="33.75" x14ac:dyDescent="0.2">
      <c r="A223" s="40" t="s">
        <v>6903</v>
      </c>
      <c r="B223" s="40" t="s">
        <v>6904</v>
      </c>
      <c r="C223" s="41">
        <v>46023</v>
      </c>
      <c r="D223" s="41">
        <v>46023</v>
      </c>
      <c r="E223" s="40" t="s">
        <v>13</v>
      </c>
      <c r="F223" s="40" t="s">
        <v>6905</v>
      </c>
      <c r="G223" s="40" t="s">
        <v>6906</v>
      </c>
      <c r="H223" s="40" t="s">
        <v>6907</v>
      </c>
      <c r="I223" s="40" t="s">
        <v>49</v>
      </c>
      <c r="J223" s="40">
        <v>318.52</v>
      </c>
      <c r="K223" s="40">
        <v>318.52</v>
      </c>
      <c r="L223" s="40"/>
      <c r="M223" s="40">
        <v>318.52</v>
      </c>
      <c r="N223" s="40"/>
      <c r="O223" s="40" t="s">
        <v>234</v>
      </c>
    </row>
    <row r="224" spans="1:15" ht="33.75" x14ac:dyDescent="0.2">
      <c r="A224" s="40" t="s">
        <v>6908</v>
      </c>
      <c r="B224" s="40" t="s">
        <v>6909</v>
      </c>
      <c r="C224" s="41">
        <v>46023</v>
      </c>
      <c r="D224" s="41">
        <v>46023</v>
      </c>
      <c r="E224" s="40" t="s">
        <v>13</v>
      </c>
      <c r="F224" s="40" t="s">
        <v>6910</v>
      </c>
      <c r="G224" s="40" t="s">
        <v>6911</v>
      </c>
      <c r="H224" s="40" t="s">
        <v>6912</v>
      </c>
      <c r="I224" s="40" t="s">
        <v>49</v>
      </c>
      <c r="J224" s="40">
        <v>138.38999999999999</v>
      </c>
      <c r="K224" s="40">
        <v>138.38999999999999</v>
      </c>
      <c r="L224" s="40"/>
      <c r="M224" s="40">
        <v>138.38999999999999</v>
      </c>
      <c r="N224" s="40"/>
      <c r="O224" s="40" t="s">
        <v>234</v>
      </c>
    </row>
    <row r="225" spans="1:15" ht="33.75" x14ac:dyDescent="0.2">
      <c r="A225" s="40" t="s">
        <v>6913</v>
      </c>
      <c r="B225" s="40" t="s">
        <v>6914</v>
      </c>
      <c r="C225" s="41">
        <v>46023</v>
      </c>
      <c r="D225" s="41">
        <v>46023</v>
      </c>
      <c r="E225" s="40" t="s">
        <v>13</v>
      </c>
      <c r="F225" s="40" t="s">
        <v>1391</v>
      </c>
      <c r="G225" s="40" t="s">
        <v>6915</v>
      </c>
      <c r="H225" s="40" t="s">
        <v>6916</v>
      </c>
      <c r="I225" s="40" t="s">
        <v>49</v>
      </c>
      <c r="J225" s="40">
        <v>194.94</v>
      </c>
      <c r="K225" s="40">
        <v>194.94</v>
      </c>
      <c r="L225" s="40"/>
      <c r="M225" s="40">
        <v>194.94</v>
      </c>
      <c r="N225" s="40"/>
      <c r="O225" s="40" t="s">
        <v>234</v>
      </c>
    </row>
    <row r="226" spans="1:15" ht="33.75" x14ac:dyDescent="0.2">
      <c r="A226" s="40" t="s">
        <v>6917</v>
      </c>
      <c r="B226" s="40" t="s">
        <v>6918</v>
      </c>
      <c r="C226" s="41">
        <v>46023</v>
      </c>
      <c r="D226" s="41">
        <v>46023</v>
      </c>
      <c r="E226" s="40" t="s">
        <v>13</v>
      </c>
      <c r="F226" s="40" t="s">
        <v>6919</v>
      </c>
      <c r="G226" s="40" t="s">
        <v>6920</v>
      </c>
      <c r="H226" s="40" t="s">
        <v>6921</v>
      </c>
      <c r="I226" s="40" t="s">
        <v>49</v>
      </c>
      <c r="J226" s="40">
        <v>140.59</v>
      </c>
      <c r="K226" s="40">
        <v>140.59</v>
      </c>
      <c r="L226" s="40"/>
      <c r="M226" s="40">
        <v>140.59</v>
      </c>
      <c r="N226" s="40"/>
      <c r="O226" s="40" t="s">
        <v>234</v>
      </c>
    </row>
    <row r="227" spans="1:15" ht="33.75" x14ac:dyDescent="0.2">
      <c r="A227" s="40" t="s">
        <v>6922</v>
      </c>
      <c r="B227" s="40" t="s">
        <v>6923</v>
      </c>
      <c r="C227" s="41">
        <v>46023</v>
      </c>
      <c r="D227" s="41">
        <v>46023</v>
      </c>
      <c r="E227" s="40" t="s">
        <v>13</v>
      </c>
      <c r="F227" s="40" t="s">
        <v>1179</v>
      </c>
      <c r="G227" s="40" t="s">
        <v>6924</v>
      </c>
      <c r="H227" s="40" t="s">
        <v>6925</v>
      </c>
      <c r="I227" s="40" t="s">
        <v>49</v>
      </c>
      <c r="J227" s="40">
        <v>757.45</v>
      </c>
      <c r="K227" s="40">
        <v>757.45</v>
      </c>
      <c r="L227" s="40"/>
      <c r="M227" s="40">
        <v>757.45</v>
      </c>
      <c r="N227" s="40"/>
      <c r="O227" s="40" t="s">
        <v>234</v>
      </c>
    </row>
    <row r="228" spans="1:15" ht="33.75" x14ac:dyDescent="0.2">
      <c r="A228" s="40" t="s">
        <v>6926</v>
      </c>
      <c r="B228" s="40" t="s">
        <v>6927</v>
      </c>
      <c r="C228" s="41">
        <v>46023</v>
      </c>
      <c r="D228" s="41">
        <v>46023</v>
      </c>
      <c r="E228" s="40" t="s">
        <v>13</v>
      </c>
      <c r="F228" s="40" t="s">
        <v>6928</v>
      </c>
      <c r="G228" s="40" t="s">
        <v>6929</v>
      </c>
      <c r="H228" s="40" t="s">
        <v>6930</v>
      </c>
      <c r="I228" s="40" t="s">
        <v>49</v>
      </c>
      <c r="J228" s="40">
        <v>112.4</v>
      </c>
      <c r="K228" s="40">
        <v>112.4</v>
      </c>
      <c r="L228" s="40"/>
      <c r="M228" s="40">
        <v>112.4</v>
      </c>
      <c r="N228" s="40"/>
      <c r="O228" s="40" t="s">
        <v>234</v>
      </c>
    </row>
    <row r="229" spans="1:15" ht="33.75" x14ac:dyDescent="0.2">
      <c r="A229" s="40" t="s">
        <v>6931</v>
      </c>
      <c r="B229" s="40" t="s">
        <v>6932</v>
      </c>
      <c r="C229" s="41">
        <v>46023</v>
      </c>
      <c r="D229" s="41">
        <v>46023</v>
      </c>
      <c r="E229" s="40" t="s">
        <v>13</v>
      </c>
      <c r="F229" s="40" t="s">
        <v>6739</v>
      </c>
      <c r="G229" s="40" t="s">
        <v>6933</v>
      </c>
      <c r="H229" s="40" t="s">
        <v>6934</v>
      </c>
      <c r="I229" s="40" t="s">
        <v>49</v>
      </c>
      <c r="J229" s="40">
        <v>253.4</v>
      </c>
      <c r="K229" s="40">
        <v>253.4</v>
      </c>
      <c r="L229" s="40"/>
      <c r="M229" s="40">
        <v>253.4</v>
      </c>
      <c r="N229" s="40"/>
      <c r="O229" s="40" t="s">
        <v>234</v>
      </c>
    </row>
    <row r="230" spans="1:15" ht="33.75" x14ac:dyDescent="0.2">
      <c r="A230" s="40" t="s">
        <v>6935</v>
      </c>
      <c r="B230" s="40" t="s">
        <v>6936</v>
      </c>
      <c r="C230" s="41">
        <v>46023</v>
      </c>
      <c r="D230" s="41">
        <v>46023</v>
      </c>
      <c r="E230" s="40" t="s">
        <v>13</v>
      </c>
      <c r="F230" s="40" t="s">
        <v>6937</v>
      </c>
      <c r="G230" s="40" t="s">
        <v>6938</v>
      </c>
      <c r="H230" s="40" t="s">
        <v>6939</v>
      </c>
      <c r="I230" s="40" t="s">
        <v>49</v>
      </c>
      <c r="J230" s="40">
        <v>70.23</v>
      </c>
      <c r="K230" s="40">
        <v>70.23</v>
      </c>
      <c r="L230" s="40"/>
      <c r="M230" s="40">
        <v>70.23</v>
      </c>
      <c r="N230" s="40"/>
      <c r="O230" s="40" t="s">
        <v>234</v>
      </c>
    </row>
    <row r="231" spans="1:15" ht="33.75" x14ac:dyDescent="0.2">
      <c r="A231" s="40" t="s">
        <v>6940</v>
      </c>
      <c r="B231" s="40" t="s">
        <v>6941</v>
      </c>
      <c r="C231" s="41">
        <v>46023</v>
      </c>
      <c r="D231" s="41">
        <v>46023</v>
      </c>
      <c r="E231" s="40" t="s">
        <v>13</v>
      </c>
      <c r="F231" s="40" t="s">
        <v>6942</v>
      </c>
      <c r="G231" s="40" t="s">
        <v>6943</v>
      </c>
      <c r="H231" s="40" t="s">
        <v>6944</v>
      </c>
      <c r="I231" s="40" t="s">
        <v>49</v>
      </c>
      <c r="J231" s="40">
        <v>204.75</v>
      </c>
      <c r="K231" s="40">
        <v>204.75</v>
      </c>
      <c r="L231" s="40"/>
      <c r="M231" s="40">
        <v>204.75</v>
      </c>
      <c r="N231" s="40"/>
      <c r="O231" s="40" t="s">
        <v>234</v>
      </c>
    </row>
    <row r="232" spans="1:15" ht="33.75" x14ac:dyDescent="0.2">
      <c r="A232" s="40" t="s">
        <v>6945</v>
      </c>
      <c r="B232" s="40" t="s">
        <v>6946</v>
      </c>
      <c r="C232" s="41">
        <v>46023</v>
      </c>
      <c r="D232" s="41">
        <v>46023</v>
      </c>
      <c r="E232" s="40" t="s">
        <v>13</v>
      </c>
      <c r="F232" s="40" t="s">
        <v>6947</v>
      </c>
      <c r="G232" s="40" t="s">
        <v>6948</v>
      </c>
      <c r="H232" s="40" t="s">
        <v>6949</v>
      </c>
      <c r="I232" s="40" t="s">
        <v>49</v>
      </c>
      <c r="J232" s="40">
        <v>207.45</v>
      </c>
      <c r="K232" s="40">
        <v>207.45</v>
      </c>
      <c r="L232" s="40"/>
      <c r="M232" s="40">
        <v>207.45</v>
      </c>
      <c r="N232" s="40"/>
      <c r="O232" s="40" t="s">
        <v>234</v>
      </c>
    </row>
    <row r="233" spans="1:15" ht="33.75" x14ac:dyDescent="0.2">
      <c r="A233" s="40" t="s">
        <v>6950</v>
      </c>
      <c r="B233" s="40" t="s">
        <v>6951</v>
      </c>
      <c r="C233" s="41">
        <v>46023</v>
      </c>
      <c r="D233" s="41">
        <v>46023</v>
      </c>
      <c r="E233" s="40" t="s">
        <v>13</v>
      </c>
      <c r="F233" s="40" t="s">
        <v>6492</v>
      </c>
      <c r="G233" s="40" t="s">
        <v>6952</v>
      </c>
      <c r="H233" s="40" t="s">
        <v>6953</v>
      </c>
      <c r="I233" s="40" t="s">
        <v>49</v>
      </c>
      <c r="J233" s="40">
        <v>377.84</v>
      </c>
      <c r="K233" s="40">
        <v>377.84</v>
      </c>
      <c r="L233" s="40"/>
      <c r="M233" s="40">
        <v>377.84</v>
      </c>
      <c r="N233" s="40"/>
      <c r="O233" s="40" t="s">
        <v>234</v>
      </c>
    </row>
    <row r="234" spans="1:15" ht="33.75" x14ac:dyDescent="0.2">
      <c r="A234" s="40" t="s">
        <v>6954</v>
      </c>
      <c r="B234" s="40" t="s">
        <v>6955</v>
      </c>
      <c r="C234" s="41">
        <v>46023</v>
      </c>
      <c r="D234" s="41">
        <v>46023</v>
      </c>
      <c r="E234" s="40" t="s">
        <v>13</v>
      </c>
      <c r="F234" s="40" t="s">
        <v>6956</v>
      </c>
      <c r="G234" s="40" t="s">
        <v>6957</v>
      </c>
      <c r="H234" s="40" t="s">
        <v>6958</v>
      </c>
      <c r="I234" s="40" t="s">
        <v>49</v>
      </c>
      <c r="J234" s="40">
        <v>66</v>
      </c>
      <c r="K234" s="40">
        <v>66</v>
      </c>
      <c r="L234" s="40"/>
      <c r="M234" s="40">
        <v>66</v>
      </c>
      <c r="N234" s="40"/>
      <c r="O234" s="40" t="s">
        <v>234</v>
      </c>
    </row>
    <row r="235" spans="1:15" ht="33.75" x14ac:dyDescent="0.2">
      <c r="A235" s="40" t="s">
        <v>6959</v>
      </c>
      <c r="B235" s="40" t="s">
        <v>6960</v>
      </c>
      <c r="C235" s="41">
        <v>46023</v>
      </c>
      <c r="D235" s="41">
        <v>46023</v>
      </c>
      <c r="E235" s="40" t="s">
        <v>13</v>
      </c>
      <c r="F235" s="40" t="s">
        <v>6961</v>
      </c>
      <c r="G235" s="40" t="s">
        <v>6962</v>
      </c>
      <c r="H235" s="40" t="s">
        <v>6963</v>
      </c>
      <c r="I235" s="40" t="s">
        <v>49</v>
      </c>
      <c r="J235" s="40">
        <v>99</v>
      </c>
      <c r="K235" s="40">
        <v>99</v>
      </c>
      <c r="L235" s="40"/>
      <c r="M235" s="40">
        <v>99</v>
      </c>
      <c r="N235" s="40"/>
      <c r="O235" s="40" t="s">
        <v>234</v>
      </c>
    </row>
    <row r="236" spans="1:15" ht="33.75" x14ac:dyDescent="0.2">
      <c r="A236" s="40" t="s">
        <v>6964</v>
      </c>
      <c r="B236" s="40" t="s">
        <v>6965</v>
      </c>
      <c r="C236" s="41">
        <v>46023</v>
      </c>
      <c r="D236" s="41">
        <v>46023</v>
      </c>
      <c r="E236" s="40" t="s">
        <v>13</v>
      </c>
      <c r="F236" s="40" t="s">
        <v>6966</v>
      </c>
      <c r="G236" s="40" t="s">
        <v>6967</v>
      </c>
      <c r="H236" s="40" t="s">
        <v>6968</v>
      </c>
      <c r="I236" s="40" t="s">
        <v>49</v>
      </c>
      <c r="J236" s="40">
        <v>81.099999999999994</v>
      </c>
      <c r="K236" s="40">
        <v>81.099999999999994</v>
      </c>
      <c r="L236" s="40"/>
      <c r="M236" s="40">
        <v>81.099999999999994</v>
      </c>
      <c r="N236" s="40"/>
      <c r="O236" s="40" t="s">
        <v>234</v>
      </c>
    </row>
    <row r="237" spans="1:15" ht="33.75" x14ac:dyDescent="0.2">
      <c r="A237" s="40" t="s">
        <v>6969</v>
      </c>
      <c r="B237" s="40" t="s">
        <v>6970</v>
      </c>
      <c r="C237" s="41">
        <v>46023</v>
      </c>
      <c r="D237" s="41">
        <v>46023</v>
      </c>
      <c r="E237" s="40" t="s">
        <v>13</v>
      </c>
      <c r="F237" s="40" t="s">
        <v>6971</v>
      </c>
      <c r="G237" s="40" t="s">
        <v>6972</v>
      </c>
      <c r="H237" s="40" t="s">
        <v>6973</v>
      </c>
      <c r="I237" s="40" t="s">
        <v>49</v>
      </c>
      <c r="J237" s="40">
        <v>99.01</v>
      </c>
      <c r="K237" s="40">
        <v>99.01</v>
      </c>
      <c r="L237" s="40"/>
      <c r="M237" s="40">
        <v>99.01</v>
      </c>
      <c r="N237" s="40"/>
      <c r="O237" s="40" t="s">
        <v>234</v>
      </c>
    </row>
    <row r="238" spans="1:15" ht="33.75" x14ac:dyDescent="0.2">
      <c r="A238" s="40" t="s">
        <v>6974</v>
      </c>
      <c r="B238" s="40" t="s">
        <v>6975</v>
      </c>
      <c r="C238" s="41">
        <v>46023</v>
      </c>
      <c r="D238" s="41">
        <v>46023</v>
      </c>
      <c r="E238" s="40" t="s">
        <v>13</v>
      </c>
      <c r="F238" s="40" t="s">
        <v>6976</v>
      </c>
      <c r="G238" s="40" t="s">
        <v>6977</v>
      </c>
      <c r="H238" s="40" t="s">
        <v>6978</v>
      </c>
      <c r="I238" s="40" t="s">
        <v>49</v>
      </c>
      <c r="J238" s="40">
        <v>187.85</v>
      </c>
      <c r="K238" s="40">
        <v>187.85</v>
      </c>
      <c r="L238" s="40"/>
      <c r="M238" s="40">
        <v>187.85</v>
      </c>
      <c r="N238" s="40"/>
      <c r="O238" s="40" t="s">
        <v>234</v>
      </c>
    </row>
    <row r="239" spans="1:15" ht="33.75" x14ac:dyDescent="0.2">
      <c r="A239" s="40" t="s">
        <v>6979</v>
      </c>
      <c r="B239" s="40" t="s">
        <v>6980</v>
      </c>
      <c r="C239" s="41">
        <v>46023</v>
      </c>
      <c r="D239" s="41">
        <v>46023</v>
      </c>
      <c r="E239" s="40" t="s">
        <v>13</v>
      </c>
      <c r="F239" s="40" t="s">
        <v>6981</v>
      </c>
      <c r="G239" s="40" t="s">
        <v>6982</v>
      </c>
      <c r="H239" s="40" t="s">
        <v>6983</v>
      </c>
      <c r="I239" s="40" t="s">
        <v>49</v>
      </c>
      <c r="J239" s="40">
        <v>195.2</v>
      </c>
      <c r="K239" s="40">
        <v>195.2</v>
      </c>
      <c r="L239" s="40"/>
      <c r="M239" s="40">
        <v>195.2</v>
      </c>
      <c r="N239" s="40"/>
      <c r="O239" s="40" t="s">
        <v>234</v>
      </c>
    </row>
    <row r="240" spans="1:15" ht="33.75" x14ac:dyDescent="0.2">
      <c r="A240" s="40" t="s">
        <v>6984</v>
      </c>
      <c r="B240" s="40" t="s">
        <v>6985</v>
      </c>
      <c r="C240" s="41">
        <v>46023</v>
      </c>
      <c r="D240" s="41">
        <v>46023</v>
      </c>
      <c r="E240" s="40" t="s">
        <v>13</v>
      </c>
      <c r="F240" s="40" t="s">
        <v>6986</v>
      </c>
      <c r="G240" s="40" t="s">
        <v>6987</v>
      </c>
      <c r="H240" s="40" t="s">
        <v>6988</v>
      </c>
      <c r="I240" s="40" t="s">
        <v>49</v>
      </c>
      <c r="J240" s="40">
        <v>77.41</v>
      </c>
      <c r="K240" s="40">
        <v>77.41</v>
      </c>
      <c r="L240" s="40"/>
      <c r="M240" s="40">
        <v>77.41</v>
      </c>
      <c r="N240" s="40"/>
      <c r="O240" s="40" t="s">
        <v>234</v>
      </c>
    </row>
    <row r="241" spans="1:15" ht="33.75" x14ac:dyDescent="0.2">
      <c r="A241" s="40" t="s">
        <v>6989</v>
      </c>
      <c r="B241" s="40" t="s">
        <v>6990</v>
      </c>
      <c r="C241" s="41">
        <v>46023</v>
      </c>
      <c r="D241" s="41">
        <v>46023</v>
      </c>
      <c r="E241" s="40" t="s">
        <v>13</v>
      </c>
      <c r="F241" s="40" t="s">
        <v>6991</v>
      </c>
      <c r="G241" s="40" t="s">
        <v>6992</v>
      </c>
      <c r="H241" s="40" t="s">
        <v>6993</v>
      </c>
      <c r="I241" s="40" t="s">
        <v>49</v>
      </c>
      <c r="J241" s="40">
        <v>402.65</v>
      </c>
      <c r="K241" s="40">
        <v>402.65</v>
      </c>
      <c r="L241" s="40"/>
      <c r="M241" s="40">
        <v>402.65</v>
      </c>
      <c r="N241" s="40"/>
      <c r="O241" s="40" t="s">
        <v>234</v>
      </c>
    </row>
    <row r="242" spans="1:15" ht="33.75" x14ac:dyDescent="0.2">
      <c r="A242" s="40" t="s">
        <v>6994</v>
      </c>
      <c r="B242" s="40" t="s">
        <v>6995</v>
      </c>
      <c r="C242" s="41">
        <v>46023</v>
      </c>
      <c r="D242" s="41">
        <v>46023</v>
      </c>
      <c r="E242" s="40" t="s">
        <v>13</v>
      </c>
      <c r="F242" s="40" t="s">
        <v>6996</v>
      </c>
      <c r="G242" s="40" t="s">
        <v>6997</v>
      </c>
      <c r="H242" s="40" t="s">
        <v>6998</v>
      </c>
      <c r="I242" s="40" t="s">
        <v>49</v>
      </c>
      <c r="J242" s="40">
        <v>175.68</v>
      </c>
      <c r="K242" s="40">
        <v>175.68</v>
      </c>
      <c r="L242" s="40"/>
      <c r="M242" s="40">
        <v>175.68</v>
      </c>
      <c r="N242" s="40"/>
      <c r="O242" s="40" t="s">
        <v>234</v>
      </c>
    </row>
    <row r="243" spans="1:15" ht="33.75" x14ac:dyDescent="0.2">
      <c r="A243" s="40" t="s">
        <v>6999</v>
      </c>
      <c r="B243" s="40" t="s">
        <v>7000</v>
      </c>
      <c r="C243" s="41">
        <v>46023</v>
      </c>
      <c r="D243" s="41">
        <v>46023</v>
      </c>
      <c r="E243" s="40" t="s">
        <v>13</v>
      </c>
      <c r="F243" s="40" t="s">
        <v>1690</v>
      </c>
      <c r="G243" s="40" t="s">
        <v>7001</v>
      </c>
      <c r="H243" s="40" t="s">
        <v>7002</v>
      </c>
      <c r="I243" s="40" t="s">
        <v>49</v>
      </c>
      <c r="J243" s="40">
        <v>257.39999999999998</v>
      </c>
      <c r="K243" s="40">
        <v>257.39999999999998</v>
      </c>
      <c r="L243" s="40"/>
      <c r="M243" s="40">
        <v>257.39999999999998</v>
      </c>
      <c r="N243" s="40"/>
      <c r="O243" s="40" t="s">
        <v>234</v>
      </c>
    </row>
    <row r="244" spans="1:15" ht="45" x14ac:dyDescent="0.2">
      <c r="A244" s="40" t="s">
        <v>7003</v>
      </c>
      <c r="B244" s="40" t="s">
        <v>7004</v>
      </c>
      <c r="C244" s="41">
        <v>46023</v>
      </c>
      <c r="D244" s="41">
        <v>46023</v>
      </c>
      <c r="E244" s="40" t="s">
        <v>13</v>
      </c>
      <c r="F244" s="40" t="s">
        <v>7005</v>
      </c>
      <c r="G244" s="40" t="s">
        <v>7006</v>
      </c>
      <c r="H244" s="40" t="s">
        <v>7007</v>
      </c>
      <c r="I244" s="40" t="s">
        <v>49</v>
      </c>
      <c r="J244" s="40">
        <v>305.81</v>
      </c>
      <c r="K244" s="40">
        <v>305.81</v>
      </c>
      <c r="L244" s="40"/>
      <c r="M244" s="40">
        <v>305.81</v>
      </c>
      <c r="N244" s="40"/>
      <c r="O244" s="40" t="s">
        <v>234</v>
      </c>
    </row>
    <row r="245" spans="1:15" ht="33.75" x14ac:dyDescent="0.2">
      <c r="A245" s="40" t="s">
        <v>7008</v>
      </c>
      <c r="B245" s="40" t="s">
        <v>7009</v>
      </c>
      <c r="C245" s="41">
        <v>46023</v>
      </c>
      <c r="D245" s="41">
        <v>46023</v>
      </c>
      <c r="E245" s="40" t="s">
        <v>13</v>
      </c>
      <c r="F245" s="40" t="s">
        <v>7010</v>
      </c>
      <c r="G245" s="40" t="s">
        <v>7011</v>
      </c>
      <c r="H245" s="40" t="s">
        <v>7012</v>
      </c>
      <c r="I245" s="40" t="s">
        <v>49</v>
      </c>
      <c r="J245" s="40">
        <v>190</v>
      </c>
      <c r="K245" s="40">
        <v>190</v>
      </c>
      <c r="L245" s="40"/>
      <c r="M245" s="40">
        <v>190</v>
      </c>
      <c r="N245" s="40"/>
      <c r="O245" s="40" t="s">
        <v>234</v>
      </c>
    </row>
    <row r="246" spans="1:15" ht="33.75" x14ac:dyDescent="0.2">
      <c r="A246" s="40" t="s">
        <v>7013</v>
      </c>
      <c r="B246" s="40" t="s">
        <v>7014</v>
      </c>
      <c r="C246" s="41">
        <v>46023</v>
      </c>
      <c r="D246" s="41">
        <v>46023</v>
      </c>
      <c r="E246" s="40" t="s">
        <v>13</v>
      </c>
      <c r="F246" s="40" t="s">
        <v>7015</v>
      </c>
      <c r="G246" s="40" t="s">
        <v>7016</v>
      </c>
      <c r="H246" s="40" t="s">
        <v>7017</v>
      </c>
      <c r="I246" s="40" t="s">
        <v>49</v>
      </c>
      <c r="J246" s="40">
        <v>182.7</v>
      </c>
      <c r="K246" s="40">
        <v>182.7</v>
      </c>
      <c r="L246" s="40"/>
      <c r="M246" s="40">
        <v>182.7</v>
      </c>
      <c r="N246" s="40"/>
      <c r="O246" s="40" t="s">
        <v>234</v>
      </c>
    </row>
    <row r="247" spans="1:15" ht="33.75" x14ac:dyDescent="0.2">
      <c r="A247" s="40" t="s">
        <v>7018</v>
      </c>
      <c r="B247" s="40" t="s">
        <v>7019</v>
      </c>
      <c r="C247" s="41">
        <v>46023</v>
      </c>
      <c r="D247" s="41">
        <v>46023</v>
      </c>
      <c r="E247" s="40" t="s">
        <v>13</v>
      </c>
      <c r="F247" s="40" t="s">
        <v>6591</v>
      </c>
      <c r="G247" s="40" t="s">
        <v>7020</v>
      </c>
      <c r="H247" s="40" t="s">
        <v>7021</v>
      </c>
      <c r="I247" s="40" t="s">
        <v>49</v>
      </c>
      <c r="J247" s="40">
        <v>147.16</v>
      </c>
      <c r="K247" s="40">
        <v>147.16</v>
      </c>
      <c r="L247" s="40"/>
      <c r="M247" s="40">
        <v>147.16</v>
      </c>
      <c r="N247" s="40"/>
      <c r="O247" s="40" t="s">
        <v>234</v>
      </c>
    </row>
    <row r="248" spans="1:15" ht="33.75" x14ac:dyDescent="0.2">
      <c r="A248" s="40" t="s">
        <v>7022</v>
      </c>
      <c r="B248" s="40" t="s">
        <v>7023</v>
      </c>
      <c r="C248" s="41">
        <v>46023</v>
      </c>
      <c r="D248" s="41">
        <v>46023</v>
      </c>
      <c r="E248" s="40" t="s">
        <v>13</v>
      </c>
      <c r="F248" s="40" t="s">
        <v>7024</v>
      </c>
      <c r="G248" s="40" t="s">
        <v>7025</v>
      </c>
      <c r="H248" s="40" t="s">
        <v>7026</v>
      </c>
      <c r="I248" s="40" t="s">
        <v>49</v>
      </c>
      <c r="J248" s="40">
        <v>113</v>
      </c>
      <c r="K248" s="40">
        <v>113</v>
      </c>
      <c r="L248" s="40"/>
      <c r="M248" s="40">
        <v>113</v>
      </c>
      <c r="N248" s="40"/>
      <c r="O248" s="40" t="s">
        <v>234</v>
      </c>
    </row>
    <row r="249" spans="1:15" ht="33.75" x14ac:dyDescent="0.2">
      <c r="A249" s="40" t="s">
        <v>7027</v>
      </c>
      <c r="B249" s="40" t="s">
        <v>7028</v>
      </c>
      <c r="C249" s="41">
        <v>46023</v>
      </c>
      <c r="D249" s="41">
        <v>46023</v>
      </c>
      <c r="E249" s="40" t="s">
        <v>13</v>
      </c>
      <c r="F249" s="40" t="s">
        <v>7029</v>
      </c>
      <c r="G249" s="40" t="s">
        <v>7030</v>
      </c>
      <c r="H249" s="40" t="s">
        <v>7031</v>
      </c>
      <c r="I249" s="40" t="s">
        <v>49</v>
      </c>
      <c r="J249" s="40">
        <v>401</v>
      </c>
      <c r="K249" s="40">
        <v>401</v>
      </c>
      <c r="L249" s="40"/>
      <c r="M249" s="40">
        <v>401</v>
      </c>
      <c r="N249" s="40"/>
      <c r="O249" s="40" t="s">
        <v>234</v>
      </c>
    </row>
    <row r="250" spans="1:15" ht="33.75" x14ac:dyDescent="0.2">
      <c r="A250" s="40" t="s">
        <v>7032</v>
      </c>
      <c r="B250" s="40" t="s">
        <v>7033</v>
      </c>
      <c r="C250" s="41">
        <v>46023</v>
      </c>
      <c r="D250" s="41">
        <v>46023</v>
      </c>
      <c r="E250" s="40" t="s">
        <v>13</v>
      </c>
      <c r="F250" s="40" t="s">
        <v>7034</v>
      </c>
      <c r="G250" s="40" t="s">
        <v>7035</v>
      </c>
      <c r="H250" s="40" t="s">
        <v>7036</v>
      </c>
      <c r="I250" s="40" t="s">
        <v>49</v>
      </c>
      <c r="J250" s="40">
        <v>104.1</v>
      </c>
      <c r="K250" s="40">
        <v>104.1</v>
      </c>
      <c r="L250" s="40"/>
      <c r="M250" s="40">
        <v>104.1</v>
      </c>
      <c r="N250" s="40"/>
      <c r="O250" s="40" t="s">
        <v>234</v>
      </c>
    </row>
    <row r="251" spans="1:15" ht="45" x14ac:dyDescent="0.2">
      <c r="A251" s="40" t="s">
        <v>7037</v>
      </c>
      <c r="B251" s="40" t="s">
        <v>7038</v>
      </c>
      <c r="C251" s="41">
        <v>46023</v>
      </c>
      <c r="D251" s="41">
        <v>46023</v>
      </c>
      <c r="E251" s="40" t="s">
        <v>13</v>
      </c>
      <c r="F251" s="40" t="s">
        <v>7039</v>
      </c>
      <c r="G251" s="40" t="s">
        <v>7040</v>
      </c>
      <c r="H251" s="40" t="s">
        <v>7041</v>
      </c>
      <c r="I251" s="40" t="s">
        <v>49</v>
      </c>
      <c r="J251" s="40">
        <v>106.3</v>
      </c>
      <c r="K251" s="40">
        <v>106.3</v>
      </c>
      <c r="L251" s="40"/>
      <c r="M251" s="40">
        <v>106.3</v>
      </c>
      <c r="N251" s="40"/>
      <c r="O251" s="40" t="s">
        <v>234</v>
      </c>
    </row>
    <row r="252" spans="1:15" ht="33.75" x14ac:dyDescent="0.2">
      <c r="A252" s="40" t="s">
        <v>7042</v>
      </c>
      <c r="B252" s="40" t="s">
        <v>7043</v>
      </c>
      <c r="C252" s="41">
        <v>46023</v>
      </c>
      <c r="D252" s="41">
        <v>46023</v>
      </c>
      <c r="E252" s="40" t="s">
        <v>13</v>
      </c>
      <c r="F252" s="40" t="s">
        <v>658</v>
      </c>
      <c r="G252" s="40" t="s">
        <v>7044</v>
      </c>
      <c r="H252" s="40" t="s">
        <v>7045</v>
      </c>
      <c r="I252" s="40" t="s">
        <v>49</v>
      </c>
      <c r="J252" s="40">
        <v>166.6</v>
      </c>
      <c r="K252" s="40">
        <v>166.6</v>
      </c>
      <c r="L252" s="40"/>
      <c r="M252" s="40">
        <v>166.6</v>
      </c>
      <c r="N252" s="40"/>
      <c r="O252" s="40" t="s">
        <v>234</v>
      </c>
    </row>
    <row r="253" spans="1:15" ht="33.75" x14ac:dyDescent="0.2">
      <c r="A253" s="40" t="s">
        <v>7046</v>
      </c>
      <c r="B253" s="40" t="s">
        <v>7047</v>
      </c>
      <c r="C253" s="41">
        <v>46023</v>
      </c>
      <c r="D253" s="41">
        <v>46023</v>
      </c>
      <c r="E253" s="40" t="s">
        <v>13</v>
      </c>
      <c r="F253" s="40" t="s">
        <v>7048</v>
      </c>
      <c r="G253" s="40" t="s">
        <v>7049</v>
      </c>
      <c r="H253" s="40" t="s">
        <v>7050</v>
      </c>
      <c r="I253" s="40" t="s">
        <v>49</v>
      </c>
      <c r="J253" s="40">
        <v>172.78</v>
      </c>
      <c r="K253" s="40">
        <v>172.78</v>
      </c>
      <c r="L253" s="40"/>
      <c r="M253" s="40">
        <v>172.78</v>
      </c>
      <c r="N253" s="40"/>
      <c r="O253" s="40" t="s">
        <v>234</v>
      </c>
    </row>
    <row r="254" spans="1:15" ht="33.75" x14ac:dyDescent="0.2">
      <c r="A254" s="40" t="s">
        <v>7051</v>
      </c>
      <c r="B254" s="40" t="s">
        <v>7052</v>
      </c>
      <c r="C254" s="41">
        <v>46023</v>
      </c>
      <c r="D254" s="41">
        <v>46023</v>
      </c>
      <c r="E254" s="40" t="s">
        <v>13</v>
      </c>
      <c r="F254" s="40" t="s">
        <v>7053</v>
      </c>
      <c r="G254" s="40" t="s">
        <v>7054</v>
      </c>
      <c r="H254" s="40" t="s">
        <v>7055</v>
      </c>
      <c r="I254" s="40" t="s">
        <v>49</v>
      </c>
      <c r="J254" s="40">
        <v>22</v>
      </c>
      <c r="K254" s="40">
        <v>22</v>
      </c>
      <c r="L254" s="40"/>
      <c r="M254" s="40">
        <v>22</v>
      </c>
      <c r="N254" s="40"/>
      <c r="O254" s="40" t="s">
        <v>234</v>
      </c>
    </row>
    <row r="255" spans="1:15" ht="33.75" x14ac:dyDescent="0.2">
      <c r="A255" s="40" t="s">
        <v>7056</v>
      </c>
      <c r="B255" s="40" t="s">
        <v>7057</v>
      </c>
      <c r="C255" s="41">
        <v>46023</v>
      </c>
      <c r="D255" s="41">
        <v>46023</v>
      </c>
      <c r="E255" s="40" t="s">
        <v>13</v>
      </c>
      <c r="F255" s="40" t="s">
        <v>7058</v>
      </c>
      <c r="G255" s="40" t="s">
        <v>7059</v>
      </c>
      <c r="H255" s="40" t="s">
        <v>7060</v>
      </c>
      <c r="I255" s="40" t="s">
        <v>49</v>
      </c>
      <c r="J255" s="40">
        <v>253.8</v>
      </c>
      <c r="K255" s="40">
        <v>253.8</v>
      </c>
      <c r="L255" s="40"/>
      <c r="M255" s="40">
        <v>253.8</v>
      </c>
      <c r="N255" s="40"/>
      <c r="O255" s="40" t="s">
        <v>234</v>
      </c>
    </row>
    <row r="256" spans="1:15" ht="33.75" x14ac:dyDescent="0.2">
      <c r="A256" s="40" t="s">
        <v>7061</v>
      </c>
      <c r="B256" s="40" t="s">
        <v>7062</v>
      </c>
      <c r="C256" s="41">
        <v>46023</v>
      </c>
      <c r="D256" s="41">
        <v>46023</v>
      </c>
      <c r="E256" s="40" t="s">
        <v>13</v>
      </c>
      <c r="F256" s="40" t="s">
        <v>7063</v>
      </c>
      <c r="G256" s="40" t="s">
        <v>7064</v>
      </c>
      <c r="H256" s="40" t="s">
        <v>7065</v>
      </c>
      <c r="I256" s="40" t="s">
        <v>49</v>
      </c>
      <c r="J256" s="40">
        <v>39.6</v>
      </c>
      <c r="K256" s="40">
        <v>39.6</v>
      </c>
      <c r="L256" s="40"/>
      <c r="M256" s="40">
        <v>39.6</v>
      </c>
      <c r="N256" s="40"/>
      <c r="O256" s="40" t="s">
        <v>234</v>
      </c>
    </row>
    <row r="257" spans="1:15" ht="33.75" x14ac:dyDescent="0.2">
      <c r="A257" s="40" t="s">
        <v>7066</v>
      </c>
      <c r="B257" s="40" t="s">
        <v>7067</v>
      </c>
      <c r="C257" s="41">
        <v>46023</v>
      </c>
      <c r="D257" s="41">
        <v>46023</v>
      </c>
      <c r="E257" s="40" t="s">
        <v>13</v>
      </c>
      <c r="F257" s="40" t="s">
        <v>815</v>
      </c>
      <c r="G257" s="40" t="s">
        <v>7068</v>
      </c>
      <c r="H257" s="40" t="s">
        <v>7069</v>
      </c>
      <c r="I257" s="40" t="s">
        <v>49</v>
      </c>
      <c r="J257" s="40">
        <v>56.24</v>
      </c>
      <c r="K257" s="40">
        <v>56.24</v>
      </c>
      <c r="L257" s="40"/>
      <c r="M257" s="40">
        <v>56.24</v>
      </c>
      <c r="N257" s="40"/>
      <c r="O257" s="40" t="s">
        <v>234</v>
      </c>
    </row>
    <row r="258" spans="1:15" ht="33.75" x14ac:dyDescent="0.2">
      <c r="A258" s="40" t="s">
        <v>7070</v>
      </c>
      <c r="B258" s="40" t="s">
        <v>7071</v>
      </c>
      <c r="C258" s="41">
        <v>46023</v>
      </c>
      <c r="D258" s="41">
        <v>46023</v>
      </c>
      <c r="E258" s="40" t="s">
        <v>13</v>
      </c>
      <c r="F258" s="40" t="s">
        <v>7072</v>
      </c>
      <c r="G258" s="40" t="s">
        <v>7073</v>
      </c>
      <c r="H258" s="40" t="s">
        <v>7074</v>
      </c>
      <c r="I258" s="40" t="s">
        <v>49</v>
      </c>
      <c r="J258" s="40">
        <v>81.459999999999994</v>
      </c>
      <c r="K258" s="40">
        <v>81.459999999999994</v>
      </c>
      <c r="L258" s="40"/>
      <c r="M258" s="40">
        <v>81.459999999999994</v>
      </c>
      <c r="N258" s="40"/>
      <c r="O258" s="40" t="s">
        <v>234</v>
      </c>
    </row>
    <row r="259" spans="1:15" ht="33.75" x14ac:dyDescent="0.2">
      <c r="A259" s="40" t="s">
        <v>7075</v>
      </c>
      <c r="B259" s="40" t="s">
        <v>7076</v>
      </c>
      <c r="C259" s="41">
        <v>46023</v>
      </c>
      <c r="D259" s="41">
        <v>46023</v>
      </c>
      <c r="E259" s="40" t="s">
        <v>13</v>
      </c>
      <c r="F259" s="40" t="s">
        <v>7077</v>
      </c>
      <c r="G259" s="40" t="s">
        <v>7078</v>
      </c>
      <c r="H259" s="40" t="s">
        <v>7079</v>
      </c>
      <c r="I259" s="40" t="s">
        <v>49</v>
      </c>
      <c r="J259" s="40">
        <v>180.63</v>
      </c>
      <c r="K259" s="40">
        <v>180.63</v>
      </c>
      <c r="L259" s="40"/>
      <c r="M259" s="40">
        <v>180.63</v>
      </c>
      <c r="N259" s="40"/>
      <c r="O259" s="40" t="s">
        <v>234</v>
      </c>
    </row>
    <row r="260" spans="1:15" ht="33.75" x14ac:dyDescent="0.2">
      <c r="A260" s="40" t="s">
        <v>7080</v>
      </c>
      <c r="B260" s="40" t="s">
        <v>7081</v>
      </c>
      <c r="C260" s="41">
        <v>46023</v>
      </c>
      <c r="D260" s="41">
        <v>46023</v>
      </c>
      <c r="E260" s="40" t="s">
        <v>13</v>
      </c>
      <c r="F260" s="40" t="s">
        <v>7082</v>
      </c>
      <c r="G260" s="40" t="s">
        <v>7083</v>
      </c>
      <c r="H260" s="40" t="s">
        <v>7084</v>
      </c>
      <c r="I260" s="40" t="s">
        <v>49</v>
      </c>
      <c r="J260" s="40">
        <v>869.75</v>
      </c>
      <c r="K260" s="40">
        <v>869.75</v>
      </c>
      <c r="L260" s="40"/>
      <c r="M260" s="40">
        <v>869.75</v>
      </c>
      <c r="N260" s="40"/>
      <c r="O260" s="40" t="s">
        <v>234</v>
      </c>
    </row>
    <row r="261" spans="1:15" ht="33.75" x14ac:dyDescent="0.2">
      <c r="A261" s="40" t="s">
        <v>7085</v>
      </c>
      <c r="B261" s="40" t="s">
        <v>7086</v>
      </c>
      <c r="C261" s="41">
        <v>46023</v>
      </c>
      <c r="D261" s="41">
        <v>46023</v>
      </c>
      <c r="E261" s="40" t="s">
        <v>13</v>
      </c>
      <c r="F261" s="40" t="s">
        <v>7087</v>
      </c>
      <c r="G261" s="40" t="s">
        <v>7088</v>
      </c>
      <c r="H261" s="40" t="s">
        <v>7089</v>
      </c>
      <c r="I261" s="40" t="s">
        <v>49</v>
      </c>
      <c r="J261" s="40">
        <v>80.56</v>
      </c>
      <c r="K261" s="40">
        <v>80.56</v>
      </c>
      <c r="L261" s="40"/>
      <c r="M261" s="40">
        <v>80.56</v>
      </c>
      <c r="N261" s="40"/>
      <c r="O261" s="40" t="s">
        <v>234</v>
      </c>
    </row>
    <row r="262" spans="1:15" ht="33.75" x14ac:dyDescent="0.2">
      <c r="A262" s="40" t="s">
        <v>7090</v>
      </c>
      <c r="B262" s="40" t="s">
        <v>7091</v>
      </c>
      <c r="C262" s="41">
        <v>46023</v>
      </c>
      <c r="D262" s="41">
        <v>46023</v>
      </c>
      <c r="E262" s="40" t="s">
        <v>13</v>
      </c>
      <c r="F262" s="40" t="s">
        <v>7092</v>
      </c>
      <c r="G262" s="40" t="s">
        <v>7093</v>
      </c>
      <c r="H262" s="40" t="s">
        <v>7094</v>
      </c>
      <c r="I262" s="40" t="s">
        <v>49</v>
      </c>
      <c r="J262" s="40">
        <v>34.25</v>
      </c>
      <c r="K262" s="40">
        <v>34.25</v>
      </c>
      <c r="L262" s="40"/>
      <c r="M262" s="40">
        <v>34.25</v>
      </c>
      <c r="N262" s="40"/>
      <c r="O262" s="40" t="s">
        <v>234</v>
      </c>
    </row>
    <row r="263" spans="1:15" ht="33.75" x14ac:dyDescent="0.2">
      <c r="A263" s="40" t="s">
        <v>7095</v>
      </c>
      <c r="B263" s="40" t="s">
        <v>7096</v>
      </c>
      <c r="C263" s="41">
        <v>46023</v>
      </c>
      <c r="D263" s="41">
        <v>46023</v>
      </c>
      <c r="E263" s="40" t="s">
        <v>13</v>
      </c>
      <c r="F263" s="40" t="s">
        <v>7097</v>
      </c>
      <c r="G263" s="40" t="s">
        <v>7098</v>
      </c>
      <c r="H263" s="40" t="s">
        <v>7099</v>
      </c>
      <c r="I263" s="40" t="s">
        <v>49</v>
      </c>
      <c r="J263" s="40">
        <v>274.2</v>
      </c>
      <c r="K263" s="40">
        <v>274.2</v>
      </c>
      <c r="L263" s="40"/>
      <c r="M263" s="40">
        <v>274.2</v>
      </c>
      <c r="N263" s="40"/>
      <c r="O263" s="40" t="s">
        <v>234</v>
      </c>
    </row>
    <row r="264" spans="1:15" ht="33.75" x14ac:dyDescent="0.2">
      <c r="A264" s="40" t="s">
        <v>7100</v>
      </c>
      <c r="B264" s="40" t="s">
        <v>7101</v>
      </c>
      <c r="C264" s="41">
        <v>46023</v>
      </c>
      <c r="D264" s="41">
        <v>46023</v>
      </c>
      <c r="E264" s="40" t="s">
        <v>13</v>
      </c>
      <c r="F264" s="40" t="s">
        <v>6699</v>
      </c>
      <c r="G264" s="40" t="s">
        <v>6700</v>
      </c>
      <c r="H264" s="40" t="s">
        <v>7102</v>
      </c>
      <c r="I264" s="40" t="s">
        <v>49</v>
      </c>
      <c r="J264" s="40">
        <v>204.92</v>
      </c>
      <c r="K264" s="40">
        <v>204.92</v>
      </c>
      <c r="L264" s="40"/>
      <c r="M264" s="40">
        <v>204.92</v>
      </c>
      <c r="N264" s="40"/>
      <c r="O264" s="40" t="s">
        <v>234</v>
      </c>
    </row>
    <row r="265" spans="1:15" ht="33.75" x14ac:dyDescent="0.2">
      <c r="A265" s="40" t="s">
        <v>7103</v>
      </c>
      <c r="B265" s="40" t="s">
        <v>7104</v>
      </c>
      <c r="C265" s="41">
        <v>46023</v>
      </c>
      <c r="D265" s="41">
        <v>46023</v>
      </c>
      <c r="E265" s="40" t="s">
        <v>13</v>
      </c>
      <c r="F265" s="40" t="s">
        <v>7105</v>
      </c>
      <c r="G265" s="40" t="s">
        <v>7106</v>
      </c>
      <c r="H265" s="40" t="s">
        <v>7107</v>
      </c>
      <c r="I265" s="40" t="s">
        <v>49</v>
      </c>
      <c r="J265" s="40">
        <v>39.61</v>
      </c>
      <c r="K265" s="40">
        <v>39.61</v>
      </c>
      <c r="L265" s="40"/>
      <c r="M265" s="40">
        <v>39.61</v>
      </c>
      <c r="N265" s="40"/>
      <c r="O265" s="40" t="s">
        <v>234</v>
      </c>
    </row>
    <row r="266" spans="1:15" ht="33.75" x14ac:dyDescent="0.2">
      <c r="A266" s="40" t="s">
        <v>7108</v>
      </c>
      <c r="B266" s="40" t="s">
        <v>7109</v>
      </c>
      <c r="C266" s="41">
        <v>46023</v>
      </c>
      <c r="D266" s="41">
        <v>46023</v>
      </c>
      <c r="E266" s="40" t="s">
        <v>13</v>
      </c>
      <c r="F266" s="40" t="s">
        <v>7110</v>
      </c>
      <c r="G266" s="40" t="s">
        <v>7111</v>
      </c>
      <c r="H266" s="40" t="s">
        <v>7112</v>
      </c>
      <c r="I266" s="40" t="s">
        <v>49</v>
      </c>
      <c r="J266" s="40">
        <v>52.65</v>
      </c>
      <c r="K266" s="40">
        <v>52.65</v>
      </c>
      <c r="L266" s="40"/>
      <c r="M266" s="40">
        <v>52.65</v>
      </c>
      <c r="N266" s="40"/>
      <c r="O266" s="40" t="s">
        <v>234</v>
      </c>
    </row>
    <row r="267" spans="1:15" ht="33.75" x14ac:dyDescent="0.2">
      <c r="A267" s="40" t="s">
        <v>7113</v>
      </c>
      <c r="B267" s="40" t="s">
        <v>7114</v>
      </c>
      <c r="C267" s="41">
        <v>46023</v>
      </c>
      <c r="D267" s="41">
        <v>46023</v>
      </c>
      <c r="E267" s="40" t="s">
        <v>13</v>
      </c>
      <c r="F267" s="40" t="s">
        <v>7115</v>
      </c>
      <c r="G267" s="40" t="s">
        <v>7116</v>
      </c>
      <c r="H267" s="40" t="s">
        <v>7117</v>
      </c>
      <c r="I267" s="40" t="s">
        <v>49</v>
      </c>
      <c r="J267" s="40">
        <v>92.71</v>
      </c>
      <c r="K267" s="40">
        <v>92.71</v>
      </c>
      <c r="L267" s="40"/>
      <c r="M267" s="40">
        <v>92.71</v>
      </c>
      <c r="N267" s="40"/>
      <c r="O267" s="40" t="s">
        <v>234</v>
      </c>
    </row>
    <row r="268" spans="1:15" ht="33.75" x14ac:dyDescent="0.2">
      <c r="A268" s="40" t="s">
        <v>7118</v>
      </c>
      <c r="B268" s="40" t="s">
        <v>7119</v>
      </c>
      <c r="C268" s="41">
        <v>46023</v>
      </c>
      <c r="D268" s="41">
        <v>46023</v>
      </c>
      <c r="E268" s="40" t="s">
        <v>13</v>
      </c>
      <c r="F268" s="40" t="s">
        <v>7120</v>
      </c>
      <c r="G268" s="40" t="s">
        <v>7121</v>
      </c>
      <c r="H268" s="40" t="s">
        <v>7122</v>
      </c>
      <c r="I268" s="40" t="s">
        <v>49</v>
      </c>
      <c r="J268" s="40">
        <v>386.71</v>
      </c>
      <c r="K268" s="40">
        <v>386.71</v>
      </c>
      <c r="L268" s="40"/>
      <c r="M268" s="40">
        <v>386.71</v>
      </c>
      <c r="N268" s="40"/>
      <c r="O268" s="40" t="s">
        <v>234</v>
      </c>
    </row>
    <row r="269" spans="1:15" ht="33.75" x14ac:dyDescent="0.2">
      <c r="A269" s="40" t="s">
        <v>7123</v>
      </c>
      <c r="B269" s="40" t="s">
        <v>7124</v>
      </c>
      <c r="C269" s="41">
        <v>46023</v>
      </c>
      <c r="D269" s="41">
        <v>46023</v>
      </c>
      <c r="E269" s="40" t="s">
        <v>13</v>
      </c>
      <c r="F269" s="40" t="s">
        <v>7125</v>
      </c>
      <c r="G269" s="40" t="s">
        <v>7126</v>
      </c>
      <c r="H269" s="40" t="s">
        <v>7127</v>
      </c>
      <c r="I269" s="40" t="s">
        <v>49</v>
      </c>
      <c r="J269" s="40">
        <v>104.21</v>
      </c>
      <c r="K269" s="40">
        <v>104.21</v>
      </c>
      <c r="L269" s="40"/>
      <c r="M269" s="40">
        <v>104.21</v>
      </c>
      <c r="N269" s="40"/>
      <c r="O269" s="40" t="s">
        <v>234</v>
      </c>
    </row>
    <row r="270" spans="1:15" ht="33.75" x14ac:dyDescent="0.2">
      <c r="A270" s="40" t="s">
        <v>7128</v>
      </c>
      <c r="B270" s="40" t="s">
        <v>7129</v>
      </c>
      <c r="C270" s="41">
        <v>46023</v>
      </c>
      <c r="D270" s="41">
        <v>46023</v>
      </c>
      <c r="E270" s="40" t="s">
        <v>13</v>
      </c>
      <c r="F270" s="40" t="s">
        <v>7130</v>
      </c>
      <c r="G270" s="40" t="s">
        <v>7131</v>
      </c>
      <c r="H270" s="40" t="s">
        <v>7132</v>
      </c>
      <c r="I270" s="40" t="s">
        <v>49</v>
      </c>
      <c r="J270" s="40">
        <v>95.05</v>
      </c>
      <c r="K270" s="40">
        <v>95.05</v>
      </c>
      <c r="L270" s="40"/>
      <c r="M270" s="40">
        <v>95.05</v>
      </c>
      <c r="N270" s="40"/>
      <c r="O270" s="40" t="s">
        <v>234</v>
      </c>
    </row>
    <row r="271" spans="1:15" ht="33.75" x14ac:dyDescent="0.2">
      <c r="A271" s="40" t="s">
        <v>7133</v>
      </c>
      <c r="B271" s="40" t="s">
        <v>7134</v>
      </c>
      <c r="C271" s="41">
        <v>46023</v>
      </c>
      <c r="D271" s="41">
        <v>46023</v>
      </c>
      <c r="E271" s="40" t="s">
        <v>13</v>
      </c>
      <c r="F271" s="40" t="s">
        <v>1454</v>
      </c>
      <c r="G271" s="40" t="s">
        <v>7135</v>
      </c>
      <c r="H271" s="40" t="s">
        <v>7136</v>
      </c>
      <c r="I271" s="40" t="s">
        <v>49</v>
      </c>
      <c r="J271" s="40">
        <v>81.900000000000006</v>
      </c>
      <c r="K271" s="40">
        <v>81.900000000000006</v>
      </c>
      <c r="L271" s="40"/>
      <c r="M271" s="40">
        <v>81.900000000000006</v>
      </c>
      <c r="N271" s="40"/>
      <c r="O271" s="40" t="s">
        <v>234</v>
      </c>
    </row>
    <row r="272" spans="1:15" ht="33.75" x14ac:dyDescent="0.2">
      <c r="A272" s="40" t="s">
        <v>7137</v>
      </c>
      <c r="B272" s="40" t="s">
        <v>7138</v>
      </c>
      <c r="C272" s="41">
        <v>46023</v>
      </c>
      <c r="D272" s="41">
        <v>46023</v>
      </c>
      <c r="E272" s="40" t="s">
        <v>13</v>
      </c>
      <c r="F272" s="40" t="s">
        <v>7139</v>
      </c>
      <c r="G272" s="40" t="s">
        <v>7140</v>
      </c>
      <c r="H272" s="40" t="s">
        <v>7141</v>
      </c>
      <c r="I272" s="40" t="s">
        <v>49</v>
      </c>
      <c r="J272" s="40">
        <v>451.45</v>
      </c>
      <c r="K272" s="40">
        <v>451.45</v>
      </c>
      <c r="L272" s="40"/>
      <c r="M272" s="40">
        <v>451.45</v>
      </c>
      <c r="N272" s="40"/>
      <c r="O272" s="40" t="s">
        <v>234</v>
      </c>
    </row>
    <row r="273" spans="1:15" ht="33.75" x14ac:dyDescent="0.2">
      <c r="A273" s="40" t="s">
        <v>7142</v>
      </c>
      <c r="B273" s="40" t="s">
        <v>7143</v>
      </c>
      <c r="C273" s="41">
        <v>46023</v>
      </c>
      <c r="D273" s="41">
        <v>46023</v>
      </c>
      <c r="E273" s="40" t="s">
        <v>13</v>
      </c>
      <c r="F273" s="40" t="s">
        <v>1514</v>
      </c>
      <c r="G273" s="40" t="s">
        <v>7144</v>
      </c>
      <c r="H273" s="40" t="s">
        <v>7145</v>
      </c>
      <c r="I273" s="40" t="s">
        <v>49</v>
      </c>
      <c r="J273" s="40">
        <v>165.93</v>
      </c>
      <c r="K273" s="40">
        <v>165.93</v>
      </c>
      <c r="L273" s="40"/>
      <c r="M273" s="40">
        <v>165.93</v>
      </c>
      <c r="N273" s="40"/>
      <c r="O273" s="40" t="s">
        <v>234</v>
      </c>
    </row>
    <row r="274" spans="1:15" ht="33.75" x14ac:dyDescent="0.2">
      <c r="A274" s="40" t="s">
        <v>7146</v>
      </c>
      <c r="B274" s="40" t="s">
        <v>7147</v>
      </c>
      <c r="C274" s="41">
        <v>46023</v>
      </c>
      <c r="D274" s="41">
        <v>46023</v>
      </c>
      <c r="E274" s="40" t="s">
        <v>13</v>
      </c>
      <c r="F274" s="40" t="s">
        <v>7148</v>
      </c>
      <c r="G274" s="40" t="s">
        <v>7149</v>
      </c>
      <c r="H274" s="40" t="s">
        <v>7150</v>
      </c>
      <c r="I274" s="40" t="s">
        <v>49</v>
      </c>
      <c r="J274" s="40">
        <v>58.5</v>
      </c>
      <c r="K274" s="40">
        <v>58.5</v>
      </c>
      <c r="L274" s="40"/>
      <c r="M274" s="40">
        <v>58.5</v>
      </c>
      <c r="N274" s="40"/>
      <c r="O274" s="40" t="s">
        <v>234</v>
      </c>
    </row>
    <row r="275" spans="1:15" ht="33.75" x14ac:dyDescent="0.2">
      <c r="A275" s="40" t="s">
        <v>7151</v>
      </c>
      <c r="B275" s="40" t="s">
        <v>7152</v>
      </c>
      <c r="C275" s="41">
        <v>46023</v>
      </c>
      <c r="D275" s="41">
        <v>46023</v>
      </c>
      <c r="E275" s="40" t="s">
        <v>13</v>
      </c>
      <c r="F275" s="40" t="s">
        <v>7153</v>
      </c>
      <c r="G275" s="40" t="s">
        <v>7154</v>
      </c>
      <c r="H275" s="40" t="s">
        <v>7155</v>
      </c>
      <c r="I275" s="40" t="s">
        <v>49</v>
      </c>
      <c r="J275" s="40">
        <v>229.2</v>
      </c>
      <c r="K275" s="40">
        <v>229.2</v>
      </c>
      <c r="L275" s="40"/>
      <c r="M275" s="40">
        <v>229.2</v>
      </c>
      <c r="N275" s="40"/>
      <c r="O275" s="40" t="s">
        <v>234</v>
      </c>
    </row>
    <row r="276" spans="1:15" ht="33.75" x14ac:dyDescent="0.2">
      <c r="A276" s="40" t="s">
        <v>7156</v>
      </c>
      <c r="B276" s="40" t="s">
        <v>7157</v>
      </c>
      <c r="C276" s="41">
        <v>46023</v>
      </c>
      <c r="D276" s="41">
        <v>46023</v>
      </c>
      <c r="E276" s="40" t="s">
        <v>13</v>
      </c>
      <c r="F276" s="40" t="s">
        <v>7158</v>
      </c>
      <c r="G276" s="40" t="s">
        <v>7159</v>
      </c>
      <c r="H276" s="40" t="s">
        <v>7160</v>
      </c>
      <c r="I276" s="40" t="s">
        <v>49</v>
      </c>
      <c r="J276" s="40">
        <v>139.82</v>
      </c>
      <c r="K276" s="40">
        <v>139.82</v>
      </c>
      <c r="L276" s="40"/>
      <c r="M276" s="40">
        <v>139.82</v>
      </c>
      <c r="N276" s="40"/>
      <c r="O276" s="40" t="s">
        <v>234</v>
      </c>
    </row>
    <row r="277" spans="1:15" ht="33.75" x14ac:dyDescent="0.2">
      <c r="A277" s="40" t="s">
        <v>7161</v>
      </c>
      <c r="B277" s="40" t="s">
        <v>7162</v>
      </c>
      <c r="C277" s="41">
        <v>46023</v>
      </c>
      <c r="D277" s="41">
        <v>46023</v>
      </c>
      <c r="E277" s="40" t="s">
        <v>13</v>
      </c>
      <c r="F277" s="40" t="s">
        <v>7163</v>
      </c>
      <c r="G277" s="40" t="s">
        <v>7164</v>
      </c>
      <c r="H277" s="40" t="s">
        <v>7165</v>
      </c>
      <c r="I277" s="40" t="s">
        <v>49</v>
      </c>
      <c r="J277" s="40">
        <v>258</v>
      </c>
      <c r="K277" s="40">
        <v>258</v>
      </c>
      <c r="L277" s="40"/>
      <c r="M277" s="40">
        <v>258</v>
      </c>
      <c r="N277" s="40"/>
      <c r="O277" s="40" t="s">
        <v>234</v>
      </c>
    </row>
    <row r="278" spans="1:15" ht="33.75" x14ac:dyDescent="0.2">
      <c r="A278" s="40" t="s">
        <v>7166</v>
      </c>
      <c r="B278" s="40" t="s">
        <v>7167</v>
      </c>
      <c r="C278" s="41">
        <v>46023</v>
      </c>
      <c r="D278" s="41">
        <v>46023</v>
      </c>
      <c r="E278" s="40" t="s">
        <v>13</v>
      </c>
      <c r="F278" s="40" t="s">
        <v>6734</v>
      </c>
      <c r="G278" s="40" t="s">
        <v>7168</v>
      </c>
      <c r="H278" s="40" t="s">
        <v>7169</v>
      </c>
      <c r="I278" s="40" t="s">
        <v>49</v>
      </c>
      <c r="J278" s="40">
        <v>257.25</v>
      </c>
      <c r="K278" s="40">
        <v>257.25</v>
      </c>
      <c r="L278" s="40"/>
      <c r="M278" s="40">
        <v>257.25</v>
      </c>
      <c r="N278" s="40"/>
      <c r="O278" s="40" t="s">
        <v>234</v>
      </c>
    </row>
    <row r="279" spans="1:15" ht="33.75" x14ac:dyDescent="0.2">
      <c r="A279" s="40" t="s">
        <v>7170</v>
      </c>
      <c r="B279" s="40" t="s">
        <v>7171</v>
      </c>
      <c r="C279" s="41">
        <v>46023</v>
      </c>
      <c r="D279" s="41">
        <v>46023</v>
      </c>
      <c r="E279" s="40" t="s">
        <v>13</v>
      </c>
      <c r="F279" s="40" t="s">
        <v>7058</v>
      </c>
      <c r="G279" s="40" t="s">
        <v>7172</v>
      </c>
      <c r="H279" s="40" t="s">
        <v>7173</v>
      </c>
      <c r="I279" s="40" t="s">
        <v>49</v>
      </c>
      <c r="J279" s="40">
        <v>43.2</v>
      </c>
      <c r="K279" s="40">
        <v>43.2</v>
      </c>
      <c r="L279" s="40"/>
      <c r="M279" s="40">
        <v>43.2</v>
      </c>
      <c r="N279" s="40"/>
      <c r="O279" s="40" t="s">
        <v>234</v>
      </c>
    </row>
    <row r="280" spans="1:15" ht="33.75" x14ac:dyDescent="0.2">
      <c r="A280" s="40" t="s">
        <v>7174</v>
      </c>
      <c r="B280" s="40" t="s">
        <v>7175</v>
      </c>
      <c r="C280" s="41">
        <v>46023</v>
      </c>
      <c r="D280" s="41">
        <v>46023</v>
      </c>
      <c r="E280" s="40" t="s">
        <v>13</v>
      </c>
      <c r="F280" s="40" t="s">
        <v>7176</v>
      </c>
      <c r="G280" s="40" t="s">
        <v>7177</v>
      </c>
      <c r="H280" s="40" t="s">
        <v>7178</v>
      </c>
      <c r="I280" s="40" t="s">
        <v>49</v>
      </c>
      <c r="J280" s="40">
        <v>370.98</v>
      </c>
      <c r="K280" s="40">
        <v>370.98</v>
      </c>
      <c r="L280" s="40"/>
      <c r="M280" s="40">
        <v>370.98</v>
      </c>
      <c r="N280" s="40"/>
      <c r="O280" s="40" t="s">
        <v>234</v>
      </c>
    </row>
    <row r="281" spans="1:15" ht="33.75" x14ac:dyDescent="0.2">
      <c r="A281" s="40" t="s">
        <v>7179</v>
      </c>
      <c r="B281" s="40" t="s">
        <v>7180</v>
      </c>
      <c r="C281" s="41">
        <v>46023</v>
      </c>
      <c r="D281" s="41">
        <v>46023</v>
      </c>
      <c r="E281" s="40" t="s">
        <v>13</v>
      </c>
      <c r="F281" s="40" t="s">
        <v>7181</v>
      </c>
      <c r="G281" s="40" t="s">
        <v>7182</v>
      </c>
      <c r="H281" s="40" t="s">
        <v>7183</v>
      </c>
      <c r="I281" s="40" t="s">
        <v>49</v>
      </c>
      <c r="J281" s="40">
        <v>79.209999999999994</v>
      </c>
      <c r="K281" s="40">
        <v>79.209999999999994</v>
      </c>
      <c r="L281" s="40"/>
      <c r="M281" s="40">
        <v>79.209999999999994</v>
      </c>
      <c r="N281" s="40"/>
      <c r="O281" s="40" t="s">
        <v>234</v>
      </c>
    </row>
    <row r="282" spans="1:15" ht="33.75" x14ac:dyDescent="0.2">
      <c r="A282" s="40" t="s">
        <v>7184</v>
      </c>
      <c r="B282" s="40" t="s">
        <v>7185</v>
      </c>
      <c r="C282" s="41">
        <v>46023</v>
      </c>
      <c r="D282" s="41">
        <v>46023</v>
      </c>
      <c r="E282" s="40" t="s">
        <v>13</v>
      </c>
      <c r="F282" s="40" t="s">
        <v>7186</v>
      </c>
      <c r="G282" s="40" t="s">
        <v>7187</v>
      </c>
      <c r="H282" s="40" t="s">
        <v>7188</v>
      </c>
      <c r="I282" s="40" t="s">
        <v>49</v>
      </c>
      <c r="J282" s="40">
        <v>211.83</v>
      </c>
      <c r="K282" s="40">
        <v>211.83</v>
      </c>
      <c r="L282" s="40"/>
      <c r="M282" s="40">
        <v>211.83</v>
      </c>
      <c r="N282" s="40"/>
      <c r="O282" s="40" t="s">
        <v>234</v>
      </c>
    </row>
    <row r="283" spans="1:15" ht="33.75" x14ac:dyDescent="0.2">
      <c r="A283" s="40" t="s">
        <v>7189</v>
      </c>
      <c r="B283" s="40" t="s">
        <v>7190</v>
      </c>
      <c r="C283" s="41">
        <v>46023</v>
      </c>
      <c r="D283" s="41">
        <v>46023</v>
      </c>
      <c r="E283" s="40" t="s">
        <v>13</v>
      </c>
      <c r="F283" s="40" t="s">
        <v>7191</v>
      </c>
      <c r="G283" s="40" t="s">
        <v>7192</v>
      </c>
      <c r="H283" s="40" t="s">
        <v>7193</v>
      </c>
      <c r="I283" s="40" t="s">
        <v>49</v>
      </c>
      <c r="J283" s="40">
        <v>122.95</v>
      </c>
      <c r="K283" s="40">
        <v>122.95</v>
      </c>
      <c r="L283" s="40"/>
      <c r="M283" s="40">
        <v>122.95</v>
      </c>
      <c r="N283" s="40"/>
      <c r="O283" s="40" t="s">
        <v>234</v>
      </c>
    </row>
    <row r="284" spans="1:15" ht="33.75" x14ac:dyDescent="0.2">
      <c r="A284" s="40" t="s">
        <v>7194</v>
      </c>
      <c r="B284" s="40" t="s">
        <v>7195</v>
      </c>
      <c r="C284" s="41">
        <v>46023</v>
      </c>
      <c r="D284" s="41">
        <v>46023</v>
      </c>
      <c r="E284" s="40" t="s">
        <v>13</v>
      </c>
      <c r="F284" s="40" t="s">
        <v>7196</v>
      </c>
      <c r="G284" s="40" t="s">
        <v>7197</v>
      </c>
      <c r="H284" s="40" t="s">
        <v>7198</v>
      </c>
      <c r="I284" s="40" t="s">
        <v>49</v>
      </c>
      <c r="J284" s="40">
        <v>201.58</v>
      </c>
      <c r="K284" s="40">
        <v>201.58</v>
      </c>
      <c r="L284" s="40"/>
      <c r="M284" s="40">
        <v>201.58</v>
      </c>
      <c r="N284" s="40"/>
      <c r="O284" s="40" t="s">
        <v>234</v>
      </c>
    </row>
    <row r="285" spans="1:15" ht="33.75" x14ac:dyDescent="0.2">
      <c r="A285" s="40" t="s">
        <v>7199</v>
      </c>
      <c r="B285" s="40" t="s">
        <v>7200</v>
      </c>
      <c r="C285" s="41">
        <v>46023</v>
      </c>
      <c r="D285" s="41">
        <v>46023</v>
      </c>
      <c r="E285" s="40" t="s">
        <v>13</v>
      </c>
      <c r="F285" s="40" t="s">
        <v>7201</v>
      </c>
      <c r="G285" s="40" t="s">
        <v>7202</v>
      </c>
      <c r="H285" s="40" t="s">
        <v>7203</v>
      </c>
      <c r="I285" s="40" t="s">
        <v>49</v>
      </c>
      <c r="J285" s="40">
        <v>33.21</v>
      </c>
      <c r="K285" s="40">
        <v>33.21</v>
      </c>
      <c r="L285" s="40"/>
      <c r="M285" s="40">
        <v>33.21</v>
      </c>
      <c r="N285" s="40"/>
      <c r="O285" s="40" t="s">
        <v>234</v>
      </c>
    </row>
    <row r="286" spans="1:15" ht="33.75" x14ac:dyDescent="0.2">
      <c r="A286" s="40" t="s">
        <v>7204</v>
      </c>
      <c r="B286" s="40" t="s">
        <v>7205</v>
      </c>
      <c r="C286" s="41">
        <v>46023</v>
      </c>
      <c r="D286" s="41">
        <v>46023</v>
      </c>
      <c r="E286" s="40" t="s">
        <v>13</v>
      </c>
      <c r="F286" s="40" t="s">
        <v>7206</v>
      </c>
      <c r="G286" s="40" t="s">
        <v>7207</v>
      </c>
      <c r="H286" s="40" t="s">
        <v>7208</v>
      </c>
      <c r="I286" s="40" t="s">
        <v>49</v>
      </c>
      <c r="J286" s="40">
        <v>67.5</v>
      </c>
      <c r="K286" s="40">
        <v>67.5</v>
      </c>
      <c r="L286" s="40"/>
      <c r="M286" s="40">
        <v>67.5</v>
      </c>
      <c r="N286" s="40"/>
      <c r="O286" s="40" t="s">
        <v>234</v>
      </c>
    </row>
    <row r="287" spans="1:15" ht="33.75" x14ac:dyDescent="0.2">
      <c r="A287" s="40" t="s">
        <v>7209</v>
      </c>
      <c r="B287" s="40" t="s">
        <v>7210</v>
      </c>
      <c r="C287" s="41">
        <v>46023</v>
      </c>
      <c r="D287" s="41">
        <v>46023</v>
      </c>
      <c r="E287" s="40" t="s">
        <v>13</v>
      </c>
      <c r="F287" s="40" t="s">
        <v>7211</v>
      </c>
      <c r="G287" s="40" t="s">
        <v>7212</v>
      </c>
      <c r="H287" s="40" t="s">
        <v>7213</v>
      </c>
      <c r="I287" s="40" t="s">
        <v>49</v>
      </c>
      <c r="J287" s="40">
        <v>149.12</v>
      </c>
      <c r="K287" s="40">
        <v>149.12</v>
      </c>
      <c r="L287" s="40"/>
      <c r="M287" s="40">
        <v>149.12</v>
      </c>
      <c r="N287" s="40"/>
      <c r="O287" s="40" t="s">
        <v>234</v>
      </c>
    </row>
    <row r="288" spans="1:15" ht="33.75" x14ac:dyDescent="0.2">
      <c r="A288" s="40" t="s">
        <v>7214</v>
      </c>
      <c r="B288" s="40" t="s">
        <v>7215</v>
      </c>
      <c r="C288" s="41">
        <v>46023</v>
      </c>
      <c r="D288" s="41">
        <v>46023</v>
      </c>
      <c r="E288" s="40" t="s">
        <v>13</v>
      </c>
      <c r="F288" s="40" t="s">
        <v>7216</v>
      </c>
      <c r="G288" s="40" t="s">
        <v>7217</v>
      </c>
      <c r="H288" s="40" t="s">
        <v>7218</v>
      </c>
      <c r="I288" s="40" t="s">
        <v>49</v>
      </c>
      <c r="J288" s="40">
        <v>39.25</v>
      </c>
      <c r="K288" s="40">
        <v>39.25</v>
      </c>
      <c r="L288" s="40"/>
      <c r="M288" s="40">
        <v>39.25</v>
      </c>
      <c r="N288" s="40"/>
      <c r="O288" s="40" t="s">
        <v>234</v>
      </c>
    </row>
    <row r="289" spans="1:15" ht="33.75" x14ac:dyDescent="0.2">
      <c r="A289" s="40" t="s">
        <v>7219</v>
      </c>
      <c r="B289" s="40" t="s">
        <v>7220</v>
      </c>
      <c r="C289" s="41">
        <v>46023</v>
      </c>
      <c r="D289" s="41">
        <v>46023</v>
      </c>
      <c r="E289" s="40" t="s">
        <v>13</v>
      </c>
      <c r="F289" s="40" t="s">
        <v>611</v>
      </c>
      <c r="G289" s="40" t="s">
        <v>7221</v>
      </c>
      <c r="H289" s="40" t="s">
        <v>7222</v>
      </c>
      <c r="I289" s="40" t="s">
        <v>49</v>
      </c>
      <c r="J289" s="40">
        <v>49.5</v>
      </c>
      <c r="K289" s="40">
        <v>49.5</v>
      </c>
      <c r="L289" s="40"/>
      <c r="M289" s="40">
        <v>49.5</v>
      </c>
      <c r="N289" s="40"/>
      <c r="O289" s="40" t="s">
        <v>234</v>
      </c>
    </row>
    <row r="290" spans="1:15" ht="33.75" x14ac:dyDescent="0.2">
      <c r="A290" s="40" t="s">
        <v>7223</v>
      </c>
      <c r="B290" s="40" t="s">
        <v>7224</v>
      </c>
      <c r="C290" s="41">
        <v>46023</v>
      </c>
      <c r="D290" s="41">
        <v>46023</v>
      </c>
      <c r="E290" s="40" t="s">
        <v>13</v>
      </c>
      <c r="F290" s="40" t="s">
        <v>7225</v>
      </c>
      <c r="G290" s="40" t="s">
        <v>7226</v>
      </c>
      <c r="H290" s="40" t="s">
        <v>7227</v>
      </c>
      <c r="I290" s="40" t="s">
        <v>49</v>
      </c>
      <c r="J290" s="40">
        <v>111.25</v>
      </c>
      <c r="K290" s="40">
        <v>111.25</v>
      </c>
      <c r="L290" s="40"/>
      <c r="M290" s="40">
        <v>111.25</v>
      </c>
      <c r="N290" s="40"/>
      <c r="O290" s="40" t="s">
        <v>234</v>
      </c>
    </row>
    <row r="291" spans="1:15" ht="33.75" x14ac:dyDescent="0.2">
      <c r="A291" s="40" t="s">
        <v>7228</v>
      </c>
      <c r="B291" s="40" t="s">
        <v>7229</v>
      </c>
      <c r="C291" s="41">
        <v>46023</v>
      </c>
      <c r="D291" s="41">
        <v>46023</v>
      </c>
      <c r="E291" s="40" t="s">
        <v>13</v>
      </c>
      <c r="F291" s="40" t="s">
        <v>7230</v>
      </c>
      <c r="G291" s="40" t="s">
        <v>7231</v>
      </c>
      <c r="H291" s="40" t="s">
        <v>7232</v>
      </c>
      <c r="I291" s="40" t="s">
        <v>49</v>
      </c>
      <c r="J291" s="40">
        <v>95.8</v>
      </c>
      <c r="K291" s="40">
        <v>95.8</v>
      </c>
      <c r="L291" s="40"/>
      <c r="M291" s="40">
        <v>95.8</v>
      </c>
      <c r="N291" s="40"/>
      <c r="O291" s="40" t="s">
        <v>234</v>
      </c>
    </row>
    <row r="292" spans="1:15" ht="33.75" x14ac:dyDescent="0.2">
      <c r="A292" s="40" t="s">
        <v>7233</v>
      </c>
      <c r="B292" s="40" t="s">
        <v>7234</v>
      </c>
      <c r="C292" s="41">
        <v>46023</v>
      </c>
      <c r="D292" s="41">
        <v>46023</v>
      </c>
      <c r="E292" s="40" t="s">
        <v>13</v>
      </c>
      <c r="F292" s="40" t="s">
        <v>7235</v>
      </c>
      <c r="G292" s="40" t="s">
        <v>7236</v>
      </c>
      <c r="H292" s="40" t="s">
        <v>7237</v>
      </c>
      <c r="I292" s="40" t="s">
        <v>49</v>
      </c>
      <c r="J292" s="40">
        <v>145.09</v>
      </c>
      <c r="K292" s="40">
        <v>145.09</v>
      </c>
      <c r="L292" s="40"/>
      <c r="M292" s="40">
        <v>145.09</v>
      </c>
      <c r="N292" s="40"/>
      <c r="O292" s="40" t="s">
        <v>234</v>
      </c>
    </row>
    <row r="293" spans="1:15" ht="33.75" x14ac:dyDescent="0.2">
      <c r="A293" s="40" t="s">
        <v>7238</v>
      </c>
      <c r="B293" s="40" t="s">
        <v>7239</v>
      </c>
      <c r="C293" s="41">
        <v>46023</v>
      </c>
      <c r="D293" s="41">
        <v>46023</v>
      </c>
      <c r="E293" s="40" t="s">
        <v>13</v>
      </c>
      <c r="F293" s="40" t="s">
        <v>634</v>
      </c>
      <c r="G293" s="40" t="s">
        <v>7240</v>
      </c>
      <c r="H293" s="40" t="s">
        <v>7241</v>
      </c>
      <c r="I293" s="40" t="s">
        <v>49</v>
      </c>
      <c r="J293" s="40">
        <v>163.85</v>
      </c>
      <c r="K293" s="40">
        <v>163.85</v>
      </c>
      <c r="L293" s="40"/>
      <c r="M293" s="40">
        <v>163.85</v>
      </c>
      <c r="N293" s="40"/>
      <c r="O293" s="40" t="s">
        <v>234</v>
      </c>
    </row>
    <row r="294" spans="1:15" ht="33.75" x14ac:dyDescent="0.2">
      <c r="A294" s="40" t="s">
        <v>7242</v>
      </c>
      <c r="B294" s="40" t="s">
        <v>7243</v>
      </c>
      <c r="C294" s="41">
        <v>46023</v>
      </c>
      <c r="D294" s="41">
        <v>46023</v>
      </c>
      <c r="E294" s="40" t="s">
        <v>13</v>
      </c>
      <c r="F294" s="40" t="s">
        <v>7244</v>
      </c>
      <c r="G294" s="40" t="s">
        <v>7245</v>
      </c>
      <c r="H294" s="40" t="s">
        <v>7246</v>
      </c>
      <c r="I294" s="40" t="s">
        <v>49</v>
      </c>
      <c r="J294" s="40">
        <v>44.01</v>
      </c>
      <c r="K294" s="40">
        <v>44.01</v>
      </c>
      <c r="L294" s="40"/>
      <c r="M294" s="40">
        <v>44.01</v>
      </c>
      <c r="N294" s="40"/>
      <c r="O294" s="40" t="s">
        <v>234</v>
      </c>
    </row>
    <row r="295" spans="1:15" ht="33.75" x14ac:dyDescent="0.2">
      <c r="A295" s="40" t="s">
        <v>7247</v>
      </c>
      <c r="B295" s="40" t="s">
        <v>7248</v>
      </c>
      <c r="C295" s="41">
        <v>46023</v>
      </c>
      <c r="D295" s="41">
        <v>46023</v>
      </c>
      <c r="E295" s="40" t="s">
        <v>13</v>
      </c>
      <c r="F295" s="40" t="s">
        <v>7249</v>
      </c>
      <c r="G295" s="40" t="s">
        <v>7250</v>
      </c>
      <c r="H295" s="40" t="s">
        <v>7251</v>
      </c>
      <c r="I295" s="40" t="s">
        <v>49</v>
      </c>
      <c r="J295" s="40">
        <v>40.5</v>
      </c>
      <c r="K295" s="40">
        <v>40.5</v>
      </c>
      <c r="L295" s="40"/>
      <c r="M295" s="40">
        <v>40.5</v>
      </c>
      <c r="N295" s="40"/>
      <c r="O295" s="40" t="s">
        <v>234</v>
      </c>
    </row>
    <row r="296" spans="1:15" ht="33.75" x14ac:dyDescent="0.2">
      <c r="A296" s="40" t="s">
        <v>7252</v>
      </c>
      <c r="B296" s="40" t="s">
        <v>7253</v>
      </c>
      <c r="C296" s="41">
        <v>46023</v>
      </c>
      <c r="D296" s="41">
        <v>46023</v>
      </c>
      <c r="E296" s="40" t="s">
        <v>13</v>
      </c>
      <c r="F296" s="40" t="s">
        <v>1224</v>
      </c>
      <c r="G296" s="40" t="s">
        <v>7254</v>
      </c>
      <c r="H296" s="40" t="s">
        <v>7255</v>
      </c>
      <c r="I296" s="40" t="s">
        <v>49</v>
      </c>
      <c r="J296" s="40">
        <v>132.99</v>
      </c>
      <c r="K296" s="40">
        <v>132.99</v>
      </c>
      <c r="L296" s="40"/>
      <c r="M296" s="40">
        <v>132.99</v>
      </c>
      <c r="N296" s="40"/>
      <c r="O296" s="40" t="s">
        <v>234</v>
      </c>
    </row>
    <row r="297" spans="1:15" ht="33.75" x14ac:dyDescent="0.2">
      <c r="A297" s="40" t="s">
        <v>7256</v>
      </c>
      <c r="B297" s="40" t="s">
        <v>7257</v>
      </c>
      <c r="C297" s="41">
        <v>46023</v>
      </c>
      <c r="D297" s="41">
        <v>46023</v>
      </c>
      <c r="E297" s="40" t="s">
        <v>13</v>
      </c>
      <c r="F297" s="40" t="s">
        <v>7258</v>
      </c>
      <c r="G297" s="40" t="s">
        <v>7259</v>
      </c>
      <c r="H297" s="40" t="s">
        <v>7260</v>
      </c>
      <c r="I297" s="40" t="s">
        <v>49</v>
      </c>
      <c r="J297" s="40">
        <v>229.32</v>
      </c>
      <c r="K297" s="40">
        <v>229.32</v>
      </c>
      <c r="L297" s="40"/>
      <c r="M297" s="40">
        <v>229.32</v>
      </c>
      <c r="N297" s="40"/>
      <c r="O297" s="40" t="s">
        <v>234</v>
      </c>
    </row>
    <row r="298" spans="1:15" ht="33.75" x14ac:dyDescent="0.2">
      <c r="A298" s="40" t="s">
        <v>7261</v>
      </c>
      <c r="B298" s="40" t="s">
        <v>7262</v>
      </c>
      <c r="C298" s="41">
        <v>46023</v>
      </c>
      <c r="D298" s="41">
        <v>46023</v>
      </c>
      <c r="E298" s="40" t="s">
        <v>13</v>
      </c>
      <c r="F298" s="40" t="s">
        <v>4124</v>
      </c>
      <c r="G298" s="40" t="s">
        <v>7263</v>
      </c>
      <c r="H298" s="40" t="s">
        <v>7264</v>
      </c>
      <c r="I298" s="40" t="s">
        <v>49</v>
      </c>
      <c r="J298" s="40">
        <v>197.01</v>
      </c>
      <c r="K298" s="40">
        <v>197.01</v>
      </c>
      <c r="L298" s="40"/>
      <c r="M298" s="40">
        <v>197.01</v>
      </c>
      <c r="N298" s="40"/>
      <c r="O298" s="40" t="s">
        <v>234</v>
      </c>
    </row>
    <row r="299" spans="1:15" ht="33.75" x14ac:dyDescent="0.2">
      <c r="A299" s="40" t="s">
        <v>7265</v>
      </c>
      <c r="B299" s="40" t="s">
        <v>7266</v>
      </c>
      <c r="C299" s="41">
        <v>46023</v>
      </c>
      <c r="D299" s="41">
        <v>46023</v>
      </c>
      <c r="E299" s="40" t="s">
        <v>13</v>
      </c>
      <c r="F299" s="40" t="s">
        <v>7267</v>
      </c>
      <c r="G299" s="40" t="s">
        <v>7268</v>
      </c>
      <c r="H299" s="40" t="s">
        <v>7269</v>
      </c>
      <c r="I299" s="40" t="s">
        <v>49</v>
      </c>
      <c r="J299" s="40">
        <v>123</v>
      </c>
      <c r="K299" s="40">
        <v>123</v>
      </c>
      <c r="L299" s="40"/>
      <c r="M299" s="40">
        <v>123</v>
      </c>
      <c r="N299" s="40"/>
      <c r="O299" s="40" t="s">
        <v>234</v>
      </c>
    </row>
    <row r="300" spans="1:15" ht="33.75" x14ac:dyDescent="0.2">
      <c r="A300" s="40" t="s">
        <v>7270</v>
      </c>
      <c r="B300" s="40" t="s">
        <v>7271</v>
      </c>
      <c r="C300" s="41">
        <v>46023</v>
      </c>
      <c r="D300" s="41">
        <v>46023</v>
      </c>
      <c r="E300" s="40" t="s">
        <v>13</v>
      </c>
      <c r="F300" s="40" t="s">
        <v>7244</v>
      </c>
      <c r="G300" s="40" t="s">
        <v>7272</v>
      </c>
      <c r="H300" s="40" t="s">
        <v>7273</v>
      </c>
      <c r="I300" s="40" t="s">
        <v>49</v>
      </c>
      <c r="J300" s="40">
        <v>34.25</v>
      </c>
      <c r="K300" s="40">
        <v>34.25</v>
      </c>
      <c r="L300" s="40"/>
      <c r="M300" s="40">
        <v>34.25</v>
      </c>
      <c r="N300" s="40"/>
      <c r="O300" s="40" t="s">
        <v>234</v>
      </c>
    </row>
    <row r="301" spans="1:15" ht="33.75" x14ac:dyDescent="0.2">
      <c r="A301" s="40" t="s">
        <v>7274</v>
      </c>
      <c r="B301" s="40" t="s">
        <v>7275</v>
      </c>
      <c r="C301" s="41">
        <v>46023</v>
      </c>
      <c r="D301" s="41">
        <v>46023</v>
      </c>
      <c r="E301" s="40" t="s">
        <v>13</v>
      </c>
      <c r="F301" s="40" t="s">
        <v>1744</v>
      </c>
      <c r="G301" s="40" t="s">
        <v>7276</v>
      </c>
      <c r="H301" s="40" t="s">
        <v>7277</v>
      </c>
      <c r="I301" s="40" t="s">
        <v>49</v>
      </c>
      <c r="J301" s="40">
        <v>81.55</v>
      </c>
      <c r="K301" s="40">
        <v>81.55</v>
      </c>
      <c r="L301" s="40"/>
      <c r="M301" s="40">
        <v>81.55</v>
      </c>
      <c r="N301" s="40"/>
      <c r="O301" s="40" t="s">
        <v>234</v>
      </c>
    </row>
    <row r="302" spans="1:15" ht="33.75" x14ac:dyDescent="0.2">
      <c r="A302" s="40" t="s">
        <v>7278</v>
      </c>
      <c r="B302" s="40" t="s">
        <v>7279</v>
      </c>
      <c r="C302" s="41">
        <v>46023</v>
      </c>
      <c r="D302" s="41">
        <v>46023</v>
      </c>
      <c r="E302" s="40" t="s">
        <v>13</v>
      </c>
      <c r="F302" s="40" t="s">
        <v>7280</v>
      </c>
      <c r="G302" s="40" t="s">
        <v>7281</v>
      </c>
      <c r="H302" s="40" t="s">
        <v>7282</v>
      </c>
      <c r="I302" s="40" t="s">
        <v>49</v>
      </c>
      <c r="J302" s="40">
        <v>184</v>
      </c>
      <c r="K302" s="40">
        <v>184</v>
      </c>
      <c r="L302" s="40"/>
      <c r="M302" s="40">
        <v>184</v>
      </c>
      <c r="N302" s="40"/>
      <c r="O302" s="40" t="s">
        <v>234</v>
      </c>
    </row>
    <row r="303" spans="1:15" ht="33.75" x14ac:dyDescent="0.2">
      <c r="A303" s="40" t="s">
        <v>7283</v>
      </c>
      <c r="B303" s="40" t="s">
        <v>7284</v>
      </c>
      <c r="C303" s="41">
        <v>46023</v>
      </c>
      <c r="D303" s="41">
        <v>46023</v>
      </c>
      <c r="E303" s="40" t="s">
        <v>13</v>
      </c>
      <c r="F303" s="40" t="s">
        <v>7285</v>
      </c>
      <c r="G303" s="40" t="s">
        <v>7286</v>
      </c>
      <c r="H303" s="40" t="s">
        <v>7287</v>
      </c>
      <c r="I303" s="40" t="s">
        <v>49</v>
      </c>
      <c r="J303" s="40">
        <v>40.5</v>
      </c>
      <c r="K303" s="40">
        <v>40.5</v>
      </c>
      <c r="L303" s="40"/>
      <c r="M303" s="40">
        <v>40.5</v>
      </c>
      <c r="N303" s="40"/>
      <c r="O303" s="40" t="s">
        <v>234</v>
      </c>
    </row>
    <row r="304" spans="1:15" ht="33.75" x14ac:dyDescent="0.2">
      <c r="A304" s="40" t="s">
        <v>7288</v>
      </c>
      <c r="B304" s="40" t="s">
        <v>7289</v>
      </c>
      <c r="C304" s="41">
        <v>46023</v>
      </c>
      <c r="D304" s="41">
        <v>46023</v>
      </c>
      <c r="E304" s="40" t="s">
        <v>13</v>
      </c>
      <c r="F304" s="40" t="s">
        <v>7290</v>
      </c>
      <c r="G304" s="40" t="s">
        <v>7291</v>
      </c>
      <c r="H304" s="40" t="s">
        <v>7292</v>
      </c>
      <c r="I304" s="40" t="s">
        <v>49</v>
      </c>
      <c r="J304" s="40">
        <v>101.69</v>
      </c>
      <c r="K304" s="40">
        <v>101.69</v>
      </c>
      <c r="L304" s="40"/>
      <c r="M304" s="40">
        <v>101.69</v>
      </c>
      <c r="N304" s="40"/>
      <c r="O304" s="40" t="s">
        <v>234</v>
      </c>
    </row>
    <row r="305" spans="1:15" ht="33.75" x14ac:dyDescent="0.2">
      <c r="A305" s="40" t="s">
        <v>7293</v>
      </c>
      <c r="B305" s="40" t="s">
        <v>7294</v>
      </c>
      <c r="C305" s="41">
        <v>46023</v>
      </c>
      <c r="D305" s="41">
        <v>46023</v>
      </c>
      <c r="E305" s="40" t="s">
        <v>13</v>
      </c>
      <c r="F305" s="40" t="s">
        <v>7295</v>
      </c>
      <c r="G305" s="40" t="s">
        <v>7296</v>
      </c>
      <c r="H305" s="40" t="s">
        <v>7297</v>
      </c>
      <c r="I305" s="40" t="s">
        <v>49</v>
      </c>
      <c r="J305" s="40">
        <v>107.05</v>
      </c>
      <c r="K305" s="40">
        <v>107.05</v>
      </c>
      <c r="L305" s="40"/>
      <c r="M305" s="40">
        <v>107.05</v>
      </c>
      <c r="N305" s="40"/>
      <c r="O305" s="40" t="s">
        <v>234</v>
      </c>
    </row>
    <row r="306" spans="1:15" ht="33.75" x14ac:dyDescent="0.2">
      <c r="A306" s="40" t="s">
        <v>7298</v>
      </c>
      <c r="B306" s="40" t="s">
        <v>7299</v>
      </c>
      <c r="C306" s="41">
        <v>46023</v>
      </c>
      <c r="D306" s="41">
        <v>46023</v>
      </c>
      <c r="E306" s="40" t="s">
        <v>13</v>
      </c>
      <c r="F306" s="40" t="s">
        <v>7300</v>
      </c>
      <c r="G306" s="40" t="s">
        <v>7301</v>
      </c>
      <c r="H306" s="40" t="s">
        <v>7302</v>
      </c>
      <c r="I306" s="40" t="s">
        <v>49</v>
      </c>
      <c r="J306" s="40">
        <v>49.15</v>
      </c>
      <c r="K306" s="40">
        <v>49.15</v>
      </c>
      <c r="L306" s="40"/>
      <c r="M306" s="40">
        <v>49.15</v>
      </c>
      <c r="N306" s="40"/>
      <c r="O306" s="40" t="s">
        <v>234</v>
      </c>
    </row>
    <row r="307" spans="1:15" ht="33.75" x14ac:dyDescent="0.2">
      <c r="A307" s="40" t="s">
        <v>7303</v>
      </c>
      <c r="B307" s="40" t="s">
        <v>7304</v>
      </c>
      <c r="C307" s="41">
        <v>46023</v>
      </c>
      <c r="D307" s="41">
        <v>46023</v>
      </c>
      <c r="E307" s="40" t="s">
        <v>13</v>
      </c>
      <c r="F307" s="40" t="s">
        <v>7305</v>
      </c>
      <c r="G307" s="40" t="s">
        <v>7306</v>
      </c>
      <c r="H307" s="40" t="s">
        <v>7307</v>
      </c>
      <c r="I307" s="40" t="s">
        <v>49</v>
      </c>
      <c r="J307" s="40">
        <v>70.2</v>
      </c>
      <c r="K307" s="40">
        <v>70.2</v>
      </c>
      <c r="L307" s="40"/>
      <c r="M307" s="40">
        <v>70.2</v>
      </c>
      <c r="N307" s="40"/>
      <c r="O307" s="40" t="s">
        <v>234</v>
      </c>
    </row>
    <row r="308" spans="1:15" ht="33.75" x14ac:dyDescent="0.2">
      <c r="A308" s="40" t="s">
        <v>7308</v>
      </c>
      <c r="B308" s="40" t="s">
        <v>7309</v>
      </c>
      <c r="C308" s="41">
        <v>46023</v>
      </c>
      <c r="D308" s="41">
        <v>46023</v>
      </c>
      <c r="E308" s="40" t="s">
        <v>13</v>
      </c>
      <c r="F308" s="40" t="s">
        <v>7310</v>
      </c>
      <c r="G308" s="40" t="s">
        <v>7311</v>
      </c>
      <c r="H308" s="40" t="s">
        <v>7312</v>
      </c>
      <c r="I308" s="40" t="s">
        <v>49</v>
      </c>
      <c r="J308" s="40">
        <v>84.18</v>
      </c>
      <c r="K308" s="40">
        <v>84.18</v>
      </c>
      <c r="L308" s="40"/>
      <c r="M308" s="40">
        <v>84.18</v>
      </c>
      <c r="N308" s="40"/>
      <c r="O308" s="40" t="s">
        <v>234</v>
      </c>
    </row>
    <row r="309" spans="1:15" ht="33.75" x14ac:dyDescent="0.2">
      <c r="A309" s="40" t="s">
        <v>7313</v>
      </c>
      <c r="B309" s="40" t="s">
        <v>7314</v>
      </c>
      <c r="C309" s="41">
        <v>46023</v>
      </c>
      <c r="D309" s="41">
        <v>46023</v>
      </c>
      <c r="E309" s="40" t="s">
        <v>13</v>
      </c>
      <c r="F309" s="40" t="s">
        <v>7315</v>
      </c>
      <c r="G309" s="40" t="s">
        <v>7316</v>
      </c>
      <c r="H309" s="40" t="s">
        <v>7317</v>
      </c>
      <c r="I309" s="40" t="s">
        <v>49</v>
      </c>
      <c r="J309" s="40">
        <v>22</v>
      </c>
      <c r="K309" s="40">
        <v>22</v>
      </c>
      <c r="L309" s="40"/>
      <c r="M309" s="40">
        <v>22</v>
      </c>
      <c r="N309" s="40"/>
      <c r="O309" s="40" t="s">
        <v>234</v>
      </c>
    </row>
    <row r="310" spans="1:15" ht="33.75" x14ac:dyDescent="0.2">
      <c r="A310" s="40" t="s">
        <v>7318</v>
      </c>
      <c r="B310" s="40" t="s">
        <v>7319</v>
      </c>
      <c r="C310" s="41">
        <v>46023</v>
      </c>
      <c r="D310" s="41">
        <v>46023</v>
      </c>
      <c r="E310" s="40" t="s">
        <v>13</v>
      </c>
      <c r="F310" s="40" t="s">
        <v>7320</v>
      </c>
      <c r="G310" s="40" t="s">
        <v>7321</v>
      </c>
      <c r="H310" s="40" t="s">
        <v>7322</v>
      </c>
      <c r="I310" s="40" t="s">
        <v>49</v>
      </c>
      <c r="J310" s="40">
        <v>224.3</v>
      </c>
      <c r="K310" s="40">
        <v>224.3</v>
      </c>
      <c r="L310" s="40"/>
      <c r="M310" s="40">
        <v>224.3</v>
      </c>
      <c r="N310" s="40"/>
      <c r="O310" s="40" t="s">
        <v>234</v>
      </c>
    </row>
    <row r="311" spans="1:15" ht="33.75" x14ac:dyDescent="0.2">
      <c r="A311" s="40" t="s">
        <v>7323</v>
      </c>
      <c r="B311" s="40" t="s">
        <v>7324</v>
      </c>
      <c r="C311" s="41">
        <v>46023</v>
      </c>
      <c r="D311" s="41">
        <v>46023</v>
      </c>
      <c r="E311" s="40" t="s">
        <v>13</v>
      </c>
      <c r="F311" s="40" t="s">
        <v>6719</v>
      </c>
      <c r="G311" s="40" t="s">
        <v>7325</v>
      </c>
      <c r="H311" s="40" t="s">
        <v>7326</v>
      </c>
      <c r="I311" s="40" t="s">
        <v>49</v>
      </c>
      <c r="J311" s="40">
        <v>99</v>
      </c>
      <c r="K311" s="40">
        <v>99</v>
      </c>
      <c r="L311" s="40"/>
      <c r="M311" s="40">
        <v>99</v>
      </c>
      <c r="N311" s="40"/>
      <c r="O311" s="40" t="s">
        <v>234</v>
      </c>
    </row>
    <row r="312" spans="1:15" ht="33.75" x14ac:dyDescent="0.2">
      <c r="A312" s="40" t="s">
        <v>7327</v>
      </c>
      <c r="B312" s="40" t="s">
        <v>7328</v>
      </c>
      <c r="C312" s="41">
        <v>46023</v>
      </c>
      <c r="D312" s="41">
        <v>46023</v>
      </c>
      <c r="E312" s="40" t="s">
        <v>13</v>
      </c>
      <c r="F312" s="40" t="s">
        <v>7329</v>
      </c>
      <c r="G312" s="40" t="s">
        <v>7330</v>
      </c>
      <c r="H312" s="40" t="s">
        <v>7331</v>
      </c>
      <c r="I312" s="40" t="s">
        <v>49</v>
      </c>
      <c r="J312" s="40">
        <v>61.19</v>
      </c>
      <c r="K312" s="40">
        <v>61.19</v>
      </c>
      <c r="L312" s="40"/>
      <c r="M312" s="40">
        <v>61.19</v>
      </c>
      <c r="N312" s="40"/>
      <c r="O312" s="40" t="s">
        <v>234</v>
      </c>
    </row>
    <row r="313" spans="1:15" ht="33.75" x14ac:dyDescent="0.2">
      <c r="A313" s="40" t="s">
        <v>7332</v>
      </c>
      <c r="B313" s="40" t="s">
        <v>7333</v>
      </c>
      <c r="C313" s="41">
        <v>46023</v>
      </c>
      <c r="D313" s="41">
        <v>46023</v>
      </c>
      <c r="E313" s="40" t="s">
        <v>13</v>
      </c>
      <c r="F313" s="40" t="s">
        <v>4261</v>
      </c>
      <c r="G313" s="40" t="s">
        <v>7334</v>
      </c>
      <c r="H313" s="40" t="s">
        <v>7335</v>
      </c>
      <c r="I313" s="40" t="s">
        <v>49</v>
      </c>
      <c r="J313" s="40">
        <v>356.58</v>
      </c>
      <c r="K313" s="40">
        <v>356.58</v>
      </c>
      <c r="L313" s="40"/>
      <c r="M313" s="40">
        <v>356.58</v>
      </c>
      <c r="N313" s="40"/>
      <c r="O313" s="40" t="s">
        <v>234</v>
      </c>
    </row>
    <row r="314" spans="1:15" ht="33.75" x14ac:dyDescent="0.2">
      <c r="A314" s="40" t="s">
        <v>7336</v>
      </c>
      <c r="B314" s="40" t="s">
        <v>7337</v>
      </c>
      <c r="C314" s="41">
        <v>46023</v>
      </c>
      <c r="D314" s="41">
        <v>46023</v>
      </c>
      <c r="E314" s="40" t="s">
        <v>13</v>
      </c>
      <c r="F314" s="40" t="s">
        <v>7338</v>
      </c>
      <c r="G314" s="40" t="s">
        <v>7339</v>
      </c>
      <c r="H314" s="40" t="s">
        <v>7340</v>
      </c>
      <c r="I314" s="40" t="s">
        <v>49</v>
      </c>
      <c r="J314" s="40">
        <v>74.7</v>
      </c>
      <c r="K314" s="40">
        <v>74.7</v>
      </c>
      <c r="L314" s="40"/>
      <c r="M314" s="40">
        <v>74.7</v>
      </c>
      <c r="N314" s="40"/>
      <c r="O314" s="40" t="s">
        <v>234</v>
      </c>
    </row>
    <row r="315" spans="1:15" ht="33.75" x14ac:dyDescent="0.2">
      <c r="A315" s="40" t="s">
        <v>7341</v>
      </c>
      <c r="B315" s="40" t="s">
        <v>7342</v>
      </c>
      <c r="C315" s="41">
        <v>46023</v>
      </c>
      <c r="D315" s="41">
        <v>46023</v>
      </c>
      <c r="E315" s="40" t="s">
        <v>13</v>
      </c>
      <c r="F315" s="40" t="s">
        <v>7343</v>
      </c>
      <c r="G315" s="40" t="s">
        <v>7344</v>
      </c>
      <c r="H315" s="40" t="s">
        <v>7345</v>
      </c>
      <c r="I315" s="40" t="s">
        <v>49</v>
      </c>
      <c r="J315" s="40">
        <v>551.79999999999995</v>
      </c>
      <c r="K315" s="40">
        <v>551.79999999999995</v>
      </c>
      <c r="L315" s="40"/>
      <c r="M315" s="40">
        <v>551.79999999999995</v>
      </c>
      <c r="N315" s="40"/>
      <c r="O315" s="40" t="s">
        <v>234</v>
      </c>
    </row>
    <row r="316" spans="1:15" ht="33.75" x14ac:dyDescent="0.2">
      <c r="A316" s="40" t="s">
        <v>7346</v>
      </c>
      <c r="B316" s="40" t="s">
        <v>7347</v>
      </c>
      <c r="C316" s="41">
        <v>46023</v>
      </c>
      <c r="D316" s="41">
        <v>46023</v>
      </c>
      <c r="E316" s="40" t="s">
        <v>13</v>
      </c>
      <c r="F316" s="40" t="s">
        <v>7348</v>
      </c>
      <c r="G316" s="40" t="s">
        <v>7349</v>
      </c>
      <c r="H316" s="40" t="s">
        <v>7350</v>
      </c>
      <c r="I316" s="40" t="s">
        <v>49</v>
      </c>
      <c r="J316" s="40">
        <v>92</v>
      </c>
      <c r="K316" s="40">
        <v>92</v>
      </c>
      <c r="L316" s="40"/>
      <c r="M316" s="40">
        <v>92</v>
      </c>
      <c r="N316" s="40"/>
      <c r="O316" s="40" t="s">
        <v>234</v>
      </c>
    </row>
    <row r="317" spans="1:15" ht="33.75" x14ac:dyDescent="0.2">
      <c r="A317" s="40" t="s">
        <v>7351</v>
      </c>
      <c r="B317" s="40" t="s">
        <v>7352</v>
      </c>
      <c r="C317" s="41">
        <v>46023</v>
      </c>
      <c r="D317" s="41">
        <v>46023</v>
      </c>
      <c r="E317" s="40" t="s">
        <v>13</v>
      </c>
      <c r="F317" s="40" t="s">
        <v>7353</v>
      </c>
      <c r="G317" s="40" t="s">
        <v>7354</v>
      </c>
      <c r="H317" s="40" t="s">
        <v>7355</v>
      </c>
      <c r="I317" s="40" t="s">
        <v>49</v>
      </c>
      <c r="J317" s="40">
        <v>244.79</v>
      </c>
      <c r="K317" s="40">
        <v>244.79</v>
      </c>
      <c r="L317" s="40"/>
      <c r="M317" s="40">
        <v>244.79</v>
      </c>
      <c r="N317" s="40"/>
      <c r="O317" s="40" t="s">
        <v>234</v>
      </c>
    </row>
    <row r="318" spans="1:15" ht="33.75" x14ac:dyDescent="0.2">
      <c r="A318" s="40" t="s">
        <v>7356</v>
      </c>
      <c r="B318" s="40" t="s">
        <v>7357</v>
      </c>
      <c r="C318" s="41">
        <v>46023</v>
      </c>
      <c r="D318" s="41">
        <v>46023</v>
      </c>
      <c r="E318" s="40" t="s">
        <v>13</v>
      </c>
      <c r="F318" s="40" t="s">
        <v>7358</v>
      </c>
      <c r="G318" s="40" t="s">
        <v>7359</v>
      </c>
      <c r="H318" s="40" t="s">
        <v>7360</v>
      </c>
      <c r="I318" s="40" t="s">
        <v>49</v>
      </c>
      <c r="J318" s="40">
        <v>493.75</v>
      </c>
      <c r="K318" s="40">
        <v>493.75</v>
      </c>
      <c r="L318" s="40"/>
      <c r="M318" s="40">
        <v>493.75</v>
      </c>
      <c r="N318" s="40"/>
      <c r="O318" s="40" t="s">
        <v>234</v>
      </c>
    </row>
    <row r="319" spans="1:15" ht="33.75" x14ac:dyDescent="0.2">
      <c r="A319" s="40" t="s">
        <v>7361</v>
      </c>
      <c r="B319" s="40" t="s">
        <v>7362</v>
      </c>
      <c r="C319" s="41">
        <v>46023</v>
      </c>
      <c r="D319" s="41">
        <v>46023</v>
      </c>
      <c r="E319" s="40" t="s">
        <v>13</v>
      </c>
      <c r="F319" s="40" t="s">
        <v>1514</v>
      </c>
      <c r="G319" s="40" t="s">
        <v>7363</v>
      </c>
      <c r="H319" s="40" t="s">
        <v>7364</v>
      </c>
      <c r="I319" s="40" t="s">
        <v>49</v>
      </c>
      <c r="J319" s="40">
        <v>65.92</v>
      </c>
      <c r="K319" s="40">
        <v>65.92</v>
      </c>
      <c r="L319" s="40"/>
      <c r="M319" s="40">
        <v>65.92</v>
      </c>
      <c r="N319" s="40"/>
      <c r="O319" s="40" t="s">
        <v>234</v>
      </c>
    </row>
    <row r="320" spans="1:15" ht="33.75" x14ac:dyDescent="0.2">
      <c r="A320" s="40" t="s">
        <v>7365</v>
      </c>
      <c r="B320" s="40" t="s">
        <v>7366</v>
      </c>
      <c r="C320" s="41">
        <v>46023</v>
      </c>
      <c r="D320" s="41">
        <v>46023</v>
      </c>
      <c r="E320" s="40" t="s">
        <v>13</v>
      </c>
      <c r="F320" s="40" t="s">
        <v>7367</v>
      </c>
      <c r="G320" s="40" t="s">
        <v>7368</v>
      </c>
      <c r="H320" s="40" t="s">
        <v>7369</v>
      </c>
      <c r="I320" s="40" t="s">
        <v>49</v>
      </c>
      <c r="J320" s="40">
        <v>27.54</v>
      </c>
      <c r="K320" s="40">
        <v>27.54</v>
      </c>
      <c r="L320" s="40"/>
      <c r="M320" s="40">
        <v>27.54</v>
      </c>
      <c r="N320" s="40"/>
      <c r="O320" s="40" t="s">
        <v>234</v>
      </c>
    </row>
    <row r="321" spans="1:15" ht="33.75" x14ac:dyDescent="0.2">
      <c r="A321" s="40" t="s">
        <v>7370</v>
      </c>
      <c r="B321" s="40" t="s">
        <v>7371</v>
      </c>
      <c r="C321" s="41">
        <v>46023</v>
      </c>
      <c r="D321" s="41">
        <v>46023</v>
      </c>
      <c r="E321" s="40" t="s">
        <v>13</v>
      </c>
      <c r="F321" s="40" t="s">
        <v>7372</v>
      </c>
      <c r="G321" s="40" t="s">
        <v>7373</v>
      </c>
      <c r="H321" s="40" t="s">
        <v>7374</v>
      </c>
      <c r="I321" s="40" t="s">
        <v>49</v>
      </c>
      <c r="J321" s="40">
        <v>220.32</v>
      </c>
      <c r="K321" s="40">
        <v>220.32</v>
      </c>
      <c r="L321" s="40"/>
      <c r="M321" s="40">
        <v>220.32</v>
      </c>
      <c r="N321" s="40"/>
      <c r="O321" s="40" t="s">
        <v>234</v>
      </c>
    </row>
    <row r="322" spans="1:15" ht="33.75" x14ac:dyDescent="0.2">
      <c r="A322" s="40" t="s">
        <v>7375</v>
      </c>
      <c r="B322" s="40" t="s">
        <v>7376</v>
      </c>
      <c r="C322" s="41">
        <v>46023</v>
      </c>
      <c r="D322" s="41">
        <v>46023</v>
      </c>
      <c r="E322" s="40" t="s">
        <v>13</v>
      </c>
      <c r="F322" s="40" t="s">
        <v>7377</v>
      </c>
      <c r="G322" s="40" t="s">
        <v>7378</v>
      </c>
      <c r="H322" s="40" t="s">
        <v>7379</v>
      </c>
      <c r="I322" s="40" t="s">
        <v>49</v>
      </c>
      <c r="J322" s="40">
        <v>71.92</v>
      </c>
      <c r="K322" s="40">
        <v>71.92</v>
      </c>
      <c r="L322" s="40"/>
      <c r="M322" s="40">
        <v>71.92</v>
      </c>
      <c r="N322" s="40"/>
      <c r="O322" s="40" t="s">
        <v>234</v>
      </c>
    </row>
    <row r="323" spans="1:15" ht="33.75" x14ac:dyDescent="0.2">
      <c r="A323" s="40" t="s">
        <v>7380</v>
      </c>
      <c r="B323" s="40" t="s">
        <v>7381</v>
      </c>
      <c r="C323" s="41">
        <v>46023</v>
      </c>
      <c r="D323" s="41">
        <v>46023</v>
      </c>
      <c r="E323" s="40" t="s">
        <v>13</v>
      </c>
      <c r="F323" s="40" t="s">
        <v>7382</v>
      </c>
      <c r="G323" s="40" t="s">
        <v>7383</v>
      </c>
      <c r="H323" s="40" t="s">
        <v>7384</v>
      </c>
      <c r="I323" s="40" t="s">
        <v>49</v>
      </c>
      <c r="J323" s="40">
        <v>58.5</v>
      </c>
      <c r="K323" s="40">
        <v>58.5</v>
      </c>
      <c r="L323" s="40"/>
      <c r="M323" s="40">
        <v>58.5</v>
      </c>
      <c r="N323" s="40"/>
      <c r="O323" s="40" t="s">
        <v>234</v>
      </c>
    </row>
    <row r="324" spans="1:15" ht="45" x14ac:dyDescent="0.2">
      <c r="A324" s="40" t="s">
        <v>7385</v>
      </c>
      <c r="B324" s="40" t="s">
        <v>7386</v>
      </c>
      <c r="C324" s="41">
        <v>46023</v>
      </c>
      <c r="D324" s="41">
        <v>46023</v>
      </c>
      <c r="E324" s="40" t="s">
        <v>13</v>
      </c>
      <c r="F324" s="40" t="s">
        <v>7387</v>
      </c>
      <c r="G324" s="40" t="s">
        <v>7388</v>
      </c>
      <c r="H324" s="40" t="s">
        <v>7389</v>
      </c>
      <c r="I324" s="40" t="s">
        <v>49</v>
      </c>
      <c r="J324" s="40">
        <v>106.74</v>
      </c>
      <c r="K324" s="40">
        <v>106.74</v>
      </c>
      <c r="L324" s="40"/>
      <c r="M324" s="40">
        <v>106.74</v>
      </c>
      <c r="N324" s="40"/>
      <c r="O324" s="40" t="s">
        <v>234</v>
      </c>
    </row>
    <row r="325" spans="1:15" ht="33.75" x14ac:dyDescent="0.2">
      <c r="A325" s="40" t="s">
        <v>7390</v>
      </c>
      <c r="B325" s="40" t="s">
        <v>7391</v>
      </c>
      <c r="C325" s="41">
        <v>46023</v>
      </c>
      <c r="D325" s="41">
        <v>46023</v>
      </c>
      <c r="E325" s="40" t="s">
        <v>13</v>
      </c>
      <c r="F325" s="40" t="s">
        <v>7392</v>
      </c>
      <c r="G325" s="40" t="s">
        <v>7393</v>
      </c>
      <c r="H325" s="40" t="s">
        <v>7394</v>
      </c>
      <c r="I325" s="40" t="s">
        <v>49</v>
      </c>
      <c r="J325" s="40">
        <v>456.89</v>
      </c>
      <c r="K325" s="40">
        <v>456.89</v>
      </c>
      <c r="L325" s="40"/>
      <c r="M325" s="40">
        <v>456.89</v>
      </c>
      <c r="N325" s="40"/>
      <c r="O325" s="40" t="s">
        <v>234</v>
      </c>
    </row>
    <row r="326" spans="1:15" ht="33.75" x14ac:dyDescent="0.2">
      <c r="A326" s="40" t="s">
        <v>7395</v>
      </c>
      <c r="B326" s="40" t="s">
        <v>7396</v>
      </c>
      <c r="C326" s="41">
        <v>46023</v>
      </c>
      <c r="D326" s="41">
        <v>46023</v>
      </c>
      <c r="E326" s="40" t="s">
        <v>13</v>
      </c>
      <c r="F326" s="40" t="s">
        <v>7397</v>
      </c>
      <c r="G326" s="40" t="s">
        <v>7398</v>
      </c>
      <c r="H326" s="40" t="s">
        <v>7399</v>
      </c>
      <c r="I326" s="40" t="s">
        <v>49</v>
      </c>
      <c r="J326" s="40">
        <v>39.97</v>
      </c>
      <c r="K326" s="40">
        <v>39.97</v>
      </c>
      <c r="L326" s="40"/>
      <c r="M326" s="40">
        <v>39.97</v>
      </c>
      <c r="N326" s="40"/>
      <c r="O326" s="40" t="s">
        <v>234</v>
      </c>
    </row>
    <row r="327" spans="1:15" ht="45" x14ac:dyDescent="0.2">
      <c r="A327" s="40" t="s">
        <v>7400</v>
      </c>
      <c r="B327" s="40" t="s">
        <v>7401</v>
      </c>
      <c r="C327" s="41">
        <v>46023</v>
      </c>
      <c r="D327" s="41">
        <v>46023</v>
      </c>
      <c r="E327" s="40" t="s">
        <v>13</v>
      </c>
      <c r="F327" s="40" t="s">
        <v>7402</v>
      </c>
      <c r="G327" s="40" t="s">
        <v>7403</v>
      </c>
      <c r="H327" s="40" t="s">
        <v>7404</v>
      </c>
      <c r="I327" s="40" t="s">
        <v>49</v>
      </c>
      <c r="J327" s="40">
        <v>98.91</v>
      </c>
      <c r="K327" s="40">
        <v>98.91</v>
      </c>
      <c r="L327" s="40"/>
      <c r="M327" s="40">
        <v>98.91</v>
      </c>
      <c r="N327" s="40"/>
      <c r="O327" s="40" t="s">
        <v>234</v>
      </c>
    </row>
    <row r="328" spans="1:15" ht="33.75" x14ac:dyDescent="0.2">
      <c r="A328" s="40" t="s">
        <v>7405</v>
      </c>
      <c r="B328" s="40" t="s">
        <v>7406</v>
      </c>
      <c r="C328" s="41">
        <v>46023</v>
      </c>
      <c r="D328" s="41">
        <v>46023</v>
      </c>
      <c r="E328" s="40" t="s">
        <v>13</v>
      </c>
      <c r="F328" s="40" t="s">
        <v>658</v>
      </c>
      <c r="G328" s="40" t="s">
        <v>7407</v>
      </c>
      <c r="H328" s="40" t="s">
        <v>7408</v>
      </c>
      <c r="I328" s="40" t="s">
        <v>49</v>
      </c>
      <c r="J328" s="40">
        <v>326.7</v>
      </c>
      <c r="K328" s="40">
        <v>326.7</v>
      </c>
      <c r="L328" s="40"/>
      <c r="M328" s="40">
        <v>326.7</v>
      </c>
      <c r="N328" s="40"/>
      <c r="O328" s="40" t="s">
        <v>234</v>
      </c>
    </row>
    <row r="329" spans="1:15" ht="22.5" x14ac:dyDescent="0.2">
      <c r="A329" s="40" t="s">
        <v>7409</v>
      </c>
      <c r="B329" s="40" t="s">
        <v>7410</v>
      </c>
      <c r="C329" s="41">
        <v>46023</v>
      </c>
      <c r="D329" s="41">
        <v>46023</v>
      </c>
      <c r="E329" s="40" t="s">
        <v>13</v>
      </c>
      <c r="F329" s="40" t="s">
        <v>7411</v>
      </c>
      <c r="G329" s="40" t="s">
        <v>7412</v>
      </c>
      <c r="H329" s="40" t="s">
        <v>7413</v>
      </c>
      <c r="I329" s="40" t="s">
        <v>49</v>
      </c>
      <c r="J329" s="40">
        <v>89.91</v>
      </c>
      <c r="K329" s="40">
        <v>89.91</v>
      </c>
      <c r="L329" s="40"/>
      <c r="M329" s="40">
        <v>89.91</v>
      </c>
      <c r="N329" s="40"/>
      <c r="O329" s="40" t="s">
        <v>234</v>
      </c>
    </row>
    <row r="330" spans="1:15" ht="33.75" x14ac:dyDescent="0.2">
      <c r="A330" s="40" t="s">
        <v>7414</v>
      </c>
      <c r="B330" s="40" t="s">
        <v>7415</v>
      </c>
      <c r="C330" s="41">
        <v>46023</v>
      </c>
      <c r="D330" s="41">
        <v>46023</v>
      </c>
      <c r="E330" s="40" t="s">
        <v>13</v>
      </c>
      <c r="F330" s="40" t="s">
        <v>7416</v>
      </c>
      <c r="G330" s="40" t="s">
        <v>7417</v>
      </c>
      <c r="H330" s="40" t="s">
        <v>7418</v>
      </c>
      <c r="I330" s="40" t="s">
        <v>49</v>
      </c>
      <c r="J330" s="40">
        <v>136.21</v>
      </c>
      <c r="K330" s="40">
        <v>136.21</v>
      </c>
      <c r="L330" s="40"/>
      <c r="M330" s="40">
        <v>136.21</v>
      </c>
      <c r="N330" s="40"/>
      <c r="O330" s="40" t="s">
        <v>234</v>
      </c>
    </row>
    <row r="331" spans="1:15" ht="33.75" x14ac:dyDescent="0.2">
      <c r="A331" s="40" t="s">
        <v>7419</v>
      </c>
      <c r="B331" s="40" t="s">
        <v>7420</v>
      </c>
      <c r="C331" s="41">
        <v>46023</v>
      </c>
      <c r="D331" s="41">
        <v>46023</v>
      </c>
      <c r="E331" s="40" t="s">
        <v>13</v>
      </c>
      <c r="F331" s="40" t="s">
        <v>134</v>
      </c>
      <c r="G331" s="40" t="s">
        <v>7421</v>
      </c>
      <c r="H331" s="40" t="s">
        <v>7422</v>
      </c>
      <c r="I331" s="40" t="s">
        <v>49</v>
      </c>
      <c r="J331" s="40">
        <v>54.01</v>
      </c>
      <c r="K331" s="40">
        <v>54.01</v>
      </c>
      <c r="L331" s="40"/>
      <c r="M331" s="40">
        <v>54.01</v>
      </c>
      <c r="N331" s="40"/>
      <c r="O331" s="40" t="s">
        <v>234</v>
      </c>
    </row>
    <row r="332" spans="1:15" ht="33.75" x14ac:dyDescent="0.2">
      <c r="A332" s="40" t="s">
        <v>7423</v>
      </c>
      <c r="B332" s="40" t="s">
        <v>7424</v>
      </c>
      <c r="C332" s="41">
        <v>46023</v>
      </c>
      <c r="D332" s="41">
        <v>46023</v>
      </c>
      <c r="E332" s="40" t="s">
        <v>13</v>
      </c>
      <c r="F332" s="40" t="s">
        <v>7425</v>
      </c>
      <c r="G332" s="40" t="s">
        <v>7426</v>
      </c>
      <c r="H332" s="40" t="s">
        <v>7427</v>
      </c>
      <c r="I332" s="40" t="s">
        <v>49</v>
      </c>
      <c r="J332" s="40">
        <v>97.45</v>
      </c>
      <c r="K332" s="40">
        <v>97.45</v>
      </c>
      <c r="L332" s="40"/>
      <c r="M332" s="40">
        <v>97.45</v>
      </c>
      <c r="N332" s="40"/>
      <c r="O332" s="40" t="s">
        <v>234</v>
      </c>
    </row>
    <row r="333" spans="1:15" ht="33.75" x14ac:dyDescent="0.2">
      <c r="A333" s="40" t="s">
        <v>7428</v>
      </c>
      <c r="B333" s="40" t="s">
        <v>7429</v>
      </c>
      <c r="C333" s="41">
        <v>46023</v>
      </c>
      <c r="D333" s="41">
        <v>46023</v>
      </c>
      <c r="E333" s="40" t="s">
        <v>13</v>
      </c>
      <c r="F333" s="40" t="s">
        <v>7430</v>
      </c>
      <c r="G333" s="40" t="s">
        <v>7431</v>
      </c>
      <c r="H333" s="40" t="s">
        <v>7432</v>
      </c>
      <c r="I333" s="40" t="s">
        <v>49</v>
      </c>
      <c r="J333" s="40">
        <v>68.13</v>
      </c>
      <c r="K333" s="40">
        <v>68.13</v>
      </c>
      <c r="L333" s="40"/>
      <c r="M333" s="40">
        <v>68.13</v>
      </c>
      <c r="N333" s="40"/>
      <c r="O333" s="40" t="s">
        <v>234</v>
      </c>
    </row>
    <row r="334" spans="1:15" ht="33.75" x14ac:dyDescent="0.2">
      <c r="A334" s="40" t="s">
        <v>7433</v>
      </c>
      <c r="B334" s="40" t="s">
        <v>7434</v>
      </c>
      <c r="C334" s="41">
        <v>46023</v>
      </c>
      <c r="D334" s="41">
        <v>46023</v>
      </c>
      <c r="E334" s="40" t="s">
        <v>13</v>
      </c>
      <c r="F334" s="40" t="s">
        <v>7435</v>
      </c>
      <c r="G334" s="40" t="s">
        <v>7436</v>
      </c>
      <c r="H334" s="40" t="s">
        <v>7437</v>
      </c>
      <c r="I334" s="40" t="s">
        <v>49</v>
      </c>
      <c r="J334" s="40">
        <v>66.52</v>
      </c>
      <c r="K334" s="40">
        <v>66.52</v>
      </c>
      <c r="L334" s="40"/>
      <c r="M334" s="40">
        <v>66.52</v>
      </c>
      <c r="N334" s="40"/>
      <c r="O334" s="40" t="s">
        <v>234</v>
      </c>
    </row>
    <row r="335" spans="1:15" ht="33.75" x14ac:dyDescent="0.2">
      <c r="A335" s="40" t="s">
        <v>7438</v>
      </c>
      <c r="B335" s="40" t="s">
        <v>7439</v>
      </c>
      <c r="C335" s="41">
        <v>46023</v>
      </c>
      <c r="D335" s="41">
        <v>46023</v>
      </c>
      <c r="E335" s="40" t="s">
        <v>13</v>
      </c>
      <c r="F335" s="40" t="s">
        <v>1840</v>
      </c>
      <c r="G335" s="40" t="s">
        <v>7440</v>
      </c>
      <c r="H335" s="40" t="s">
        <v>7441</v>
      </c>
      <c r="I335" s="40" t="s">
        <v>49</v>
      </c>
      <c r="J335" s="40">
        <v>148.6</v>
      </c>
      <c r="K335" s="40">
        <v>148.6</v>
      </c>
      <c r="L335" s="40"/>
      <c r="M335" s="40">
        <v>148.6</v>
      </c>
      <c r="N335" s="40"/>
      <c r="O335" s="40" t="s">
        <v>234</v>
      </c>
    </row>
    <row r="336" spans="1:15" ht="33.75" x14ac:dyDescent="0.2">
      <c r="A336" s="40" t="s">
        <v>7442</v>
      </c>
      <c r="B336" s="40" t="s">
        <v>7443</v>
      </c>
      <c r="C336" s="41">
        <v>46023</v>
      </c>
      <c r="D336" s="41">
        <v>46023</v>
      </c>
      <c r="E336" s="40" t="s">
        <v>13</v>
      </c>
      <c r="F336" s="40" t="s">
        <v>7444</v>
      </c>
      <c r="G336" s="40" t="s">
        <v>7445</v>
      </c>
      <c r="H336" s="40" t="s">
        <v>7446</v>
      </c>
      <c r="I336" s="40" t="s">
        <v>49</v>
      </c>
      <c r="J336" s="40">
        <v>56.24</v>
      </c>
      <c r="K336" s="40">
        <v>56.24</v>
      </c>
      <c r="L336" s="40"/>
      <c r="M336" s="40">
        <v>56.24</v>
      </c>
      <c r="N336" s="40"/>
      <c r="O336" s="40" t="s">
        <v>234</v>
      </c>
    </row>
    <row r="337" spans="1:15" ht="33.75" x14ac:dyDescent="0.2">
      <c r="A337" s="40" t="s">
        <v>7447</v>
      </c>
      <c r="B337" s="40" t="s">
        <v>7448</v>
      </c>
      <c r="C337" s="41">
        <v>46023</v>
      </c>
      <c r="D337" s="41">
        <v>46023</v>
      </c>
      <c r="E337" s="40" t="s">
        <v>13</v>
      </c>
      <c r="F337" s="40" t="s">
        <v>7449</v>
      </c>
      <c r="G337" s="40" t="s">
        <v>7450</v>
      </c>
      <c r="H337" s="40" t="s">
        <v>7451</v>
      </c>
      <c r="I337" s="40" t="s">
        <v>49</v>
      </c>
      <c r="J337" s="40">
        <v>121.52</v>
      </c>
      <c r="K337" s="40">
        <v>121.52</v>
      </c>
      <c r="L337" s="40"/>
      <c r="M337" s="40">
        <v>121.52</v>
      </c>
      <c r="N337" s="40"/>
      <c r="O337" s="40" t="s">
        <v>234</v>
      </c>
    </row>
    <row r="338" spans="1:15" ht="33.75" x14ac:dyDescent="0.2">
      <c r="A338" s="40" t="s">
        <v>7452</v>
      </c>
      <c r="B338" s="40" t="s">
        <v>7453</v>
      </c>
      <c r="C338" s="41">
        <v>46023</v>
      </c>
      <c r="D338" s="41">
        <v>46023</v>
      </c>
      <c r="E338" s="40" t="s">
        <v>13</v>
      </c>
      <c r="F338" s="40" t="s">
        <v>7454</v>
      </c>
      <c r="G338" s="40" t="s">
        <v>7455</v>
      </c>
      <c r="H338" s="40" t="s">
        <v>7456</v>
      </c>
      <c r="I338" s="40" t="s">
        <v>49</v>
      </c>
      <c r="J338" s="40">
        <v>40.51</v>
      </c>
      <c r="K338" s="40">
        <v>40.51</v>
      </c>
      <c r="L338" s="40"/>
      <c r="M338" s="40">
        <v>40.51</v>
      </c>
      <c r="N338" s="40"/>
      <c r="O338" s="40" t="s">
        <v>234</v>
      </c>
    </row>
    <row r="339" spans="1:15" ht="33.75" x14ac:dyDescent="0.2">
      <c r="A339" s="40" t="s">
        <v>7457</v>
      </c>
      <c r="B339" s="40" t="s">
        <v>7458</v>
      </c>
      <c r="C339" s="41">
        <v>46023</v>
      </c>
      <c r="D339" s="41">
        <v>46023</v>
      </c>
      <c r="E339" s="40" t="s">
        <v>13</v>
      </c>
      <c r="F339" s="40" t="s">
        <v>7459</v>
      </c>
      <c r="G339" s="40" t="s">
        <v>7460</v>
      </c>
      <c r="H339" s="40" t="s">
        <v>7461</v>
      </c>
      <c r="I339" s="40" t="s">
        <v>49</v>
      </c>
      <c r="J339" s="40">
        <v>174.25</v>
      </c>
      <c r="K339" s="40">
        <v>174.25</v>
      </c>
      <c r="L339" s="40"/>
      <c r="M339" s="40">
        <v>174.25</v>
      </c>
      <c r="N339" s="40"/>
      <c r="O339" s="40" t="s">
        <v>234</v>
      </c>
    </row>
    <row r="340" spans="1:15" ht="33.75" x14ac:dyDescent="0.2">
      <c r="A340" s="40" t="s">
        <v>7462</v>
      </c>
      <c r="B340" s="40" t="s">
        <v>7463</v>
      </c>
      <c r="C340" s="41">
        <v>46023</v>
      </c>
      <c r="D340" s="41">
        <v>46023</v>
      </c>
      <c r="E340" s="40" t="s">
        <v>13</v>
      </c>
      <c r="F340" s="40" t="s">
        <v>7153</v>
      </c>
      <c r="G340" s="40" t="s">
        <v>7464</v>
      </c>
      <c r="H340" s="40" t="s">
        <v>7465</v>
      </c>
      <c r="I340" s="40" t="s">
        <v>49</v>
      </c>
      <c r="J340" s="40">
        <v>297</v>
      </c>
      <c r="K340" s="40">
        <v>297</v>
      </c>
      <c r="L340" s="40"/>
      <c r="M340" s="40">
        <v>297</v>
      </c>
      <c r="N340" s="40"/>
      <c r="O340" s="40" t="s">
        <v>234</v>
      </c>
    </row>
    <row r="341" spans="1:15" ht="33.75" x14ac:dyDescent="0.2">
      <c r="A341" s="40" t="s">
        <v>7466</v>
      </c>
      <c r="B341" s="40" t="s">
        <v>7467</v>
      </c>
      <c r="C341" s="41">
        <v>46023</v>
      </c>
      <c r="D341" s="41">
        <v>46023</v>
      </c>
      <c r="E341" s="40" t="s">
        <v>13</v>
      </c>
      <c r="F341" s="40" t="s">
        <v>7468</v>
      </c>
      <c r="G341" s="40" t="s">
        <v>7469</v>
      </c>
      <c r="H341" s="40" t="s">
        <v>7470</v>
      </c>
      <c r="I341" s="40" t="s">
        <v>49</v>
      </c>
      <c r="J341" s="40">
        <v>338.09</v>
      </c>
      <c r="K341" s="40">
        <v>338.09</v>
      </c>
      <c r="L341" s="40"/>
      <c r="M341" s="40">
        <v>338.09</v>
      </c>
      <c r="N341" s="40"/>
      <c r="O341" s="40" t="s">
        <v>234</v>
      </c>
    </row>
    <row r="342" spans="1:15" ht="33.75" x14ac:dyDescent="0.2">
      <c r="A342" s="40" t="s">
        <v>7471</v>
      </c>
      <c r="B342" s="40" t="s">
        <v>7472</v>
      </c>
      <c r="C342" s="41">
        <v>46023</v>
      </c>
      <c r="D342" s="41">
        <v>46023</v>
      </c>
      <c r="E342" s="40" t="s">
        <v>13</v>
      </c>
      <c r="F342" s="40" t="s">
        <v>7473</v>
      </c>
      <c r="G342" s="40" t="s">
        <v>7474</v>
      </c>
      <c r="H342" s="40" t="s">
        <v>7475</v>
      </c>
      <c r="I342" s="40" t="s">
        <v>49</v>
      </c>
      <c r="J342" s="40">
        <v>65.7</v>
      </c>
      <c r="K342" s="40">
        <v>65.7</v>
      </c>
      <c r="L342" s="40"/>
      <c r="M342" s="40">
        <v>65.7</v>
      </c>
      <c r="N342" s="40"/>
      <c r="O342" s="40" t="s">
        <v>234</v>
      </c>
    </row>
    <row r="343" spans="1:15" ht="33.75" x14ac:dyDescent="0.2">
      <c r="A343" s="40" t="s">
        <v>7476</v>
      </c>
      <c r="B343" s="40" t="s">
        <v>7477</v>
      </c>
      <c r="C343" s="41">
        <v>46023</v>
      </c>
      <c r="D343" s="41">
        <v>46023</v>
      </c>
      <c r="E343" s="40" t="s">
        <v>13</v>
      </c>
      <c r="F343" s="40" t="s">
        <v>7285</v>
      </c>
      <c r="G343" s="40" t="s">
        <v>7478</v>
      </c>
      <c r="H343" s="40" t="s">
        <v>7479</v>
      </c>
      <c r="I343" s="40" t="s">
        <v>49</v>
      </c>
      <c r="J343" s="40">
        <v>390.6</v>
      </c>
      <c r="K343" s="40">
        <v>390.6</v>
      </c>
      <c r="L343" s="40"/>
      <c r="M343" s="40">
        <v>390.6</v>
      </c>
      <c r="N343" s="40"/>
      <c r="O343" s="40" t="s">
        <v>234</v>
      </c>
    </row>
    <row r="344" spans="1:15" ht="33.75" x14ac:dyDescent="0.2">
      <c r="A344" s="40" t="s">
        <v>7480</v>
      </c>
      <c r="B344" s="40" t="s">
        <v>7481</v>
      </c>
      <c r="C344" s="41">
        <v>46023</v>
      </c>
      <c r="D344" s="41">
        <v>46023</v>
      </c>
      <c r="E344" s="40" t="s">
        <v>13</v>
      </c>
      <c r="F344" s="40" t="s">
        <v>7482</v>
      </c>
      <c r="G344" s="40" t="s">
        <v>7483</v>
      </c>
      <c r="H344" s="40" t="s">
        <v>7484</v>
      </c>
      <c r="I344" s="40" t="s">
        <v>49</v>
      </c>
      <c r="J344" s="40">
        <v>167.77</v>
      </c>
      <c r="K344" s="40">
        <v>167.77</v>
      </c>
      <c r="L344" s="40"/>
      <c r="M344" s="40">
        <v>167.77</v>
      </c>
      <c r="N344" s="40"/>
      <c r="O344" s="40" t="s">
        <v>234</v>
      </c>
    </row>
    <row r="345" spans="1:15" ht="33.75" x14ac:dyDescent="0.2">
      <c r="A345" s="40" t="s">
        <v>7485</v>
      </c>
      <c r="B345" s="40" t="s">
        <v>7486</v>
      </c>
      <c r="C345" s="41">
        <v>46023</v>
      </c>
      <c r="D345" s="41">
        <v>46023</v>
      </c>
      <c r="E345" s="40" t="s">
        <v>13</v>
      </c>
      <c r="F345" s="40" t="s">
        <v>7487</v>
      </c>
      <c r="G345" s="40" t="s">
        <v>7488</v>
      </c>
      <c r="H345" s="40" t="s">
        <v>7489</v>
      </c>
      <c r="I345" s="40" t="s">
        <v>49</v>
      </c>
      <c r="J345" s="40">
        <v>34.25</v>
      </c>
      <c r="K345" s="40">
        <v>34.25</v>
      </c>
      <c r="L345" s="40"/>
      <c r="M345" s="40">
        <v>34.25</v>
      </c>
      <c r="N345" s="40"/>
      <c r="O345" s="40" t="s">
        <v>234</v>
      </c>
    </row>
    <row r="346" spans="1:15" ht="33.75" x14ac:dyDescent="0.2">
      <c r="A346" s="40" t="s">
        <v>7490</v>
      </c>
      <c r="B346" s="40" t="s">
        <v>7491</v>
      </c>
      <c r="C346" s="41">
        <v>46023</v>
      </c>
      <c r="D346" s="41">
        <v>46023</v>
      </c>
      <c r="E346" s="40" t="s">
        <v>13</v>
      </c>
      <c r="F346" s="40" t="s">
        <v>7492</v>
      </c>
      <c r="G346" s="40" t="s">
        <v>7493</v>
      </c>
      <c r="H346" s="40" t="s">
        <v>7494</v>
      </c>
      <c r="I346" s="40" t="s">
        <v>49</v>
      </c>
      <c r="J346" s="40">
        <v>20</v>
      </c>
      <c r="K346" s="40">
        <v>20</v>
      </c>
      <c r="L346" s="40"/>
      <c r="M346" s="40">
        <v>20</v>
      </c>
      <c r="N346" s="40"/>
      <c r="O346" s="40" t="s">
        <v>234</v>
      </c>
    </row>
    <row r="347" spans="1:15" ht="33.75" x14ac:dyDescent="0.2">
      <c r="A347" s="40" t="s">
        <v>7495</v>
      </c>
      <c r="B347" s="40" t="s">
        <v>7496</v>
      </c>
      <c r="C347" s="41">
        <v>46023</v>
      </c>
      <c r="D347" s="41">
        <v>46023</v>
      </c>
      <c r="E347" s="40" t="s">
        <v>13</v>
      </c>
      <c r="F347" s="40" t="s">
        <v>1224</v>
      </c>
      <c r="G347" s="40" t="s">
        <v>7497</v>
      </c>
      <c r="H347" s="40" t="s">
        <v>7498</v>
      </c>
      <c r="I347" s="40" t="s">
        <v>49</v>
      </c>
      <c r="J347" s="40">
        <v>79.3</v>
      </c>
      <c r="K347" s="40">
        <v>79.3</v>
      </c>
      <c r="L347" s="40"/>
      <c r="M347" s="40">
        <v>79.3</v>
      </c>
      <c r="N347" s="40"/>
      <c r="O347" s="40" t="s">
        <v>234</v>
      </c>
    </row>
    <row r="348" spans="1:15" ht="33.75" x14ac:dyDescent="0.2">
      <c r="A348" s="40" t="s">
        <v>7499</v>
      </c>
      <c r="B348" s="40" t="s">
        <v>7500</v>
      </c>
      <c r="C348" s="41">
        <v>46023</v>
      </c>
      <c r="D348" s="41">
        <v>46023</v>
      </c>
      <c r="E348" s="40" t="s">
        <v>13</v>
      </c>
      <c r="F348" s="40" t="s">
        <v>6956</v>
      </c>
      <c r="G348" s="40" t="s">
        <v>7501</v>
      </c>
      <c r="H348" s="40" t="s">
        <v>7502</v>
      </c>
      <c r="I348" s="40" t="s">
        <v>49</v>
      </c>
      <c r="J348" s="40">
        <v>52.2</v>
      </c>
      <c r="K348" s="40">
        <v>52.2</v>
      </c>
      <c r="L348" s="40"/>
      <c r="M348" s="40">
        <v>52.2</v>
      </c>
      <c r="N348" s="40"/>
      <c r="O348" s="40" t="s">
        <v>234</v>
      </c>
    </row>
    <row r="349" spans="1:15" ht="33.75" x14ac:dyDescent="0.2">
      <c r="A349" s="40" t="s">
        <v>7503</v>
      </c>
      <c r="B349" s="40" t="s">
        <v>7504</v>
      </c>
      <c r="C349" s="41">
        <v>46023</v>
      </c>
      <c r="D349" s="41">
        <v>46023</v>
      </c>
      <c r="E349" s="40" t="s">
        <v>13</v>
      </c>
      <c r="F349" s="40" t="s">
        <v>7505</v>
      </c>
      <c r="G349" s="40" t="s">
        <v>7506</v>
      </c>
      <c r="H349" s="40" t="s">
        <v>7507</v>
      </c>
      <c r="I349" s="40" t="s">
        <v>49</v>
      </c>
      <c r="J349" s="40">
        <v>89</v>
      </c>
      <c r="K349" s="40">
        <v>89</v>
      </c>
      <c r="L349" s="40"/>
      <c r="M349" s="40">
        <v>89</v>
      </c>
      <c r="N349" s="40"/>
      <c r="O349" s="40" t="s">
        <v>234</v>
      </c>
    </row>
    <row r="350" spans="1:15" ht="33.75" x14ac:dyDescent="0.2">
      <c r="A350" s="40" t="s">
        <v>7508</v>
      </c>
      <c r="B350" s="40" t="s">
        <v>7509</v>
      </c>
      <c r="C350" s="41">
        <v>46023</v>
      </c>
      <c r="D350" s="41">
        <v>46023</v>
      </c>
      <c r="E350" s="40" t="s">
        <v>13</v>
      </c>
      <c r="F350" s="40" t="s">
        <v>7510</v>
      </c>
      <c r="G350" s="40" t="s">
        <v>7511</v>
      </c>
      <c r="H350" s="40" t="s">
        <v>7512</v>
      </c>
      <c r="I350" s="40" t="s">
        <v>49</v>
      </c>
      <c r="J350" s="40">
        <v>159.85</v>
      </c>
      <c r="K350" s="40">
        <v>159.85</v>
      </c>
      <c r="L350" s="40"/>
      <c r="M350" s="40">
        <v>159.85</v>
      </c>
      <c r="N350" s="40"/>
      <c r="O350" s="40" t="s">
        <v>234</v>
      </c>
    </row>
    <row r="351" spans="1:15" ht="33.75" x14ac:dyDescent="0.2">
      <c r="A351" s="40" t="s">
        <v>7513</v>
      </c>
      <c r="B351" s="40" t="s">
        <v>7514</v>
      </c>
      <c r="C351" s="41">
        <v>46023</v>
      </c>
      <c r="D351" s="41">
        <v>46023</v>
      </c>
      <c r="E351" s="40" t="s">
        <v>13</v>
      </c>
      <c r="F351" s="40" t="s">
        <v>1550</v>
      </c>
      <c r="G351" s="40" t="s">
        <v>7515</v>
      </c>
      <c r="H351" s="40" t="s">
        <v>7516</v>
      </c>
      <c r="I351" s="40" t="s">
        <v>49</v>
      </c>
      <c r="J351" s="40">
        <v>236.41</v>
      </c>
      <c r="K351" s="40">
        <v>236.41</v>
      </c>
      <c r="L351" s="40"/>
      <c r="M351" s="40">
        <v>236.41</v>
      </c>
      <c r="N351" s="40"/>
      <c r="O351" s="40" t="s">
        <v>234</v>
      </c>
    </row>
    <row r="352" spans="1:15" ht="33.75" x14ac:dyDescent="0.2">
      <c r="A352" s="40" t="s">
        <v>7517</v>
      </c>
      <c r="B352" s="40" t="s">
        <v>7518</v>
      </c>
      <c r="C352" s="41">
        <v>46023</v>
      </c>
      <c r="D352" s="41">
        <v>46023</v>
      </c>
      <c r="E352" s="40" t="s">
        <v>13</v>
      </c>
      <c r="F352" s="40" t="s">
        <v>7519</v>
      </c>
      <c r="G352" s="40" t="s">
        <v>7520</v>
      </c>
      <c r="H352" s="40" t="s">
        <v>7521</v>
      </c>
      <c r="I352" s="40" t="s">
        <v>49</v>
      </c>
      <c r="J352" s="40">
        <v>129.01</v>
      </c>
      <c r="K352" s="40">
        <v>129.01</v>
      </c>
      <c r="L352" s="40"/>
      <c r="M352" s="40">
        <v>129.01</v>
      </c>
      <c r="N352" s="40"/>
      <c r="O352" s="40" t="s">
        <v>234</v>
      </c>
    </row>
    <row r="353" spans="1:15" ht="33.75" x14ac:dyDescent="0.2">
      <c r="A353" s="40" t="s">
        <v>7522</v>
      </c>
      <c r="B353" s="40" t="s">
        <v>7523</v>
      </c>
      <c r="C353" s="41">
        <v>46023</v>
      </c>
      <c r="D353" s="41">
        <v>46023</v>
      </c>
      <c r="E353" s="40" t="s">
        <v>13</v>
      </c>
      <c r="F353" s="40" t="s">
        <v>7524</v>
      </c>
      <c r="G353" s="40" t="s">
        <v>7525</v>
      </c>
      <c r="H353" s="40" t="s">
        <v>7526</v>
      </c>
      <c r="I353" s="40" t="s">
        <v>49</v>
      </c>
      <c r="J353" s="40">
        <v>163.71</v>
      </c>
      <c r="K353" s="40">
        <v>163.71</v>
      </c>
      <c r="L353" s="40"/>
      <c r="M353" s="40">
        <v>163.71</v>
      </c>
      <c r="N353" s="40"/>
      <c r="O353" s="40" t="s">
        <v>234</v>
      </c>
    </row>
    <row r="354" spans="1:15" ht="33.75" x14ac:dyDescent="0.2">
      <c r="A354" s="40" t="s">
        <v>7527</v>
      </c>
      <c r="B354" s="40" t="s">
        <v>7528</v>
      </c>
      <c r="C354" s="41">
        <v>46023</v>
      </c>
      <c r="D354" s="41">
        <v>46023</v>
      </c>
      <c r="E354" s="40" t="s">
        <v>13</v>
      </c>
      <c r="F354" s="40" t="s">
        <v>7529</v>
      </c>
      <c r="G354" s="40" t="s">
        <v>7530</v>
      </c>
      <c r="H354" s="40" t="s">
        <v>7531</v>
      </c>
      <c r="I354" s="40" t="s">
        <v>49</v>
      </c>
      <c r="J354" s="40">
        <v>432.64</v>
      </c>
      <c r="K354" s="40">
        <v>432.64</v>
      </c>
      <c r="L354" s="40"/>
      <c r="M354" s="40">
        <v>432.64</v>
      </c>
      <c r="N354" s="40"/>
      <c r="O354" s="40" t="s">
        <v>234</v>
      </c>
    </row>
    <row r="355" spans="1:15" ht="33.75" x14ac:dyDescent="0.2">
      <c r="A355" s="40" t="s">
        <v>7532</v>
      </c>
      <c r="B355" s="40" t="s">
        <v>7533</v>
      </c>
      <c r="C355" s="41">
        <v>46023</v>
      </c>
      <c r="D355" s="41">
        <v>46023</v>
      </c>
      <c r="E355" s="40" t="s">
        <v>13</v>
      </c>
      <c r="F355" s="40" t="s">
        <v>1391</v>
      </c>
      <c r="G355" s="40" t="s">
        <v>7534</v>
      </c>
      <c r="H355" s="40" t="s">
        <v>7535</v>
      </c>
      <c r="I355" s="40" t="s">
        <v>49</v>
      </c>
      <c r="J355" s="40">
        <v>199.52</v>
      </c>
      <c r="K355" s="40">
        <v>199.52</v>
      </c>
      <c r="L355" s="40"/>
      <c r="M355" s="40">
        <v>199.52</v>
      </c>
      <c r="N355" s="40"/>
      <c r="O355" s="40" t="s">
        <v>234</v>
      </c>
    </row>
    <row r="356" spans="1:15" ht="33.75" x14ac:dyDescent="0.2">
      <c r="A356" s="40" t="s">
        <v>7536</v>
      </c>
      <c r="B356" s="40" t="s">
        <v>7537</v>
      </c>
      <c r="C356" s="41">
        <v>46023</v>
      </c>
      <c r="D356" s="41">
        <v>46023</v>
      </c>
      <c r="E356" s="40" t="s">
        <v>13</v>
      </c>
      <c r="F356" s="40" t="s">
        <v>7538</v>
      </c>
      <c r="G356" s="40" t="s">
        <v>7539</v>
      </c>
      <c r="H356" s="40" t="s">
        <v>7540</v>
      </c>
      <c r="I356" s="40" t="s">
        <v>49</v>
      </c>
      <c r="J356" s="40">
        <v>143.1</v>
      </c>
      <c r="K356" s="40">
        <v>143.1</v>
      </c>
      <c r="L356" s="40"/>
      <c r="M356" s="40">
        <v>143.1</v>
      </c>
      <c r="N356" s="40"/>
      <c r="O356" s="40" t="s">
        <v>234</v>
      </c>
    </row>
    <row r="357" spans="1:15" ht="33.75" x14ac:dyDescent="0.2">
      <c r="A357" s="40" t="s">
        <v>7541</v>
      </c>
      <c r="B357" s="40" t="s">
        <v>7542</v>
      </c>
      <c r="C357" s="41">
        <v>46023</v>
      </c>
      <c r="D357" s="41">
        <v>46023</v>
      </c>
      <c r="E357" s="40" t="s">
        <v>13</v>
      </c>
      <c r="F357" s="40" t="s">
        <v>7543</v>
      </c>
      <c r="G357" s="40" t="s">
        <v>7544</v>
      </c>
      <c r="H357" s="40" t="s">
        <v>7545</v>
      </c>
      <c r="I357" s="40" t="s">
        <v>49</v>
      </c>
      <c r="J357" s="40">
        <v>121.86</v>
      </c>
      <c r="K357" s="40">
        <v>121.86</v>
      </c>
      <c r="L357" s="40"/>
      <c r="M357" s="40">
        <v>121.86</v>
      </c>
      <c r="N357" s="40"/>
      <c r="O357" s="40" t="s">
        <v>234</v>
      </c>
    </row>
    <row r="358" spans="1:15" ht="33.75" x14ac:dyDescent="0.2">
      <c r="A358" s="40" t="s">
        <v>7546</v>
      </c>
      <c r="B358" s="40" t="s">
        <v>7547</v>
      </c>
      <c r="C358" s="41">
        <v>46023</v>
      </c>
      <c r="D358" s="41">
        <v>46023</v>
      </c>
      <c r="E358" s="40" t="s">
        <v>13</v>
      </c>
      <c r="F358" s="40" t="s">
        <v>6971</v>
      </c>
      <c r="G358" s="40" t="s">
        <v>6972</v>
      </c>
      <c r="H358" s="40" t="s">
        <v>7548</v>
      </c>
      <c r="I358" s="40" t="s">
        <v>49</v>
      </c>
      <c r="J358" s="40">
        <v>99.01</v>
      </c>
      <c r="K358" s="40">
        <v>99.01</v>
      </c>
      <c r="L358" s="40"/>
      <c r="M358" s="40">
        <v>99.01</v>
      </c>
      <c r="N358" s="40"/>
      <c r="O358" s="40" t="s">
        <v>234</v>
      </c>
    </row>
    <row r="359" spans="1:15" ht="33.75" x14ac:dyDescent="0.2">
      <c r="A359" s="40" t="s">
        <v>7549</v>
      </c>
      <c r="B359" s="40" t="s">
        <v>7550</v>
      </c>
      <c r="C359" s="41">
        <v>46023</v>
      </c>
      <c r="D359" s="41">
        <v>46023</v>
      </c>
      <c r="E359" s="40" t="s">
        <v>13</v>
      </c>
      <c r="F359" s="40" t="s">
        <v>4393</v>
      </c>
      <c r="G359" s="40" t="s">
        <v>7551</v>
      </c>
      <c r="H359" s="40" t="s">
        <v>7552</v>
      </c>
      <c r="I359" s="40" t="s">
        <v>49</v>
      </c>
      <c r="J359" s="40">
        <v>247.2</v>
      </c>
      <c r="K359" s="40">
        <v>247.2</v>
      </c>
      <c r="L359" s="40"/>
      <c r="M359" s="40">
        <v>247.2</v>
      </c>
      <c r="N359" s="40"/>
      <c r="O359" s="40" t="s">
        <v>234</v>
      </c>
    </row>
    <row r="360" spans="1:15" ht="33.75" x14ac:dyDescent="0.2">
      <c r="A360" s="40" t="s">
        <v>7553</v>
      </c>
      <c r="B360" s="40" t="s">
        <v>7554</v>
      </c>
      <c r="C360" s="41">
        <v>46023</v>
      </c>
      <c r="D360" s="41">
        <v>46023</v>
      </c>
      <c r="E360" s="40" t="s">
        <v>13</v>
      </c>
      <c r="F360" s="40" t="s">
        <v>7555</v>
      </c>
      <c r="G360" s="40" t="s">
        <v>7556</v>
      </c>
      <c r="H360" s="40" t="s">
        <v>7557</v>
      </c>
      <c r="I360" s="40" t="s">
        <v>49</v>
      </c>
      <c r="J360" s="40">
        <v>215.57</v>
      </c>
      <c r="K360" s="40">
        <v>215.57</v>
      </c>
      <c r="L360" s="40"/>
      <c r="M360" s="40">
        <v>215.57</v>
      </c>
      <c r="N360" s="40"/>
      <c r="O360" s="40" t="s">
        <v>234</v>
      </c>
    </row>
    <row r="361" spans="1:15" ht="33.75" x14ac:dyDescent="0.2">
      <c r="A361" s="40" t="s">
        <v>7558</v>
      </c>
      <c r="B361" s="40" t="s">
        <v>7559</v>
      </c>
      <c r="C361" s="41">
        <v>46023</v>
      </c>
      <c r="D361" s="41">
        <v>46023</v>
      </c>
      <c r="E361" s="40" t="s">
        <v>13</v>
      </c>
      <c r="F361" s="40" t="s">
        <v>7560</v>
      </c>
      <c r="G361" s="40" t="s">
        <v>7561</v>
      </c>
      <c r="H361" s="40" t="s">
        <v>7562</v>
      </c>
      <c r="I361" s="40" t="s">
        <v>49</v>
      </c>
      <c r="J361" s="40">
        <v>341.65</v>
      </c>
      <c r="K361" s="40">
        <v>341.65</v>
      </c>
      <c r="L361" s="40"/>
      <c r="M361" s="40">
        <v>341.65</v>
      </c>
      <c r="N361" s="40"/>
      <c r="O361" s="40" t="s">
        <v>234</v>
      </c>
    </row>
    <row r="362" spans="1:15" ht="33.75" x14ac:dyDescent="0.2">
      <c r="A362" s="40" t="s">
        <v>7563</v>
      </c>
      <c r="B362" s="40" t="s">
        <v>7564</v>
      </c>
      <c r="C362" s="41">
        <v>46023</v>
      </c>
      <c r="D362" s="41">
        <v>46023</v>
      </c>
      <c r="E362" s="40" t="s">
        <v>13</v>
      </c>
      <c r="F362" s="40" t="s">
        <v>7565</v>
      </c>
      <c r="G362" s="40" t="s">
        <v>7566</v>
      </c>
      <c r="H362" s="40" t="s">
        <v>7567</v>
      </c>
      <c r="I362" s="40" t="s">
        <v>49</v>
      </c>
      <c r="J362" s="40">
        <v>152.38</v>
      </c>
      <c r="K362" s="40">
        <v>152.38</v>
      </c>
      <c r="L362" s="40"/>
      <c r="M362" s="40">
        <v>152.38</v>
      </c>
      <c r="N362" s="40"/>
      <c r="O362" s="40" t="s">
        <v>234</v>
      </c>
    </row>
    <row r="363" spans="1:15" ht="33.75" x14ac:dyDescent="0.2">
      <c r="A363" s="40" t="s">
        <v>7568</v>
      </c>
      <c r="B363" s="40" t="s">
        <v>7569</v>
      </c>
      <c r="C363" s="41">
        <v>46023</v>
      </c>
      <c r="D363" s="41">
        <v>46023</v>
      </c>
      <c r="E363" s="40" t="s">
        <v>13</v>
      </c>
      <c r="F363" s="40" t="s">
        <v>7570</v>
      </c>
      <c r="G363" s="40" t="s">
        <v>7571</v>
      </c>
      <c r="H363" s="40" t="s">
        <v>7572</v>
      </c>
      <c r="I363" s="40" t="s">
        <v>49</v>
      </c>
      <c r="J363" s="40">
        <v>77.06</v>
      </c>
      <c r="K363" s="40">
        <v>77.06</v>
      </c>
      <c r="L363" s="40"/>
      <c r="M363" s="40">
        <v>77.06</v>
      </c>
      <c r="N363" s="40"/>
      <c r="O363" s="40" t="s">
        <v>234</v>
      </c>
    </row>
    <row r="364" spans="1:15" ht="45" x14ac:dyDescent="0.2">
      <c r="A364" s="40" t="s">
        <v>7573</v>
      </c>
      <c r="B364" s="40" t="s">
        <v>7574</v>
      </c>
      <c r="C364" s="41">
        <v>46023</v>
      </c>
      <c r="D364" s="41">
        <v>46023</v>
      </c>
      <c r="E364" s="40" t="s">
        <v>13</v>
      </c>
      <c r="F364" s="40" t="s">
        <v>7575</v>
      </c>
      <c r="G364" s="40" t="s">
        <v>7576</v>
      </c>
      <c r="H364" s="40" t="s">
        <v>7577</v>
      </c>
      <c r="I364" s="40" t="s">
        <v>49</v>
      </c>
      <c r="J364" s="40">
        <v>31</v>
      </c>
      <c r="K364" s="40">
        <v>31</v>
      </c>
      <c r="L364" s="40"/>
      <c r="M364" s="40">
        <v>31</v>
      </c>
      <c r="N364" s="40"/>
      <c r="O364" s="40" t="s">
        <v>234</v>
      </c>
    </row>
    <row r="365" spans="1:15" ht="33.75" x14ac:dyDescent="0.2">
      <c r="A365" s="40" t="s">
        <v>7578</v>
      </c>
      <c r="B365" s="40" t="s">
        <v>7579</v>
      </c>
      <c r="C365" s="41">
        <v>46023</v>
      </c>
      <c r="D365" s="41">
        <v>46023</v>
      </c>
      <c r="E365" s="40" t="s">
        <v>13</v>
      </c>
      <c r="F365" s="40" t="s">
        <v>7580</v>
      </c>
      <c r="G365" s="40" t="s">
        <v>7581</v>
      </c>
      <c r="H365" s="40" t="s">
        <v>7582</v>
      </c>
      <c r="I365" s="40" t="s">
        <v>49</v>
      </c>
      <c r="J365" s="40">
        <v>208.89</v>
      </c>
      <c r="K365" s="40">
        <v>208.89</v>
      </c>
      <c r="L365" s="40"/>
      <c r="M365" s="40">
        <v>208.89</v>
      </c>
      <c r="N365" s="40"/>
      <c r="O365" s="40" t="s">
        <v>234</v>
      </c>
    </row>
    <row r="366" spans="1:15" ht="33.75" x14ac:dyDescent="0.2">
      <c r="A366" s="40" t="s">
        <v>7583</v>
      </c>
      <c r="B366" s="40" t="s">
        <v>7584</v>
      </c>
      <c r="C366" s="41">
        <v>46023</v>
      </c>
      <c r="D366" s="41">
        <v>46023</v>
      </c>
      <c r="E366" s="40" t="s">
        <v>13</v>
      </c>
      <c r="F366" s="40" t="s">
        <v>7585</v>
      </c>
      <c r="G366" s="40" t="s">
        <v>7586</v>
      </c>
      <c r="H366" s="40" t="s">
        <v>7587</v>
      </c>
      <c r="I366" s="40" t="s">
        <v>49</v>
      </c>
      <c r="J366" s="40">
        <v>304.2</v>
      </c>
      <c r="K366" s="40">
        <v>304.2</v>
      </c>
      <c r="L366" s="40"/>
      <c r="M366" s="40">
        <v>304.2</v>
      </c>
      <c r="N366" s="40"/>
      <c r="O366" s="40" t="s">
        <v>234</v>
      </c>
    </row>
    <row r="367" spans="1:15" ht="33.75" x14ac:dyDescent="0.2">
      <c r="A367" s="40" t="s">
        <v>7588</v>
      </c>
      <c r="B367" s="40" t="s">
        <v>7589</v>
      </c>
      <c r="C367" s="41">
        <v>46023</v>
      </c>
      <c r="D367" s="41">
        <v>46023</v>
      </c>
      <c r="E367" s="40" t="s">
        <v>13</v>
      </c>
      <c r="F367" s="40" t="s">
        <v>6549</v>
      </c>
      <c r="G367" s="40" t="s">
        <v>7590</v>
      </c>
      <c r="H367" s="40" t="s">
        <v>7591</v>
      </c>
      <c r="I367" s="40" t="s">
        <v>49</v>
      </c>
      <c r="J367" s="40">
        <v>72.55</v>
      </c>
      <c r="K367" s="40">
        <v>72.55</v>
      </c>
      <c r="L367" s="40"/>
      <c r="M367" s="40">
        <v>72.55</v>
      </c>
      <c r="N367" s="40"/>
      <c r="O367" s="40" t="s">
        <v>234</v>
      </c>
    </row>
    <row r="368" spans="1:15" ht="33.75" x14ac:dyDescent="0.2">
      <c r="A368" s="40" t="s">
        <v>7592</v>
      </c>
      <c r="B368" s="40" t="s">
        <v>7593</v>
      </c>
      <c r="C368" s="41">
        <v>46023</v>
      </c>
      <c r="D368" s="41">
        <v>46023</v>
      </c>
      <c r="E368" s="40" t="s">
        <v>13</v>
      </c>
      <c r="F368" s="40" t="s">
        <v>7594</v>
      </c>
      <c r="G368" s="40" t="s">
        <v>7595</v>
      </c>
      <c r="H368" s="40" t="s">
        <v>7596</v>
      </c>
      <c r="I368" s="40" t="s">
        <v>49</v>
      </c>
      <c r="J368" s="40">
        <v>249.02</v>
      </c>
      <c r="K368" s="40">
        <v>249.02</v>
      </c>
      <c r="L368" s="40"/>
      <c r="M368" s="40">
        <v>249.02</v>
      </c>
      <c r="N368" s="40"/>
      <c r="O368" s="40" t="s">
        <v>234</v>
      </c>
    </row>
    <row r="369" spans="1:15" ht="33.75" x14ac:dyDescent="0.2">
      <c r="A369" s="40" t="s">
        <v>7597</v>
      </c>
      <c r="B369" s="40" t="s">
        <v>7598</v>
      </c>
      <c r="C369" s="41">
        <v>46023</v>
      </c>
      <c r="D369" s="41">
        <v>46023</v>
      </c>
      <c r="E369" s="40" t="s">
        <v>13</v>
      </c>
      <c r="F369" s="40" t="s">
        <v>7599</v>
      </c>
      <c r="G369" s="40" t="s">
        <v>7600</v>
      </c>
      <c r="H369" s="40" t="s">
        <v>7601</v>
      </c>
      <c r="I369" s="40" t="s">
        <v>49</v>
      </c>
      <c r="J369" s="40">
        <v>193.67</v>
      </c>
      <c r="K369" s="40">
        <v>193.67</v>
      </c>
      <c r="L369" s="40"/>
      <c r="M369" s="40">
        <v>193.67</v>
      </c>
      <c r="N369" s="40"/>
      <c r="O369" s="40" t="s">
        <v>234</v>
      </c>
    </row>
    <row r="370" spans="1:15" ht="33.75" x14ac:dyDescent="0.2">
      <c r="A370" s="40" t="s">
        <v>7602</v>
      </c>
      <c r="B370" s="40" t="s">
        <v>7603</v>
      </c>
      <c r="C370" s="41">
        <v>46023</v>
      </c>
      <c r="D370" s="41">
        <v>46023</v>
      </c>
      <c r="E370" s="40" t="s">
        <v>13</v>
      </c>
      <c r="F370" s="40" t="s">
        <v>7604</v>
      </c>
      <c r="G370" s="40" t="s">
        <v>7605</v>
      </c>
      <c r="H370" s="40" t="s">
        <v>7606</v>
      </c>
      <c r="I370" s="40" t="s">
        <v>49</v>
      </c>
      <c r="J370" s="40">
        <v>91.8</v>
      </c>
      <c r="K370" s="40">
        <v>91.8</v>
      </c>
      <c r="L370" s="40"/>
      <c r="M370" s="40">
        <v>91.8</v>
      </c>
      <c r="N370" s="40"/>
      <c r="O370" s="40" t="s">
        <v>234</v>
      </c>
    </row>
    <row r="371" spans="1:15" ht="33.75" x14ac:dyDescent="0.2">
      <c r="A371" s="40" t="s">
        <v>7607</v>
      </c>
      <c r="B371" s="40" t="s">
        <v>7608</v>
      </c>
      <c r="C371" s="41">
        <v>46023</v>
      </c>
      <c r="D371" s="41">
        <v>46023</v>
      </c>
      <c r="E371" s="40" t="s">
        <v>13</v>
      </c>
      <c r="F371" s="40" t="s">
        <v>7609</v>
      </c>
      <c r="G371" s="40" t="s">
        <v>7610</v>
      </c>
      <c r="H371" s="40" t="s">
        <v>7611</v>
      </c>
      <c r="I371" s="40" t="s">
        <v>49</v>
      </c>
      <c r="J371" s="40">
        <v>99</v>
      </c>
      <c r="K371" s="40">
        <v>99</v>
      </c>
      <c r="L371" s="40"/>
      <c r="M371" s="40">
        <v>99</v>
      </c>
      <c r="N371" s="40"/>
      <c r="O371" s="40" t="s">
        <v>234</v>
      </c>
    </row>
    <row r="372" spans="1:15" ht="33.75" x14ac:dyDescent="0.2">
      <c r="A372" s="40" t="s">
        <v>7612</v>
      </c>
      <c r="B372" s="40" t="s">
        <v>7613</v>
      </c>
      <c r="C372" s="41">
        <v>46023</v>
      </c>
      <c r="D372" s="41">
        <v>46023</v>
      </c>
      <c r="E372" s="40" t="s">
        <v>13</v>
      </c>
      <c r="F372" s="40" t="s">
        <v>739</v>
      </c>
      <c r="G372" s="40" t="s">
        <v>7614</v>
      </c>
      <c r="H372" s="40" t="s">
        <v>7615</v>
      </c>
      <c r="I372" s="40" t="s">
        <v>49</v>
      </c>
      <c r="J372" s="40">
        <v>74.7</v>
      </c>
      <c r="K372" s="40">
        <v>74.7</v>
      </c>
      <c r="L372" s="40"/>
      <c r="M372" s="40">
        <v>74.7</v>
      </c>
      <c r="N372" s="40"/>
      <c r="O372" s="40" t="s">
        <v>234</v>
      </c>
    </row>
    <row r="373" spans="1:15" ht="33.75" x14ac:dyDescent="0.2">
      <c r="A373" s="40" t="s">
        <v>7616</v>
      </c>
      <c r="B373" s="40" t="s">
        <v>7617</v>
      </c>
      <c r="C373" s="41">
        <v>46023</v>
      </c>
      <c r="D373" s="41">
        <v>46023</v>
      </c>
      <c r="E373" s="40" t="s">
        <v>13</v>
      </c>
      <c r="F373" s="40" t="s">
        <v>7618</v>
      </c>
      <c r="G373" s="40" t="s">
        <v>7619</v>
      </c>
      <c r="H373" s="40" t="s">
        <v>7620</v>
      </c>
      <c r="I373" s="40" t="s">
        <v>49</v>
      </c>
      <c r="J373" s="40">
        <v>97.45</v>
      </c>
      <c r="K373" s="40">
        <v>97.45</v>
      </c>
      <c r="L373" s="40"/>
      <c r="M373" s="40">
        <v>97.45</v>
      </c>
      <c r="N373" s="40"/>
      <c r="O373" s="40" t="s">
        <v>234</v>
      </c>
    </row>
    <row r="374" spans="1:15" ht="33.75" x14ac:dyDescent="0.2">
      <c r="A374" s="40" t="s">
        <v>7621</v>
      </c>
      <c r="B374" s="40" t="s">
        <v>7622</v>
      </c>
      <c r="C374" s="41">
        <v>46023</v>
      </c>
      <c r="D374" s="41">
        <v>46023</v>
      </c>
      <c r="E374" s="40" t="s">
        <v>13</v>
      </c>
      <c r="F374" s="40" t="s">
        <v>7570</v>
      </c>
      <c r="G374" s="40" t="s">
        <v>7623</v>
      </c>
      <c r="H374" s="40" t="s">
        <v>7624</v>
      </c>
      <c r="I374" s="40" t="s">
        <v>49</v>
      </c>
      <c r="J374" s="40">
        <v>122.4</v>
      </c>
      <c r="K374" s="40">
        <v>122.4</v>
      </c>
      <c r="L374" s="40"/>
      <c r="M374" s="40">
        <v>122.4</v>
      </c>
      <c r="N374" s="40"/>
      <c r="O374" s="40" t="s">
        <v>234</v>
      </c>
    </row>
    <row r="375" spans="1:15" ht="33.75" x14ac:dyDescent="0.2">
      <c r="A375" s="40" t="s">
        <v>7625</v>
      </c>
      <c r="B375" s="40" t="s">
        <v>7626</v>
      </c>
      <c r="C375" s="41">
        <v>46023</v>
      </c>
      <c r="D375" s="41">
        <v>46023</v>
      </c>
      <c r="E375" s="40" t="s">
        <v>13</v>
      </c>
      <c r="F375" s="40" t="s">
        <v>7627</v>
      </c>
      <c r="G375" s="40" t="s">
        <v>7628</v>
      </c>
      <c r="H375" s="40" t="s">
        <v>7629</v>
      </c>
      <c r="I375" s="40" t="s">
        <v>49</v>
      </c>
      <c r="J375" s="40">
        <v>248.05</v>
      </c>
      <c r="K375" s="40">
        <v>248.05</v>
      </c>
      <c r="L375" s="40"/>
      <c r="M375" s="40">
        <v>248.05</v>
      </c>
      <c r="N375" s="40"/>
      <c r="O375" s="40" t="s">
        <v>234</v>
      </c>
    </row>
    <row r="376" spans="1:15" ht="33.75" x14ac:dyDescent="0.2">
      <c r="A376" s="40" t="s">
        <v>7630</v>
      </c>
      <c r="B376" s="40" t="s">
        <v>7631</v>
      </c>
      <c r="C376" s="41">
        <v>46023</v>
      </c>
      <c r="D376" s="41">
        <v>46023</v>
      </c>
      <c r="E376" s="40" t="s">
        <v>13</v>
      </c>
      <c r="F376" s="40" t="s">
        <v>6699</v>
      </c>
      <c r="G376" s="40" t="s">
        <v>7632</v>
      </c>
      <c r="H376" s="40" t="s">
        <v>7633</v>
      </c>
      <c r="I376" s="40" t="s">
        <v>49</v>
      </c>
      <c r="J376" s="40">
        <v>393.92</v>
      </c>
      <c r="K376" s="40">
        <v>393.92</v>
      </c>
      <c r="L376" s="40"/>
      <c r="M376" s="40">
        <v>393.92</v>
      </c>
      <c r="N376" s="40"/>
      <c r="O376" s="40" t="s">
        <v>234</v>
      </c>
    </row>
    <row r="377" spans="1:15" ht="45" x14ac:dyDescent="0.2">
      <c r="A377" s="40" t="s">
        <v>7634</v>
      </c>
      <c r="B377" s="40" t="s">
        <v>7635</v>
      </c>
      <c r="C377" s="41">
        <v>46023</v>
      </c>
      <c r="D377" s="41">
        <v>46023</v>
      </c>
      <c r="E377" s="40" t="s">
        <v>13</v>
      </c>
      <c r="F377" s="40" t="s">
        <v>7005</v>
      </c>
      <c r="G377" s="40" t="s">
        <v>7636</v>
      </c>
      <c r="H377" s="40" t="s">
        <v>7637</v>
      </c>
      <c r="I377" s="40" t="s">
        <v>49</v>
      </c>
      <c r="J377" s="40">
        <v>253.8</v>
      </c>
      <c r="K377" s="40">
        <v>253.8</v>
      </c>
      <c r="L377" s="40"/>
      <c r="M377" s="40">
        <v>253.8</v>
      </c>
      <c r="N377" s="40"/>
      <c r="O377" s="40" t="s">
        <v>234</v>
      </c>
    </row>
    <row r="378" spans="1:15" ht="33.75" x14ac:dyDescent="0.2">
      <c r="A378" s="40" t="s">
        <v>7638</v>
      </c>
      <c r="B378" s="40" t="s">
        <v>7639</v>
      </c>
      <c r="C378" s="41">
        <v>46023</v>
      </c>
      <c r="D378" s="41">
        <v>46023</v>
      </c>
      <c r="E378" s="40" t="s">
        <v>13</v>
      </c>
      <c r="F378" s="40" t="s">
        <v>6872</v>
      </c>
      <c r="G378" s="40" t="s">
        <v>7640</v>
      </c>
      <c r="H378" s="40" t="s">
        <v>7641</v>
      </c>
      <c r="I378" s="40" t="s">
        <v>49</v>
      </c>
      <c r="J378" s="40">
        <v>103.05</v>
      </c>
      <c r="K378" s="40">
        <v>103.05</v>
      </c>
      <c r="L378" s="40"/>
      <c r="M378" s="40">
        <v>103.05</v>
      </c>
      <c r="N378" s="40"/>
      <c r="O378" s="40" t="s">
        <v>234</v>
      </c>
    </row>
    <row r="379" spans="1:15" ht="33.75" x14ac:dyDescent="0.2">
      <c r="A379" s="40" t="s">
        <v>7642</v>
      </c>
      <c r="B379" s="40" t="s">
        <v>7643</v>
      </c>
      <c r="C379" s="41">
        <v>46023</v>
      </c>
      <c r="D379" s="41">
        <v>46023</v>
      </c>
      <c r="E379" s="40" t="s">
        <v>13</v>
      </c>
      <c r="F379" s="40" t="s">
        <v>691</v>
      </c>
      <c r="G379" s="40" t="s">
        <v>7644</v>
      </c>
      <c r="H379" s="40" t="s">
        <v>7645</v>
      </c>
      <c r="I379" s="40" t="s">
        <v>49</v>
      </c>
      <c r="J379" s="40">
        <v>82.72</v>
      </c>
      <c r="K379" s="40">
        <v>82.72</v>
      </c>
      <c r="L379" s="40"/>
      <c r="M379" s="40">
        <v>82.72</v>
      </c>
      <c r="N379" s="40"/>
      <c r="O379" s="40" t="s">
        <v>234</v>
      </c>
    </row>
    <row r="380" spans="1:15" ht="33.75" x14ac:dyDescent="0.2">
      <c r="A380" s="40" t="s">
        <v>7646</v>
      </c>
      <c r="B380" s="40" t="s">
        <v>7647</v>
      </c>
      <c r="C380" s="41">
        <v>46023</v>
      </c>
      <c r="D380" s="41">
        <v>46023</v>
      </c>
      <c r="E380" s="40" t="s">
        <v>13</v>
      </c>
      <c r="F380" s="40" t="s">
        <v>7648</v>
      </c>
      <c r="G380" s="40" t="s">
        <v>7649</v>
      </c>
      <c r="H380" s="40" t="s">
        <v>7650</v>
      </c>
      <c r="I380" s="40" t="s">
        <v>49</v>
      </c>
      <c r="J380" s="40">
        <v>320.43</v>
      </c>
      <c r="K380" s="40">
        <v>320.43</v>
      </c>
      <c r="L380" s="40"/>
      <c r="M380" s="40">
        <v>320.43</v>
      </c>
      <c r="N380" s="40"/>
      <c r="O380" s="40" t="s">
        <v>234</v>
      </c>
    </row>
    <row r="381" spans="1:15" ht="33.75" x14ac:dyDescent="0.2">
      <c r="A381" s="40" t="s">
        <v>7651</v>
      </c>
      <c r="B381" s="40" t="s">
        <v>7652</v>
      </c>
      <c r="C381" s="41">
        <v>46023</v>
      </c>
      <c r="D381" s="41">
        <v>46023</v>
      </c>
      <c r="E381" s="40" t="s">
        <v>13</v>
      </c>
      <c r="F381" s="40" t="s">
        <v>7653</v>
      </c>
      <c r="G381" s="40" t="s">
        <v>7654</v>
      </c>
      <c r="H381" s="40" t="s">
        <v>7655</v>
      </c>
      <c r="I381" s="40" t="s">
        <v>49</v>
      </c>
      <c r="J381" s="40">
        <v>111.08</v>
      </c>
      <c r="K381" s="40">
        <v>111.08</v>
      </c>
      <c r="L381" s="40"/>
      <c r="M381" s="40">
        <v>111.08</v>
      </c>
      <c r="N381" s="40"/>
      <c r="O381" s="40" t="s">
        <v>234</v>
      </c>
    </row>
    <row r="382" spans="1:15" ht="33.75" x14ac:dyDescent="0.2">
      <c r="A382" s="40" t="s">
        <v>7656</v>
      </c>
      <c r="B382" s="40" t="s">
        <v>7657</v>
      </c>
      <c r="C382" s="41">
        <v>46023</v>
      </c>
      <c r="D382" s="41">
        <v>46023</v>
      </c>
      <c r="E382" s="40" t="s">
        <v>13</v>
      </c>
      <c r="F382" s="40" t="s">
        <v>6986</v>
      </c>
      <c r="G382" s="40" t="s">
        <v>7658</v>
      </c>
      <c r="H382" s="40" t="s">
        <v>7659</v>
      </c>
      <c r="I382" s="40" t="s">
        <v>49</v>
      </c>
      <c r="J382" s="40">
        <v>86.4</v>
      </c>
      <c r="K382" s="40">
        <v>86.4</v>
      </c>
      <c r="L382" s="40"/>
      <c r="M382" s="40">
        <v>86.4</v>
      </c>
      <c r="N382" s="40"/>
      <c r="O382" s="40" t="s">
        <v>234</v>
      </c>
    </row>
    <row r="383" spans="1:15" ht="45" x14ac:dyDescent="0.2">
      <c r="A383" s="40" t="s">
        <v>7660</v>
      </c>
      <c r="B383" s="40" t="s">
        <v>7661</v>
      </c>
      <c r="C383" s="41">
        <v>46023</v>
      </c>
      <c r="D383" s="41">
        <v>46023</v>
      </c>
      <c r="E383" s="40" t="s">
        <v>13</v>
      </c>
      <c r="F383" s="40" t="s">
        <v>7662</v>
      </c>
      <c r="G383" s="40" t="s">
        <v>7663</v>
      </c>
      <c r="H383" s="40" t="s">
        <v>7664</v>
      </c>
      <c r="I383" s="40" t="s">
        <v>49</v>
      </c>
      <c r="J383" s="40">
        <v>111.25</v>
      </c>
      <c r="K383" s="40">
        <v>111.25</v>
      </c>
      <c r="L383" s="40"/>
      <c r="M383" s="40">
        <v>111.25</v>
      </c>
      <c r="N383" s="40"/>
      <c r="O383" s="40" t="s">
        <v>234</v>
      </c>
    </row>
    <row r="384" spans="1:15" ht="33.75" x14ac:dyDescent="0.2">
      <c r="A384" s="40" t="s">
        <v>7665</v>
      </c>
      <c r="B384" s="40" t="s">
        <v>7666</v>
      </c>
      <c r="C384" s="41">
        <v>46023</v>
      </c>
      <c r="D384" s="41">
        <v>46023</v>
      </c>
      <c r="E384" s="40" t="s">
        <v>13</v>
      </c>
      <c r="F384" s="40" t="s">
        <v>7667</v>
      </c>
      <c r="G384" s="40" t="s">
        <v>7668</v>
      </c>
      <c r="H384" s="40" t="s">
        <v>7669</v>
      </c>
      <c r="I384" s="40" t="s">
        <v>49</v>
      </c>
      <c r="J384" s="40">
        <v>129.6</v>
      </c>
      <c r="K384" s="40">
        <v>129.6</v>
      </c>
      <c r="L384" s="40"/>
      <c r="M384" s="40">
        <v>129.6</v>
      </c>
      <c r="N384" s="40"/>
      <c r="O384" s="40" t="s">
        <v>234</v>
      </c>
    </row>
    <row r="385" spans="1:15" ht="33.75" x14ac:dyDescent="0.2">
      <c r="A385" s="40" t="s">
        <v>7670</v>
      </c>
      <c r="B385" s="40" t="s">
        <v>7671</v>
      </c>
      <c r="C385" s="41">
        <v>46023</v>
      </c>
      <c r="D385" s="41">
        <v>46023</v>
      </c>
      <c r="E385" s="40" t="s">
        <v>13</v>
      </c>
      <c r="F385" s="40" t="s">
        <v>7672</v>
      </c>
      <c r="G385" s="40" t="s">
        <v>7673</v>
      </c>
      <c r="H385" s="40" t="s">
        <v>7674</v>
      </c>
      <c r="I385" s="40" t="s">
        <v>49</v>
      </c>
      <c r="J385" s="40">
        <v>74.7</v>
      </c>
      <c r="K385" s="40">
        <v>74.7</v>
      </c>
      <c r="L385" s="40"/>
      <c r="M385" s="40">
        <v>74.7</v>
      </c>
      <c r="N385" s="40"/>
      <c r="O385" s="40" t="s">
        <v>234</v>
      </c>
    </row>
    <row r="386" spans="1:15" ht="33.75" x14ac:dyDescent="0.2">
      <c r="A386" s="40" t="s">
        <v>7675</v>
      </c>
      <c r="B386" s="40" t="s">
        <v>7676</v>
      </c>
      <c r="C386" s="41">
        <v>46023</v>
      </c>
      <c r="D386" s="41">
        <v>46023</v>
      </c>
      <c r="E386" s="40" t="s">
        <v>13</v>
      </c>
      <c r="F386" s="40" t="s">
        <v>7677</v>
      </c>
      <c r="G386" s="40" t="s">
        <v>7678</v>
      </c>
      <c r="H386" s="40" t="s">
        <v>7679</v>
      </c>
      <c r="I386" s="40" t="s">
        <v>49</v>
      </c>
      <c r="J386" s="40">
        <v>125.28</v>
      </c>
      <c r="K386" s="40">
        <v>125.28</v>
      </c>
      <c r="L386" s="40"/>
      <c r="M386" s="40">
        <v>125.28</v>
      </c>
      <c r="N386" s="40"/>
      <c r="O386" s="40" t="s">
        <v>234</v>
      </c>
    </row>
    <row r="387" spans="1:15" ht="33.75" x14ac:dyDescent="0.2">
      <c r="A387" s="40" t="s">
        <v>7680</v>
      </c>
      <c r="B387" s="40" t="s">
        <v>7681</v>
      </c>
      <c r="C387" s="41">
        <v>46023</v>
      </c>
      <c r="D387" s="41">
        <v>46023</v>
      </c>
      <c r="E387" s="40" t="s">
        <v>13</v>
      </c>
      <c r="F387" s="40" t="s">
        <v>7682</v>
      </c>
      <c r="G387" s="40" t="s">
        <v>7683</v>
      </c>
      <c r="H387" s="40" t="s">
        <v>7684</v>
      </c>
      <c r="I387" s="40" t="s">
        <v>49</v>
      </c>
      <c r="J387" s="40">
        <v>34.25</v>
      </c>
      <c r="K387" s="40">
        <v>34.25</v>
      </c>
      <c r="L387" s="40"/>
      <c r="M387" s="40">
        <v>34.25</v>
      </c>
      <c r="N387" s="40"/>
      <c r="O387" s="40" t="s">
        <v>234</v>
      </c>
    </row>
    <row r="388" spans="1:15" ht="33.75" x14ac:dyDescent="0.2">
      <c r="A388" s="40" t="s">
        <v>7685</v>
      </c>
      <c r="B388" s="40" t="s">
        <v>7686</v>
      </c>
      <c r="C388" s="41">
        <v>46023</v>
      </c>
      <c r="D388" s="41">
        <v>46023</v>
      </c>
      <c r="E388" s="40" t="s">
        <v>13</v>
      </c>
      <c r="F388" s="40" t="s">
        <v>7687</v>
      </c>
      <c r="G388" s="40" t="s">
        <v>7688</v>
      </c>
      <c r="H388" s="40" t="s">
        <v>7689</v>
      </c>
      <c r="I388" s="40" t="s">
        <v>49</v>
      </c>
      <c r="J388" s="40">
        <v>176.95</v>
      </c>
      <c r="K388" s="40">
        <v>176.95</v>
      </c>
      <c r="L388" s="40"/>
      <c r="M388" s="40">
        <v>176.95</v>
      </c>
      <c r="N388" s="40"/>
      <c r="O388" s="40" t="s">
        <v>234</v>
      </c>
    </row>
    <row r="389" spans="1:15" ht="33.75" x14ac:dyDescent="0.2">
      <c r="A389" s="40" t="s">
        <v>7690</v>
      </c>
      <c r="B389" s="40" t="s">
        <v>7691</v>
      </c>
      <c r="C389" s="41">
        <v>46023</v>
      </c>
      <c r="D389" s="41">
        <v>46023</v>
      </c>
      <c r="E389" s="40" t="s">
        <v>13</v>
      </c>
      <c r="F389" s="40" t="s">
        <v>658</v>
      </c>
      <c r="G389" s="40" t="s">
        <v>7692</v>
      </c>
      <c r="H389" s="40" t="s">
        <v>7693</v>
      </c>
      <c r="I389" s="40" t="s">
        <v>49</v>
      </c>
      <c r="J389" s="40">
        <v>156.06</v>
      </c>
      <c r="K389" s="40">
        <v>156.06</v>
      </c>
      <c r="L389" s="40"/>
      <c r="M389" s="40">
        <v>156.06</v>
      </c>
      <c r="N389" s="40"/>
      <c r="O389" s="40" t="s">
        <v>234</v>
      </c>
    </row>
    <row r="390" spans="1:15" ht="33.75" x14ac:dyDescent="0.2">
      <c r="A390" s="40" t="s">
        <v>7694</v>
      </c>
      <c r="B390" s="40" t="s">
        <v>7695</v>
      </c>
      <c r="C390" s="41">
        <v>46023</v>
      </c>
      <c r="D390" s="41">
        <v>46023</v>
      </c>
      <c r="E390" s="40" t="s">
        <v>13</v>
      </c>
      <c r="F390" s="40" t="s">
        <v>7696</v>
      </c>
      <c r="G390" s="40" t="s">
        <v>7697</v>
      </c>
      <c r="H390" s="40" t="s">
        <v>7698</v>
      </c>
      <c r="I390" s="40" t="s">
        <v>49</v>
      </c>
      <c r="J390" s="40">
        <v>74.7</v>
      </c>
      <c r="K390" s="40">
        <v>74.7</v>
      </c>
      <c r="L390" s="40"/>
      <c r="M390" s="40">
        <v>74.7</v>
      </c>
      <c r="N390" s="40"/>
      <c r="O390" s="40" t="s">
        <v>234</v>
      </c>
    </row>
    <row r="391" spans="1:15" ht="33.75" x14ac:dyDescent="0.2">
      <c r="A391" s="40" t="s">
        <v>7699</v>
      </c>
      <c r="B391" s="40" t="s">
        <v>7700</v>
      </c>
      <c r="C391" s="41">
        <v>46023</v>
      </c>
      <c r="D391" s="41">
        <v>46023</v>
      </c>
      <c r="E391" s="40" t="s">
        <v>13</v>
      </c>
      <c r="F391" s="40" t="s">
        <v>7701</v>
      </c>
      <c r="G391" s="40" t="s">
        <v>7702</v>
      </c>
      <c r="H391" s="40" t="s">
        <v>7703</v>
      </c>
      <c r="I391" s="40" t="s">
        <v>49</v>
      </c>
      <c r="J391" s="40">
        <v>174.87</v>
      </c>
      <c r="K391" s="40">
        <v>174.87</v>
      </c>
      <c r="L391" s="40"/>
      <c r="M391" s="40">
        <v>174.87</v>
      </c>
      <c r="N391" s="40"/>
      <c r="O391" s="40" t="s">
        <v>234</v>
      </c>
    </row>
    <row r="392" spans="1:15" ht="33.75" x14ac:dyDescent="0.2">
      <c r="A392" s="40" t="s">
        <v>7704</v>
      </c>
      <c r="B392" s="40" t="s">
        <v>7705</v>
      </c>
      <c r="C392" s="41">
        <v>46023</v>
      </c>
      <c r="D392" s="41">
        <v>46023</v>
      </c>
      <c r="E392" s="40" t="s">
        <v>13</v>
      </c>
      <c r="F392" s="40" t="s">
        <v>7701</v>
      </c>
      <c r="G392" s="40" t="s">
        <v>7706</v>
      </c>
      <c r="H392" s="40" t="s">
        <v>7707</v>
      </c>
      <c r="I392" s="40" t="s">
        <v>49</v>
      </c>
      <c r="J392" s="40">
        <v>137.25</v>
      </c>
      <c r="K392" s="40">
        <v>137.25</v>
      </c>
      <c r="L392" s="40"/>
      <c r="M392" s="40">
        <v>137.25</v>
      </c>
      <c r="N392" s="40"/>
      <c r="O392" s="40" t="s">
        <v>234</v>
      </c>
    </row>
    <row r="393" spans="1:15" ht="45" x14ac:dyDescent="0.2">
      <c r="A393" s="40" t="s">
        <v>7708</v>
      </c>
      <c r="B393" s="40" t="s">
        <v>7709</v>
      </c>
      <c r="C393" s="41">
        <v>46023</v>
      </c>
      <c r="D393" s="41">
        <v>46023</v>
      </c>
      <c r="E393" s="40" t="s">
        <v>13</v>
      </c>
      <c r="F393" s="40" t="s">
        <v>140</v>
      </c>
      <c r="G393" s="40" t="s">
        <v>7710</v>
      </c>
      <c r="H393" s="40" t="s">
        <v>7711</v>
      </c>
      <c r="I393" s="40" t="s">
        <v>49</v>
      </c>
      <c r="J393" s="40">
        <v>122.4</v>
      </c>
      <c r="K393" s="40">
        <v>122.4</v>
      </c>
      <c r="L393" s="40"/>
      <c r="M393" s="40">
        <v>122.4</v>
      </c>
      <c r="N393" s="40"/>
      <c r="O393" s="40" t="s">
        <v>234</v>
      </c>
    </row>
    <row r="394" spans="1:15" ht="33.75" x14ac:dyDescent="0.2">
      <c r="A394" s="40" t="s">
        <v>7712</v>
      </c>
      <c r="B394" s="40" t="s">
        <v>7713</v>
      </c>
      <c r="C394" s="41">
        <v>46023</v>
      </c>
      <c r="D394" s="41">
        <v>46023</v>
      </c>
      <c r="E394" s="40" t="s">
        <v>13</v>
      </c>
      <c r="F394" s="40" t="s">
        <v>7714</v>
      </c>
      <c r="G394" s="40" t="s">
        <v>7715</v>
      </c>
      <c r="H394" s="40" t="s">
        <v>7716</v>
      </c>
      <c r="I394" s="40" t="s">
        <v>49</v>
      </c>
      <c r="J394" s="40">
        <v>59.23</v>
      </c>
      <c r="K394" s="40">
        <v>59.23</v>
      </c>
      <c r="L394" s="40"/>
      <c r="M394" s="40">
        <v>59.23</v>
      </c>
      <c r="N394" s="40"/>
      <c r="O394" s="40" t="s">
        <v>234</v>
      </c>
    </row>
    <row r="395" spans="1:15" ht="33.75" x14ac:dyDescent="0.2">
      <c r="A395" s="40" t="s">
        <v>7717</v>
      </c>
      <c r="B395" s="40" t="s">
        <v>7718</v>
      </c>
      <c r="C395" s="41">
        <v>46023</v>
      </c>
      <c r="D395" s="41">
        <v>46023</v>
      </c>
      <c r="E395" s="40" t="s">
        <v>13</v>
      </c>
      <c r="F395" s="40" t="s">
        <v>4191</v>
      </c>
      <c r="G395" s="40" t="s">
        <v>7719</v>
      </c>
      <c r="H395" s="40" t="s">
        <v>7720</v>
      </c>
      <c r="I395" s="40" t="s">
        <v>49</v>
      </c>
      <c r="J395" s="40">
        <v>158.94999999999999</v>
      </c>
      <c r="K395" s="40">
        <v>158.94999999999999</v>
      </c>
      <c r="L395" s="40"/>
      <c r="M395" s="40">
        <v>158.94999999999999</v>
      </c>
      <c r="N395" s="40"/>
      <c r="O395" s="40" t="s">
        <v>234</v>
      </c>
    </row>
    <row r="396" spans="1:15" ht="33.75" x14ac:dyDescent="0.2">
      <c r="A396" s="40" t="s">
        <v>7721</v>
      </c>
      <c r="B396" s="40" t="s">
        <v>7722</v>
      </c>
      <c r="C396" s="41">
        <v>46023</v>
      </c>
      <c r="D396" s="41">
        <v>46023</v>
      </c>
      <c r="E396" s="40" t="s">
        <v>13</v>
      </c>
      <c r="F396" s="40" t="s">
        <v>7723</v>
      </c>
      <c r="G396" s="40" t="s">
        <v>7724</v>
      </c>
      <c r="H396" s="40" t="s">
        <v>7725</v>
      </c>
      <c r="I396" s="40" t="s">
        <v>49</v>
      </c>
      <c r="J396" s="40">
        <v>159</v>
      </c>
      <c r="K396" s="40">
        <v>159</v>
      </c>
      <c r="L396" s="40"/>
      <c r="M396" s="40">
        <v>159</v>
      </c>
      <c r="N396" s="40"/>
      <c r="O396" s="40" t="s">
        <v>234</v>
      </c>
    </row>
    <row r="397" spans="1:15" ht="33.75" x14ac:dyDescent="0.2">
      <c r="A397" s="40" t="s">
        <v>7726</v>
      </c>
      <c r="B397" s="40" t="s">
        <v>7727</v>
      </c>
      <c r="C397" s="41">
        <v>46023</v>
      </c>
      <c r="D397" s="41">
        <v>46023</v>
      </c>
      <c r="E397" s="40" t="s">
        <v>13</v>
      </c>
      <c r="F397" s="40" t="s">
        <v>7728</v>
      </c>
      <c r="G397" s="40" t="s">
        <v>7729</v>
      </c>
      <c r="H397" s="40" t="s">
        <v>7730</v>
      </c>
      <c r="I397" s="40" t="s">
        <v>49</v>
      </c>
      <c r="J397" s="40">
        <v>177.85</v>
      </c>
      <c r="K397" s="40">
        <v>177.85</v>
      </c>
      <c r="L397" s="40"/>
      <c r="M397" s="40">
        <v>177.85</v>
      </c>
      <c r="N397" s="40"/>
      <c r="O397" s="40" t="s">
        <v>234</v>
      </c>
    </row>
    <row r="398" spans="1:15" ht="33.75" x14ac:dyDescent="0.2">
      <c r="A398" s="40" t="s">
        <v>7731</v>
      </c>
      <c r="B398" s="40" t="s">
        <v>7732</v>
      </c>
      <c r="C398" s="41">
        <v>46023</v>
      </c>
      <c r="D398" s="41">
        <v>46023</v>
      </c>
      <c r="E398" s="40" t="s">
        <v>13</v>
      </c>
      <c r="F398" s="40" t="s">
        <v>1179</v>
      </c>
      <c r="G398" s="40" t="s">
        <v>7733</v>
      </c>
      <c r="H398" s="40" t="s">
        <v>7734</v>
      </c>
      <c r="I398" s="40" t="s">
        <v>49</v>
      </c>
      <c r="J398" s="40">
        <v>509.05</v>
      </c>
      <c r="K398" s="40">
        <v>509.05</v>
      </c>
      <c r="L398" s="40"/>
      <c r="M398" s="40">
        <v>509.05</v>
      </c>
      <c r="N398" s="40"/>
      <c r="O398" s="40" t="s">
        <v>234</v>
      </c>
    </row>
    <row r="399" spans="1:15" ht="33.75" x14ac:dyDescent="0.2">
      <c r="A399" s="40" t="s">
        <v>7735</v>
      </c>
      <c r="B399" s="40" t="s">
        <v>7736</v>
      </c>
      <c r="C399" s="41">
        <v>46023</v>
      </c>
      <c r="D399" s="41">
        <v>46023</v>
      </c>
      <c r="E399" s="40" t="s">
        <v>13</v>
      </c>
      <c r="F399" s="40" t="s">
        <v>7737</v>
      </c>
      <c r="G399" s="40" t="s">
        <v>7738</v>
      </c>
      <c r="H399" s="40" t="s">
        <v>7739</v>
      </c>
      <c r="I399" s="40" t="s">
        <v>49</v>
      </c>
      <c r="J399" s="40">
        <v>257.39999999999998</v>
      </c>
      <c r="K399" s="40">
        <v>257.39999999999998</v>
      </c>
      <c r="L399" s="40"/>
      <c r="M399" s="40">
        <v>257.39999999999998</v>
      </c>
      <c r="N399" s="40"/>
      <c r="O399" s="40" t="s">
        <v>234</v>
      </c>
    </row>
    <row r="400" spans="1:15" ht="33.75" x14ac:dyDescent="0.2">
      <c r="A400" s="40" t="s">
        <v>7740</v>
      </c>
      <c r="B400" s="40" t="s">
        <v>7741</v>
      </c>
      <c r="C400" s="41">
        <v>46023</v>
      </c>
      <c r="D400" s="41">
        <v>46023</v>
      </c>
      <c r="E400" s="40" t="s">
        <v>13</v>
      </c>
      <c r="F400" s="40" t="s">
        <v>7742</v>
      </c>
      <c r="G400" s="40" t="s">
        <v>7743</v>
      </c>
      <c r="H400" s="40" t="s">
        <v>7744</v>
      </c>
      <c r="I400" s="40" t="s">
        <v>49</v>
      </c>
      <c r="J400" s="40">
        <v>449.78</v>
      </c>
      <c r="K400" s="40">
        <v>449.78</v>
      </c>
      <c r="L400" s="40"/>
      <c r="M400" s="40">
        <v>449.78</v>
      </c>
      <c r="N400" s="40"/>
      <c r="O400" s="40" t="s">
        <v>234</v>
      </c>
    </row>
    <row r="401" spans="1:15" ht="33.75" x14ac:dyDescent="0.2">
      <c r="A401" s="40" t="s">
        <v>7745</v>
      </c>
      <c r="B401" s="40" t="s">
        <v>7746</v>
      </c>
      <c r="C401" s="41">
        <v>46023</v>
      </c>
      <c r="D401" s="41">
        <v>46023</v>
      </c>
      <c r="E401" s="40" t="s">
        <v>13</v>
      </c>
      <c r="F401" s="40" t="s">
        <v>7747</v>
      </c>
      <c r="G401" s="40" t="s">
        <v>7748</v>
      </c>
      <c r="H401" s="40" t="s">
        <v>7749</v>
      </c>
      <c r="I401" s="40" t="s">
        <v>49</v>
      </c>
      <c r="J401" s="40">
        <v>105.85</v>
      </c>
      <c r="K401" s="40">
        <v>105.85</v>
      </c>
      <c r="L401" s="40"/>
      <c r="M401" s="40">
        <v>105.85</v>
      </c>
      <c r="N401" s="40"/>
      <c r="O401" s="40" t="s">
        <v>234</v>
      </c>
    </row>
    <row r="402" spans="1:15" ht="33.75" x14ac:dyDescent="0.2">
      <c r="A402" s="40" t="s">
        <v>7750</v>
      </c>
      <c r="B402" s="40" t="s">
        <v>7751</v>
      </c>
      <c r="C402" s="41">
        <v>46023</v>
      </c>
      <c r="D402" s="41">
        <v>46023</v>
      </c>
      <c r="E402" s="40" t="s">
        <v>13</v>
      </c>
      <c r="F402" s="40" t="s">
        <v>6824</v>
      </c>
      <c r="G402" s="40" t="s">
        <v>7752</v>
      </c>
      <c r="H402" s="40" t="s">
        <v>7753</v>
      </c>
      <c r="I402" s="40" t="s">
        <v>49</v>
      </c>
      <c r="J402" s="40">
        <v>113.05</v>
      </c>
      <c r="K402" s="40">
        <v>113.05</v>
      </c>
      <c r="L402" s="40"/>
      <c r="M402" s="40">
        <v>113.05</v>
      </c>
      <c r="N402" s="40"/>
      <c r="O402" s="40" t="s">
        <v>234</v>
      </c>
    </row>
    <row r="403" spans="1:15" ht="33.75" x14ac:dyDescent="0.2">
      <c r="A403" s="40" t="s">
        <v>7754</v>
      </c>
      <c r="B403" s="40" t="s">
        <v>7755</v>
      </c>
      <c r="C403" s="41">
        <v>46023</v>
      </c>
      <c r="D403" s="41">
        <v>46023</v>
      </c>
      <c r="E403" s="40" t="s">
        <v>13</v>
      </c>
      <c r="F403" s="40" t="s">
        <v>7756</v>
      </c>
      <c r="G403" s="40" t="s">
        <v>7757</v>
      </c>
      <c r="H403" s="40" t="s">
        <v>7758</v>
      </c>
      <c r="I403" s="40" t="s">
        <v>49</v>
      </c>
      <c r="J403" s="40">
        <v>140.06</v>
      </c>
      <c r="K403" s="40">
        <v>140.06</v>
      </c>
      <c r="L403" s="40"/>
      <c r="M403" s="40">
        <v>140.06</v>
      </c>
      <c r="N403" s="40"/>
      <c r="O403" s="40" t="s">
        <v>234</v>
      </c>
    </row>
    <row r="404" spans="1:15" ht="33.75" x14ac:dyDescent="0.2">
      <c r="A404" s="40" t="s">
        <v>7759</v>
      </c>
      <c r="B404" s="40" t="s">
        <v>7760</v>
      </c>
      <c r="C404" s="41">
        <v>46023</v>
      </c>
      <c r="D404" s="41">
        <v>46023</v>
      </c>
      <c r="E404" s="40" t="s">
        <v>13</v>
      </c>
      <c r="F404" s="40" t="s">
        <v>1032</v>
      </c>
      <c r="G404" s="40" t="s">
        <v>7761</v>
      </c>
      <c r="H404" s="40" t="s">
        <v>7762</v>
      </c>
      <c r="I404" s="40" t="s">
        <v>49</v>
      </c>
      <c r="J404" s="40">
        <v>206.45</v>
      </c>
      <c r="K404" s="40">
        <v>206.45</v>
      </c>
      <c r="L404" s="40"/>
      <c r="M404" s="40">
        <v>206.45</v>
      </c>
      <c r="N404" s="40"/>
      <c r="O404" s="40" t="s">
        <v>234</v>
      </c>
    </row>
    <row r="405" spans="1:15" ht="33.75" x14ac:dyDescent="0.2">
      <c r="A405" s="40" t="s">
        <v>7763</v>
      </c>
      <c r="B405" s="40" t="s">
        <v>7764</v>
      </c>
      <c r="C405" s="41">
        <v>46023</v>
      </c>
      <c r="D405" s="41">
        <v>46023</v>
      </c>
      <c r="E405" s="40" t="s">
        <v>13</v>
      </c>
      <c r="F405" s="40" t="s">
        <v>6639</v>
      </c>
      <c r="G405" s="40" t="s">
        <v>7765</v>
      </c>
      <c r="H405" s="40" t="s">
        <v>7766</v>
      </c>
      <c r="I405" s="40" t="s">
        <v>49</v>
      </c>
      <c r="J405" s="40">
        <v>50.41</v>
      </c>
      <c r="K405" s="40">
        <v>50.41</v>
      </c>
      <c r="L405" s="40"/>
      <c r="M405" s="40">
        <v>50.41</v>
      </c>
      <c r="N405" s="40"/>
      <c r="O405" s="40" t="s">
        <v>234</v>
      </c>
    </row>
    <row r="406" spans="1:15" ht="33.75" x14ac:dyDescent="0.2">
      <c r="A406" s="40" t="s">
        <v>7767</v>
      </c>
      <c r="B406" s="40" t="s">
        <v>7768</v>
      </c>
      <c r="C406" s="41">
        <v>46023</v>
      </c>
      <c r="D406" s="41">
        <v>46023</v>
      </c>
      <c r="E406" s="40" t="s">
        <v>13</v>
      </c>
      <c r="F406" s="40" t="s">
        <v>7769</v>
      </c>
      <c r="G406" s="40" t="s">
        <v>7770</v>
      </c>
      <c r="H406" s="40" t="s">
        <v>7771</v>
      </c>
      <c r="I406" s="40" t="s">
        <v>49</v>
      </c>
      <c r="J406" s="40">
        <v>74.7</v>
      </c>
      <c r="K406" s="40">
        <v>74.7</v>
      </c>
      <c r="L406" s="40"/>
      <c r="M406" s="40">
        <v>74.7</v>
      </c>
      <c r="N406" s="40"/>
      <c r="O406" s="40" t="s">
        <v>234</v>
      </c>
    </row>
    <row r="407" spans="1:15" ht="33.75" x14ac:dyDescent="0.2">
      <c r="A407" s="40" t="s">
        <v>7772</v>
      </c>
      <c r="B407" s="40" t="s">
        <v>7773</v>
      </c>
      <c r="C407" s="41">
        <v>46023</v>
      </c>
      <c r="D407" s="41">
        <v>46023</v>
      </c>
      <c r="E407" s="40" t="s">
        <v>13</v>
      </c>
      <c r="F407" s="40" t="s">
        <v>7774</v>
      </c>
      <c r="G407" s="40" t="s">
        <v>7775</v>
      </c>
      <c r="H407" s="40" t="s">
        <v>7776</v>
      </c>
      <c r="I407" s="40" t="s">
        <v>49</v>
      </c>
      <c r="J407" s="40">
        <v>247.05</v>
      </c>
      <c r="K407" s="40">
        <v>247.05</v>
      </c>
      <c r="L407" s="40"/>
      <c r="M407" s="40">
        <v>247.05</v>
      </c>
      <c r="N407" s="40"/>
      <c r="O407" s="40" t="s">
        <v>234</v>
      </c>
    </row>
    <row r="408" spans="1:15" ht="33.75" x14ac:dyDescent="0.2">
      <c r="A408" s="40" t="s">
        <v>7777</v>
      </c>
      <c r="B408" s="40" t="s">
        <v>7778</v>
      </c>
      <c r="C408" s="41">
        <v>46023</v>
      </c>
      <c r="D408" s="41">
        <v>46023</v>
      </c>
      <c r="E408" s="40" t="s">
        <v>13</v>
      </c>
      <c r="F408" s="40" t="s">
        <v>7779</v>
      </c>
      <c r="G408" s="40" t="s">
        <v>7780</v>
      </c>
      <c r="H408" s="40" t="s">
        <v>7781</v>
      </c>
      <c r="I408" s="40" t="s">
        <v>49</v>
      </c>
      <c r="J408" s="40">
        <v>119.39</v>
      </c>
      <c r="K408" s="40">
        <v>119.39</v>
      </c>
      <c r="L408" s="40"/>
      <c r="M408" s="40">
        <v>119.39</v>
      </c>
      <c r="N408" s="40"/>
      <c r="O408" s="40" t="s">
        <v>234</v>
      </c>
    </row>
    <row r="409" spans="1:15" ht="22.5" x14ac:dyDescent="0.2">
      <c r="A409" s="40" t="s">
        <v>7782</v>
      </c>
      <c r="B409" s="40" t="s">
        <v>7783</v>
      </c>
      <c r="C409" s="41">
        <v>46023</v>
      </c>
      <c r="D409" s="41">
        <v>46023</v>
      </c>
      <c r="E409" s="40" t="s">
        <v>13</v>
      </c>
      <c r="F409" s="40" t="s">
        <v>7784</v>
      </c>
      <c r="G409" s="40" t="s">
        <v>7785</v>
      </c>
      <c r="H409" s="40" t="s">
        <v>7786</v>
      </c>
      <c r="I409" s="40" t="s">
        <v>49</v>
      </c>
      <c r="J409" s="40">
        <v>61.56</v>
      </c>
      <c r="K409" s="40">
        <v>61.56</v>
      </c>
      <c r="L409" s="40"/>
      <c r="M409" s="40">
        <v>61.56</v>
      </c>
      <c r="N409" s="40"/>
      <c r="O409" s="40" t="s">
        <v>234</v>
      </c>
    </row>
    <row r="410" spans="1:15" ht="33.75" x14ac:dyDescent="0.2">
      <c r="A410" s="40" t="s">
        <v>7787</v>
      </c>
      <c r="B410" s="40" t="s">
        <v>7788</v>
      </c>
      <c r="C410" s="41">
        <v>46023</v>
      </c>
      <c r="D410" s="41">
        <v>46023</v>
      </c>
      <c r="E410" s="40" t="s">
        <v>13</v>
      </c>
      <c r="F410" s="40" t="s">
        <v>2564</v>
      </c>
      <c r="G410" s="40" t="s">
        <v>7789</v>
      </c>
      <c r="H410" s="40" t="s">
        <v>7790</v>
      </c>
      <c r="I410" s="40" t="s">
        <v>49</v>
      </c>
      <c r="J410" s="40">
        <v>177.85</v>
      </c>
      <c r="K410" s="40">
        <v>177.85</v>
      </c>
      <c r="L410" s="40"/>
      <c r="M410" s="40">
        <v>177.85</v>
      </c>
      <c r="N410" s="40"/>
      <c r="O410" s="40" t="s">
        <v>234</v>
      </c>
    </row>
    <row r="411" spans="1:15" ht="33.75" x14ac:dyDescent="0.2">
      <c r="A411" s="40" t="s">
        <v>7791</v>
      </c>
      <c r="B411" s="40" t="s">
        <v>7792</v>
      </c>
      <c r="C411" s="41">
        <v>46023</v>
      </c>
      <c r="D411" s="41">
        <v>46023</v>
      </c>
      <c r="E411" s="40" t="s">
        <v>13</v>
      </c>
      <c r="F411" s="40" t="s">
        <v>7793</v>
      </c>
      <c r="G411" s="40" t="s">
        <v>7794</v>
      </c>
      <c r="H411" s="40" t="s">
        <v>7795</v>
      </c>
      <c r="I411" s="40" t="s">
        <v>49</v>
      </c>
      <c r="J411" s="40">
        <v>341.54</v>
      </c>
      <c r="K411" s="40">
        <v>341.54</v>
      </c>
      <c r="L411" s="40"/>
      <c r="M411" s="40">
        <v>341.54</v>
      </c>
      <c r="N411" s="40"/>
      <c r="O411" s="40" t="s">
        <v>234</v>
      </c>
    </row>
    <row r="412" spans="1:15" ht="33.75" x14ac:dyDescent="0.2">
      <c r="A412" s="40" t="s">
        <v>7796</v>
      </c>
      <c r="B412" s="40" t="s">
        <v>7797</v>
      </c>
      <c r="C412" s="41">
        <v>46023</v>
      </c>
      <c r="D412" s="41">
        <v>46023</v>
      </c>
      <c r="E412" s="40" t="s">
        <v>13</v>
      </c>
      <c r="F412" s="40" t="s">
        <v>1290</v>
      </c>
      <c r="G412" s="40" t="s">
        <v>7798</v>
      </c>
      <c r="H412" s="40" t="s">
        <v>7799</v>
      </c>
      <c r="I412" s="40" t="s">
        <v>49</v>
      </c>
      <c r="J412" s="40">
        <v>65.7</v>
      </c>
      <c r="K412" s="40">
        <v>65.7</v>
      </c>
      <c r="L412" s="40"/>
      <c r="M412" s="40">
        <v>65.7</v>
      </c>
      <c r="N412" s="40"/>
      <c r="O412" s="40" t="s">
        <v>234</v>
      </c>
    </row>
    <row r="413" spans="1:15" ht="33.75" x14ac:dyDescent="0.2">
      <c r="A413" s="40" t="s">
        <v>7800</v>
      </c>
      <c r="B413" s="40" t="s">
        <v>7801</v>
      </c>
      <c r="C413" s="41">
        <v>46023</v>
      </c>
      <c r="D413" s="41">
        <v>46023</v>
      </c>
      <c r="E413" s="40" t="s">
        <v>13</v>
      </c>
      <c r="F413" s="40" t="s">
        <v>7802</v>
      </c>
      <c r="G413" s="40" t="s">
        <v>7803</v>
      </c>
      <c r="H413" s="40" t="s">
        <v>7804</v>
      </c>
      <c r="I413" s="40" t="s">
        <v>49</v>
      </c>
      <c r="J413" s="40">
        <v>49.5</v>
      </c>
      <c r="K413" s="40">
        <v>49.5</v>
      </c>
      <c r="L413" s="40"/>
      <c r="M413" s="40">
        <v>49.5</v>
      </c>
      <c r="N413" s="40"/>
      <c r="O413" s="40" t="s">
        <v>234</v>
      </c>
    </row>
    <row r="414" spans="1:15" ht="33.75" x14ac:dyDescent="0.2">
      <c r="A414" s="40" t="s">
        <v>7805</v>
      </c>
      <c r="B414" s="40" t="s">
        <v>7806</v>
      </c>
      <c r="C414" s="41">
        <v>46023</v>
      </c>
      <c r="D414" s="41">
        <v>46023</v>
      </c>
      <c r="E414" s="40" t="s">
        <v>13</v>
      </c>
      <c r="F414" s="40" t="s">
        <v>7807</v>
      </c>
      <c r="G414" s="40" t="s">
        <v>7808</v>
      </c>
      <c r="H414" s="40" t="s">
        <v>7809</v>
      </c>
      <c r="I414" s="40" t="s">
        <v>49</v>
      </c>
      <c r="J414" s="40">
        <v>94.87</v>
      </c>
      <c r="K414" s="40">
        <v>94.87</v>
      </c>
      <c r="L414" s="40"/>
      <c r="M414" s="40">
        <v>94.87</v>
      </c>
      <c r="N414" s="40"/>
      <c r="O414" s="40" t="s">
        <v>234</v>
      </c>
    </row>
    <row r="415" spans="1:15" ht="33.75" x14ac:dyDescent="0.2">
      <c r="A415" s="40" t="s">
        <v>7810</v>
      </c>
      <c r="B415" s="40" t="s">
        <v>7811</v>
      </c>
      <c r="C415" s="41">
        <v>46023</v>
      </c>
      <c r="D415" s="41">
        <v>46023</v>
      </c>
      <c r="E415" s="40" t="s">
        <v>13</v>
      </c>
      <c r="F415" s="40" t="s">
        <v>7812</v>
      </c>
      <c r="G415" s="40" t="s">
        <v>7813</v>
      </c>
      <c r="H415" s="40" t="s">
        <v>7814</v>
      </c>
      <c r="I415" s="40" t="s">
        <v>49</v>
      </c>
      <c r="J415" s="40">
        <v>162</v>
      </c>
      <c r="K415" s="40">
        <v>162</v>
      </c>
      <c r="L415" s="40"/>
      <c r="M415" s="40">
        <v>162</v>
      </c>
      <c r="N415" s="40"/>
      <c r="O415" s="40" t="s">
        <v>234</v>
      </c>
    </row>
    <row r="416" spans="1:15" ht="33.75" x14ac:dyDescent="0.2">
      <c r="A416" s="40" t="s">
        <v>7815</v>
      </c>
      <c r="B416" s="40" t="s">
        <v>7816</v>
      </c>
      <c r="C416" s="41">
        <v>46023</v>
      </c>
      <c r="D416" s="41">
        <v>46023</v>
      </c>
      <c r="E416" s="40" t="s">
        <v>13</v>
      </c>
      <c r="F416" s="40" t="s">
        <v>6515</v>
      </c>
      <c r="G416" s="40" t="s">
        <v>7817</v>
      </c>
      <c r="H416" s="40" t="s">
        <v>7818</v>
      </c>
      <c r="I416" s="40" t="s">
        <v>49</v>
      </c>
      <c r="J416" s="40">
        <v>132.63</v>
      </c>
      <c r="K416" s="40">
        <v>132.63</v>
      </c>
      <c r="L416" s="40"/>
      <c r="M416" s="40">
        <v>132.63</v>
      </c>
      <c r="N416" s="40"/>
      <c r="O416" s="40" t="s">
        <v>234</v>
      </c>
    </row>
    <row r="417" spans="1:15" ht="33.75" x14ac:dyDescent="0.2">
      <c r="A417" s="40" t="s">
        <v>7819</v>
      </c>
      <c r="B417" s="40" t="s">
        <v>7820</v>
      </c>
      <c r="C417" s="41">
        <v>46023</v>
      </c>
      <c r="D417" s="41">
        <v>46023</v>
      </c>
      <c r="E417" s="40" t="s">
        <v>13</v>
      </c>
      <c r="F417" s="40" t="s">
        <v>7821</v>
      </c>
      <c r="G417" s="40" t="s">
        <v>7822</v>
      </c>
      <c r="H417" s="40" t="s">
        <v>7823</v>
      </c>
      <c r="I417" s="40" t="s">
        <v>49</v>
      </c>
      <c r="J417" s="40">
        <v>85.85</v>
      </c>
      <c r="K417" s="40">
        <v>85.85</v>
      </c>
      <c r="L417" s="40"/>
      <c r="M417" s="40">
        <v>85.85</v>
      </c>
      <c r="N417" s="40"/>
      <c r="O417" s="40" t="s">
        <v>234</v>
      </c>
    </row>
    <row r="418" spans="1:15" ht="33.75" x14ac:dyDescent="0.2">
      <c r="A418" s="40" t="s">
        <v>7824</v>
      </c>
      <c r="B418" s="40" t="s">
        <v>7825</v>
      </c>
      <c r="C418" s="41">
        <v>46023</v>
      </c>
      <c r="D418" s="41">
        <v>46023</v>
      </c>
      <c r="E418" s="40" t="s">
        <v>13</v>
      </c>
      <c r="F418" s="40" t="s">
        <v>7826</v>
      </c>
      <c r="G418" s="40" t="s">
        <v>7827</v>
      </c>
      <c r="H418" s="40" t="s">
        <v>7828</v>
      </c>
      <c r="I418" s="40" t="s">
        <v>49</v>
      </c>
      <c r="J418" s="40">
        <v>40.5</v>
      </c>
      <c r="K418" s="40">
        <v>40.5</v>
      </c>
      <c r="L418" s="40"/>
      <c r="M418" s="40">
        <v>40.5</v>
      </c>
      <c r="N418" s="40"/>
      <c r="O418" s="40" t="s">
        <v>234</v>
      </c>
    </row>
    <row r="419" spans="1:15" ht="33.75" x14ac:dyDescent="0.2">
      <c r="A419" s="40" t="s">
        <v>7829</v>
      </c>
      <c r="B419" s="40" t="s">
        <v>7830</v>
      </c>
      <c r="C419" s="41">
        <v>46023</v>
      </c>
      <c r="D419" s="41">
        <v>46023</v>
      </c>
      <c r="E419" s="40" t="s">
        <v>13</v>
      </c>
      <c r="F419" s="40" t="s">
        <v>7831</v>
      </c>
      <c r="G419" s="40" t="s">
        <v>7832</v>
      </c>
      <c r="H419" s="40" t="s">
        <v>7833</v>
      </c>
      <c r="I419" s="40" t="s">
        <v>49</v>
      </c>
      <c r="J419" s="40">
        <v>82.8</v>
      </c>
      <c r="K419" s="40">
        <v>82.8</v>
      </c>
      <c r="L419" s="40"/>
      <c r="M419" s="40">
        <v>82.8</v>
      </c>
      <c r="N419" s="40"/>
      <c r="O419" s="40" t="s">
        <v>234</v>
      </c>
    </row>
    <row r="420" spans="1:15" ht="33.75" x14ac:dyDescent="0.2">
      <c r="A420" s="40" t="s">
        <v>7834</v>
      </c>
      <c r="B420" s="40" t="s">
        <v>7835</v>
      </c>
      <c r="C420" s="41">
        <v>46023</v>
      </c>
      <c r="D420" s="41">
        <v>46023</v>
      </c>
      <c r="E420" s="40" t="s">
        <v>13</v>
      </c>
      <c r="F420" s="40" t="s">
        <v>7836</v>
      </c>
      <c r="G420" s="40" t="s">
        <v>7837</v>
      </c>
      <c r="H420" s="40" t="s">
        <v>7838</v>
      </c>
      <c r="I420" s="40" t="s">
        <v>49</v>
      </c>
      <c r="J420" s="40">
        <v>155.11000000000001</v>
      </c>
      <c r="K420" s="40">
        <v>155.11000000000001</v>
      </c>
      <c r="L420" s="40"/>
      <c r="M420" s="40">
        <v>155.11000000000001</v>
      </c>
      <c r="N420" s="40"/>
      <c r="O420" s="40" t="s">
        <v>234</v>
      </c>
    </row>
    <row r="421" spans="1:15" ht="33.75" x14ac:dyDescent="0.2">
      <c r="A421" s="40" t="s">
        <v>7839</v>
      </c>
      <c r="B421" s="40" t="s">
        <v>7840</v>
      </c>
      <c r="C421" s="41">
        <v>46023</v>
      </c>
      <c r="D421" s="41">
        <v>46023</v>
      </c>
      <c r="E421" s="40" t="s">
        <v>13</v>
      </c>
      <c r="F421" s="40" t="s">
        <v>7841</v>
      </c>
      <c r="G421" s="40" t="s">
        <v>7842</v>
      </c>
      <c r="H421" s="40" t="s">
        <v>7843</v>
      </c>
      <c r="I421" s="40" t="s">
        <v>49</v>
      </c>
      <c r="J421" s="40">
        <v>51.31</v>
      </c>
      <c r="K421" s="40">
        <v>51.31</v>
      </c>
      <c r="L421" s="40"/>
      <c r="M421" s="40">
        <v>51.31</v>
      </c>
      <c r="N421" s="40"/>
      <c r="O421" s="40" t="s">
        <v>234</v>
      </c>
    </row>
    <row r="422" spans="1:15" ht="33.75" x14ac:dyDescent="0.2">
      <c r="A422" s="40" t="s">
        <v>7844</v>
      </c>
      <c r="B422" s="40" t="s">
        <v>7845</v>
      </c>
      <c r="C422" s="41">
        <v>46023</v>
      </c>
      <c r="D422" s="41">
        <v>46023</v>
      </c>
      <c r="E422" s="40" t="s">
        <v>13</v>
      </c>
      <c r="F422" s="40" t="s">
        <v>7846</v>
      </c>
      <c r="G422" s="40" t="s">
        <v>7847</v>
      </c>
      <c r="H422" s="40" t="s">
        <v>7848</v>
      </c>
      <c r="I422" s="40" t="s">
        <v>49</v>
      </c>
      <c r="J422" s="40">
        <v>80</v>
      </c>
      <c r="K422" s="40">
        <v>80</v>
      </c>
      <c r="L422" s="40"/>
      <c r="M422" s="40">
        <v>80</v>
      </c>
      <c r="N422" s="40"/>
      <c r="O422" s="40" t="s">
        <v>234</v>
      </c>
    </row>
    <row r="423" spans="1:15" ht="33.75" x14ac:dyDescent="0.2">
      <c r="A423" s="40" t="s">
        <v>7849</v>
      </c>
      <c r="B423" s="40" t="s">
        <v>7850</v>
      </c>
      <c r="C423" s="41">
        <v>46023</v>
      </c>
      <c r="D423" s="41">
        <v>46023</v>
      </c>
      <c r="E423" s="40" t="s">
        <v>13</v>
      </c>
      <c r="F423" s="40" t="s">
        <v>7851</v>
      </c>
      <c r="G423" s="40" t="s">
        <v>7852</v>
      </c>
      <c r="H423" s="40" t="s">
        <v>7853</v>
      </c>
      <c r="I423" s="40" t="s">
        <v>49</v>
      </c>
      <c r="J423" s="40">
        <v>360</v>
      </c>
      <c r="K423" s="40">
        <v>360</v>
      </c>
      <c r="L423" s="40"/>
      <c r="M423" s="40">
        <v>360</v>
      </c>
      <c r="N423" s="40"/>
      <c r="O423" s="40" t="s">
        <v>234</v>
      </c>
    </row>
    <row r="424" spans="1:15" ht="33.75" x14ac:dyDescent="0.2">
      <c r="A424" s="40" t="s">
        <v>7854</v>
      </c>
      <c r="B424" s="40" t="s">
        <v>7855</v>
      </c>
      <c r="C424" s="41">
        <v>46023</v>
      </c>
      <c r="D424" s="41">
        <v>46023</v>
      </c>
      <c r="E424" s="40" t="s">
        <v>13</v>
      </c>
      <c r="F424" s="40" t="s">
        <v>7856</v>
      </c>
      <c r="G424" s="40" t="s">
        <v>7857</v>
      </c>
      <c r="H424" s="40" t="s">
        <v>7858</v>
      </c>
      <c r="I424" s="40" t="s">
        <v>49</v>
      </c>
      <c r="J424" s="40">
        <v>55.58</v>
      </c>
      <c r="K424" s="40">
        <v>55.58</v>
      </c>
      <c r="L424" s="40"/>
      <c r="M424" s="40">
        <v>55.58</v>
      </c>
      <c r="N424" s="40"/>
      <c r="O424" s="40" t="s">
        <v>234</v>
      </c>
    </row>
    <row r="425" spans="1:15" ht="33.75" x14ac:dyDescent="0.2">
      <c r="A425" s="40" t="s">
        <v>7859</v>
      </c>
      <c r="B425" s="40" t="s">
        <v>7860</v>
      </c>
      <c r="C425" s="41">
        <v>46023</v>
      </c>
      <c r="D425" s="41">
        <v>46023</v>
      </c>
      <c r="E425" s="40" t="s">
        <v>13</v>
      </c>
      <c r="F425" s="40" t="s">
        <v>7856</v>
      </c>
      <c r="G425" s="40" t="s">
        <v>7857</v>
      </c>
      <c r="H425" s="40" t="s">
        <v>7861</v>
      </c>
      <c r="I425" s="40" t="s">
        <v>49</v>
      </c>
      <c r="J425" s="40">
        <v>55.58</v>
      </c>
      <c r="K425" s="40">
        <v>55.58</v>
      </c>
      <c r="L425" s="40"/>
      <c r="M425" s="40">
        <v>55.58</v>
      </c>
      <c r="N425" s="40"/>
      <c r="O425" s="40" t="s">
        <v>234</v>
      </c>
    </row>
    <row r="426" spans="1:15" ht="33.75" x14ac:dyDescent="0.2">
      <c r="A426" s="40" t="s">
        <v>7862</v>
      </c>
      <c r="B426" s="40" t="s">
        <v>7863</v>
      </c>
      <c r="C426" s="41">
        <v>46023</v>
      </c>
      <c r="D426" s="41">
        <v>46023</v>
      </c>
      <c r="E426" s="40" t="s">
        <v>13</v>
      </c>
      <c r="F426" s="40" t="s">
        <v>7856</v>
      </c>
      <c r="G426" s="40" t="s">
        <v>7857</v>
      </c>
      <c r="H426" s="40" t="s">
        <v>7864</v>
      </c>
      <c r="I426" s="40" t="s">
        <v>49</v>
      </c>
      <c r="J426" s="40">
        <v>55.58</v>
      </c>
      <c r="K426" s="40">
        <v>55.58</v>
      </c>
      <c r="L426" s="40"/>
      <c r="M426" s="40">
        <v>55.58</v>
      </c>
      <c r="N426" s="40"/>
      <c r="O426" s="40" t="s">
        <v>234</v>
      </c>
    </row>
    <row r="427" spans="1:15" ht="33.75" x14ac:dyDescent="0.2">
      <c r="A427" s="40" t="s">
        <v>7865</v>
      </c>
      <c r="B427" s="40" t="s">
        <v>7866</v>
      </c>
      <c r="C427" s="41">
        <v>46023</v>
      </c>
      <c r="D427" s="41">
        <v>46023</v>
      </c>
      <c r="E427" s="40" t="s">
        <v>13</v>
      </c>
      <c r="F427" s="40" t="s">
        <v>3486</v>
      </c>
      <c r="G427" s="40" t="s">
        <v>7867</v>
      </c>
      <c r="H427" s="40" t="s">
        <v>7868</v>
      </c>
      <c r="I427" s="40" t="s">
        <v>49</v>
      </c>
      <c r="J427" s="40">
        <v>141.6</v>
      </c>
      <c r="K427" s="40">
        <v>141.6</v>
      </c>
      <c r="L427" s="40"/>
      <c r="M427" s="40">
        <v>141.6</v>
      </c>
      <c r="N427" s="40"/>
      <c r="O427" s="40" t="s">
        <v>234</v>
      </c>
    </row>
    <row r="428" spans="1:15" ht="33.75" x14ac:dyDescent="0.2">
      <c r="A428" s="40" t="s">
        <v>7869</v>
      </c>
      <c r="B428" s="40" t="s">
        <v>7870</v>
      </c>
      <c r="C428" s="41">
        <v>46023</v>
      </c>
      <c r="D428" s="41">
        <v>46023</v>
      </c>
      <c r="E428" s="40" t="s">
        <v>13</v>
      </c>
      <c r="F428" s="40" t="s">
        <v>3486</v>
      </c>
      <c r="G428" s="40" t="s">
        <v>7871</v>
      </c>
      <c r="H428" s="40" t="s">
        <v>7872</v>
      </c>
      <c r="I428" s="40" t="s">
        <v>49</v>
      </c>
      <c r="J428" s="40">
        <v>140.19</v>
      </c>
      <c r="K428" s="40">
        <v>140.19</v>
      </c>
      <c r="L428" s="40"/>
      <c r="M428" s="40">
        <v>140.19</v>
      </c>
      <c r="N428" s="40"/>
      <c r="O428" s="40" t="s">
        <v>234</v>
      </c>
    </row>
    <row r="429" spans="1:15" ht="33.75" x14ac:dyDescent="0.2">
      <c r="A429" s="40" t="s">
        <v>7873</v>
      </c>
      <c r="B429" s="40" t="s">
        <v>7874</v>
      </c>
      <c r="C429" s="41">
        <v>46023</v>
      </c>
      <c r="D429" s="41">
        <v>46023</v>
      </c>
      <c r="E429" s="40" t="s">
        <v>13</v>
      </c>
      <c r="F429" s="40" t="s">
        <v>7875</v>
      </c>
      <c r="G429" s="40" t="s">
        <v>7876</v>
      </c>
      <c r="H429" s="40" t="s">
        <v>7877</v>
      </c>
      <c r="I429" s="40" t="s">
        <v>49</v>
      </c>
      <c r="J429" s="40">
        <v>116.01</v>
      </c>
      <c r="K429" s="40">
        <v>116.01</v>
      </c>
      <c r="L429" s="40"/>
      <c r="M429" s="40">
        <v>116.01</v>
      </c>
      <c r="N429" s="40"/>
      <c r="O429" s="40" t="s">
        <v>234</v>
      </c>
    </row>
    <row r="430" spans="1:15" ht="33.75" x14ac:dyDescent="0.2">
      <c r="A430" s="40" t="s">
        <v>7878</v>
      </c>
      <c r="B430" s="40" t="s">
        <v>7879</v>
      </c>
      <c r="C430" s="41">
        <v>46023</v>
      </c>
      <c r="D430" s="41">
        <v>46023</v>
      </c>
      <c r="E430" s="40" t="s">
        <v>13</v>
      </c>
      <c r="F430" s="40" t="s">
        <v>7880</v>
      </c>
      <c r="G430" s="40" t="s">
        <v>7881</v>
      </c>
      <c r="H430" s="40" t="s">
        <v>7882</v>
      </c>
      <c r="I430" s="40" t="s">
        <v>49</v>
      </c>
      <c r="J430" s="40">
        <v>280.45</v>
      </c>
      <c r="K430" s="40">
        <v>280.45</v>
      </c>
      <c r="L430" s="40"/>
      <c r="M430" s="40">
        <v>280.45</v>
      </c>
      <c r="N430" s="40"/>
      <c r="O430" s="40" t="s">
        <v>234</v>
      </c>
    </row>
    <row r="431" spans="1:15" ht="33.75" x14ac:dyDescent="0.2">
      <c r="A431" s="40" t="s">
        <v>7883</v>
      </c>
      <c r="B431" s="40" t="s">
        <v>7884</v>
      </c>
      <c r="C431" s="41">
        <v>46023</v>
      </c>
      <c r="D431" s="41">
        <v>46023</v>
      </c>
      <c r="E431" s="40" t="s">
        <v>13</v>
      </c>
      <c r="F431" s="40" t="s">
        <v>7885</v>
      </c>
      <c r="G431" s="40" t="s">
        <v>7886</v>
      </c>
      <c r="H431" s="40" t="s">
        <v>7887</v>
      </c>
      <c r="I431" s="40" t="s">
        <v>49</v>
      </c>
      <c r="J431" s="40">
        <v>109.01</v>
      </c>
      <c r="K431" s="40">
        <v>109.01</v>
      </c>
      <c r="L431" s="40"/>
      <c r="M431" s="40">
        <v>109.01</v>
      </c>
      <c r="N431" s="40"/>
      <c r="O431" s="40" t="s">
        <v>234</v>
      </c>
    </row>
    <row r="432" spans="1:15" ht="33.75" x14ac:dyDescent="0.2">
      <c r="A432" s="40" t="s">
        <v>7888</v>
      </c>
      <c r="B432" s="40" t="s">
        <v>7889</v>
      </c>
      <c r="C432" s="41">
        <v>46023</v>
      </c>
      <c r="D432" s="41">
        <v>46023</v>
      </c>
      <c r="E432" s="40" t="s">
        <v>13</v>
      </c>
      <c r="F432" s="40" t="s">
        <v>7890</v>
      </c>
      <c r="G432" s="40" t="s">
        <v>7891</v>
      </c>
      <c r="H432" s="40" t="s">
        <v>7892</v>
      </c>
      <c r="I432" s="40" t="s">
        <v>49</v>
      </c>
      <c r="J432" s="40">
        <v>105</v>
      </c>
      <c r="K432" s="40">
        <v>105</v>
      </c>
      <c r="L432" s="40"/>
      <c r="M432" s="40">
        <v>105</v>
      </c>
      <c r="N432" s="40"/>
      <c r="O432" s="40" t="s">
        <v>234</v>
      </c>
    </row>
    <row r="433" spans="1:15" ht="33.75" x14ac:dyDescent="0.2">
      <c r="A433" s="40" t="s">
        <v>7893</v>
      </c>
      <c r="B433" s="40" t="s">
        <v>7894</v>
      </c>
      <c r="C433" s="41">
        <v>46023</v>
      </c>
      <c r="D433" s="41">
        <v>46023</v>
      </c>
      <c r="E433" s="40" t="s">
        <v>13</v>
      </c>
      <c r="F433" s="40" t="s">
        <v>7812</v>
      </c>
      <c r="G433" s="40" t="s">
        <v>7895</v>
      </c>
      <c r="H433" s="40" t="s">
        <v>7896</v>
      </c>
      <c r="I433" s="40" t="s">
        <v>49</v>
      </c>
      <c r="J433" s="40">
        <v>427.68</v>
      </c>
      <c r="K433" s="40">
        <v>427.68</v>
      </c>
      <c r="L433" s="40"/>
      <c r="M433" s="40">
        <v>427.68</v>
      </c>
      <c r="N433" s="40"/>
      <c r="O433" s="40" t="s">
        <v>234</v>
      </c>
    </row>
    <row r="434" spans="1:15" ht="33.75" x14ac:dyDescent="0.2">
      <c r="A434" s="40" t="s">
        <v>7897</v>
      </c>
      <c r="B434" s="40" t="s">
        <v>7898</v>
      </c>
      <c r="C434" s="41">
        <v>46023</v>
      </c>
      <c r="D434" s="41">
        <v>46023</v>
      </c>
      <c r="E434" s="40" t="s">
        <v>13</v>
      </c>
      <c r="F434" s="40" t="s">
        <v>90</v>
      </c>
      <c r="G434" s="40" t="s">
        <v>7899</v>
      </c>
      <c r="H434" s="40" t="s">
        <v>7900</v>
      </c>
      <c r="I434" s="40" t="s">
        <v>49</v>
      </c>
      <c r="J434" s="40">
        <v>542.41999999999996</v>
      </c>
      <c r="K434" s="40">
        <v>542.41999999999996</v>
      </c>
      <c r="L434" s="40"/>
      <c r="M434" s="40">
        <v>542.41999999999996</v>
      </c>
      <c r="N434" s="40"/>
      <c r="O434" s="40" t="s">
        <v>234</v>
      </c>
    </row>
    <row r="435" spans="1:15" ht="33.75" x14ac:dyDescent="0.2">
      <c r="A435" s="40" t="s">
        <v>7901</v>
      </c>
      <c r="B435" s="40" t="s">
        <v>7902</v>
      </c>
      <c r="C435" s="41">
        <v>46023</v>
      </c>
      <c r="D435" s="41">
        <v>46023</v>
      </c>
      <c r="E435" s="40" t="s">
        <v>13</v>
      </c>
      <c r="F435" s="40" t="s">
        <v>7903</v>
      </c>
      <c r="G435" s="40" t="s">
        <v>7904</v>
      </c>
      <c r="H435" s="40" t="s">
        <v>7905</v>
      </c>
      <c r="I435" s="40" t="s">
        <v>49</v>
      </c>
      <c r="J435" s="40">
        <v>20</v>
      </c>
      <c r="K435" s="40">
        <v>20</v>
      </c>
      <c r="L435" s="40"/>
      <c r="M435" s="40">
        <v>20</v>
      </c>
      <c r="N435" s="40"/>
      <c r="O435" s="40" t="s">
        <v>234</v>
      </c>
    </row>
    <row r="436" spans="1:15" ht="33.75" x14ac:dyDescent="0.2">
      <c r="A436" s="40" t="s">
        <v>7906</v>
      </c>
      <c r="B436" s="40" t="s">
        <v>7907</v>
      </c>
      <c r="C436" s="41">
        <v>46023</v>
      </c>
      <c r="D436" s="41">
        <v>46023</v>
      </c>
      <c r="E436" s="40" t="s">
        <v>13</v>
      </c>
      <c r="F436" s="40" t="s">
        <v>7908</v>
      </c>
      <c r="G436" s="40" t="s">
        <v>7909</v>
      </c>
      <c r="H436" s="40" t="s">
        <v>7910</v>
      </c>
      <c r="I436" s="40" t="s">
        <v>49</v>
      </c>
      <c r="J436" s="40">
        <v>340.24</v>
      </c>
      <c r="K436" s="40">
        <v>340.24</v>
      </c>
      <c r="L436" s="40"/>
      <c r="M436" s="40">
        <v>340.24</v>
      </c>
      <c r="N436" s="40"/>
      <c r="O436" s="40" t="s">
        <v>234</v>
      </c>
    </row>
    <row r="437" spans="1:15" ht="33.75" x14ac:dyDescent="0.2">
      <c r="A437" s="40" t="s">
        <v>7911</v>
      </c>
      <c r="B437" s="40" t="s">
        <v>7912</v>
      </c>
      <c r="C437" s="41">
        <v>46023</v>
      </c>
      <c r="D437" s="41">
        <v>46023</v>
      </c>
      <c r="E437" s="40" t="s">
        <v>13</v>
      </c>
      <c r="F437" s="40" t="s">
        <v>7913</v>
      </c>
      <c r="G437" s="40" t="s">
        <v>7914</v>
      </c>
      <c r="H437" s="40" t="s">
        <v>7915</v>
      </c>
      <c r="I437" s="40" t="s">
        <v>49</v>
      </c>
      <c r="J437" s="40">
        <v>33</v>
      </c>
      <c r="K437" s="40">
        <v>33</v>
      </c>
      <c r="L437" s="40"/>
      <c r="M437" s="40">
        <v>33</v>
      </c>
      <c r="N437" s="40"/>
      <c r="O437" s="40" t="s">
        <v>234</v>
      </c>
    </row>
    <row r="438" spans="1:15" ht="33.75" x14ac:dyDescent="0.2">
      <c r="A438" s="40" t="s">
        <v>7916</v>
      </c>
      <c r="B438" s="40" t="s">
        <v>7917</v>
      </c>
      <c r="C438" s="41">
        <v>46023</v>
      </c>
      <c r="D438" s="41">
        <v>46023</v>
      </c>
      <c r="E438" s="40" t="s">
        <v>13</v>
      </c>
      <c r="F438" s="40" t="s">
        <v>6487</v>
      </c>
      <c r="G438" s="40" t="s">
        <v>7918</v>
      </c>
      <c r="H438" s="40" t="s">
        <v>7919</v>
      </c>
      <c r="I438" s="40" t="s">
        <v>49</v>
      </c>
      <c r="J438" s="40">
        <v>244.71</v>
      </c>
      <c r="K438" s="40">
        <v>244.71</v>
      </c>
      <c r="L438" s="40"/>
      <c r="M438" s="40">
        <v>244.71</v>
      </c>
      <c r="N438" s="40"/>
      <c r="O438" s="40" t="s">
        <v>234</v>
      </c>
    </row>
    <row r="439" spans="1:15" ht="33.75" x14ac:dyDescent="0.2">
      <c r="A439" s="40" t="s">
        <v>7920</v>
      </c>
      <c r="B439" s="40" t="s">
        <v>7921</v>
      </c>
      <c r="C439" s="41">
        <v>46023</v>
      </c>
      <c r="D439" s="41">
        <v>46023</v>
      </c>
      <c r="E439" s="40" t="s">
        <v>13</v>
      </c>
      <c r="F439" s="40" t="s">
        <v>7922</v>
      </c>
      <c r="G439" s="40" t="s">
        <v>7923</v>
      </c>
      <c r="H439" s="40" t="s">
        <v>7924</v>
      </c>
      <c r="I439" s="40" t="s">
        <v>49</v>
      </c>
      <c r="J439" s="40">
        <v>301</v>
      </c>
      <c r="K439" s="40">
        <v>301</v>
      </c>
      <c r="L439" s="40"/>
      <c r="M439" s="40">
        <v>301</v>
      </c>
      <c r="N439" s="40"/>
      <c r="O439" s="40" t="s">
        <v>234</v>
      </c>
    </row>
    <row r="440" spans="1:15" ht="33.75" x14ac:dyDescent="0.2">
      <c r="A440" s="40" t="s">
        <v>7925</v>
      </c>
      <c r="B440" s="40" t="s">
        <v>7926</v>
      </c>
      <c r="C440" s="41">
        <v>46023</v>
      </c>
      <c r="D440" s="41">
        <v>46023</v>
      </c>
      <c r="E440" s="40" t="s">
        <v>13</v>
      </c>
      <c r="F440" s="40" t="s">
        <v>7927</v>
      </c>
      <c r="G440" s="40" t="s">
        <v>7928</v>
      </c>
      <c r="H440" s="40" t="s">
        <v>7929</v>
      </c>
      <c r="I440" s="40" t="s">
        <v>49</v>
      </c>
      <c r="J440" s="40">
        <v>208.98</v>
      </c>
      <c r="K440" s="40">
        <v>208.98</v>
      </c>
      <c r="L440" s="40"/>
      <c r="M440" s="40">
        <v>208.98</v>
      </c>
      <c r="N440" s="40"/>
      <c r="O440" s="40" t="s">
        <v>234</v>
      </c>
    </row>
    <row r="441" spans="1:15" ht="33.75" x14ac:dyDescent="0.2">
      <c r="A441" s="40" t="s">
        <v>7930</v>
      </c>
      <c r="B441" s="40" t="s">
        <v>7931</v>
      </c>
      <c r="C441" s="41">
        <v>46023</v>
      </c>
      <c r="D441" s="41">
        <v>46023</v>
      </c>
      <c r="E441" s="40" t="s">
        <v>13</v>
      </c>
      <c r="F441" s="40" t="s">
        <v>7932</v>
      </c>
      <c r="G441" s="40" t="s">
        <v>7933</v>
      </c>
      <c r="H441" s="40" t="s">
        <v>7934</v>
      </c>
      <c r="I441" s="40" t="s">
        <v>49</v>
      </c>
      <c r="J441" s="40">
        <v>329.4</v>
      </c>
      <c r="K441" s="40">
        <v>329.4</v>
      </c>
      <c r="L441" s="40"/>
      <c r="M441" s="40">
        <v>329.4</v>
      </c>
      <c r="N441" s="40"/>
      <c r="O441" s="40" t="s">
        <v>234</v>
      </c>
    </row>
    <row r="442" spans="1:15" ht="33.75" x14ac:dyDescent="0.2">
      <c r="A442" s="40" t="s">
        <v>7935</v>
      </c>
      <c r="B442" s="40" t="s">
        <v>7936</v>
      </c>
      <c r="C442" s="41">
        <v>46023</v>
      </c>
      <c r="D442" s="41">
        <v>46023</v>
      </c>
      <c r="E442" s="40" t="s">
        <v>13</v>
      </c>
      <c r="F442" s="40" t="s">
        <v>7937</v>
      </c>
      <c r="G442" s="40" t="s">
        <v>7938</v>
      </c>
      <c r="H442" s="40" t="s">
        <v>7939</v>
      </c>
      <c r="I442" s="40" t="s">
        <v>49</v>
      </c>
      <c r="J442" s="40">
        <v>190.26</v>
      </c>
      <c r="K442" s="40">
        <v>190.26</v>
      </c>
      <c r="L442" s="40"/>
      <c r="M442" s="40">
        <v>190.26</v>
      </c>
      <c r="N442" s="40"/>
      <c r="O442" s="40" t="s">
        <v>234</v>
      </c>
    </row>
    <row r="443" spans="1:15" ht="33.75" x14ac:dyDescent="0.2">
      <c r="A443" s="40" t="s">
        <v>7940</v>
      </c>
      <c r="B443" s="40" t="s">
        <v>7941</v>
      </c>
      <c r="C443" s="41">
        <v>46023</v>
      </c>
      <c r="D443" s="41">
        <v>46023</v>
      </c>
      <c r="E443" s="40" t="s">
        <v>13</v>
      </c>
      <c r="F443" s="40" t="s">
        <v>7942</v>
      </c>
      <c r="G443" s="40" t="s">
        <v>7943</v>
      </c>
      <c r="H443" s="40" t="s">
        <v>7944</v>
      </c>
      <c r="I443" s="40" t="s">
        <v>49</v>
      </c>
      <c r="J443" s="40">
        <v>116.64</v>
      </c>
      <c r="K443" s="40">
        <v>116.64</v>
      </c>
      <c r="L443" s="40"/>
      <c r="M443" s="40">
        <v>116.64</v>
      </c>
      <c r="N443" s="40"/>
      <c r="O443" s="40" t="s">
        <v>234</v>
      </c>
    </row>
    <row r="444" spans="1:15" ht="33.75" x14ac:dyDescent="0.2">
      <c r="A444" s="40" t="s">
        <v>7945</v>
      </c>
      <c r="B444" s="40" t="s">
        <v>7946</v>
      </c>
      <c r="C444" s="41">
        <v>46023</v>
      </c>
      <c r="D444" s="41">
        <v>46023</v>
      </c>
      <c r="E444" s="40" t="s">
        <v>13</v>
      </c>
      <c r="F444" s="40" t="s">
        <v>7280</v>
      </c>
      <c r="G444" s="40" t="s">
        <v>7947</v>
      </c>
      <c r="H444" s="40" t="s">
        <v>7948</v>
      </c>
      <c r="I444" s="40" t="s">
        <v>49</v>
      </c>
      <c r="J444" s="40">
        <v>177.85</v>
      </c>
      <c r="K444" s="40">
        <v>177.85</v>
      </c>
      <c r="L444" s="40"/>
      <c r="M444" s="40">
        <v>177.85</v>
      </c>
      <c r="N444" s="40"/>
      <c r="O444" s="40" t="s">
        <v>234</v>
      </c>
    </row>
    <row r="445" spans="1:15" ht="45" x14ac:dyDescent="0.2">
      <c r="A445" s="40" t="s">
        <v>7949</v>
      </c>
      <c r="B445" s="40" t="s">
        <v>7950</v>
      </c>
      <c r="C445" s="41">
        <v>46023</v>
      </c>
      <c r="D445" s="41">
        <v>46023</v>
      </c>
      <c r="E445" s="40" t="s">
        <v>13</v>
      </c>
      <c r="F445" s="40" t="s">
        <v>7951</v>
      </c>
      <c r="G445" s="40" t="s">
        <v>7952</v>
      </c>
      <c r="H445" s="40" t="s">
        <v>7953</v>
      </c>
      <c r="I445" s="40" t="s">
        <v>49</v>
      </c>
      <c r="J445" s="40">
        <v>200.35</v>
      </c>
      <c r="K445" s="40">
        <v>200.35</v>
      </c>
      <c r="L445" s="40"/>
      <c r="M445" s="40">
        <v>200.35</v>
      </c>
      <c r="N445" s="40"/>
      <c r="O445" s="40" t="s">
        <v>234</v>
      </c>
    </row>
    <row r="446" spans="1:15" ht="33.75" x14ac:dyDescent="0.2">
      <c r="A446" s="40" t="s">
        <v>7954</v>
      </c>
      <c r="B446" s="40" t="s">
        <v>7955</v>
      </c>
      <c r="C446" s="41">
        <v>46023</v>
      </c>
      <c r="D446" s="41">
        <v>46023</v>
      </c>
      <c r="E446" s="40" t="s">
        <v>13</v>
      </c>
      <c r="F446" s="40" t="s">
        <v>7956</v>
      </c>
      <c r="G446" s="40" t="s">
        <v>7957</v>
      </c>
      <c r="H446" s="40" t="s">
        <v>7958</v>
      </c>
      <c r="I446" s="40" t="s">
        <v>49</v>
      </c>
      <c r="J446" s="40">
        <v>222.08</v>
      </c>
      <c r="K446" s="40">
        <v>222.08</v>
      </c>
      <c r="L446" s="40"/>
      <c r="M446" s="40">
        <v>222.08</v>
      </c>
      <c r="N446" s="40"/>
      <c r="O446" s="40" t="s">
        <v>234</v>
      </c>
    </row>
    <row r="447" spans="1:15" ht="33.75" x14ac:dyDescent="0.2">
      <c r="A447" s="40" t="s">
        <v>7959</v>
      </c>
      <c r="B447" s="40" t="s">
        <v>7960</v>
      </c>
      <c r="C447" s="41">
        <v>46023</v>
      </c>
      <c r="D447" s="41">
        <v>46023</v>
      </c>
      <c r="E447" s="40" t="s">
        <v>13</v>
      </c>
      <c r="F447" s="40" t="s">
        <v>7961</v>
      </c>
      <c r="G447" s="40" t="s">
        <v>7962</v>
      </c>
      <c r="H447" s="40" t="s">
        <v>7963</v>
      </c>
      <c r="I447" s="40" t="s">
        <v>49</v>
      </c>
      <c r="J447" s="40">
        <v>136.99</v>
      </c>
      <c r="K447" s="40">
        <v>136.99</v>
      </c>
      <c r="L447" s="40"/>
      <c r="M447" s="40">
        <v>136.99</v>
      </c>
      <c r="N447" s="40"/>
      <c r="O447" s="40" t="s">
        <v>234</v>
      </c>
    </row>
    <row r="448" spans="1:15" ht="33.75" x14ac:dyDescent="0.2">
      <c r="A448" s="40" t="s">
        <v>7964</v>
      </c>
      <c r="B448" s="40" t="s">
        <v>7965</v>
      </c>
      <c r="C448" s="41">
        <v>46023</v>
      </c>
      <c r="D448" s="41">
        <v>46023</v>
      </c>
      <c r="E448" s="40" t="s">
        <v>13</v>
      </c>
      <c r="F448" s="40" t="s">
        <v>7966</v>
      </c>
      <c r="G448" s="40" t="s">
        <v>7967</v>
      </c>
      <c r="H448" s="40" t="s">
        <v>7968</v>
      </c>
      <c r="I448" s="40" t="s">
        <v>49</v>
      </c>
      <c r="J448" s="40">
        <v>81.900000000000006</v>
      </c>
      <c r="K448" s="40">
        <v>81.900000000000006</v>
      </c>
      <c r="L448" s="40"/>
      <c r="M448" s="40">
        <v>81.900000000000006</v>
      </c>
      <c r="N448" s="40"/>
      <c r="O448" s="40" t="s">
        <v>234</v>
      </c>
    </row>
    <row r="449" spans="1:15" ht="33.75" x14ac:dyDescent="0.2">
      <c r="A449" s="40" t="s">
        <v>7969</v>
      </c>
      <c r="B449" s="40" t="s">
        <v>7970</v>
      </c>
      <c r="C449" s="41">
        <v>46023</v>
      </c>
      <c r="D449" s="41">
        <v>46023</v>
      </c>
      <c r="E449" s="40" t="s">
        <v>13</v>
      </c>
      <c r="F449" s="40" t="s">
        <v>6492</v>
      </c>
      <c r="G449" s="40" t="s">
        <v>7971</v>
      </c>
      <c r="H449" s="40" t="s">
        <v>7972</v>
      </c>
      <c r="I449" s="40" t="s">
        <v>49</v>
      </c>
      <c r="J449" s="40">
        <v>292.51</v>
      </c>
      <c r="K449" s="40">
        <v>292.51</v>
      </c>
      <c r="L449" s="40"/>
      <c r="M449" s="40">
        <v>292.51</v>
      </c>
      <c r="N449" s="40"/>
      <c r="O449" s="40" t="s">
        <v>234</v>
      </c>
    </row>
    <row r="450" spans="1:15" ht="33.75" x14ac:dyDescent="0.2">
      <c r="A450" s="40" t="s">
        <v>7973</v>
      </c>
      <c r="B450" s="40" t="s">
        <v>7974</v>
      </c>
      <c r="C450" s="41">
        <v>46023</v>
      </c>
      <c r="D450" s="41">
        <v>46023</v>
      </c>
      <c r="E450" s="40" t="s">
        <v>13</v>
      </c>
      <c r="F450" s="40" t="s">
        <v>623</v>
      </c>
      <c r="G450" s="40" t="s">
        <v>7975</v>
      </c>
      <c r="H450" s="40" t="s">
        <v>7976</v>
      </c>
      <c r="I450" s="40" t="s">
        <v>49</v>
      </c>
      <c r="J450" s="40">
        <v>65.7</v>
      </c>
      <c r="K450" s="40">
        <v>65.7</v>
      </c>
      <c r="L450" s="40"/>
      <c r="M450" s="40">
        <v>65.7</v>
      </c>
      <c r="N450" s="40"/>
      <c r="O450" s="40" t="s">
        <v>234</v>
      </c>
    </row>
    <row r="451" spans="1:15" ht="45" x14ac:dyDescent="0.2">
      <c r="A451" s="40" t="s">
        <v>7977</v>
      </c>
      <c r="B451" s="40" t="s">
        <v>7978</v>
      </c>
      <c r="C451" s="41">
        <v>46023</v>
      </c>
      <c r="D451" s="41">
        <v>46023</v>
      </c>
      <c r="E451" s="40" t="s">
        <v>13</v>
      </c>
      <c r="F451" s="40" t="s">
        <v>7979</v>
      </c>
      <c r="G451" s="40" t="s">
        <v>7980</v>
      </c>
      <c r="H451" s="40" t="s">
        <v>7981</v>
      </c>
      <c r="I451" s="40" t="s">
        <v>49</v>
      </c>
      <c r="J451" s="40">
        <v>90.9</v>
      </c>
      <c r="K451" s="40">
        <v>90.9</v>
      </c>
      <c r="L451" s="40"/>
      <c r="M451" s="40">
        <v>90.9</v>
      </c>
      <c r="N451" s="40"/>
      <c r="O451" s="40" t="s">
        <v>234</v>
      </c>
    </row>
    <row r="452" spans="1:15" ht="33.75" x14ac:dyDescent="0.2">
      <c r="A452" s="40" t="s">
        <v>7982</v>
      </c>
      <c r="B452" s="40" t="s">
        <v>7983</v>
      </c>
      <c r="C452" s="41">
        <v>46023</v>
      </c>
      <c r="D452" s="41">
        <v>46023</v>
      </c>
      <c r="E452" s="40" t="s">
        <v>13</v>
      </c>
      <c r="F452" s="40" t="s">
        <v>6809</v>
      </c>
      <c r="G452" s="40" t="s">
        <v>7984</v>
      </c>
      <c r="H452" s="40" t="s">
        <v>7985</v>
      </c>
      <c r="I452" s="40" t="s">
        <v>49</v>
      </c>
      <c r="J452" s="40">
        <v>246.24</v>
      </c>
      <c r="K452" s="40">
        <v>246.24</v>
      </c>
      <c r="L452" s="40"/>
      <c r="M452" s="40">
        <v>246.24</v>
      </c>
      <c r="N452" s="40"/>
      <c r="O452" s="40" t="s">
        <v>234</v>
      </c>
    </row>
    <row r="453" spans="1:15" ht="33.75" x14ac:dyDescent="0.2">
      <c r="A453" s="40" t="s">
        <v>7986</v>
      </c>
      <c r="B453" s="40" t="s">
        <v>7987</v>
      </c>
      <c r="C453" s="41">
        <v>46023</v>
      </c>
      <c r="D453" s="41">
        <v>46023</v>
      </c>
      <c r="E453" s="40" t="s">
        <v>13</v>
      </c>
      <c r="F453" s="40" t="s">
        <v>7988</v>
      </c>
      <c r="G453" s="40" t="s">
        <v>7989</v>
      </c>
      <c r="H453" s="40" t="s">
        <v>7990</v>
      </c>
      <c r="I453" s="40" t="s">
        <v>49</v>
      </c>
      <c r="J453" s="40">
        <v>131.27000000000001</v>
      </c>
      <c r="K453" s="40">
        <v>131.27000000000001</v>
      </c>
      <c r="L453" s="40"/>
      <c r="M453" s="40">
        <v>131.27000000000001</v>
      </c>
      <c r="N453" s="40"/>
      <c r="O453" s="40" t="s">
        <v>234</v>
      </c>
    </row>
    <row r="454" spans="1:15" ht="33.75" x14ac:dyDescent="0.2">
      <c r="A454" s="40" t="s">
        <v>7991</v>
      </c>
      <c r="B454" s="40" t="s">
        <v>7992</v>
      </c>
      <c r="C454" s="41">
        <v>46023</v>
      </c>
      <c r="D454" s="41">
        <v>46023</v>
      </c>
      <c r="E454" s="40" t="s">
        <v>13</v>
      </c>
      <c r="F454" s="40" t="s">
        <v>1224</v>
      </c>
      <c r="G454" s="40" t="s">
        <v>7993</v>
      </c>
      <c r="H454" s="40" t="s">
        <v>7994</v>
      </c>
      <c r="I454" s="40" t="s">
        <v>49</v>
      </c>
      <c r="J454" s="40">
        <v>178.32</v>
      </c>
      <c r="K454" s="40">
        <v>178.32</v>
      </c>
      <c r="L454" s="40"/>
      <c r="M454" s="40">
        <v>178.32</v>
      </c>
      <c r="N454" s="40"/>
      <c r="O454" s="40" t="s">
        <v>234</v>
      </c>
    </row>
    <row r="455" spans="1:15" ht="33.75" x14ac:dyDescent="0.2">
      <c r="A455" s="40" t="s">
        <v>7995</v>
      </c>
      <c r="B455" s="40" t="s">
        <v>7996</v>
      </c>
      <c r="C455" s="41">
        <v>46023</v>
      </c>
      <c r="D455" s="41">
        <v>46023</v>
      </c>
      <c r="E455" s="40" t="s">
        <v>13</v>
      </c>
      <c r="F455" s="40" t="s">
        <v>7196</v>
      </c>
      <c r="G455" s="40" t="s">
        <v>7997</v>
      </c>
      <c r="H455" s="40" t="s">
        <v>7998</v>
      </c>
      <c r="I455" s="40" t="s">
        <v>49</v>
      </c>
      <c r="J455" s="40">
        <v>267.85000000000002</v>
      </c>
      <c r="K455" s="40">
        <v>267.85000000000002</v>
      </c>
      <c r="L455" s="40"/>
      <c r="M455" s="40">
        <v>267.85000000000002</v>
      </c>
      <c r="N455" s="40"/>
      <c r="O455" s="40" t="s">
        <v>234</v>
      </c>
    </row>
    <row r="456" spans="1:15" ht="33.75" x14ac:dyDescent="0.2">
      <c r="A456" s="40" t="s">
        <v>7999</v>
      </c>
      <c r="B456" s="40" t="s">
        <v>8000</v>
      </c>
      <c r="C456" s="41">
        <v>46023</v>
      </c>
      <c r="D456" s="41">
        <v>46023</v>
      </c>
      <c r="E456" s="40" t="s">
        <v>13</v>
      </c>
      <c r="F456" s="40" t="s">
        <v>8001</v>
      </c>
      <c r="G456" s="40" t="s">
        <v>8002</v>
      </c>
      <c r="H456" s="40" t="s">
        <v>8003</v>
      </c>
      <c r="I456" s="40" t="s">
        <v>49</v>
      </c>
      <c r="J456" s="40">
        <v>196.9</v>
      </c>
      <c r="K456" s="40">
        <v>196.9</v>
      </c>
      <c r="L456" s="40"/>
      <c r="M456" s="40">
        <v>196.9</v>
      </c>
      <c r="N456" s="40"/>
      <c r="O456" s="40" t="s">
        <v>234</v>
      </c>
    </row>
    <row r="457" spans="1:15" ht="33.75" x14ac:dyDescent="0.2">
      <c r="A457" s="40" t="s">
        <v>8004</v>
      </c>
      <c r="B457" s="40" t="s">
        <v>8005</v>
      </c>
      <c r="C457" s="41">
        <v>46023</v>
      </c>
      <c r="D457" s="41">
        <v>46023</v>
      </c>
      <c r="E457" s="40" t="s">
        <v>13</v>
      </c>
      <c r="F457" s="40" t="s">
        <v>8006</v>
      </c>
      <c r="G457" s="40" t="s">
        <v>8007</v>
      </c>
      <c r="H457" s="40" t="s">
        <v>8008</v>
      </c>
      <c r="I457" s="40" t="s">
        <v>49</v>
      </c>
      <c r="J457" s="40">
        <v>76.13</v>
      </c>
      <c r="K457" s="40">
        <v>76.13</v>
      </c>
      <c r="L457" s="40"/>
      <c r="M457" s="40">
        <v>76.13</v>
      </c>
      <c r="N457" s="40"/>
      <c r="O457" s="40" t="s">
        <v>234</v>
      </c>
    </row>
    <row r="458" spans="1:15" ht="45" x14ac:dyDescent="0.2">
      <c r="A458" s="40" t="s">
        <v>8009</v>
      </c>
      <c r="B458" s="40" t="s">
        <v>8010</v>
      </c>
      <c r="C458" s="41">
        <v>46023</v>
      </c>
      <c r="D458" s="41">
        <v>46023</v>
      </c>
      <c r="E458" s="40" t="s">
        <v>13</v>
      </c>
      <c r="F458" s="40" t="s">
        <v>8011</v>
      </c>
      <c r="G458" s="40" t="s">
        <v>8012</v>
      </c>
      <c r="H458" s="40" t="s">
        <v>8013</v>
      </c>
      <c r="I458" s="40" t="s">
        <v>49</v>
      </c>
      <c r="J458" s="40">
        <v>74.52</v>
      </c>
      <c r="K458" s="40">
        <v>74.52</v>
      </c>
      <c r="L458" s="40"/>
      <c r="M458" s="40">
        <v>74.52</v>
      </c>
      <c r="N458" s="40"/>
      <c r="O458" s="40" t="s">
        <v>234</v>
      </c>
    </row>
    <row r="459" spans="1:15" ht="33.75" x14ac:dyDescent="0.2">
      <c r="A459" s="40" t="s">
        <v>8014</v>
      </c>
      <c r="B459" s="40" t="s">
        <v>8015</v>
      </c>
      <c r="C459" s="41">
        <v>46023</v>
      </c>
      <c r="D459" s="41">
        <v>46023</v>
      </c>
      <c r="E459" s="40" t="s">
        <v>13</v>
      </c>
      <c r="F459" s="40" t="s">
        <v>6515</v>
      </c>
      <c r="G459" s="40" t="s">
        <v>8016</v>
      </c>
      <c r="H459" s="40" t="s">
        <v>8017</v>
      </c>
      <c r="I459" s="40" t="s">
        <v>49</v>
      </c>
      <c r="J459" s="40">
        <v>121.64</v>
      </c>
      <c r="K459" s="40">
        <v>121.64</v>
      </c>
      <c r="L459" s="40"/>
      <c r="M459" s="40">
        <v>121.64</v>
      </c>
      <c r="N459" s="40"/>
      <c r="O459" s="40" t="s">
        <v>234</v>
      </c>
    </row>
    <row r="460" spans="1:15" ht="33.75" x14ac:dyDescent="0.2">
      <c r="A460" s="40" t="s">
        <v>8018</v>
      </c>
      <c r="B460" s="40" t="s">
        <v>8019</v>
      </c>
      <c r="C460" s="41">
        <v>46023</v>
      </c>
      <c r="D460" s="41">
        <v>46023</v>
      </c>
      <c r="E460" s="40" t="s">
        <v>13</v>
      </c>
      <c r="F460" s="40" t="s">
        <v>6986</v>
      </c>
      <c r="G460" s="40" t="s">
        <v>7658</v>
      </c>
      <c r="H460" s="40" t="s">
        <v>8020</v>
      </c>
      <c r="I460" s="40" t="s">
        <v>49</v>
      </c>
      <c r="J460" s="40">
        <v>86.4</v>
      </c>
      <c r="K460" s="40">
        <v>86.4</v>
      </c>
      <c r="L460" s="40"/>
      <c r="M460" s="40">
        <v>86.4</v>
      </c>
      <c r="N460" s="40"/>
      <c r="O460" s="40" t="s">
        <v>234</v>
      </c>
    </row>
    <row r="461" spans="1:15" ht="45" x14ac:dyDescent="0.2">
      <c r="A461" s="40" t="s">
        <v>8021</v>
      </c>
      <c r="B461" s="40" t="s">
        <v>8022</v>
      </c>
      <c r="C461" s="41">
        <v>46023</v>
      </c>
      <c r="D461" s="41">
        <v>46023</v>
      </c>
      <c r="E461" s="40" t="s">
        <v>13</v>
      </c>
      <c r="F461" s="40" t="s">
        <v>140</v>
      </c>
      <c r="G461" s="40" t="s">
        <v>8023</v>
      </c>
      <c r="H461" s="40" t="s">
        <v>8024</v>
      </c>
      <c r="I461" s="40" t="s">
        <v>49</v>
      </c>
      <c r="J461" s="40">
        <v>208.27</v>
      </c>
      <c r="K461" s="40">
        <v>208.27</v>
      </c>
      <c r="L461" s="40"/>
      <c r="M461" s="40">
        <v>208.27</v>
      </c>
      <c r="N461" s="40"/>
      <c r="O461" s="40" t="s">
        <v>234</v>
      </c>
    </row>
    <row r="462" spans="1:15" ht="33.75" x14ac:dyDescent="0.2">
      <c r="A462" s="40" t="s">
        <v>8025</v>
      </c>
      <c r="B462" s="40" t="s">
        <v>8026</v>
      </c>
      <c r="C462" s="41">
        <v>46023</v>
      </c>
      <c r="D462" s="41">
        <v>46023</v>
      </c>
      <c r="E462" s="40" t="s">
        <v>13</v>
      </c>
      <c r="F462" s="40" t="s">
        <v>634</v>
      </c>
      <c r="G462" s="40" t="s">
        <v>8027</v>
      </c>
      <c r="H462" s="40" t="s">
        <v>8028</v>
      </c>
      <c r="I462" s="40" t="s">
        <v>49</v>
      </c>
      <c r="J462" s="40">
        <v>122.05</v>
      </c>
      <c r="K462" s="40">
        <v>122.05</v>
      </c>
      <c r="L462" s="40"/>
      <c r="M462" s="40">
        <v>122.05</v>
      </c>
      <c r="N462" s="40"/>
      <c r="O462" s="40" t="s">
        <v>234</v>
      </c>
    </row>
    <row r="463" spans="1:15" ht="33.75" x14ac:dyDescent="0.2">
      <c r="A463" s="40" t="s">
        <v>8029</v>
      </c>
      <c r="B463" s="40" t="s">
        <v>8030</v>
      </c>
      <c r="C463" s="41">
        <v>46023</v>
      </c>
      <c r="D463" s="41">
        <v>46023</v>
      </c>
      <c r="E463" s="40" t="s">
        <v>13</v>
      </c>
      <c r="F463" s="40" t="s">
        <v>1534</v>
      </c>
      <c r="G463" s="40" t="s">
        <v>8031</v>
      </c>
      <c r="H463" s="40" t="s">
        <v>8032</v>
      </c>
      <c r="I463" s="40" t="s">
        <v>49</v>
      </c>
      <c r="J463" s="40">
        <v>63.07</v>
      </c>
      <c r="K463" s="40">
        <v>63.07</v>
      </c>
      <c r="L463" s="40"/>
      <c r="M463" s="40">
        <v>63.07</v>
      </c>
      <c r="N463" s="40"/>
      <c r="O463" s="40" t="s">
        <v>234</v>
      </c>
    </row>
    <row r="464" spans="1:15" ht="33.75" x14ac:dyDescent="0.2">
      <c r="A464" s="40" t="s">
        <v>8033</v>
      </c>
      <c r="B464" s="40" t="s">
        <v>8034</v>
      </c>
      <c r="C464" s="41">
        <v>46023</v>
      </c>
      <c r="D464" s="41">
        <v>46023</v>
      </c>
      <c r="E464" s="40" t="s">
        <v>13</v>
      </c>
      <c r="F464" s="40" t="s">
        <v>8035</v>
      </c>
      <c r="G464" s="40" t="s">
        <v>8036</v>
      </c>
      <c r="H464" s="40" t="s">
        <v>8037</v>
      </c>
      <c r="I464" s="40" t="s">
        <v>49</v>
      </c>
      <c r="J464" s="40">
        <v>105</v>
      </c>
      <c r="K464" s="40">
        <v>105</v>
      </c>
      <c r="L464" s="40"/>
      <c r="M464" s="40">
        <v>105</v>
      </c>
      <c r="N464" s="40"/>
      <c r="O464" s="40" t="s">
        <v>234</v>
      </c>
    </row>
    <row r="465" spans="1:15" ht="33.75" x14ac:dyDescent="0.2">
      <c r="A465" s="40" t="s">
        <v>8038</v>
      </c>
      <c r="B465" s="40" t="s">
        <v>8039</v>
      </c>
      <c r="C465" s="41">
        <v>46023</v>
      </c>
      <c r="D465" s="41">
        <v>46023</v>
      </c>
      <c r="E465" s="40" t="s">
        <v>13</v>
      </c>
      <c r="F465" s="40" t="s">
        <v>8040</v>
      </c>
      <c r="G465" s="40" t="s">
        <v>8041</v>
      </c>
      <c r="H465" s="40" t="s">
        <v>8042</v>
      </c>
      <c r="I465" s="40" t="s">
        <v>49</v>
      </c>
      <c r="J465" s="40">
        <v>224.12</v>
      </c>
      <c r="K465" s="40">
        <v>224.12</v>
      </c>
      <c r="L465" s="40"/>
      <c r="M465" s="40">
        <v>224.12</v>
      </c>
      <c r="N465" s="40"/>
      <c r="O465" s="40" t="s">
        <v>234</v>
      </c>
    </row>
    <row r="466" spans="1:15" ht="33.75" x14ac:dyDescent="0.2">
      <c r="A466" s="40" t="s">
        <v>8043</v>
      </c>
      <c r="B466" s="40" t="s">
        <v>8044</v>
      </c>
      <c r="C466" s="41">
        <v>46023</v>
      </c>
      <c r="D466" s="41">
        <v>46023</v>
      </c>
      <c r="E466" s="40" t="s">
        <v>13</v>
      </c>
      <c r="F466" s="40" t="s">
        <v>1423</v>
      </c>
      <c r="G466" s="40" t="s">
        <v>8045</v>
      </c>
      <c r="H466" s="40" t="s">
        <v>8046</v>
      </c>
      <c r="I466" s="40" t="s">
        <v>49</v>
      </c>
      <c r="J466" s="40">
        <v>54.27</v>
      </c>
      <c r="K466" s="40">
        <v>54.27</v>
      </c>
      <c r="L466" s="40"/>
      <c r="M466" s="40">
        <v>54.27</v>
      </c>
      <c r="N466" s="40"/>
      <c r="O466" s="40" t="s">
        <v>234</v>
      </c>
    </row>
    <row r="467" spans="1:15" ht="45" x14ac:dyDescent="0.2">
      <c r="A467" s="40" t="s">
        <v>8047</v>
      </c>
      <c r="B467" s="40" t="s">
        <v>8048</v>
      </c>
      <c r="C467" s="41">
        <v>46023</v>
      </c>
      <c r="D467" s="41">
        <v>46023</v>
      </c>
      <c r="E467" s="40" t="s">
        <v>13</v>
      </c>
      <c r="F467" s="40" t="s">
        <v>8049</v>
      </c>
      <c r="G467" s="40" t="s">
        <v>8050</v>
      </c>
      <c r="H467" s="40" t="s">
        <v>8051</v>
      </c>
      <c r="I467" s="40" t="s">
        <v>49</v>
      </c>
      <c r="J467" s="40">
        <v>75.33</v>
      </c>
      <c r="K467" s="40">
        <v>75.33</v>
      </c>
      <c r="L467" s="40"/>
      <c r="M467" s="40">
        <v>75.33</v>
      </c>
      <c r="N467" s="40"/>
      <c r="O467" s="40" t="s">
        <v>234</v>
      </c>
    </row>
    <row r="468" spans="1:15" ht="33.75" x14ac:dyDescent="0.2">
      <c r="A468" s="40" t="s">
        <v>8052</v>
      </c>
      <c r="B468" s="40" t="s">
        <v>8053</v>
      </c>
      <c r="C468" s="41">
        <v>46023</v>
      </c>
      <c r="D468" s="41">
        <v>46023</v>
      </c>
      <c r="E468" s="40" t="s">
        <v>13</v>
      </c>
      <c r="F468" s="40" t="s">
        <v>8054</v>
      </c>
      <c r="G468" s="40" t="s">
        <v>8055</v>
      </c>
      <c r="H468" s="40" t="s">
        <v>8056</v>
      </c>
      <c r="I468" s="40" t="s">
        <v>49</v>
      </c>
      <c r="J468" s="40">
        <v>189.91</v>
      </c>
      <c r="K468" s="40">
        <v>189.91</v>
      </c>
      <c r="L468" s="40"/>
      <c r="M468" s="40">
        <v>189.91</v>
      </c>
      <c r="N468" s="40"/>
      <c r="O468" s="40" t="s">
        <v>234</v>
      </c>
    </row>
    <row r="469" spans="1:15" ht="33.75" x14ac:dyDescent="0.2">
      <c r="A469" s="40" t="s">
        <v>8057</v>
      </c>
      <c r="B469" s="40" t="s">
        <v>8058</v>
      </c>
      <c r="C469" s="41">
        <v>46023</v>
      </c>
      <c r="D469" s="41">
        <v>46023</v>
      </c>
      <c r="E469" s="40" t="s">
        <v>13</v>
      </c>
      <c r="F469" s="40" t="s">
        <v>8059</v>
      </c>
      <c r="G469" s="40" t="s">
        <v>8060</v>
      </c>
      <c r="H469" s="40" t="s">
        <v>8061</v>
      </c>
      <c r="I469" s="40" t="s">
        <v>49</v>
      </c>
      <c r="J469" s="40">
        <v>547.55999999999995</v>
      </c>
      <c r="K469" s="40">
        <v>547.55999999999995</v>
      </c>
      <c r="L469" s="40"/>
      <c r="M469" s="40">
        <v>547.55999999999995</v>
      </c>
      <c r="N469" s="40"/>
      <c r="O469" s="40" t="s">
        <v>234</v>
      </c>
    </row>
    <row r="470" spans="1:15" ht="33.75" x14ac:dyDescent="0.2">
      <c r="A470" s="40" t="s">
        <v>8062</v>
      </c>
      <c r="B470" s="40" t="s">
        <v>8063</v>
      </c>
      <c r="C470" s="41">
        <v>46023</v>
      </c>
      <c r="D470" s="41">
        <v>46023</v>
      </c>
      <c r="E470" s="40" t="s">
        <v>13</v>
      </c>
      <c r="F470" s="40" t="s">
        <v>8064</v>
      </c>
      <c r="G470" s="40" t="s">
        <v>8065</v>
      </c>
      <c r="H470" s="40" t="s">
        <v>8066</v>
      </c>
      <c r="I470" s="40" t="s">
        <v>49</v>
      </c>
      <c r="J470" s="40">
        <v>190.26</v>
      </c>
      <c r="K470" s="40">
        <v>190.26</v>
      </c>
      <c r="L470" s="40"/>
      <c r="M470" s="40">
        <v>190.26</v>
      </c>
      <c r="N470" s="40"/>
      <c r="O470" s="40" t="s">
        <v>234</v>
      </c>
    </row>
    <row r="471" spans="1:15" ht="33.75" x14ac:dyDescent="0.2">
      <c r="A471" s="40" t="s">
        <v>8067</v>
      </c>
      <c r="B471" s="40" t="s">
        <v>8068</v>
      </c>
      <c r="C471" s="41">
        <v>46023</v>
      </c>
      <c r="D471" s="41">
        <v>46023</v>
      </c>
      <c r="E471" s="40" t="s">
        <v>13</v>
      </c>
      <c r="F471" s="40" t="s">
        <v>7922</v>
      </c>
      <c r="G471" s="40" t="s">
        <v>7923</v>
      </c>
      <c r="H471" s="40" t="s">
        <v>8069</v>
      </c>
      <c r="I471" s="40" t="s">
        <v>49</v>
      </c>
      <c r="J471" s="40">
        <v>301</v>
      </c>
      <c r="K471" s="40">
        <v>301</v>
      </c>
      <c r="L471" s="40"/>
      <c r="M471" s="40">
        <v>301</v>
      </c>
      <c r="N471" s="40"/>
      <c r="O471" s="40" t="s">
        <v>234</v>
      </c>
    </row>
    <row r="472" spans="1:15" ht="33.75" x14ac:dyDescent="0.2">
      <c r="A472" s="40" t="s">
        <v>8070</v>
      </c>
      <c r="B472" s="40" t="s">
        <v>8071</v>
      </c>
      <c r="C472" s="41">
        <v>46023</v>
      </c>
      <c r="D472" s="41">
        <v>46023</v>
      </c>
      <c r="E472" s="40" t="s">
        <v>13</v>
      </c>
      <c r="F472" s="40" t="s">
        <v>8072</v>
      </c>
      <c r="G472" s="40" t="s">
        <v>8073</v>
      </c>
      <c r="H472" s="40" t="s">
        <v>8074</v>
      </c>
      <c r="I472" s="40" t="s">
        <v>49</v>
      </c>
      <c r="J472" s="40">
        <v>108.55</v>
      </c>
      <c r="K472" s="40">
        <v>108.55</v>
      </c>
      <c r="L472" s="40"/>
      <c r="M472" s="40">
        <v>108.55</v>
      </c>
      <c r="N472" s="40"/>
      <c r="O472" s="40" t="s">
        <v>234</v>
      </c>
    </row>
    <row r="473" spans="1:15" ht="33.75" x14ac:dyDescent="0.2">
      <c r="A473" s="40" t="s">
        <v>8075</v>
      </c>
      <c r="B473" s="40" t="s">
        <v>8076</v>
      </c>
      <c r="C473" s="41">
        <v>46023</v>
      </c>
      <c r="D473" s="41">
        <v>46023</v>
      </c>
      <c r="E473" s="40" t="s">
        <v>13</v>
      </c>
      <c r="F473" s="40" t="s">
        <v>8077</v>
      </c>
      <c r="G473" s="40" t="s">
        <v>8078</v>
      </c>
      <c r="H473" s="40" t="s">
        <v>8079</v>
      </c>
      <c r="I473" s="40" t="s">
        <v>49</v>
      </c>
      <c r="J473" s="40">
        <v>31.59</v>
      </c>
      <c r="K473" s="40">
        <v>31.59</v>
      </c>
      <c r="L473" s="40"/>
      <c r="M473" s="40">
        <v>31.59</v>
      </c>
      <c r="N473" s="40"/>
      <c r="O473" s="40" t="s">
        <v>234</v>
      </c>
    </row>
    <row r="474" spans="1:15" ht="45" x14ac:dyDescent="0.2">
      <c r="A474" s="40" t="s">
        <v>8080</v>
      </c>
      <c r="B474" s="40" t="s">
        <v>8081</v>
      </c>
      <c r="C474" s="41">
        <v>46023</v>
      </c>
      <c r="D474" s="41">
        <v>46023</v>
      </c>
      <c r="E474" s="40" t="s">
        <v>13</v>
      </c>
      <c r="F474" s="40" t="s">
        <v>7005</v>
      </c>
      <c r="G474" s="40" t="s">
        <v>8082</v>
      </c>
      <c r="H474" s="40" t="s">
        <v>8083</v>
      </c>
      <c r="I474" s="40" t="s">
        <v>49</v>
      </c>
      <c r="J474" s="40">
        <v>99.9</v>
      </c>
      <c r="K474" s="40">
        <v>99.9</v>
      </c>
      <c r="L474" s="40"/>
      <c r="M474" s="40">
        <v>99.9</v>
      </c>
      <c r="N474" s="40"/>
      <c r="O474" s="40" t="s">
        <v>234</v>
      </c>
    </row>
    <row r="475" spans="1:15" ht="33.75" x14ac:dyDescent="0.2">
      <c r="A475" s="40" t="s">
        <v>8084</v>
      </c>
      <c r="B475" s="40" t="s">
        <v>8085</v>
      </c>
      <c r="C475" s="41">
        <v>46023</v>
      </c>
      <c r="D475" s="41">
        <v>46023</v>
      </c>
      <c r="E475" s="40" t="s">
        <v>13</v>
      </c>
      <c r="F475" s="40" t="s">
        <v>8086</v>
      </c>
      <c r="G475" s="40" t="s">
        <v>8087</v>
      </c>
      <c r="H475" s="40" t="s">
        <v>8088</v>
      </c>
      <c r="I475" s="40" t="s">
        <v>49</v>
      </c>
      <c r="J475" s="40">
        <v>78.67</v>
      </c>
      <c r="K475" s="40">
        <v>78.67</v>
      </c>
      <c r="L475" s="40"/>
      <c r="M475" s="40">
        <v>78.67</v>
      </c>
      <c r="N475" s="40"/>
      <c r="O475" s="40" t="s">
        <v>234</v>
      </c>
    </row>
    <row r="476" spans="1:15" ht="33.75" x14ac:dyDescent="0.2">
      <c r="A476" s="40" t="s">
        <v>8089</v>
      </c>
      <c r="B476" s="40" t="s">
        <v>8090</v>
      </c>
      <c r="C476" s="41">
        <v>46023</v>
      </c>
      <c r="D476" s="41">
        <v>46023</v>
      </c>
      <c r="E476" s="40" t="s">
        <v>13</v>
      </c>
      <c r="F476" s="40" t="s">
        <v>1454</v>
      </c>
      <c r="G476" s="40" t="s">
        <v>8091</v>
      </c>
      <c r="H476" s="40" t="s">
        <v>8092</v>
      </c>
      <c r="I476" s="40" t="s">
        <v>49</v>
      </c>
      <c r="J476" s="40">
        <v>171.71</v>
      </c>
      <c r="K476" s="40">
        <v>171.71</v>
      </c>
      <c r="L476" s="40"/>
      <c r="M476" s="40">
        <v>171.71</v>
      </c>
      <c r="N476" s="40"/>
      <c r="O476" s="40" t="s">
        <v>234</v>
      </c>
    </row>
    <row r="477" spans="1:15" ht="33.75" x14ac:dyDescent="0.2">
      <c r="A477" s="40" t="s">
        <v>8093</v>
      </c>
      <c r="B477" s="40" t="s">
        <v>8094</v>
      </c>
      <c r="C477" s="41">
        <v>46023</v>
      </c>
      <c r="D477" s="41">
        <v>46023</v>
      </c>
      <c r="E477" s="40" t="s">
        <v>13</v>
      </c>
      <c r="F477" s="40" t="s">
        <v>7737</v>
      </c>
      <c r="G477" s="40" t="s">
        <v>8095</v>
      </c>
      <c r="H477" s="40" t="s">
        <v>8096</v>
      </c>
      <c r="I477" s="40" t="s">
        <v>49</v>
      </c>
      <c r="J477" s="40">
        <v>97.21</v>
      </c>
      <c r="K477" s="40">
        <v>97.21</v>
      </c>
      <c r="L477" s="40"/>
      <c r="M477" s="40">
        <v>97.21</v>
      </c>
      <c r="N477" s="40"/>
      <c r="O477" s="40" t="s">
        <v>234</v>
      </c>
    </row>
    <row r="478" spans="1:15" ht="33.75" x14ac:dyDescent="0.2">
      <c r="A478" s="40" t="s">
        <v>8097</v>
      </c>
      <c r="B478" s="40" t="s">
        <v>8098</v>
      </c>
      <c r="C478" s="41">
        <v>46023</v>
      </c>
      <c r="D478" s="41">
        <v>46023</v>
      </c>
      <c r="E478" s="40" t="s">
        <v>13</v>
      </c>
      <c r="F478" s="40" t="s">
        <v>8099</v>
      </c>
      <c r="G478" s="40" t="s">
        <v>8100</v>
      </c>
      <c r="H478" s="40" t="s">
        <v>8101</v>
      </c>
      <c r="I478" s="40" t="s">
        <v>49</v>
      </c>
      <c r="J478" s="40">
        <v>35.65</v>
      </c>
      <c r="K478" s="40">
        <v>35.65</v>
      </c>
      <c r="L478" s="40"/>
      <c r="M478" s="40">
        <v>35.65</v>
      </c>
      <c r="N478" s="40"/>
      <c r="O478" s="40" t="s">
        <v>234</v>
      </c>
    </row>
    <row r="479" spans="1:15" ht="33.75" x14ac:dyDescent="0.2">
      <c r="A479" s="40" t="s">
        <v>8102</v>
      </c>
      <c r="B479" s="40" t="s">
        <v>8103</v>
      </c>
      <c r="C479" s="41">
        <v>46023</v>
      </c>
      <c r="D479" s="41">
        <v>46023</v>
      </c>
      <c r="E479" s="40" t="s">
        <v>13</v>
      </c>
      <c r="F479" s="40" t="s">
        <v>7885</v>
      </c>
      <c r="G479" s="40" t="s">
        <v>8104</v>
      </c>
      <c r="H479" s="40" t="s">
        <v>8105</v>
      </c>
      <c r="I479" s="40" t="s">
        <v>49</v>
      </c>
      <c r="J479" s="40">
        <v>144.99</v>
      </c>
      <c r="K479" s="40">
        <v>144.99</v>
      </c>
      <c r="L479" s="40"/>
      <c r="M479" s="40">
        <v>144.99</v>
      </c>
      <c r="N479" s="40"/>
      <c r="O479" s="40" t="s">
        <v>234</v>
      </c>
    </row>
    <row r="480" spans="1:15" ht="33.75" x14ac:dyDescent="0.2">
      <c r="A480" s="40" t="s">
        <v>8106</v>
      </c>
      <c r="B480" s="40" t="s">
        <v>8107</v>
      </c>
      <c r="C480" s="41">
        <v>46023</v>
      </c>
      <c r="D480" s="41">
        <v>46023</v>
      </c>
      <c r="E480" s="40" t="s">
        <v>13</v>
      </c>
      <c r="F480" s="40" t="s">
        <v>8108</v>
      </c>
      <c r="G480" s="40" t="s">
        <v>8109</v>
      </c>
      <c r="H480" s="40" t="s">
        <v>8110</v>
      </c>
      <c r="I480" s="40" t="s">
        <v>49</v>
      </c>
      <c r="J480" s="40">
        <v>72</v>
      </c>
      <c r="K480" s="40">
        <v>72</v>
      </c>
      <c r="L480" s="40"/>
      <c r="M480" s="40">
        <v>72</v>
      </c>
      <c r="N480" s="40"/>
      <c r="O480" s="40" t="s">
        <v>234</v>
      </c>
    </row>
    <row r="481" spans="1:15" ht="33.75" x14ac:dyDescent="0.2">
      <c r="A481" s="40" t="s">
        <v>8111</v>
      </c>
      <c r="B481" s="40" t="s">
        <v>8112</v>
      </c>
      <c r="C481" s="41">
        <v>46023</v>
      </c>
      <c r="D481" s="41">
        <v>46023</v>
      </c>
      <c r="E481" s="40" t="s">
        <v>13</v>
      </c>
      <c r="F481" s="40" t="s">
        <v>6783</v>
      </c>
      <c r="G481" s="40" t="s">
        <v>8113</v>
      </c>
      <c r="H481" s="40" t="s">
        <v>8114</v>
      </c>
      <c r="I481" s="40" t="s">
        <v>49</v>
      </c>
      <c r="J481" s="40">
        <v>54.01</v>
      </c>
      <c r="K481" s="40">
        <v>54.01</v>
      </c>
      <c r="L481" s="40"/>
      <c r="M481" s="40">
        <v>54.01</v>
      </c>
      <c r="N481" s="40"/>
      <c r="O481" s="40" t="s">
        <v>234</v>
      </c>
    </row>
    <row r="482" spans="1:15" ht="33.75" x14ac:dyDescent="0.2">
      <c r="A482" s="40" t="s">
        <v>8115</v>
      </c>
      <c r="B482" s="40" t="s">
        <v>8116</v>
      </c>
      <c r="C482" s="41">
        <v>46023</v>
      </c>
      <c r="D482" s="41">
        <v>46023</v>
      </c>
      <c r="E482" s="40" t="s">
        <v>13</v>
      </c>
      <c r="F482" s="40" t="s">
        <v>8117</v>
      </c>
      <c r="G482" s="40" t="s">
        <v>8118</v>
      </c>
      <c r="H482" s="40" t="s">
        <v>8119</v>
      </c>
      <c r="I482" s="40" t="s">
        <v>49</v>
      </c>
      <c r="J482" s="40">
        <v>142.55000000000001</v>
      </c>
      <c r="K482" s="40">
        <v>142.55000000000001</v>
      </c>
      <c r="L482" s="40"/>
      <c r="M482" s="40">
        <v>142.55000000000001</v>
      </c>
      <c r="N482" s="40"/>
      <c r="O482" s="40" t="s">
        <v>234</v>
      </c>
    </row>
    <row r="483" spans="1:15" ht="33.75" x14ac:dyDescent="0.2">
      <c r="A483" s="40" t="s">
        <v>8120</v>
      </c>
      <c r="B483" s="40" t="s">
        <v>8121</v>
      </c>
      <c r="C483" s="41">
        <v>46023</v>
      </c>
      <c r="D483" s="41">
        <v>46023</v>
      </c>
      <c r="E483" s="40" t="s">
        <v>13</v>
      </c>
      <c r="F483" s="40" t="s">
        <v>8122</v>
      </c>
      <c r="G483" s="40" t="s">
        <v>8123</v>
      </c>
      <c r="H483" s="40" t="s">
        <v>8124</v>
      </c>
      <c r="I483" s="40" t="s">
        <v>49</v>
      </c>
      <c r="J483" s="40">
        <v>27</v>
      </c>
      <c r="K483" s="40">
        <v>27</v>
      </c>
      <c r="L483" s="40"/>
      <c r="M483" s="40">
        <v>27</v>
      </c>
      <c r="N483" s="40"/>
      <c r="O483" s="40" t="s">
        <v>234</v>
      </c>
    </row>
    <row r="484" spans="1:15" ht="33.75" x14ac:dyDescent="0.2">
      <c r="A484" s="40" t="s">
        <v>8125</v>
      </c>
      <c r="B484" s="40" t="s">
        <v>8126</v>
      </c>
      <c r="C484" s="41">
        <v>46023</v>
      </c>
      <c r="D484" s="41">
        <v>46023</v>
      </c>
      <c r="E484" s="40" t="s">
        <v>13</v>
      </c>
      <c r="F484" s="40" t="s">
        <v>667</v>
      </c>
      <c r="G484" s="40" t="s">
        <v>8127</v>
      </c>
      <c r="H484" s="40" t="s">
        <v>8128</v>
      </c>
      <c r="I484" s="40" t="s">
        <v>49</v>
      </c>
      <c r="J484" s="40">
        <v>64.45</v>
      </c>
      <c r="K484" s="40">
        <v>64.45</v>
      </c>
      <c r="L484" s="40"/>
      <c r="M484" s="40">
        <v>64.45</v>
      </c>
      <c r="N484" s="40"/>
      <c r="O484" s="40" t="s">
        <v>234</v>
      </c>
    </row>
    <row r="485" spans="1:15" ht="33.75" x14ac:dyDescent="0.2">
      <c r="A485" s="40" t="s">
        <v>8129</v>
      </c>
      <c r="B485" s="40" t="s">
        <v>8130</v>
      </c>
      <c r="C485" s="41">
        <v>46023</v>
      </c>
      <c r="D485" s="41">
        <v>46023</v>
      </c>
      <c r="E485" s="40" t="s">
        <v>13</v>
      </c>
      <c r="F485" s="40" t="s">
        <v>8131</v>
      </c>
      <c r="G485" s="40" t="s">
        <v>8132</v>
      </c>
      <c r="H485" s="40" t="s">
        <v>8133</v>
      </c>
      <c r="I485" s="40" t="s">
        <v>49</v>
      </c>
      <c r="J485" s="40">
        <v>61.25</v>
      </c>
      <c r="K485" s="40">
        <v>61.25</v>
      </c>
      <c r="L485" s="40"/>
      <c r="M485" s="40">
        <v>61.25</v>
      </c>
      <c r="N485" s="40"/>
      <c r="O485" s="40" t="s">
        <v>234</v>
      </c>
    </row>
    <row r="486" spans="1:15" ht="33.75" x14ac:dyDescent="0.2">
      <c r="A486" s="40" t="s">
        <v>8134</v>
      </c>
      <c r="B486" s="40" t="s">
        <v>8135</v>
      </c>
      <c r="C486" s="41">
        <v>46023</v>
      </c>
      <c r="D486" s="41">
        <v>46023</v>
      </c>
      <c r="E486" s="40" t="s">
        <v>13</v>
      </c>
      <c r="F486" s="40" t="s">
        <v>8136</v>
      </c>
      <c r="G486" s="40" t="s">
        <v>8137</v>
      </c>
      <c r="H486" s="40" t="s">
        <v>8138</v>
      </c>
      <c r="I486" s="40" t="s">
        <v>49</v>
      </c>
      <c r="J486" s="40">
        <v>99.55</v>
      </c>
      <c r="K486" s="40">
        <v>99.55</v>
      </c>
      <c r="L486" s="40"/>
      <c r="M486" s="40">
        <v>99.55</v>
      </c>
      <c r="N486" s="40"/>
      <c r="O486" s="40" t="s">
        <v>234</v>
      </c>
    </row>
    <row r="487" spans="1:15" ht="33.75" x14ac:dyDescent="0.2">
      <c r="A487" s="40" t="s">
        <v>8139</v>
      </c>
      <c r="B487" s="40" t="s">
        <v>8140</v>
      </c>
      <c r="C487" s="41">
        <v>46023</v>
      </c>
      <c r="D487" s="41">
        <v>46023</v>
      </c>
      <c r="E487" s="40" t="s">
        <v>13</v>
      </c>
      <c r="F487" s="40" t="s">
        <v>8141</v>
      </c>
      <c r="G487" s="40" t="s">
        <v>8142</v>
      </c>
      <c r="H487" s="40" t="s">
        <v>8143</v>
      </c>
      <c r="I487" s="40" t="s">
        <v>49</v>
      </c>
      <c r="J487" s="40">
        <v>202.59</v>
      </c>
      <c r="K487" s="40">
        <v>202.59</v>
      </c>
      <c r="L487" s="40"/>
      <c r="M487" s="40">
        <v>202.59</v>
      </c>
      <c r="N487" s="40"/>
      <c r="O487" s="40" t="s">
        <v>234</v>
      </c>
    </row>
    <row r="488" spans="1:15" ht="33.75" x14ac:dyDescent="0.2">
      <c r="A488" s="40" t="s">
        <v>8144</v>
      </c>
      <c r="B488" s="40" t="s">
        <v>8145</v>
      </c>
      <c r="C488" s="41">
        <v>46023</v>
      </c>
      <c r="D488" s="41">
        <v>46023</v>
      </c>
      <c r="E488" s="40" t="s">
        <v>13</v>
      </c>
      <c r="F488" s="40" t="s">
        <v>8146</v>
      </c>
      <c r="G488" s="40" t="s">
        <v>8147</v>
      </c>
      <c r="H488" s="40" t="s">
        <v>8148</v>
      </c>
      <c r="I488" s="40" t="s">
        <v>49</v>
      </c>
      <c r="J488" s="40">
        <v>82.72</v>
      </c>
      <c r="K488" s="40">
        <v>82.72</v>
      </c>
      <c r="L488" s="40"/>
      <c r="M488" s="40">
        <v>82.72</v>
      </c>
      <c r="N488" s="40"/>
      <c r="O488" s="40" t="s">
        <v>234</v>
      </c>
    </row>
    <row r="489" spans="1:15" ht="45" x14ac:dyDescent="0.2">
      <c r="A489" s="40" t="s">
        <v>8149</v>
      </c>
      <c r="B489" s="40" t="s">
        <v>8150</v>
      </c>
      <c r="C489" s="41">
        <v>46023</v>
      </c>
      <c r="D489" s="41">
        <v>46023</v>
      </c>
      <c r="E489" s="40" t="s">
        <v>13</v>
      </c>
      <c r="F489" s="40" t="s">
        <v>8151</v>
      </c>
      <c r="G489" s="40" t="s">
        <v>8152</v>
      </c>
      <c r="H489" s="40" t="s">
        <v>8153</v>
      </c>
      <c r="I489" s="40" t="s">
        <v>49</v>
      </c>
      <c r="J489" s="40">
        <v>78.56</v>
      </c>
      <c r="K489" s="40">
        <v>78.56</v>
      </c>
      <c r="L489" s="40"/>
      <c r="M489" s="40">
        <v>78.56</v>
      </c>
      <c r="N489" s="40"/>
      <c r="O489" s="40" t="s">
        <v>234</v>
      </c>
    </row>
    <row r="490" spans="1:15" ht="33.75" x14ac:dyDescent="0.2">
      <c r="A490" s="40" t="s">
        <v>8154</v>
      </c>
      <c r="B490" s="40" t="s">
        <v>8155</v>
      </c>
      <c r="C490" s="41">
        <v>46023</v>
      </c>
      <c r="D490" s="41">
        <v>46023</v>
      </c>
      <c r="E490" s="40" t="s">
        <v>13</v>
      </c>
      <c r="F490" s="40" t="s">
        <v>8156</v>
      </c>
      <c r="G490" s="40" t="s">
        <v>8157</v>
      </c>
      <c r="H490" s="40" t="s">
        <v>8158</v>
      </c>
      <c r="I490" s="40" t="s">
        <v>49</v>
      </c>
      <c r="J490" s="40">
        <v>272.26</v>
      </c>
      <c r="K490" s="40">
        <v>272.26</v>
      </c>
      <c r="L490" s="40"/>
      <c r="M490" s="40">
        <v>272.26</v>
      </c>
      <c r="N490" s="40"/>
      <c r="O490" s="40" t="s">
        <v>234</v>
      </c>
    </row>
    <row r="491" spans="1:15" ht="33.75" x14ac:dyDescent="0.2">
      <c r="A491" s="40" t="s">
        <v>8159</v>
      </c>
      <c r="B491" s="40" t="s">
        <v>8160</v>
      </c>
      <c r="C491" s="41">
        <v>46023</v>
      </c>
      <c r="D491" s="41">
        <v>46023</v>
      </c>
      <c r="E491" s="40" t="s">
        <v>13</v>
      </c>
      <c r="F491" s="40" t="s">
        <v>8141</v>
      </c>
      <c r="G491" s="40" t="s">
        <v>8161</v>
      </c>
      <c r="H491" s="40" t="s">
        <v>8162</v>
      </c>
      <c r="I491" s="40" t="s">
        <v>49</v>
      </c>
      <c r="J491" s="40">
        <v>82.72</v>
      </c>
      <c r="K491" s="40">
        <v>82.72</v>
      </c>
      <c r="L491" s="40"/>
      <c r="M491" s="40">
        <v>82.72</v>
      </c>
      <c r="N491" s="40"/>
      <c r="O491" s="40" t="s">
        <v>234</v>
      </c>
    </row>
    <row r="492" spans="1:15" ht="33.75" x14ac:dyDescent="0.2">
      <c r="A492" s="40" t="s">
        <v>8163</v>
      </c>
      <c r="B492" s="40" t="s">
        <v>8164</v>
      </c>
      <c r="C492" s="41">
        <v>46023</v>
      </c>
      <c r="D492" s="41">
        <v>46023</v>
      </c>
      <c r="E492" s="40" t="s">
        <v>13</v>
      </c>
      <c r="F492" s="40" t="s">
        <v>1935</v>
      </c>
      <c r="G492" s="40" t="s">
        <v>8165</v>
      </c>
      <c r="H492" s="40" t="s">
        <v>8166</v>
      </c>
      <c r="I492" s="40" t="s">
        <v>49</v>
      </c>
      <c r="J492" s="40">
        <v>378.36</v>
      </c>
      <c r="K492" s="40">
        <v>378.36</v>
      </c>
      <c r="L492" s="40"/>
      <c r="M492" s="40">
        <v>378.36</v>
      </c>
      <c r="N492" s="40"/>
      <c r="O492" s="40" t="s">
        <v>234</v>
      </c>
    </row>
    <row r="493" spans="1:15" ht="33.75" x14ac:dyDescent="0.2">
      <c r="A493" s="40" t="s">
        <v>8167</v>
      </c>
      <c r="B493" s="40" t="s">
        <v>8168</v>
      </c>
      <c r="C493" s="41">
        <v>46023</v>
      </c>
      <c r="D493" s="41">
        <v>46023</v>
      </c>
      <c r="E493" s="40" t="s">
        <v>13</v>
      </c>
      <c r="F493" s="40" t="s">
        <v>8169</v>
      </c>
      <c r="G493" s="40" t="s">
        <v>8170</v>
      </c>
      <c r="H493" s="40" t="s">
        <v>8171</v>
      </c>
      <c r="I493" s="40" t="s">
        <v>49</v>
      </c>
      <c r="J493" s="40">
        <v>76</v>
      </c>
      <c r="K493" s="40">
        <v>76</v>
      </c>
      <c r="L493" s="40"/>
      <c r="M493" s="40">
        <v>76</v>
      </c>
      <c r="N493" s="40"/>
      <c r="O493" s="40" t="s">
        <v>234</v>
      </c>
    </row>
    <row r="494" spans="1:15" ht="33.75" x14ac:dyDescent="0.2">
      <c r="A494" s="40" t="s">
        <v>8172</v>
      </c>
      <c r="B494" s="40" t="s">
        <v>8173</v>
      </c>
      <c r="C494" s="41">
        <v>46023</v>
      </c>
      <c r="D494" s="41">
        <v>46023</v>
      </c>
      <c r="E494" s="40" t="s">
        <v>13</v>
      </c>
      <c r="F494" s="40" t="s">
        <v>8174</v>
      </c>
      <c r="G494" s="40" t="s">
        <v>8175</v>
      </c>
      <c r="H494" s="40" t="s">
        <v>8176</v>
      </c>
      <c r="I494" s="40" t="s">
        <v>49</v>
      </c>
      <c r="J494" s="40">
        <v>154.25</v>
      </c>
      <c r="K494" s="40">
        <v>154.25</v>
      </c>
      <c r="L494" s="40"/>
      <c r="M494" s="40">
        <v>154.25</v>
      </c>
      <c r="N494" s="40"/>
      <c r="O494" s="40" t="s">
        <v>234</v>
      </c>
    </row>
    <row r="495" spans="1:15" ht="33.75" x14ac:dyDescent="0.2">
      <c r="A495" s="40" t="s">
        <v>8177</v>
      </c>
      <c r="B495" s="40" t="s">
        <v>8178</v>
      </c>
      <c r="C495" s="41">
        <v>46023</v>
      </c>
      <c r="D495" s="41">
        <v>46023</v>
      </c>
      <c r="E495" s="40" t="s">
        <v>13</v>
      </c>
      <c r="F495" s="40" t="s">
        <v>1370</v>
      </c>
      <c r="G495" s="40" t="s">
        <v>8179</v>
      </c>
      <c r="H495" s="40" t="s">
        <v>8180</v>
      </c>
      <c r="I495" s="40" t="s">
        <v>49</v>
      </c>
      <c r="J495" s="40">
        <v>290.89</v>
      </c>
      <c r="K495" s="40">
        <v>290.89</v>
      </c>
      <c r="L495" s="40"/>
      <c r="M495" s="40">
        <v>290.89</v>
      </c>
      <c r="N495" s="40"/>
      <c r="O495" s="40" t="s">
        <v>234</v>
      </c>
    </row>
    <row r="496" spans="1:15" ht="33.75" x14ac:dyDescent="0.2">
      <c r="A496" s="40" t="s">
        <v>8181</v>
      </c>
      <c r="B496" s="40" t="s">
        <v>8182</v>
      </c>
      <c r="C496" s="41">
        <v>46023</v>
      </c>
      <c r="D496" s="41">
        <v>46023</v>
      </c>
      <c r="E496" s="40" t="s">
        <v>13</v>
      </c>
      <c r="F496" s="40" t="s">
        <v>8183</v>
      </c>
      <c r="G496" s="40" t="s">
        <v>8184</v>
      </c>
      <c r="H496" s="40" t="s">
        <v>8185</v>
      </c>
      <c r="I496" s="40" t="s">
        <v>49</v>
      </c>
      <c r="J496" s="40">
        <v>155.79</v>
      </c>
      <c r="K496" s="40">
        <v>155.79</v>
      </c>
      <c r="L496" s="40"/>
      <c r="M496" s="40">
        <v>155.79</v>
      </c>
      <c r="N496" s="40"/>
      <c r="O496" s="40" t="s">
        <v>234</v>
      </c>
    </row>
    <row r="497" spans="1:15" ht="33.75" x14ac:dyDescent="0.2">
      <c r="A497" s="40" t="s">
        <v>8186</v>
      </c>
      <c r="B497" s="40" t="s">
        <v>8187</v>
      </c>
      <c r="C497" s="41">
        <v>46023</v>
      </c>
      <c r="D497" s="41">
        <v>46023</v>
      </c>
      <c r="E497" s="40" t="s">
        <v>13</v>
      </c>
      <c r="F497" s="40" t="s">
        <v>8188</v>
      </c>
      <c r="G497" s="40" t="s">
        <v>8189</v>
      </c>
      <c r="H497" s="40" t="s">
        <v>8190</v>
      </c>
      <c r="I497" s="40" t="s">
        <v>49</v>
      </c>
      <c r="J497" s="40">
        <v>74.7</v>
      </c>
      <c r="K497" s="40">
        <v>74.7</v>
      </c>
      <c r="L497" s="40"/>
      <c r="M497" s="40">
        <v>74.7</v>
      </c>
      <c r="N497" s="40"/>
      <c r="O497" s="40" t="s">
        <v>234</v>
      </c>
    </row>
    <row r="498" spans="1:15" ht="33.75" x14ac:dyDescent="0.2">
      <c r="A498" s="40" t="s">
        <v>8191</v>
      </c>
      <c r="B498" s="40" t="s">
        <v>8192</v>
      </c>
      <c r="C498" s="41">
        <v>46023</v>
      </c>
      <c r="D498" s="41">
        <v>46023</v>
      </c>
      <c r="E498" s="40" t="s">
        <v>13</v>
      </c>
      <c r="F498" s="40" t="s">
        <v>8193</v>
      </c>
      <c r="G498" s="40" t="s">
        <v>8194</v>
      </c>
      <c r="H498" s="40" t="s">
        <v>8195</v>
      </c>
      <c r="I498" s="40" t="s">
        <v>49</v>
      </c>
      <c r="J498" s="40">
        <v>230.95</v>
      </c>
      <c r="K498" s="40">
        <v>230.95</v>
      </c>
      <c r="L498" s="40"/>
      <c r="M498" s="40">
        <v>230.95</v>
      </c>
      <c r="N498" s="40"/>
      <c r="O498" s="40" t="s">
        <v>234</v>
      </c>
    </row>
    <row r="499" spans="1:15" ht="33.75" x14ac:dyDescent="0.2">
      <c r="A499" s="40" t="s">
        <v>8196</v>
      </c>
      <c r="B499" s="40" t="s">
        <v>8197</v>
      </c>
      <c r="C499" s="41">
        <v>46023</v>
      </c>
      <c r="D499" s="41">
        <v>46023</v>
      </c>
      <c r="E499" s="40" t="s">
        <v>13</v>
      </c>
      <c r="F499" s="40" t="s">
        <v>6956</v>
      </c>
      <c r="G499" s="40" t="s">
        <v>7501</v>
      </c>
      <c r="H499" s="40" t="s">
        <v>8198</v>
      </c>
      <c r="I499" s="40" t="s">
        <v>49</v>
      </c>
      <c r="J499" s="40">
        <v>52.2</v>
      </c>
      <c r="K499" s="40">
        <v>52.2</v>
      </c>
      <c r="L499" s="40"/>
      <c r="M499" s="40">
        <v>52.2</v>
      </c>
      <c r="N499" s="40"/>
      <c r="O499" s="40" t="s">
        <v>234</v>
      </c>
    </row>
    <row r="500" spans="1:15" ht="45" x14ac:dyDescent="0.2">
      <c r="A500" s="40" t="s">
        <v>8199</v>
      </c>
      <c r="B500" s="40" t="s">
        <v>8200</v>
      </c>
      <c r="C500" s="41">
        <v>46023</v>
      </c>
      <c r="D500" s="41">
        <v>46023</v>
      </c>
      <c r="E500" s="40" t="s">
        <v>13</v>
      </c>
      <c r="F500" s="40" t="s">
        <v>8201</v>
      </c>
      <c r="G500" s="40" t="s">
        <v>8202</v>
      </c>
      <c r="H500" s="40" t="s">
        <v>8203</v>
      </c>
      <c r="I500" s="40" t="s">
        <v>49</v>
      </c>
      <c r="J500" s="40">
        <v>148.53</v>
      </c>
      <c r="K500" s="40">
        <v>148.53</v>
      </c>
      <c r="L500" s="40"/>
      <c r="M500" s="40">
        <v>148.53</v>
      </c>
      <c r="N500" s="40"/>
      <c r="O500" s="40" t="s">
        <v>234</v>
      </c>
    </row>
    <row r="501" spans="1:15" ht="33.75" x14ac:dyDescent="0.2">
      <c r="A501" s="40" t="s">
        <v>8204</v>
      </c>
      <c r="B501" s="40" t="s">
        <v>8205</v>
      </c>
      <c r="C501" s="41">
        <v>46023</v>
      </c>
      <c r="D501" s="41">
        <v>46023</v>
      </c>
      <c r="E501" s="40" t="s">
        <v>13</v>
      </c>
      <c r="F501" s="40" t="s">
        <v>8206</v>
      </c>
      <c r="G501" s="40" t="s">
        <v>8207</v>
      </c>
      <c r="H501" s="40" t="s">
        <v>8208</v>
      </c>
      <c r="I501" s="40" t="s">
        <v>49</v>
      </c>
      <c r="J501" s="40">
        <v>82.05</v>
      </c>
      <c r="K501" s="40">
        <v>82.05</v>
      </c>
      <c r="L501" s="40"/>
      <c r="M501" s="40">
        <v>82.05</v>
      </c>
      <c r="N501" s="40"/>
      <c r="O501" s="40" t="s">
        <v>234</v>
      </c>
    </row>
    <row r="502" spans="1:15" ht="33.75" x14ac:dyDescent="0.2">
      <c r="A502" s="40" t="s">
        <v>8209</v>
      </c>
      <c r="B502" s="40" t="s">
        <v>8210</v>
      </c>
      <c r="C502" s="41">
        <v>46023</v>
      </c>
      <c r="D502" s="41">
        <v>46023</v>
      </c>
      <c r="E502" s="40" t="s">
        <v>13</v>
      </c>
      <c r="F502" s="40" t="s">
        <v>658</v>
      </c>
      <c r="G502" s="40" t="s">
        <v>7692</v>
      </c>
      <c r="H502" s="40" t="s">
        <v>8211</v>
      </c>
      <c r="I502" s="40" t="s">
        <v>49</v>
      </c>
      <c r="J502" s="40">
        <v>156.06</v>
      </c>
      <c r="K502" s="40">
        <v>156.06</v>
      </c>
      <c r="L502" s="40"/>
      <c r="M502" s="40">
        <v>156.06</v>
      </c>
      <c r="N502" s="40"/>
      <c r="O502" s="40" t="s">
        <v>234</v>
      </c>
    </row>
    <row r="503" spans="1:15" ht="33.75" x14ac:dyDescent="0.2">
      <c r="A503" s="40" t="s">
        <v>8212</v>
      </c>
      <c r="B503" s="40" t="s">
        <v>8213</v>
      </c>
      <c r="C503" s="41">
        <v>46023</v>
      </c>
      <c r="D503" s="41">
        <v>46023</v>
      </c>
      <c r="E503" s="40" t="s">
        <v>13</v>
      </c>
      <c r="F503" s="40" t="s">
        <v>8214</v>
      </c>
      <c r="G503" s="40" t="s">
        <v>8215</v>
      </c>
      <c r="H503" s="40" t="s">
        <v>8216</v>
      </c>
      <c r="I503" s="40" t="s">
        <v>49</v>
      </c>
      <c r="J503" s="40">
        <v>73.8</v>
      </c>
      <c r="K503" s="40">
        <v>73.8</v>
      </c>
      <c r="L503" s="40"/>
      <c r="M503" s="40">
        <v>73.8</v>
      </c>
      <c r="N503" s="40"/>
      <c r="O503" s="40" t="s">
        <v>234</v>
      </c>
    </row>
    <row r="504" spans="1:15" ht="33.75" x14ac:dyDescent="0.2">
      <c r="A504" s="40" t="s">
        <v>8217</v>
      </c>
      <c r="B504" s="40" t="s">
        <v>8218</v>
      </c>
      <c r="C504" s="41">
        <v>46023</v>
      </c>
      <c r="D504" s="41">
        <v>46023</v>
      </c>
      <c r="E504" s="40" t="s">
        <v>13</v>
      </c>
      <c r="F504" s="40" t="s">
        <v>8219</v>
      </c>
      <c r="G504" s="40" t="s">
        <v>8220</v>
      </c>
      <c r="H504" s="40" t="s">
        <v>8221</v>
      </c>
      <c r="I504" s="40" t="s">
        <v>49</v>
      </c>
      <c r="J504" s="40">
        <v>98.83</v>
      </c>
      <c r="K504" s="40">
        <v>98.83</v>
      </c>
      <c r="L504" s="40"/>
      <c r="M504" s="40">
        <v>98.83</v>
      </c>
      <c r="N504" s="40"/>
      <c r="O504" s="40" t="s">
        <v>234</v>
      </c>
    </row>
    <row r="505" spans="1:15" ht="33.75" x14ac:dyDescent="0.2">
      <c r="A505" s="40" t="s">
        <v>8222</v>
      </c>
      <c r="B505" s="40" t="s">
        <v>8223</v>
      </c>
      <c r="C505" s="41">
        <v>46023</v>
      </c>
      <c r="D505" s="41">
        <v>46023</v>
      </c>
      <c r="E505" s="40" t="s">
        <v>13</v>
      </c>
      <c r="F505" s="40" t="s">
        <v>8224</v>
      </c>
      <c r="G505" s="40" t="s">
        <v>8225</v>
      </c>
      <c r="H505" s="40" t="s">
        <v>8226</v>
      </c>
      <c r="I505" s="40" t="s">
        <v>49</v>
      </c>
      <c r="J505" s="40">
        <v>298.8</v>
      </c>
      <c r="K505" s="40">
        <v>298.8</v>
      </c>
      <c r="L505" s="40"/>
      <c r="M505" s="40">
        <v>298.8</v>
      </c>
      <c r="N505" s="40"/>
      <c r="O505" s="40" t="s">
        <v>234</v>
      </c>
    </row>
    <row r="506" spans="1:15" ht="45" x14ac:dyDescent="0.2">
      <c r="A506" s="40" t="s">
        <v>8227</v>
      </c>
      <c r="B506" s="40" t="s">
        <v>8228</v>
      </c>
      <c r="C506" s="41">
        <v>46023</v>
      </c>
      <c r="D506" s="41">
        <v>46023</v>
      </c>
      <c r="E506" s="40" t="s">
        <v>13</v>
      </c>
      <c r="F506" s="40" t="s">
        <v>7575</v>
      </c>
      <c r="G506" s="40" t="s">
        <v>8229</v>
      </c>
      <c r="H506" s="40" t="s">
        <v>8230</v>
      </c>
      <c r="I506" s="40" t="s">
        <v>49</v>
      </c>
      <c r="J506" s="40">
        <v>42.02</v>
      </c>
      <c r="K506" s="40">
        <v>42.02</v>
      </c>
      <c r="L506" s="40"/>
      <c r="M506" s="40">
        <v>42.02</v>
      </c>
      <c r="N506" s="40"/>
      <c r="O506" s="40" t="s">
        <v>234</v>
      </c>
    </row>
    <row r="507" spans="1:15" ht="33.75" x14ac:dyDescent="0.2">
      <c r="A507" s="40" t="s">
        <v>8231</v>
      </c>
      <c r="B507" s="40" t="s">
        <v>8232</v>
      </c>
      <c r="C507" s="41">
        <v>46023</v>
      </c>
      <c r="D507" s="41">
        <v>46023</v>
      </c>
      <c r="E507" s="40" t="s">
        <v>13</v>
      </c>
      <c r="F507" s="40" t="s">
        <v>7922</v>
      </c>
      <c r="G507" s="40" t="s">
        <v>8233</v>
      </c>
      <c r="H507" s="40" t="s">
        <v>8234</v>
      </c>
      <c r="I507" s="40" t="s">
        <v>49</v>
      </c>
      <c r="J507" s="40">
        <v>271.8</v>
      </c>
      <c r="K507" s="40">
        <v>271.8</v>
      </c>
      <c r="L507" s="40"/>
      <c r="M507" s="40">
        <v>271.8</v>
      </c>
      <c r="N507" s="40"/>
      <c r="O507" s="40" t="s">
        <v>234</v>
      </c>
    </row>
    <row r="508" spans="1:15" ht="33.75" x14ac:dyDescent="0.2">
      <c r="A508" s="40" t="s">
        <v>8235</v>
      </c>
      <c r="B508" s="40" t="s">
        <v>8236</v>
      </c>
      <c r="C508" s="41">
        <v>46023</v>
      </c>
      <c r="D508" s="41">
        <v>46023</v>
      </c>
      <c r="E508" s="40" t="s">
        <v>13</v>
      </c>
      <c r="F508" s="40" t="s">
        <v>8237</v>
      </c>
      <c r="G508" s="40" t="s">
        <v>8238</v>
      </c>
      <c r="H508" s="40" t="s">
        <v>8239</v>
      </c>
      <c r="I508" s="40" t="s">
        <v>49</v>
      </c>
      <c r="J508" s="40">
        <v>144</v>
      </c>
      <c r="K508" s="40">
        <v>144</v>
      </c>
      <c r="L508" s="40"/>
      <c r="M508" s="40">
        <v>144</v>
      </c>
      <c r="N508" s="40"/>
      <c r="O508" s="40" t="s">
        <v>234</v>
      </c>
    </row>
    <row r="509" spans="1:15" ht="33.75" x14ac:dyDescent="0.2">
      <c r="A509" s="40" t="s">
        <v>8240</v>
      </c>
      <c r="B509" s="40" t="s">
        <v>8241</v>
      </c>
      <c r="C509" s="41">
        <v>46023</v>
      </c>
      <c r="D509" s="41">
        <v>46023</v>
      </c>
      <c r="E509" s="40" t="s">
        <v>13</v>
      </c>
      <c r="F509" s="40" t="s">
        <v>8242</v>
      </c>
      <c r="G509" s="40" t="s">
        <v>8243</v>
      </c>
      <c r="H509" s="40" t="s">
        <v>8244</v>
      </c>
      <c r="I509" s="40" t="s">
        <v>49</v>
      </c>
      <c r="J509" s="40">
        <v>143.46</v>
      </c>
      <c r="K509" s="40">
        <v>143.46</v>
      </c>
      <c r="L509" s="40"/>
      <c r="M509" s="40">
        <v>143.46</v>
      </c>
      <c r="N509" s="40"/>
      <c r="O509" s="40" t="s">
        <v>234</v>
      </c>
    </row>
    <row r="510" spans="1:15" ht="33.75" x14ac:dyDescent="0.2">
      <c r="A510" s="40" t="s">
        <v>8245</v>
      </c>
      <c r="B510" s="40" t="s">
        <v>8246</v>
      </c>
      <c r="C510" s="41">
        <v>46023</v>
      </c>
      <c r="D510" s="41">
        <v>46023</v>
      </c>
      <c r="E510" s="40" t="s">
        <v>13</v>
      </c>
      <c r="F510" s="40" t="s">
        <v>8247</v>
      </c>
      <c r="G510" s="40" t="s">
        <v>8248</v>
      </c>
      <c r="H510" s="40" t="s">
        <v>8249</v>
      </c>
      <c r="I510" s="40" t="s">
        <v>49</v>
      </c>
      <c r="J510" s="40">
        <v>78.260000000000005</v>
      </c>
      <c r="K510" s="40">
        <v>78.260000000000005</v>
      </c>
      <c r="L510" s="40"/>
      <c r="M510" s="40">
        <v>78.260000000000005</v>
      </c>
      <c r="N510" s="40"/>
      <c r="O510" s="40" t="s">
        <v>234</v>
      </c>
    </row>
    <row r="511" spans="1:15" ht="33.75" x14ac:dyDescent="0.2">
      <c r="A511" s="40" t="s">
        <v>8250</v>
      </c>
      <c r="B511" s="40" t="s">
        <v>8251</v>
      </c>
      <c r="C511" s="41">
        <v>46023</v>
      </c>
      <c r="D511" s="41">
        <v>46023</v>
      </c>
      <c r="E511" s="40" t="s">
        <v>13</v>
      </c>
      <c r="F511" s="40" t="s">
        <v>6971</v>
      </c>
      <c r="G511" s="40" t="s">
        <v>8252</v>
      </c>
      <c r="H511" s="40" t="s">
        <v>8253</v>
      </c>
      <c r="I511" s="40" t="s">
        <v>49</v>
      </c>
      <c r="J511" s="40">
        <v>78</v>
      </c>
      <c r="K511" s="40">
        <v>78</v>
      </c>
      <c r="L511" s="40"/>
      <c r="M511" s="40">
        <v>78</v>
      </c>
      <c r="N511" s="40"/>
      <c r="O511" s="40" t="s">
        <v>234</v>
      </c>
    </row>
    <row r="512" spans="1:15" ht="33.75" x14ac:dyDescent="0.2">
      <c r="A512" s="40" t="s">
        <v>8254</v>
      </c>
      <c r="B512" s="40" t="s">
        <v>8255</v>
      </c>
      <c r="C512" s="41">
        <v>46023</v>
      </c>
      <c r="D512" s="41">
        <v>46023</v>
      </c>
      <c r="E512" s="40" t="s">
        <v>13</v>
      </c>
      <c r="F512" s="40" t="s">
        <v>6877</v>
      </c>
      <c r="G512" s="40" t="s">
        <v>8256</v>
      </c>
      <c r="H512" s="40" t="s">
        <v>8257</v>
      </c>
      <c r="I512" s="40" t="s">
        <v>49</v>
      </c>
      <c r="J512" s="40">
        <v>62.36</v>
      </c>
      <c r="K512" s="40">
        <v>62.36</v>
      </c>
      <c r="L512" s="40"/>
      <c r="M512" s="40">
        <v>62.36</v>
      </c>
      <c r="N512" s="40"/>
      <c r="O512" s="40" t="s">
        <v>234</v>
      </c>
    </row>
    <row r="513" spans="1:15" ht="33.75" x14ac:dyDescent="0.2">
      <c r="A513" s="40" t="s">
        <v>8258</v>
      </c>
      <c r="B513" s="40" t="s">
        <v>8259</v>
      </c>
      <c r="C513" s="41">
        <v>46023</v>
      </c>
      <c r="D513" s="41">
        <v>46023</v>
      </c>
      <c r="E513" s="40" t="s">
        <v>13</v>
      </c>
      <c r="F513" s="40" t="s">
        <v>6783</v>
      </c>
      <c r="G513" s="40" t="s">
        <v>8260</v>
      </c>
      <c r="H513" s="40" t="s">
        <v>8261</v>
      </c>
      <c r="I513" s="40" t="s">
        <v>49</v>
      </c>
      <c r="J513" s="40">
        <v>78.010000000000005</v>
      </c>
      <c r="K513" s="40">
        <v>78.010000000000005</v>
      </c>
      <c r="L513" s="40"/>
      <c r="M513" s="40">
        <v>78.010000000000005</v>
      </c>
      <c r="N513" s="40"/>
      <c r="O513" s="40" t="s">
        <v>234</v>
      </c>
    </row>
    <row r="514" spans="1:15" ht="45" x14ac:dyDescent="0.2">
      <c r="A514" s="40" t="s">
        <v>8262</v>
      </c>
      <c r="B514" s="40" t="s">
        <v>8263</v>
      </c>
      <c r="C514" s="41">
        <v>46023</v>
      </c>
      <c r="D514" s="41">
        <v>46023</v>
      </c>
      <c r="E514" s="40" t="s">
        <v>13</v>
      </c>
      <c r="F514" s="40" t="s">
        <v>8264</v>
      </c>
      <c r="G514" s="40" t="s">
        <v>8265</v>
      </c>
      <c r="H514" s="40" t="s">
        <v>8266</v>
      </c>
      <c r="I514" s="40" t="s">
        <v>49</v>
      </c>
      <c r="J514" s="40">
        <v>57.61</v>
      </c>
      <c r="K514" s="40">
        <v>57.61</v>
      </c>
      <c r="L514" s="40"/>
      <c r="M514" s="40">
        <v>57.61</v>
      </c>
      <c r="N514" s="40"/>
      <c r="O514" s="40" t="s">
        <v>234</v>
      </c>
    </row>
    <row r="515" spans="1:15" ht="33.75" x14ac:dyDescent="0.2">
      <c r="A515" s="40" t="s">
        <v>8267</v>
      </c>
      <c r="B515" s="40" t="s">
        <v>8268</v>
      </c>
      <c r="C515" s="41">
        <v>46023</v>
      </c>
      <c r="D515" s="41">
        <v>46023</v>
      </c>
      <c r="E515" s="40" t="s">
        <v>13</v>
      </c>
      <c r="F515" s="40" t="s">
        <v>8269</v>
      </c>
      <c r="G515" s="40" t="s">
        <v>8270</v>
      </c>
      <c r="H515" s="40" t="s">
        <v>8271</v>
      </c>
      <c r="I515" s="40" t="s">
        <v>49</v>
      </c>
      <c r="J515" s="40">
        <v>166.05</v>
      </c>
      <c r="K515" s="40">
        <v>166.05</v>
      </c>
      <c r="L515" s="40"/>
      <c r="M515" s="40">
        <v>166.05</v>
      </c>
      <c r="N515" s="40"/>
      <c r="O515" s="40" t="s">
        <v>234</v>
      </c>
    </row>
    <row r="516" spans="1:15" ht="33.75" x14ac:dyDescent="0.2">
      <c r="A516" s="40" t="s">
        <v>8272</v>
      </c>
      <c r="B516" s="40" t="s">
        <v>8273</v>
      </c>
      <c r="C516" s="41">
        <v>46023</v>
      </c>
      <c r="D516" s="41">
        <v>46023</v>
      </c>
      <c r="E516" s="40" t="s">
        <v>13</v>
      </c>
      <c r="F516" s="40" t="s">
        <v>8274</v>
      </c>
      <c r="G516" s="40" t="s">
        <v>8275</v>
      </c>
      <c r="H516" s="40" t="s">
        <v>8276</v>
      </c>
      <c r="I516" s="40" t="s">
        <v>49</v>
      </c>
      <c r="J516" s="40">
        <v>184</v>
      </c>
      <c r="K516" s="40">
        <v>184</v>
      </c>
      <c r="L516" s="40"/>
      <c r="M516" s="40">
        <v>184</v>
      </c>
      <c r="N516" s="40"/>
      <c r="O516" s="40" t="s">
        <v>234</v>
      </c>
    </row>
    <row r="517" spans="1:15" ht="33.75" x14ac:dyDescent="0.2">
      <c r="A517" s="40" t="s">
        <v>8277</v>
      </c>
      <c r="B517" s="40" t="s">
        <v>8278</v>
      </c>
      <c r="C517" s="41">
        <v>46023</v>
      </c>
      <c r="D517" s="41">
        <v>46023</v>
      </c>
      <c r="E517" s="40" t="s">
        <v>13</v>
      </c>
      <c r="F517" s="40" t="s">
        <v>8279</v>
      </c>
      <c r="G517" s="40" t="s">
        <v>8280</v>
      </c>
      <c r="H517" s="40" t="s">
        <v>8281</v>
      </c>
      <c r="I517" s="40" t="s">
        <v>49</v>
      </c>
      <c r="J517" s="40">
        <v>112.68</v>
      </c>
      <c r="K517" s="40">
        <v>112.68</v>
      </c>
      <c r="L517" s="40"/>
      <c r="M517" s="40">
        <v>112.68</v>
      </c>
      <c r="N517" s="40"/>
      <c r="O517" s="40" t="s">
        <v>234</v>
      </c>
    </row>
    <row r="518" spans="1:15" ht="33.75" x14ac:dyDescent="0.2">
      <c r="A518" s="40" t="s">
        <v>8282</v>
      </c>
      <c r="B518" s="40" t="s">
        <v>8283</v>
      </c>
      <c r="C518" s="41">
        <v>46023</v>
      </c>
      <c r="D518" s="41">
        <v>46023</v>
      </c>
      <c r="E518" s="40" t="s">
        <v>13</v>
      </c>
      <c r="F518" s="40" t="s">
        <v>7885</v>
      </c>
      <c r="G518" s="40" t="s">
        <v>8284</v>
      </c>
      <c r="H518" s="40" t="s">
        <v>8285</v>
      </c>
      <c r="I518" s="40" t="s">
        <v>49</v>
      </c>
      <c r="J518" s="40">
        <v>59</v>
      </c>
      <c r="K518" s="40">
        <v>59</v>
      </c>
      <c r="L518" s="40"/>
      <c r="M518" s="40">
        <v>59</v>
      </c>
      <c r="N518" s="40"/>
      <c r="O518" s="40" t="s">
        <v>234</v>
      </c>
    </row>
    <row r="519" spans="1:15" ht="33.75" x14ac:dyDescent="0.2">
      <c r="A519" s="40" t="s">
        <v>8286</v>
      </c>
      <c r="B519" s="40" t="s">
        <v>8287</v>
      </c>
      <c r="C519" s="41">
        <v>46023</v>
      </c>
      <c r="D519" s="41">
        <v>46023</v>
      </c>
      <c r="E519" s="40" t="s">
        <v>13</v>
      </c>
      <c r="F519" s="40" t="s">
        <v>8035</v>
      </c>
      <c r="G519" s="40" t="s">
        <v>8288</v>
      </c>
      <c r="H519" s="40" t="s">
        <v>8289</v>
      </c>
      <c r="I519" s="40" t="s">
        <v>49</v>
      </c>
      <c r="J519" s="40">
        <v>81</v>
      </c>
      <c r="K519" s="40">
        <v>81</v>
      </c>
      <c r="L519" s="40"/>
      <c r="M519" s="40">
        <v>81</v>
      </c>
      <c r="N519" s="40"/>
      <c r="O519" s="40" t="s">
        <v>234</v>
      </c>
    </row>
    <row r="520" spans="1:15" ht="33.75" x14ac:dyDescent="0.2">
      <c r="A520" s="40" t="s">
        <v>8290</v>
      </c>
      <c r="B520" s="40" t="s">
        <v>8291</v>
      </c>
      <c r="C520" s="41">
        <v>46023</v>
      </c>
      <c r="D520" s="41">
        <v>46023</v>
      </c>
      <c r="E520" s="40" t="s">
        <v>13</v>
      </c>
      <c r="F520" s="40" t="s">
        <v>8292</v>
      </c>
      <c r="G520" s="40" t="s">
        <v>8293</v>
      </c>
      <c r="H520" s="40" t="s">
        <v>8294</v>
      </c>
      <c r="I520" s="40" t="s">
        <v>49</v>
      </c>
      <c r="J520" s="40">
        <v>105.25</v>
      </c>
      <c r="K520" s="40">
        <v>105.25</v>
      </c>
      <c r="L520" s="40"/>
      <c r="M520" s="40">
        <v>105.25</v>
      </c>
      <c r="N520" s="40"/>
      <c r="O520" s="40" t="s">
        <v>234</v>
      </c>
    </row>
    <row r="521" spans="1:15" ht="45" x14ac:dyDescent="0.2">
      <c r="A521" s="40" t="s">
        <v>8295</v>
      </c>
      <c r="B521" s="40" t="s">
        <v>8296</v>
      </c>
      <c r="C521" s="41">
        <v>46023</v>
      </c>
      <c r="D521" s="41">
        <v>46023</v>
      </c>
      <c r="E521" s="40" t="s">
        <v>13</v>
      </c>
      <c r="F521" s="40" t="s">
        <v>8297</v>
      </c>
      <c r="G521" s="40" t="s">
        <v>8298</v>
      </c>
      <c r="H521" s="40" t="s">
        <v>8299</v>
      </c>
      <c r="I521" s="40" t="s">
        <v>49</v>
      </c>
      <c r="J521" s="40">
        <v>52.65</v>
      </c>
      <c r="K521" s="40">
        <v>52.65</v>
      </c>
      <c r="L521" s="40"/>
      <c r="M521" s="40">
        <v>52.65</v>
      </c>
      <c r="N521" s="40"/>
      <c r="O521" s="40" t="s">
        <v>234</v>
      </c>
    </row>
    <row r="522" spans="1:15" ht="33.75" x14ac:dyDescent="0.2">
      <c r="A522" s="40" t="s">
        <v>8300</v>
      </c>
      <c r="B522" s="40" t="s">
        <v>8301</v>
      </c>
      <c r="C522" s="41">
        <v>46023</v>
      </c>
      <c r="D522" s="41">
        <v>46023</v>
      </c>
      <c r="E522" s="40" t="s">
        <v>13</v>
      </c>
      <c r="F522" s="40" t="s">
        <v>8302</v>
      </c>
      <c r="G522" s="40" t="s">
        <v>8303</v>
      </c>
      <c r="H522" s="40" t="s">
        <v>8304</v>
      </c>
      <c r="I522" s="40" t="s">
        <v>49</v>
      </c>
      <c r="J522" s="40">
        <v>76.150000000000006</v>
      </c>
      <c r="K522" s="40">
        <v>76.150000000000006</v>
      </c>
      <c r="L522" s="40"/>
      <c r="M522" s="40">
        <v>76.150000000000006</v>
      </c>
      <c r="N522" s="40"/>
      <c r="O522" s="40" t="s">
        <v>234</v>
      </c>
    </row>
    <row r="523" spans="1:15" ht="33.75" x14ac:dyDescent="0.2">
      <c r="A523" s="40" t="s">
        <v>8305</v>
      </c>
      <c r="B523" s="40" t="s">
        <v>8306</v>
      </c>
      <c r="C523" s="41">
        <v>46023</v>
      </c>
      <c r="D523" s="41">
        <v>46023</v>
      </c>
      <c r="E523" s="40" t="s">
        <v>13</v>
      </c>
      <c r="F523" s="40" t="s">
        <v>8307</v>
      </c>
      <c r="G523" s="40" t="s">
        <v>8308</v>
      </c>
      <c r="H523" s="40" t="s">
        <v>8309</v>
      </c>
      <c r="I523" s="40" t="s">
        <v>49</v>
      </c>
      <c r="J523" s="40">
        <v>178</v>
      </c>
      <c r="K523" s="40">
        <v>178</v>
      </c>
      <c r="L523" s="40"/>
      <c r="M523" s="40">
        <v>178</v>
      </c>
      <c r="N523" s="40"/>
      <c r="O523" s="40" t="s">
        <v>234</v>
      </c>
    </row>
    <row r="524" spans="1:15" ht="33.75" x14ac:dyDescent="0.2">
      <c r="A524" s="40" t="s">
        <v>8310</v>
      </c>
      <c r="B524" s="40" t="s">
        <v>8311</v>
      </c>
      <c r="C524" s="41">
        <v>46023</v>
      </c>
      <c r="D524" s="41">
        <v>46023</v>
      </c>
      <c r="E524" s="40" t="s">
        <v>13</v>
      </c>
      <c r="F524" s="40" t="s">
        <v>1032</v>
      </c>
      <c r="G524" s="40" t="s">
        <v>8312</v>
      </c>
      <c r="H524" s="40" t="s">
        <v>8313</v>
      </c>
      <c r="I524" s="40" t="s">
        <v>49</v>
      </c>
      <c r="J524" s="40">
        <v>190.26</v>
      </c>
      <c r="K524" s="40">
        <v>190.26</v>
      </c>
      <c r="L524" s="40"/>
      <c r="M524" s="40">
        <v>190.26</v>
      </c>
      <c r="N524" s="40"/>
      <c r="O524" s="40" t="s">
        <v>234</v>
      </c>
    </row>
    <row r="525" spans="1:15" ht="33.75" x14ac:dyDescent="0.2">
      <c r="A525" s="40" t="s">
        <v>8314</v>
      </c>
      <c r="B525" s="40" t="s">
        <v>8315</v>
      </c>
      <c r="C525" s="41">
        <v>46023</v>
      </c>
      <c r="D525" s="41">
        <v>46023</v>
      </c>
      <c r="E525" s="40" t="s">
        <v>13</v>
      </c>
      <c r="F525" s="40" t="s">
        <v>8316</v>
      </c>
      <c r="G525" s="40" t="s">
        <v>8317</v>
      </c>
      <c r="H525" s="40" t="s">
        <v>8318</v>
      </c>
      <c r="I525" s="40" t="s">
        <v>49</v>
      </c>
      <c r="J525" s="40">
        <v>29.7</v>
      </c>
      <c r="K525" s="40">
        <v>29.7</v>
      </c>
      <c r="L525" s="40"/>
      <c r="M525" s="40">
        <v>29.7</v>
      </c>
      <c r="N525" s="40"/>
      <c r="O525" s="40" t="s">
        <v>234</v>
      </c>
    </row>
    <row r="526" spans="1:15" ht="33.75" x14ac:dyDescent="0.2">
      <c r="A526" s="40" t="s">
        <v>8319</v>
      </c>
      <c r="B526" s="40" t="s">
        <v>8320</v>
      </c>
      <c r="C526" s="41">
        <v>46023</v>
      </c>
      <c r="D526" s="41">
        <v>46023</v>
      </c>
      <c r="E526" s="40" t="s">
        <v>13</v>
      </c>
      <c r="F526" s="40" t="s">
        <v>388</v>
      </c>
      <c r="G526" s="40" t="s">
        <v>8321</v>
      </c>
      <c r="H526" s="40" t="s">
        <v>8322</v>
      </c>
      <c r="I526" s="40" t="s">
        <v>49</v>
      </c>
      <c r="J526" s="40">
        <v>116.27</v>
      </c>
      <c r="K526" s="40">
        <v>116.27</v>
      </c>
      <c r="L526" s="40"/>
      <c r="M526" s="40">
        <v>116.27</v>
      </c>
      <c r="N526" s="40"/>
      <c r="O526" s="40" t="s">
        <v>234</v>
      </c>
    </row>
    <row r="527" spans="1:15" ht="33.75" x14ac:dyDescent="0.2">
      <c r="A527" s="40" t="s">
        <v>8323</v>
      </c>
      <c r="B527" s="40" t="s">
        <v>8324</v>
      </c>
      <c r="C527" s="41">
        <v>46023</v>
      </c>
      <c r="D527" s="41">
        <v>46023</v>
      </c>
      <c r="E527" s="40" t="s">
        <v>13</v>
      </c>
      <c r="F527" s="40" t="s">
        <v>8325</v>
      </c>
      <c r="G527" s="40" t="s">
        <v>8326</v>
      </c>
      <c r="H527" s="40" t="s">
        <v>8327</v>
      </c>
      <c r="I527" s="40" t="s">
        <v>49</v>
      </c>
      <c r="J527" s="40">
        <v>179.82</v>
      </c>
      <c r="K527" s="40">
        <v>179.82</v>
      </c>
      <c r="L527" s="40"/>
      <c r="M527" s="40">
        <v>179.82</v>
      </c>
      <c r="N527" s="40"/>
      <c r="O527" s="40" t="s">
        <v>234</v>
      </c>
    </row>
    <row r="528" spans="1:15" ht="33.75" x14ac:dyDescent="0.2">
      <c r="A528" s="40" t="s">
        <v>8328</v>
      </c>
      <c r="B528" s="40" t="s">
        <v>8329</v>
      </c>
      <c r="C528" s="41">
        <v>46023</v>
      </c>
      <c r="D528" s="41">
        <v>46023</v>
      </c>
      <c r="E528" s="40" t="s">
        <v>13</v>
      </c>
      <c r="F528" s="40" t="s">
        <v>8330</v>
      </c>
      <c r="G528" s="40" t="s">
        <v>8331</v>
      </c>
      <c r="H528" s="40" t="s">
        <v>8332</v>
      </c>
      <c r="I528" s="40" t="s">
        <v>49</v>
      </c>
      <c r="J528" s="40">
        <v>76.150000000000006</v>
      </c>
      <c r="K528" s="40">
        <v>76.150000000000006</v>
      </c>
      <c r="L528" s="40"/>
      <c r="M528" s="40">
        <v>76.150000000000006</v>
      </c>
      <c r="N528" s="40"/>
      <c r="O528" s="40" t="s">
        <v>234</v>
      </c>
    </row>
    <row r="529" spans="1:15" ht="33.75" x14ac:dyDescent="0.2">
      <c r="A529" s="40" t="s">
        <v>8333</v>
      </c>
      <c r="B529" s="40" t="s">
        <v>8334</v>
      </c>
      <c r="C529" s="41">
        <v>46023</v>
      </c>
      <c r="D529" s="41">
        <v>46023</v>
      </c>
      <c r="E529" s="40" t="s">
        <v>13</v>
      </c>
      <c r="F529" s="40" t="s">
        <v>8335</v>
      </c>
      <c r="G529" s="40" t="s">
        <v>8336</v>
      </c>
      <c r="H529" s="40" t="s">
        <v>8337</v>
      </c>
      <c r="I529" s="40" t="s">
        <v>49</v>
      </c>
      <c r="J529" s="40">
        <v>194.91</v>
      </c>
      <c r="K529" s="40">
        <v>194.91</v>
      </c>
      <c r="L529" s="40"/>
      <c r="M529" s="40">
        <v>194.91</v>
      </c>
      <c r="N529" s="40"/>
      <c r="O529" s="40" t="s">
        <v>234</v>
      </c>
    </row>
    <row r="530" spans="1:15" ht="33.75" x14ac:dyDescent="0.2">
      <c r="A530" s="40" t="s">
        <v>8338</v>
      </c>
      <c r="B530" s="40" t="s">
        <v>8339</v>
      </c>
      <c r="C530" s="41">
        <v>46023</v>
      </c>
      <c r="D530" s="41">
        <v>46023</v>
      </c>
      <c r="E530" s="40" t="s">
        <v>13</v>
      </c>
      <c r="F530" s="40" t="s">
        <v>8340</v>
      </c>
      <c r="G530" s="40" t="s">
        <v>8341</v>
      </c>
      <c r="H530" s="40" t="s">
        <v>8342</v>
      </c>
      <c r="I530" s="40" t="s">
        <v>49</v>
      </c>
      <c r="J530" s="40">
        <v>21.61</v>
      </c>
      <c r="K530" s="40">
        <v>21.61</v>
      </c>
      <c r="L530" s="40"/>
      <c r="M530" s="40">
        <v>21.61</v>
      </c>
      <c r="N530" s="40"/>
      <c r="O530" s="40" t="s">
        <v>234</v>
      </c>
    </row>
    <row r="531" spans="1:15" ht="33.75" x14ac:dyDescent="0.2">
      <c r="A531" s="40" t="s">
        <v>8343</v>
      </c>
      <c r="B531" s="40" t="s">
        <v>8344</v>
      </c>
      <c r="C531" s="41">
        <v>46023</v>
      </c>
      <c r="D531" s="41">
        <v>46023</v>
      </c>
      <c r="E531" s="40" t="s">
        <v>13</v>
      </c>
      <c r="F531" s="40" t="s">
        <v>8345</v>
      </c>
      <c r="G531" s="40" t="s">
        <v>8346</v>
      </c>
      <c r="H531" s="40" t="s">
        <v>8347</v>
      </c>
      <c r="I531" s="40" t="s">
        <v>49</v>
      </c>
      <c r="J531" s="40">
        <v>102.6</v>
      </c>
      <c r="K531" s="40">
        <v>102.6</v>
      </c>
      <c r="L531" s="40"/>
      <c r="M531" s="40">
        <v>102.6</v>
      </c>
      <c r="N531" s="40"/>
      <c r="O531" s="40" t="s">
        <v>234</v>
      </c>
    </row>
    <row r="532" spans="1:15" ht="33.75" x14ac:dyDescent="0.2">
      <c r="A532" s="40" t="s">
        <v>8348</v>
      </c>
      <c r="B532" s="40" t="s">
        <v>8349</v>
      </c>
      <c r="C532" s="41">
        <v>46023</v>
      </c>
      <c r="D532" s="41">
        <v>46023</v>
      </c>
      <c r="E532" s="40" t="s">
        <v>13</v>
      </c>
      <c r="F532" s="40" t="s">
        <v>8350</v>
      </c>
      <c r="G532" s="40" t="s">
        <v>8351</v>
      </c>
      <c r="H532" s="40" t="s">
        <v>8352</v>
      </c>
      <c r="I532" s="40" t="s">
        <v>49</v>
      </c>
      <c r="J532" s="40">
        <v>90.81</v>
      </c>
      <c r="K532" s="40">
        <v>90.81</v>
      </c>
      <c r="L532" s="40"/>
      <c r="M532" s="40">
        <v>90.81</v>
      </c>
      <c r="N532" s="40"/>
      <c r="O532" s="40" t="s">
        <v>234</v>
      </c>
    </row>
    <row r="533" spans="1:15" ht="33.75" x14ac:dyDescent="0.2">
      <c r="A533" s="40" t="s">
        <v>8353</v>
      </c>
      <c r="B533" s="40" t="s">
        <v>8354</v>
      </c>
      <c r="C533" s="41">
        <v>46023</v>
      </c>
      <c r="D533" s="41">
        <v>46023</v>
      </c>
      <c r="E533" s="40" t="s">
        <v>13</v>
      </c>
      <c r="F533" s="40" t="s">
        <v>8355</v>
      </c>
      <c r="G533" s="40" t="s">
        <v>8356</v>
      </c>
      <c r="H533" s="40" t="s">
        <v>8357</v>
      </c>
      <c r="I533" s="40" t="s">
        <v>49</v>
      </c>
      <c r="J533" s="40">
        <v>343.45</v>
      </c>
      <c r="K533" s="40">
        <v>343.45</v>
      </c>
      <c r="L533" s="40"/>
      <c r="M533" s="40">
        <v>343.45</v>
      </c>
      <c r="N533" s="40"/>
      <c r="O533" s="40" t="s">
        <v>234</v>
      </c>
    </row>
    <row r="534" spans="1:15" ht="33.75" x14ac:dyDescent="0.2">
      <c r="A534" s="40" t="s">
        <v>8358</v>
      </c>
      <c r="B534" s="40" t="s">
        <v>8359</v>
      </c>
      <c r="C534" s="41">
        <v>46023</v>
      </c>
      <c r="D534" s="41">
        <v>46023</v>
      </c>
      <c r="E534" s="40" t="s">
        <v>13</v>
      </c>
      <c r="F534" s="40" t="s">
        <v>8360</v>
      </c>
      <c r="G534" s="40" t="s">
        <v>8361</v>
      </c>
      <c r="H534" s="40" t="s">
        <v>8362</v>
      </c>
      <c r="I534" s="40" t="s">
        <v>49</v>
      </c>
      <c r="J534" s="40">
        <v>29.7</v>
      </c>
      <c r="K534" s="40">
        <v>29.7</v>
      </c>
      <c r="L534" s="40"/>
      <c r="M534" s="40">
        <v>29.7</v>
      </c>
      <c r="N534" s="40"/>
      <c r="O534" s="40" t="s">
        <v>234</v>
      </c>
    </row>
    <row r="535" spans="1:15" ht="33.75" x14ac:dyDescent="0.2">
      <c r="A535" s="40" t="s">
        <v>8363</v>
      </c>
      <c r="B535" s="40" t="s">
        <v>8364</v>
      </c>
      <c r="C535" s="41">
        <v>46023</v>
      </c>
      <c r="D535" s="41">
        <v>46023</v>
      </c>
      <c r="E535" s="40" t="s">
        <v>13</v>
      </c>
      <c r="F535" s="40" t="s">
        <v>8365</v>
      </c>
      <c r="G535" s="40" t="s">
        <v>8366</v>
      </c>
      <c r="H535" s="40" t="s">
        <v>8367</v>
      </c>
      <c r="I535" s="40" t="s">
        <v>49</v>
      </c>
      <c r="J535" s="40">
        <v>72.55</v>
      </c>
      <c r="K535" s="40">
        <v>72.55</v>
      </c>
      <c r="L535" s="40"/>
      <c r="M535" s="40">
        <v>72.55</v>
      </c>
      <c r="N535" s="40"/>
      <c r="O535" s="40" t="s">
        <v>234</v>
      </c>
    </row>
    <row r="536" spans="1:15" ht="33.75" x14ac:dyDescent="0.2">
      <c r="A536" s="40" t="s">
        <v>8368</v>
      </c>
      <c r="B536" s="40" t="s">
        <v>8369</v>
      </c>
      <c r="C536" s="41">
        <v>46023</v>
      </c>
      <c r="D536" s="41">
        <v>46023</v>
      </c>
      <c r="E536" s="40" t="s">
        <v>13</v>
      </c>
      <c r="F536" s="40" t="s">
        <v>8370</v>
      </c>
      <c r="G536" s="40" t="s">
        <v>8371</v>
      </c>
      <c r="H536" s="40" t="s">
        <v>8372</v>
      </c>
      <c r="I536" s="40" t="s">
        <v>49</v>
      </c>
      <c r="J536" s="40">
        <v>179.96</v>
      </c>
      <c r="K536" s="40">
        <v>179.96</v>
      </c>
      <c r="L536" s="40"/>
      <c r="M536" s="40">
        <v>179.96</v>
      </c>
      <c r="N536" s="40"/>
      <c r="O536" s="40" t="s">
        <v>234</v>
      </c>
    </row>
    <row r="537" spans="1:15" ht="33.75" x14ac:dyDescent="0.2">
      <c r="A537" s="40" t="s">
        <v>8373</v>
      </c>
      <c r="B537" s="40" t="s">
        <v>8374</v>
      </c>
      <c r="C537" s="41">
        <v>46023</v>
      </c>
      <c r="D537" s="41">
        <v>46023</v>
      </c>
      <c r="E537" s="40" t="s">
        <v>13</v>
      </c>
      <c r="F537" s="40" t="s">
        <v>6539</v>
      </c>
      <c r="G537" s="40" t="s">
        <v>8375</v>
      </c>
      <c r="H537" s="40" t="s">
        <v>8376</v>
      </c>
      <c r="I537" s="40" t="s">
        <v>49</v>
      </c>
      <c r="J537" s="40">
        <v>184</v>
      </c>
      <c r="K537" s="40">
        <v>184</v>
      </c>
      <c r="L537" s="40"/>
      <c r="M537" s="40">
        <v>184</v>
      </c>
      <c r="N537" s="40"/>
      <c r="O537" s="40" t="s">
        <v>234</v>
      </c>
    </row>
    <row r="538" spans="1:15" ht="33.75" x14ac:dyDescent="0.2">
      <c r="A538" s="40" t="s">
        <v>8377</v>
      </c>
      <c r="B538" s="40" t="s">
        <v>8378</v>
      </c>
      <c r="C538" s="41">
        <v>46023</v>
      </c>
      <c r="D538" s="41">
        <v>46023</v>
      </c>
      <c r="E538" s="40" t="s">
        <v>13</v>
      </c>
      <c r="F538" s="40" t="s">
        <v>8379</v>
      </c>
      <c r="G538" s="40" t="s">
        <v>8380</v>
      </c>
      <c r="H538" s="40" t="s">
        <v>8381</v>
      </c>
      <c r="I538" s="40" t="s">
        <v>49</v>
      </c>
      <c r="J538" s="40">
        <v>40.5</v>
      </c>
      <c r="K538" s="40">
        <v>40.5</v>
      </c>
      <c r="L538" s="40"/>
      <c r="M538" s="40">
        <v>40.5</v>
      </c>
      <c r="N538" s="40"/>
      <c r="O538" s="40" t="s">
        <v>234</v>
      </c>
    </row>
    <row r="539" spans="1:15" ht="33.75" x14ac:dyDescent="0.2">
      <c r="A539" s="40" t="s">
        <v>8382</v>
      </c>
      <c r="B539" s="40" t="s">
        <v>8383</v>
      </c>
      <c r="C539" s="41">
        <v>46023</v>
      </c>
      <c r="D539" s="41">
        <v>46023</v>
      </c>
      <c r="E539" s="40" t="s">
        <v>13</v>
      </c>
      <c r="F539" s="40" t="s">
        <v>8384</v>
      </c>
      <c r="G539" s="40" t="s">
        <v>8385</v>
      </c>
      <c r="H539" s="40" t="s">
        <v>8386</v>
      </c>
      <c r="I539" s="40" t="s">
        <v>49</v>
      </c>
      <c r="J539" s="40">
        <v>71.7</v>
      </c>
      <c r="K539" s="40">
        <v>71.7</v>
      </c>
      <c r="L539" s="40"/>
      <c r="M539" s="40">
        <v>71.7</v>
      </c>
      <c r="N539" s="40"/>
      <c r="O539" s="40" t="s">
        <v>234</v>
      </c>
    </row>
    <row r="540" spans="1:15" ht="33.75" x14ac:dyDescent="0.2">
      <c r="A540" s="40" t="s">
        <v>8387</v>
      </c>
      <c r="B540" s="40" t="s">
        <v>8388</v>
      </c>
      <c r="C540" s="41">
        <v>46023</v>
      </c>
      <c r="D540" s="41">
        <v>46023</v>
      </c>
      <c r="E540" s="40" t="s">
        <v>13</v>
      </c>
      <c r="F540" s="40" t="s">
        <v>791</v>
      </c>
      <c r="G540" s="40" t="s">
        <v>8389</v>
      </c>
      <c r="H540" s="40" t="s">
        <v>8390</v>
      </c>
      <c r="I540" s="40" t="s">
        <v>49</v>
      </c>
      <c r="J540" s="40">
        <v>194.7</v>
      </c>
      <c r="K540" s="40">
        <v>194.7</v>
      </c>
      <c r="L540" s="40"/>
      <c r="M540" s="40">
        <v>194.7</v>
      </c>
      <c r="N540" s="40"/>
      <c r="O540" s="40" t="s">
        <v>234</v>
      </c>
    </row>
    <row r="541" spans="1:15" ht="33.75" x14ac:dyDescent="0.2">
      <c r="A541" s="40" t="s">
        <v>8391</v>
      </c>
      <c r="B541" s="40" t="s">
        <v>8392</v>
      </c>
      <c r="C541" s="41">
        <v>46023</v>
      </c>
      <c r="D541" s="41">
        <v>46023</v>
      </c>
      <c r="E541" s="40" t="s">
        <v>13</v>
      </c>
      <c r="F541" s="40" t="s">
        <v>8393</v>
      </c>
      <c r="G541" s="40" t="s">
        <v>8394</v>
      </c>
      <c r="H541" s="40" t="s">
        <v>8395</v>
      </c>
      <c r="I541" s="40" t="s">
        <v>49</v>
      </c>
      <c r="J541" s="40">
        <v>21.61</v>
      </c>
      <c r="K541" s="40">
        <v>21.61</v>
      </c>
      <c r="L541" s="40"/>
      <c r="M541" s="40">
        <v>21.61</v>
      </c>
      <c r="N541" s="40"/>
      <c r="O541" s="40" t="s">
        <v>234</v>
      </c>
    </row>
    <row r="542" spans="1:15" ht="45" x14ac:dyDescent="0.2">
      <c r="A542" s="40" t="s">
        <v>8396</v>
      </c>
      <c r="B542" s="40" t="s">
        <v>8397</v>
      </c>
      <c r="C542" s="41">
        <v>46023</v>
      </c>
      <c r="D542" s="41">
        <v>46023</v>
      </c>
      <c r="E542" s="40" t="s">
        <v>13</v>
      </c>
      <c r="F542" s="40" t="s">
        <v>8398</v>
      </c>
      <c r="G542" s="40" t="s">
        <v>8399</v>
      </c>
      <c r="H542" s="40" t="s">
        <v>8400</v>
      </c>
      <c r="I542" s="40" t="s">
        <v>49</v>
      </c>
      <c r="J542" s="40">
        <v>503.1</v>
      </c>
      <c r="K542" s="40">
        <v>503.1</v>
      </c>
      <c r="L542" s="40"/>
      <c r="M542" s="40">
        <v>503.1</v>
      </c>
      <c r="N542" s="40"/>
      <c r="O542" s="40" t="s">
        <v>234</v>
      </c>
    </row>
    <row r="543" spans="1:15" ht="33.75" x14ac:dyDescent="0.2">
      <c r="A543" s="40" t="s">
        <v>8401</v>
      </c>
      <c r="B543" s="40" t="s">
        <v>8402</v>
      </c>
      <c r="C543" s="41">
        <v>46023</v>
      </c>
      <c r="D543" s="41">
        <v>46023</v>
      </c>
      <c r="E543" s="40" t="s">
        <v>13</v>
      </c>
      <c r="F543" s="40" t="s">
        <v>8403</v>
      </c>
      <c r="G543" s="40" t="s">
        <v>8404</v>
      </c>
      <c r="H543" s="40" t="s">
        <v>8405</v>
      </c>
      <c r="I543" s="40" t="s">
        <v>49</v>
      </c>
      <c r="J543" s="40">
        <v>176.67</v>
      </c>
      <c r="K543" s="40">
        <v>176.67</v>
      </c>
      <c r="L543" s="40"/>
      <c r="M543" s="40">
        <v>176.67</v>
      </c>
      <c r="N543" s="40"/>
      <c r="O543" s="40" t="s">
        <v>234</v>
      </c>
    </row>
    <row r="544" spans="1:15" ht="33.75" x14ac:dyDescent="0.2">
      <c r="A544" s="40" t="s">
        <v>8406</v>
      </c>
      <c r="B544" s="40" t="s">
        <v>8407</v>
      </c>
      <c r="C544" s="41">
        <v>46023</v>
      </c>
      <c r="D544" s="41">
        <v>46023</v>
      </c>
      <c r="E544" s="40" t="s">
        <v>13</v>
      </c>
      <c r="F544" s="40" t="s">
        <v>8408</v>
      </c>
      <c r="G544" s="40" t="s">
        <v>8409</v>
      </c>
      <c r="H544" s="40" t="s">
        <v>8410</v>
      </c>
      <c r="I544" s="40" t="s">
        <v>49</v>
      </c>
      <c r="J544" s="40">
        <v>33.840000000000003</v>
      </c>
      <c r="K544" s="40">
        <v>33.840000000000003</v>
      </c>
      <c r="L544" s="40"/>
      <c r="M544" s="40">
        <v>33.840000000000003</v>
      </c>
      <c r="N544" s="40"/>
      <c r="O544" s="40" t="s">
        <v>234</v>
      </c>
    </row>
    <row r="545" spans="1:15" ht="33.75" x14ac:dyDescent="0.2">
      <c r="A545" s="40" t="s">
        <v>8411</v>
      </c>
      <c r="B545" s="40" t="s">
        <v>8412</v>
      </c>
      <c r="C545" s="41">
        <v>46023</v>
      </c>
      <c r="D545" s="41">
        <v>46023</v>
      </c>
      <c r="E545" s="40" t="s">
        <v>13</v>
      </c>
      <c r="F545" s="40" t="s">
        <v>8413</v>
      </c>
      <c r="G545" s="40" t="s">
        <v>8414</v>
      </c>
      <c r="H545" s="40" t="s">
        <v>8415</v>
      </c>
      <c r="I545" s="40" t="s">
        <v>49</v>
      </c>
      <c r="J545" s="40">
        <v>33</v>
      </c>
      <c r="K545" s="40">
        <v>33</v>
      </c>
      <c r="L545" s="40"/>
      <c r="M545" s="40">
        <v>33</v>
      </c>
      <c r="N545" s="40"/>
      <c r="O545" s="40" t="s">
        <v>234</v>
      </c>
    </row>
    <row r="546" spans="1:15" ht="33.75" x14ac:dyDescent="0.2">
      <c r="A546" s="40" t="s">
        <v>8416</v>
      </c>
      <c r="B546" s="40" t="s">
        <v>8417</v>
      </c>
      <c r="C546" s="41">
        <v>46023</v>
      </c>
      <c r="D546" s="41">
        <v>46023</v>
      </c>
      <c r="E546" s="40" t="s">
        <v>13</v>
      </c>
      <c r="F546" s="40" t="s">
        <v>8418</v>
      </c>
      <c r="G546" s="40" t="s">
        <v>8419</v>
      </c>
      <c r="H546" s="40" t="s">
        <v>8420</v>
      </c>
      <c r="I546" s="40" t="s">
        <v>49</v>
      </c>
      <c r="J546" s="40">
        <v>194.05</v>
      </c>
      <c r="K546" s="40">
        <v>194.05</v>
      </c>
      <c r="L546" s="40"/>
      <c r="M546" s="40">
        <v>194.05</v>
      </c>
      <c r="N546" s="40"/>
      <c r="O546" s="40" t="s">
        <v>234</v>
      </c>
    </row>
    <row r="547" spans="1:15" ht="33.75" x14ac:dyDescent="0.2">
      <c r="A547" s="40" t="s">
        <v>8421</v>
      </c>
      <c r="B547" s="40" t="s">
        <v>8422</v>
      </c>
      <c r="C547" s="41">
        <v>46023</v>
      </c>
      <c r="D547" s="41">
        <v>46023</v>
      </c>
      <c r="E547" s="40" t="s">
        <v>13</v>
      </c>
      <c r="F547" s="40" t="s">
        <v>1179</v>
      </c>
      <c r="G547" s="40" t="s">
        <v>7733</v>
      </c>
      <c r="H547" s="40" t="s">
        <v>8423</v>
      </c>
      <c r="I547" s="40" t="s">
        <v>49</v>
      </c>
      <c r="J547" s="40">
        <v>509.05</v>
      </c>
      <c r="K547" s="40">
        <v>509.05</v>
      </c>
      <c r="L547" s="40"/>
      <c r="M547" s="40">
        <v>509.05</v>
      </c>
      <c r="N547" s="40"/>
      <c r="O547" s="40" t="s">
        <v>234</v>
      </c>
    </row>
    <row r="548" spans="1:15" ht="33.75" x14ac:dyDescent="0.2">
      <c r="A548" s="40" t="s">
        <v>8424</v>
      </c>
      <c r="B548" s="40" t="s">
        <v>8425</v>
      </c>
      <c r="C548" s="41">
        <v>46023</v>
      </c>
      <c r="D548" s="41">
        <v>46023</v>
      </c>
      <c r="E548" s="40" t="s">
        <v>13</v>
      </c>
      <c r="F548" s="40" t="s">
        <v>8426</v>
      </c>
      <c r="G548" s="40" t="s">
        <v>8427</v>
      </c>
      <c r="H548" s="40" t="s">
        <v>8428</v>
      </c>
      <c r="I548" s="40" t="s">
        <v>49</v>
      </c>
      <c r="J548" s="40">
        <v>154.35</v>
      </c>
      <c r="K548" s="40">
        <v>154.35</v>
      </c>
      <c r="L548" s="40"/>
      <c r="M548" s="40">
        <v>154.35</v>
      </c>
      <c r="N548" s="40"/>
      <c r="O548" s="40" t="s">
        <v>234</v>
      </c>
    </row>
    <row r="549" spans="1:15" ht="33.75" x14ac:dyDescent="0.2">
      <c r="A549" s="40" t="s">
        <v>8429</v>
      </c>
      <c r="B549" s="40" t="s">
        <v>8430</v>
      </c>
      <c r="C549" s="41">
        <v>46023</v>
      </c>
      <c r="D549" s="41">
        <v>46023</v>
      </c>
      <c r="E549" s="40" t="s">
        <v>13</v>
      </c>
      <c r="F549" s="40" t="s">
        <v>6783</v>
      </c>
      <c r="G549" s="40" t="s">
        <v>8260</v>
      </c>
      <c r="H549" s="40" t="s">
        <v>8431</v>
      </c>
      <c r="I549" s="40" t="s">
        <v>49</v>
      </c>
      <c r="J549" s="40">
        <v>78.010000000000005</v>
      </c>
      <c r="K549" s="40">
        <v>78.010000000000005</v>
      </c>
      <c r="L549" s="40"/>
      <c r="M549" s="40">
        <v>78.010000000000005</v>
      </c>
      <c r="N549" s="40"/>
      <c r="O549" s="40" t="s">
        <v>234</v>
      </c>
    </row>
    <row r="550" spans="1:15" ht="33.75" x14ac:dyDescent="0.2">
      <c r="A550" s="40" t="s">
        <v>8432</v>
      </c>
      <c r="B550" s="40" t="s">
        <v>8433</v>
      </c>
      <c r="C550" s="41">
        <v>46023</v>
      </c>
      <c r="D550" s="41">
        <v>46023</v>
      </c>
      <c r="E550" s="40" t="s">
        <v>13</v>
      </c>
      <c r="F550" s="40" t="s">
        <v>8434</v>
      </c>
      <c r="G550" s="40" t="s">
        <v>8435</v>
      </c>
      <c r="H550" s="40" t="s">
        <v>8436</v>
      </c>
      <c r="I550" s="40" t="s">
        <v>49</v>
      </c>
      <c r="J550" s="40">
        <v>314.33999999999997</v>
      </c>
      <c r="K550" s="40">
        <v>314.33999999999997</v>
      </c>
      <c r="L550" s="40"/>
      <c r="M550" s="40">
        <v>314.33999999999997</v>
      </c>
      <c r="N550" s="40"/>
      <c r="O550" s="40" t="s">
        <v>234</v>
      </c>
    </row>
    <row r="551" spans="1:15" ht="33.75" x14ac:dyDescent="0.2">
      <c r="A551" s="40" t="s">
        <v>8437</v>
      </c>
      <c r="B551" s="40" t="s">
        <v>8438</v>
      </c>
      <c r="C551" s="41">
        <v>46023</v>
      </c>
      <c r="D551" s="41">
        <v>46023</v>
      </c>
      <c r="E551" s="40" t="s">
        <v>13</v>
      </c>
      <c r="F551" s="40" t="s">
        <v>6910</v>
      </c>
      <c r="G551" s="40" t="s">
        <v>8439</v>
      </c>
      <c r="H551" s="40" t="s">
        <v>8440</v>
      </c>
      <c r="I551" s="40" t="s">
        <v>49</v>
      </c>
      <c r="J551" s="40">
        <v>61.21</v>
      </c>
      <c r="K551" s="40">
        <v>61.21</v>
      </c>
      <c r="L551" s="40"/>
      <c r="M551" s="40">
        <v>61.21</v>
      </c>
      <c r="N551" s="40"/>
      <c r="O551" s="40" t="s">
        <v>234</v>
      </c>
    </row>
    <row r="552" spans="1:15" ht="33.75" x14ac:dyDescent="0.2">
      <c r="A552" s="40" t="s">
        <v>8441</v>
      </c>
      <c r="B552" s="40" t="s">
        <v>8442</v>
      </c>
      <c r="C552" s="41">
        <v>46023</v>
      </c>
      <c r="D552" s="41">
        <v>46023</v>
      </c>
      <c r="E552" s="40" t="s">
        <v>13</v>
      </c>
      <c r="F552" s="40" t="s">
        <v>8443</v>
      </c>
      <c r="G552" s="40" t="s">
        <v>8444</v>
      </c>
      <c r="H552" s="40" t="s">
        <v>8445</v>
      </c>
      <c r="I552" s="40" t="s">
        <v>49</v>
      </c>
      <c r="J552" s="40">
        <v>98.83</v>
      </c>
      <c r="K552" s="40">
        <v>98.83</v>
      </c>
      <c r="L552" s="40"/>
      <c r="M552" s="40">
        <v>98.83</v>
      </c>
      <c r="N552" s="40"/>
      <c r="O552" s="40" t="s">
        <v>234</v>
      </c>
    </row>
    <row r="553" spans="1:15" ht="33.75" x14ac:dyDescent="0.2">
      <c r="A553" s="40" t="s">
        <v>8446</v>
      </c>
      <c r="B553" s="40" t="s">
        <v>8447</v>
      </c>
      <c r="C553" s="41">
        <v>46023</v>
      </c>
      <c r="D553" s="41">
        <v>46023</v>
      </c>
      <c r="E553" s="40" t="s">
        <v>13</v>
      </c>
      <c r="F553" s="40" t="s">
        <v>8426</v>
      </c>
      <c r="G553" s="40" t="s">
        <v>8448</v>
      </c>
      <c r="H553" s="40" t="s">
        <v>8449</v>
      </c>
      <c r="I553" s="40" t="s">
        <v>49</v>
      </c>
      <c r="J553" s="40">
        <v>195.15</v>
      </c>
      <c r="K553" s="40">
        <v>195.15</v>
      </c>
      <c r="L553" s="40"/>
      <c r="M553" s="40">
        <v>195.15</v>
      </c>
      <c r="N553" s="40"/>
      <c r="O553" s="40" t="s">
        <v>234</v>
      </c>
    </row>
    <row r="554" spans="1:15" ht="33.75" x14ac:dyDescent="0.2">
      <c r="A554" s="40" t="s">
        <v>8450</v>
      </c>
      <c r="B554" s="40" t="s">
        <v>8451</v>
      </c>
      <c r="C554" s="41">
        <v>46023</v>
      </c>
      <c r="D554" s="41">
        <v>46023</v>
      </c>
      <c r="E554" s="40" t="s">
        <v>13</v>
      </c>
      <c r="F554" s="40" t="s">
        <v>8452</v>
      </c>
      <c r="G554" s="40" t="s">
        <v>8453</v>
      </c>
      <c r="H554" s="40" t="s">
        <v>8454</v>
      </c>
      <c r="I554" s="40" t="s">
        <v>49</v>
      </c>
      <c r="J554" s="40">
        <v>297.07</v>
      </c>
      <c r="K554" s="40">
        <v>297.07</v>
      </c>
      <c r="L554" s="40"/>
      <c r="M554" s="40">
        <v>297.07</v>
      </c>
      <c r="N554" s="40"/>
      <c r="O554" s="40" t="s">
        <v>234</v>
      </c>
    </row>
    <row r="555" spans="1:15" ht="33.75" x14ac:dyDescent="0.2">
      <c r="A555" s="40" t="s">
        <v>8455</v>
      </c>
      <c r="B555" s="40" t="s">
        <v>8456</v>
      </c>
      <c r="C555" s="41">
        <v>46023</v>
      </c>
      <c r="D555" s="41">
        <v>46023</v>
      </c>
      <c r="E555" s="40" t="s">
        <v>13</v>
      </c>
      <c r="F555" s="40" t="s">
        <v>8457</v>
      </c>
      <c r="G555" s="40" t="s">
        <v>8458</v>
      </c>
      <c r="H555" s="40" t="s">
        <v>8459</v>
      </c>
      <c r="I555" s="40" t="s">
        <v>49</v>
      </c>
      <c r="J555" s="40">
        <v>206.1</v>
      </c>
      <c r="K555" s="40">
        <v>206.1</v>
      </c>
      <c r="L555" s="40"/>
      <c r="M555" s="40">
        <v>206.1</v>
      </c>
      <c r="N555" s="40"/>
      <c r="O555" s="40" t="s">
        <v>234</v>
      </c>
    </row>
    <row r="556" spans="1:15" ht="33.75" x14ac:dyDescent="0.2">
      <c r="A556" s="40" t="s">
        <v>8460</v>
      </c>
      <c r="B556" s="40" t="s">
        <v>8461</v>
      </c>
      <c r="C556" s="41">
        <v>46023</v>
      </c>
      <c r="D556" s="41">
        <v>46023</v>
      </c>
      <c r="E556" s="40" t="s">
        <v>13</v>
      </c>
      <c r="F556" s="40" t="s">
        <v>8462</v>
      </c>
      <c r="G556" s="40" t="s">
        <v>8463</v>
      </c>
      <c r="H556" s="40" t="s">
        <v>8464</v>
      </c>
      <c r="I556" s="40" t="s">
        <v>49</v>
      </c>
      <c r="J556" s="40">
        <v>279</v>
      </c>
      <c r="K556" s="40">
        <v>279</v>
      </c>
      <c r="L556" s="40"/>
      <c r="M556" s="40">
        <v>279</v>
      </c>
      <c r="N556" s="40"/>
      <c r="O556" s="40" t="s">
        <v>234</v>
      </c>
    </row>
    <row r="557" spans="1:15" ht="33.75" x14ac:dyDescent="0.2">
      <c r="A557" s="40" t="s">
        <v>8465</v>
      </c>
      <c r="B557" s="40" t="s">
        <v>8466</v>
      </c>
      <c r="C557" s="41">
        <v>46023</v>
      </c>
      <c r="D557" s="41">
        <v>46023</v>
      </c>
      <c r="E557" s="40" t="s">
        <v>13</v>
      </c>
      <c r="F557" s="40" t="s">
        <v>6819</v>
      </c>
      <c r="G557" s="40" t="s">
        <v>8467</v>
      </c>
      <c r="H557" s="40" t="s">
        <v>8468</v>
      </c>
      <c r="I557" s="40" t="s">
        <v>49</v>
      </c>
      <c r="J557" s="40">
        <v>74.61</v>
      </c>
      <c r="K557" s="40">
        <v>74.61</v>
      </c>
      <c r="L557" s="40"/>
      <c r="M557" s="40">
        <v>74.61</v>
      </c>
      <c r="N557" s="40"/>
      <c r="O557" s="40" t="s">
        <v>234</v>
      </c>
    </row>
    <row r="558" spans="1:15" ht="33.75" x14ac:dyDescent="0.2">
      <c r="A558" s="40" t="s">
        <v>8469</v>
      </c>
      <c r="B558" s="40" t="s">
        <v>8470</v>
      </c>
      <c r="C558" s="41">
        <v>46023</v>
      </c>
      <c r="D558" s="41">
        <v>46023</v>
      </c>
      <c r="E558" s="40" t="s">
        <v>13</v>
      </c>
      <c r="F558" s="40" t="s">
        <v>8471</v>
      </c>
      <c r="G558" s="40" t="s">
        <v>8472</v>
      </c>
      <c r="H558" s="40" t="s">
        <v>8473</v>
      </c>
      <c r="I558" s="40" t="s">
        <v>49</v>
      </c>
      <c r="J558" s="40">
        <v>57.26</v>
      </c>
      <c r="K558" s="40">
        <v>57.26</v>
      </c>
      <c r="L558" s="40"/>
      <c r="M558" s="40">
        <v>57.26</v>
      </c>
      <c r="N558" s="40"/>
      <c r="O558" s="40" t="s">
        <v>234</v>
      </c>
    </row>
    <row r="559" spans="1:15" ht="33.75" x14ac:dyDescent="0.2">
      <c r="A559" s="40" t="s">
        <v>8474</v>
      </c>
      <c r="B559" s="40" t="s">
        <v>8475</v>
      </c>
      <c r="C559" s="41">
        <v>46023</v>
      </c>
      <c r="D559" s="41">
        <v>46023</v>
      </c>
      <c r="E559" s="40" t="s">
        <v>13</v>
      </c>
      <c r="F559" s="40" t="s">
        <v>8476</v>
      </c>
      <c r="G559" s="40" t="s">
        <v>8477</v>
      </c>
      <c r="H559" s="40" t="s">
        <v>8478</v>
      </c>
      <c r="I559" s="40" t="s">
        <v>49</v>
      </c>
      <c r="J559" s="40">
        <v>112.68</v>
      </c>
      <c r="K559" s="40">
        <v>112.68</v>
      </c>
      <c r="L559" s="40"/>
      <c r="M559" s="40">
        <v>112.68</v>
      </c>
      <c r="N559" s="40"/>
      <c r="O559" s="40" t="s">
        <v>234</v>
      </c>
    </row>
    <row r="560" spans="1:15" ht="45" x14ac:dyDescent="0.2">
      <c r="A560" s="40" t="s">
        <v>8479</v>
      </c>
      <c r="B560" s="40" t="s">
        <v>8480</v>
      </c>
      <c r="C560" s="41">
        <v>46023</v>
      </c>
      <c r="D560" s="41">
        <v>46023</v>
      </c>
      <c r="E560" s="40" t="s">
        <v>13</v>
      </c>
      <c r="F560" s="40" t="s">
        <v>8481</v>
      </c>
      <c r="G560" s="40" t="s">
        <v>8482</v>
      </c>
      <c r="H560" s="40" t="s">
        <v>8483</v>
      </c>
      <c r="I560" s="40" t="s">
        <v>49</v>
      </c>
      <c r="J560" s="40">
        <v>271.89</v>
      </c>
      <c r="K560" s="40">
        <v>271.89</v>
      </c>
      <c r="L560" s="40"/>
      <c r="M560" s="40">
        <v>271.89</v>
      </c>
      <c r="N560" s="40"/>
      <c r="O560" s="40" t="s">
        <v>234</v>
      </c>
    </row>
    <row r="561" spans="1:15" ht="33.75" x14ac:dyDescent="0.2">
      <c r="A561" s="40" t="s">
        <v>8484</v>
      </c>
      <c r="B561" s="40" t="s">
        <v>8485</v>
      </c>
      <c r="C561" s="41">
        <v>46023</v>
      </c>
      <c r="D561" s="41">
        <v>46023</v>
      </c>
      <c r="E561" s="40" t="s">
        <v>13</v>
      </c>
      <c r="F561" s="40" t="s">
        <v>1744</v>
      </c>
      <c r="G561" s="40" t="s">
        <v>8486</v>
      </c>
      <c r="H561" s="40" t="s">
        <v>8487</v>
      </c>
      <c r="I561" s="40" t="s">
        <v>49</v>
      </c>
      <c r="J561" s="40">
        <v>74.61</v>
      </c>
      <c r="K561" s="40">
        <v>74.61</v>
      </c>
      <c r="L561" s="40"/>
      <c r="M561" s="40">
        <v>74.61</v>
      </c>
      <c r="N561" s="40"/>
      <c r="O561" s="40" t="s">
        <v>234</v>
      </c>
    </row>
    <row r="562" spans="1:15" ht="33.75" x14ac:dyDescent="0.2">
      <c r="A562" s="40" t="s">
        <v>8488</v>
      </c>
      <c r="B562" s="40" t="s">
        <v>8489</v>
      </c>
      <c r="C562" s="41">
        <v>46023</v>
      </c>
      <c r="D562" s="41">
        <v>46023</v>
      </c>
      <c r="E562" s="40" t="s">
        <v>13</v>
      </c>
      <c r="F562" s="40" t="s">
        <v>8490</v>
      </c>
      <c r="G562" s="40" t="s">
        <v>8491</v>
      </c>
      <c r="H562" s="40" t="s">
        <v>8492</v>
      </c>
      <c r="I562" s="40" t="s">
        <v>49</v>
      </c>
      <c r="J562" s="40">
        <v>72.900000000000006</v>
      </c>
      <c r="K562" s="40">
        <v>72.900000000000006</v>
      </c>
      <c r="L562" s="40"/>
      <c r="M562" s="40">
        <v>72.900000000000006</v>
      </c>
      <c r="N562" s="40"/>
      <c r="O562" s="40" t="s">
        <v>234</v>
      </c>
    </row>
    <row r="563" spans="1:15" ht="33.75" x14ac:dyDescent="0.2">
      <c r="A563" s="40" t="s">
        <v>8493</v>
      </c>
      <c r="B563" s="40" t="s">
        <v>8494</v>
      </c>
      <c r="C563" s="41">
        <v>46023</v>
      </c>
      <c r="D563" s="41">
        <v>46023</v>
      </c>
      <c r="E563" s="40" t="s">
        <v>13</v>
      </c>
      <c r="F563" s="40" t="s">
        <v>7885</v>
      </c>
      <c r="G563" s="40" t="s">
        <v>8284</v>
      </c>
      <c r="H563" s="40" t="s">
        <v>8495</v>
      </c>
      <c r="I563" s="40" t="s">
        <v>49</v>
      </c>
      <c r="J563" s="40">
        <v>59</v>
      </c>
      <c r="K563" s="40">
        <v>59</v>
      </c>
      <c r="L563" s="40"/>
      <c r="M563" s="40">
        <v>59</v>
      </c>
      <c r="N563" s="40"/>
      <c r="O563" s="40" t="s">
        <v>234</v>
      </c>
    </row>
    <row r="564" spans="1:15" ht="33.75" x14ac:dyDescent="0.2">
      <c r="A564" s="40" t="s">
        <v>8496</v>
      </c>
      <c r="B564" s="40" t="s">
        <v>8497</v>
      </c>
      <c r="C564" s="41">
        <v>46023</v>
      </c>
      <c r="D564" s="41">
        <v>46023</v>
      </c>
      <c r="E564" s="40" t="s">
        <v>13</v>
      </c>
      <c r="F564" s="40" t="s">
        <v>6971</v>
      </c>
      <c r="G564" s="40" t="s">
        <v>8498</v>
      </c>
      <c r="H564" s="40" t="s">
        <v>8499</v>
      </c>
      <c r="I564" s="40" t="s">
        <v>49</v>
      </c>
      <c r="J564" s="40">
        <v>49.51</v>
      </c>
      <c r="K564" s="40">
        <v>49.51</v>
      </c>
      <c r="L564" s="40"/>
      <c r="M564" s="40">
        <v>49.51</v>
      </c>
      <c r="N564" s="40"/>
      <c r="O564" s="40" t="s">
        <v>234</v>
      </c>
    </row>
    <row r="565" spans="1:15" ht="33.75" x14ac:dyDescent="0.2">
      <c r="A565" s="40" t="s">
        <v>8500</v>
      </c>
      <c r="B565" s="40" t="s">
        <v>8501</v>
      </c>
      <c r="C565" s="41">
        <v>46023</v>
      </c>
      <c r="D565" s="41">
        <v>46023</v>
      </c>
      <c r="E565" s="40" t="s">
        <v>13</v>
      </c>
      <c r="F565" s="40" t="s">
        <v>8502</v>
      </c>
      <c r="G565" s="40" t="s">
        <v>8503</v>
      </c>
      <c r="H565" s="40" t="s">
        <v>8504</v>
      </c>
      <c r="I565" s="40" t="s">
        <v>49</v>
      </c>
      <c r="J565" s="40">
        <v>57</v>
      </c>
      <c r="K565" s="40">
        <v>57</v>
      </c>
      <c r="L565" s="40"/>
      <c r="M565" s="40">
        <v>57</v>
      </c>
      <c r="N565" s="40"/>
      <c r="O565" s="40" t="s">
        <v>234</v>
      </c>
    </row>
    <row r="566" spans="1:15" ht="33.75" x14ac:dyDescent="0.2">
      <c r="A566" s="40" t="s">
        <v>8505</v>
      </c>
      <c r="B566" s="40" t="s">
        <v>8506</v>
      </c>
      <c r="C566" s="41">
        <v>46023</v>
      </c>
      <c r="D566" s="41">
        <v>46023</v>
      </c>
      <c r="E566" s="40" t="s">
        <v>13</v>
      </c>
      <c r="F566" s="40" t="s">
        <v>8507</v>
      </c>
      <c r="G566" s="40" t="s">
        <v>8508</v>
      </c>
      <c r="H566" s="40" t="s">
        <v>8509</v>
      </c>
      <c r="I566" s="40" t="s">
        <v>49</v>
      </c>
      <c r="J566" s="40">
        <v>126</v>
      </c>
      <c r="K566" s="40">
        <v>126</v>
      </c>
      <c r="L566" s="40"/>
      <c r="M566" s="40">
        <v>126</v>
      </c>
      <c r="N566" s="40"/>
      <c r="O566" s="40" t="s">
        <v>234</v>
      </c>
    </row>
    <row r="567" spans="1:15" ht="33.75" x14ac:dyDescent="0.2">
      <c r="A567" s="40" t="s">
        <v>8510</v>
      </c>
      <c r="B567" s="40" t="s">
        <v>8511</v>
      </c>
      <c r="C567" s="41">
        <v>46023</v>
      </c>
      <c r="D567" s="41">
        <v>46023</v>
      </c>
      <c r="E567" s="40" t="s">
        <v>13</v>
      </c>
      <c r="F567" s="40" t="s">
        <v>8512</v>
      </c>
      <c r="G567" s="40" t="s">
        <v>8513</v>
      </c>
      <c r="H567" s="40" t="s">
        <v>8514</v>
      </c>
      <c r="I567" s="40" t="s">
        <v>49</v>
      </c>
      <c r="J567" s="40">
        <v>166.32</v>
      </c>
      <c r="K567" s="40">
        <v>166.32</v>
      </c>
      <c r="L567" s="40"/>
      <c r="M567" s="40">
        <v>166.32</v>
      </c>
      <c r="N567" s="40"/>
      <c r="O567" s="40" t="s">
        <v>234</v>
      </c>
    </row>
    <row r="568" spans="1:15" ht="45" x14ac:dyDescent="0.2">
      <c r="A568" s="40" t="s">
        <v>8515</v>
      </c>
      <c r="B568" s="40" t="s">
        <v>8516</v>
      </c>
      <c r="C568" s="41">
        <v>46023</v>
      </c>
      <c r="D568" s="41">
        <v>46023</v>
      </c>
      <c r="E568" s="40" t="s">
        <v>13</v>
      </c>
      <c r="F568" s="40" t="s">
        <v>8517</v>
      </c>
      <c r="G568" s="40" t="s">
        <v>8518</v>
      </c>
      <c r="H568" s="40" t="s">
        <v>8519</v>
      </c>
      <c r="I568" s="40" t="s">
        <v>49</v>
      </c>
      <c r="J568" s="40">
        <v>81.81</v>
      </c>
      <c r="K568" s="40">
        <v>81.81</v>
      </c>
      <c r="L568" s="40"/>
      <c r="M568" s="40">
        <v>81.81</v>
      </c>
      <c r="N568" s="40"/>
      <c r="O568" s="40" t="s">
        <v>234</v>
      </c>
    </row>
    <row r="569" spans="1:15" ht="33.75" x14ac:dyDescent="0.2">
      <c r="A569" s="40" t="s">
        <v>8520</v>
      </c>
      <c r="B569" s="40" t="s">
        <v>8521</v>
      </c>
      <c r="C569" s="41">
        <v>46023</v>
      </c>
      <c r="D569" s="41">
        <v>46023</v>
      </c>
      <c r="E569" s="40" t="s">
        <v>13</v>
      </c>
      <c r="F569" s="40" t="s">
        <v>6699</v>
      </c>
      <c r="G569" s="40" t="s">
        <v>7632</v>
      </c>
      <c r="H569" s="40" t="s">
        <v>8522</v>
      </c>
      <c r="I569" s="40" t="s">
        <v>49</v>
      </c>
      <c r="J569" s="40">
        <v>393.92</v>
      </c>
      <c r="K569" s="40">
        <v>393.92</v>
      </c>
      <c r="L569" s="40"/>
      <c r="M569" s="40">
        <v>393.92</v>
      </c>
      <c r="N569" s="40"/>
      <c r="O569" s="40" t="s">
        <v>234</v>
      </c>
    </row>
    <row r="570" spans="1:15" ht="33.75" x14ac:dyDescent="0.2">
      <c r="A570" s="40" t="s">
        <v>8523</v>
      </c>
      <c r="B570" s="40" t="s">
        <v>8524</v>
      </c>
      <c r="C570" s="41">
        <v>46023</v>
      </c>
      <c r="D570" s="41">
        <v>46023</v>
      </c>
      <c r="E570" s="40" t="s">
        <v>13</v>
      </c>
      <c r="F570" s="40" t="s">
        <v>8525</v>
      </c>
      <c r="G570" s="40" t="s">
        <v>8526</v>
      </c>
      <c r="H570" s="40" t="s">
        <v>8527</v>
      </c>
      <c r="I570" s="40" t="s">
        <v>49</v>
      </c>
      <c r="J570" s="40">
        <v>457.87</v>
      </c>
      <c r="K570" s="40">
        <v>457.87</v>
      </c>
      <c r="L570" s="40"/>
      <c r="M570" s="40">
        <v>457.87</v>
      </c>
      <c r="N570" s="40"/>
      <c r="O570" s="40" t="s">
        <v>234</v>
      </c>
    </row>
    <row r="571" spans="1:15" ht="33.75" x14ac:dyDescent="0.2">
      <c r="A571" s="40" t="s">
        <v>8528</v>
      </c>
      <c r="B571" s="40" t="s">
        <v>8529</v>
      </c>
      <c r="C571" s="41">
        <v>46023</v>
      </c>
      <c r="D571" s="41">
        <v>46023</v>
      </c>
      <c r="E571" s="40" t="s">
        <v>13</v>
      </c>
      <c r="F571" s="40" t="s">
        <v>90</v>
      </c>
      <c r="G571" s="40" t="s">
        <v>7899</v>
      </c>
      <c r="H571" s="40" t="s">
        <v>8530</v>
      </c>
      <c r="I571" s="40" t="s">
        <v>49</v>
      </c>
      <c r="J571" s="40">
        <v>542.41999999999996</v>
      </c>
      <c r="K571" s="40">
        <v>542.41999999999996</v>
      </c>
      <c r="L571" s="40"/>
      <c r="M571" s="40">
        <v>542.41999999999996</v>
      </c>
      <c r="N571" s="40"/>
      <c r="O571" s="40" t="s">
        <v>234</v>
      </c>
    </row>
    <row r="572" spans="1:15" ht="33.75" x14ac:dyDescent="0.2">
      <c r="A572" s="40" t="s">
        <v>8531</v>
      </c>
      <c r="B572" s="40" t="s">
        <v>8532</v>
      </c>
      <c r="C572" s="41">
        <v>46023</v>
      </c>
      <c r="D572" s="41">
        <v>46023</v>
      </c>
      <c r="E572" s="40" t="s">
        <v>13</v>
      </c>
      <c r="F572" s="40" t="s">
        <v>6783</v>
      </c>
      <c r="G572" s="40" t="s">
        <v>8533</v>
      </c>
      <c r="H572" s="40" t="s">
        <v>8534</v>
      </c>
      <c r="I572" s="40" t="s">
        <v>49</v>
      </c>
      <c r="J572" s="40">
        <v>33</v>
      </c>
      <c r="K572" s="40">
        <v>33</v>
      </c>
      <c r="L572" s="40"/>
      <c r="M572" s="40">
        <v>33</v>
      </c>
      <c r="N572" s="40"/>
      <c r="O572" s="40" t="s">
        <v>234</v>
      </c>
    </row>
    <row r="573" spans="1:15" ht="45" x14ac:dyDescent="0.2">
      <c r="A573" s="40" t="s">
        <v>8535</v>
      </c>
      <c r="B573" s="40" t="s">
        <v>8536</v>
      </c>
      <c r="C573" s="41">
        <v>46023</v>
      </c>
      <c r="D573" s="41">
        <v>46023</v>
      </c>
      <c r="E573" s="40" t="s">
        <v>13</v>
      </c>
      <c r="F573" s="40" t="s">
        <v>8151</v>
      </c>
      <c r="G573" s="40" t="s">
        <v>8537</v>
      </c>
      <c r="H573" s="40" t="s">
        <v>8538</v>
      </c>
      <c r="I573" s="40" t="s">
        <v>49</v>
      </c>
      <c r="J573" s="40">
        <v>80.2</v>
      </c>
      <c r="K573" s="40">
        <v>80.2</v>
      </c>
      <c r="L573" s="40"/>
      <c r="M573" s="40">
        <v>80.2</v>
      </c>
      <c r="N573" s="40"/>
      <c r="O573" s="40" t="s">
        <v>234</v>
      </c>
    </row>
    <row r="574" spans="1:15" ht="33.75" x14ac:dyDescent="0.2">
      <c r="A574" s="40" t="s">
        <v>8539</v>
      </c>
      <c r="B574" s="40" t="s">
        <v>8540</v>
      </c>
      <c r="C574" s="41">
        <v>46023</v>
      </c>
      <c r="D574" s="41">
        <v>46023</v>
      </c>
      <c r="E574" s="40" t="s">
        <v>13</v>
      </c>
      <c r="F574" s="40" t="s">
        <v>7747</v>
      </c>
      <c r="G574" s="40" t="s">
        <v>8541</v>
      </c>
      <c r="H574" s="40" t="s">
        <v>8542</v>
      </c>
      <c r="I574" s="40" t="s">
        <v>49</v>
      </c>
      <c r="J574" s="40">
        <v>96.49</v>
      </c>
      <c r="K574" s="40">
        <v>96.49</v>
      </c>
      <c r="L574" s="40"/>
      <c r="M574" s="40">
        <v>96.49</v>
      </c>
      <c r="N574" s="40"/>
      <c r="O574" s="40" t="s">
        <v>234</v>
      </c>
    </row>
    <row r="575" spans="1:15" ht="33.75" x14ac:dyDescent="0.2">
      <c r="A575" s="40" t="s">
        <v>8543</v>
      </c>
      <c r="B575" s="40" t="s">
        <v>8544</v>
      </c>
      <c r="C575" s="41">
        <v>46023</v>
      </c>
      <c r="D575" s="41">
        <v>46023</v>
      </c>
      <c r="E575" s="40" t="s">
        <v>13</v>
      </c>
      <c r="F575" s="40" t="s">
        <v>8462</v>
      </c>
      <c r="G575" s="40" t="s">
        <v>8545</v>
      </c>
      <c r="H575" s="40" t="s">
        <v>8546</v>
      </c>
      <c r="I575" s="40" t="s">
        <v>49</v>
      </c>
      <c r="J575" s="40">
        <v>59</v>
      </c>
      <c r="K575" s="40">
        <v>59</v>
      </c>
      <c r="L575" s="40"/>
      <c r="M575" s="40">
        <v>59</v>
      </c>
      <c r="N575" s="40"/>
      <c r="O575" s="40" t="s">
        <v>234</v>
      </c>
    </row>
    <row r="576" spans="1:15" ht="33.75" x14ac:dyDescent="0.2">
      <c r="A576" s="40" t="s">
        <v>8547</v>
      </c>
      <c r="B576" s="40" t="s">
        <v>8548</v>
      </c>
      <c r="C576" s="41">
        <v>46023</v>
      </c>
      <c r="D576" s="41">
        <v>46023</v>
      </c>
      <c r="E576" s="40" t="s">
        <v>13</v>
      </c>
      <c r="F576" s="40" t="s">
        <v>8549</v>
      </c>
      <c r="G576" s="40" t="s">
        <v>8550</v>
      </c>
      <c r="H576" s="40" t="s">
        <v>8551</v>
      </c>
      <c r="I576" s="40" t="s">
        <v>49</v>
      </c>
      <c r="J576" s="40">
        <v>177</v>
      </c>
      <c r="K576" s="40">
        <v>177</v>
      </c>
      <c r="L576" s="40"/>
      <c r="M576" s="40">
        <v>177</v>
      </c>
      <c r="N576" s="40"/>
      <c r="O576" s="40" t="s">
        <v>234</v>
      </c>
    </row>
    <row r="577" spans="1:15" ht="33.75" x14ac:dyDescent="0.2">
      <c r="A577" s="40" t="s">
        <v>8552</v>
      </c>
      <c r="B577" s="40" t="s">
        <v>8553</v>
      </c>
      <c r="C577" s="41">
        <v>46023</v>
      </c>
      <c r="D577" s="41">
        <v>46023</v>
      </c>
      <c r="E577" s="40" t="s">
        <v>13</v>
      </c>
      <c r="F577" s="40" t="s">
        <v>8554</v>
      </c>
      <c r="G577" s="40" t="s">
        <v>8555</v>
      </c>
      <c r="H577" s="40" t="s">
        <v>8556</v>
      </c>
      <c r="I577" s="40" t="s">
        <v>49</v>
      </c>
      <c r="J577" s="40">
        <v>112.5</v>
      </c>
      <c r="K577" s="40">
        <v>112.5</v>
      </c>
      <c r="L577" s="40"/>
      <c r="M577" s="40">
        <v>112.5</v>
      </c>
      <c r="N577" s="40"/>
      <c r="O577" s="40" t="s">
        <v>234</v>
      </c>
    </row>
    <row r="578" spans="1:15" ht="33.75" x14ac:dyDescent="0.2">
      <c r="A578" s="40" t="s">
        <v>8557</v>
      </c>
      <c r="B578" s="40" t="s">
        <v>8558</v>
      </c>
      <c r="C578" s="41">
        <v>46023</v>
      </c>
      <c r="D578" s="41">
        <v>46023</v>
      </c>
      <c r="E578" s="40" t="s">
        <v>13</v>
      </c>
      <c r="F578" s="40" t="s">
        <v>8559</v>
      </c>
      <c r="G578" s="40" t="s">
        <v>8560</v>
      </c>
      <c r="H578" s="40" t="s">
        <v>8561</v>
      </c>
      <c r="I578" s="40" t="s">
        <v>49</v>
      </c>
      <c r="J578" s="40">
        <v>47.79</v>
      </c>
      <c r="K578" s="40">
        <v>47.79</v>
      </c>
      <c r="L578" s="40"/>
      <c r="M578" s="40">
        <v>47.79</v>
      </c>
      <c r="N578" s="40"/>
      <c r="O578" s="40" t="s">
        <v>234</v>
      </c>
    </row>
    <row r="579" spans="1:15" ht="33.75" x14ac:dyDescent="0.2">
      <c r="A579" s="40" t="s">
        <v>8562</v>
      </c>
      <c r="B579" s="40" t="s">
        <v>8563</v>
      </c>
      <c r="C579" s="41">
        <v>46023</v>
      </c>
      <c r="D579" s="41">
        <v>46023</v>
      </c>
      <c r="E579" s="40" t="s">
        <v>13</v>
      </c>
      <c r="F579" s="40" t="s">
        <v>8035</v>
      </c>
      <c r="G579" s="40" t="s">
        <v>8564</v>
      </c>
      <c r="H579" s="40" t="s">
        <v>8565</v>
      </c>
      <c r="I579" s="40" t="s">
        <v>49</v>
      </c>
      <c r="J579" s="40">
        <v>20</v>
      </c>
      <c r="K579" s="40">
        <v>20</v>
      </c>
      <c r="L579" s="40"/>
      <c r="M579" s="40">
        <v>20</v>
      </c>
      <c r="N579" s="40"/>
      <c r="O579" s="40" t="s">
        <v>234</v>
      </c>
    </row>
    <row r="580" spans="1:15" ht="33.75" x14ac:dyDescent="0.2">
      <c r="A580" s="40" t="s">
        <v>8566</v>
      </c>
      <c r="B580" s="40" t="s">
        <v>8567</v>
      </c>
      <c r="C580" s="41">
        <v>46023</v>
      </c>
      <c r="D580" s="41">
        <v>46023</v>
      </c>
      <c r="E580" s="40" t="s">
        <v>13</v>
      </c>
      <c r="F580" s="40" t="s">
        <v>8568</v>
      </c>
      <c r="G580" s="40" t="s">
        <v>8569</v>
      </c>
      <c r="H580" s="40" t="s">
        <v>8570</v>
      </c>
      <c r="I580" s="40" t="s">
        <v>49</v>
      </c>
      <c r="J580" s="40">
        <v>234.18</v>
      </c>
      <c r="K580" s="40">
        <v>234.18</v>
      </c>
      <c r="L580" s="40"/>
      <c r="M580" s="40">
        <v>234.18</v>
      </c>
      <c r="N580" s="40"/>
      <c r="O580" s="40" t="s">
        <v>234</v>
      </c>
    </row>
    <row r="581" spans="1:15" ht="33.75" x14ac:dyDescent="0.2">
      <c r="A581" s="40" t="s">
        <v>8571</v>
      </c>
      <c r="B581" s="40" t="s">
        <v>8572</v>
      </c>
      <c r="C581" s="41">
        <v>46023</v>
      </c>
      <c r="D581" s="41">
        <v>46023</v>
      </c>
      <c r="E581" s="40" t="s">
        <v>13</v>
      </c>
      <c r="F581" s="40" t="s">
        <v>8573</v>
      </c>
      <c r="G581" s="40" t="s">
        <v>8574</v>
      </c>
      <c r="H581" s="40" t="s">
        <v>8575</v>
      </c>
      <c r="I581" s="40" t="s">
        <v>49</v>
      </c>
      <c r="J581" s="40">
        <v>59</v>
      </c>
      <c r="K581" s="40">
        <v>59</v>
      </c>
      <c r="L581" s="40"/>
      <c r="M581" s="40">
        <v>59</v>
      </c>
      <c r="N581" s="40"/>
      <c r="O581" s="40" t="s">
        <v>234</v>
      </c>
    </row>
    <row r="582" spans="1:15" ht="33.75" x14ac:dyDescent="0.2">
      <c r="A582" s="40" t="s">
        <v>8576</v>
      </c>
      <c r="B582" s="40" t="s">
        <v>8577</v>
      </c>
      <c r="C582" s="41">
        <v>46023</v>
      </c>
      <c r="D582" s="41">
        <v>46023</v>
      </c>
      <c r="E582" s="40" t="s">
        <v>13</v>
      </c>
      <c r="F582" s="40" t="s">
        <v>8325</v>
      </c>
      <c r="G582" s="40" t="s">
        <v>8578</v>
      </c>
      <c r="H582" s="40" t="s">
        <v>8579</v>
      </c>
      <c r="I582" s="40" t="s">
        <v>49</v>
      </c>
      <c r="J582" s="40">
        <v>356.55</v>
      </c>
      <c r="K582" s="40">
        <v>356.55</v>
      </c>
      <c r="L582" s="40"/>
      <c r="M582" s="40">
        <v>356.55</v>
      </c>
      <c r="N582" s="40"/>
      <c r="O582" s="40" t="s">
        <v>234</v>
      </c>
    </row>
    <row r="583" spans="1:15" ht="33.75" x14ac:dyDescent="0.2">
      <c r="A583" s="40" t="s">
        <v>8580</v>
      </c>
      <c r="B583" s="40" t="s">
        <v>8581</v>
      </c>
      <c r="C583" s="41">
        <v>46023</v>
      </c>
      <c r="D583" s="41">
        <v>46023</v>
      </c>
      <c r="E583" s="40" t="s">
        <v>13</v>
      </c>
      <c r="F583" s="40" t="s">
        <v>6487</v>
      </c>
      <c r="G583" s="40" t="s">
        <v>8582</v>
      </c>
      <c r="H583" s="40" t="s">
        <v>8583</v>
      </c>
      <c r="I583" s="40" t="s">
        <v>49</v>
      </c>
      <c r="J583" s="40">
        <v>174.87</v>
      </c>
      <c r="K583" s="40">
        <v>174.87</v>
      </c>
      <c r="L583" s="40"/>
      <c r="M583" s="40">
        <v>174.87</v>
      </c>
      <c r="N583" s="40"/>
      <c r="O583" s="40" t="s">
        <v>234</v>
      </c>
    </row>
    <row r="584" spans="1:15" ht="33.75" x14ac:dyDescent="0.2">
      <c r="A584" s="40" t="s">
        <v>8584</v>
      </c>
      <c r="B584" s="40" t="s">
        <v>8585</v>
      </c>
      <c r="C584" s="41">
        <v>46023</v>
      </c>
      <c r="D584" s="41">
        <v>46023</v>
      </c>
      <c r="E584" s="40" t="s">
        <v>13</v>
      </c>
      <c r="F584" s="40" t="s">
        <v>8586</v>
      </c>
      <c r="G584" s="40" t="s">
        <v>8587</v>
      </c>
      <c r="H584" s="40" t="s">
        <v>8588</v>
      </c>
      <c r="I584" s="40" t="s">
        <v>49</v>
      </c>
      <c r="J584" s="40">
        <v>57</v>
      </c>
      <c r="K584" s="40">
        <v>57</v>
      </c>
      <c r="L584" s="40"/>
      <c r="M584" s="40">
        <v>57</v>
      </c>
      <c r="N584" s="40"/>
      <c r="O584" s="40" t="s">
        <v>234</v>
      </c>
    </row>
    <row r="585" spans="1:15" ht="33.75" x14ac:dyDescent="0.2">
      <c r="A585" s="40" t="s">
        <v>8589</v>
      </c>
      <c r="B585" s="40" t="s">
        <v>8590</v>
      </c>
      <c r="C585" s="41">
        <v>46023</v>
      </c>
      <c r="D585" s="41">
        <v>46023</v>
      </c>
      <c r="E585" s="40" t="s">
        <v>13</v>
      </c>
      <c r="F585" s="40" t="s">
        <v>8591</v>
      </c>
      <c r="G585" s="40" t="s">
        <v>8592</v>
      </c>
      <c r="H585" s="40" t="s">
        <v>8593</v>
      </c>
      <c r="I585" s="40" t="s">
        <v>49</v>
      </c>
      <c r="J585" s="40">
        <v>165</v>
      </c>
      <c r="K585" s="40">
        <v>165</v>
      </c>
      <c r="L585" s="40"/>
      <c r="M585" s="40">
        <v>165</v>
      </c>
      <c r="N585" s="40"/>
      <c r="O585" s="40" t="s">
        <v>234</v>
      </c>
    </row>
    <row r="586" spans="1:15" ht="33.75" x14ac:dyDescent="0.2">
      <c r="A586" s="40" t="s">
        <v>8594</v>
      </c>
      <c r="B586" s="40" t="s">
        <v>8595</v>
      </c>
      <c r="C586" s="41">
        <v>46023</v>
      </c>
      <c r="D586" s="41">
        <v>46023</v>
      </c>
      <c r="E586" s="40" t="s">
        <v>13</v>
      </c>
      <c r="F586" s="40" t="s">
        <v>1690</v>
      </c>
      <c r="G586" s="40" t="s">
        <v>7001</v>
      </c>
      <c r="H586" s="40" t="s">
        <v>8596</v>
      </c>
      <c r="I586" s="40" t="s">
        <v>49</v>
      </c>
      <c r="J586" s="40">
        <v>257.39999999999998</v>
      </c>
      <c r="K586" s="40">
        <v>257.39999999999998</v>
      </c>
      <c r="L586" s="40"/>
      <c r="M586" s="40">
        <v>257.39999999999998</v>
      </c>
      <c r="N586" s="40"/>
      <c r="O586" s="40" t="s">
        <v>234</v>
      </c>
    </row>
    <row r="587" spans="1:15" ht="33.75" x14ac:dyDescent="0.2">
      <c r="A587" s="40" t="s">
        <v>8597</v>
      </c>
      <c r="B587" s="40" t="s">
        <v>8598</v>
      </c>
      <c r="C587" s="41">
        <v>46023</v>
      </c>
      <c r="D587" s="41">
        <v>46023</v>
      </c>
      <c r="E587" s="40" t="s">
        <v>13</v>
      </c>
      <c r="F587" s="40" t="s">
        <v>8599</v>
      </c>
      <c r="G587" s="40" t="s">
        <v>8600</v>
      </c>
      <c r="H587" s="40" t="s">
        <v>8601</v>
      </c>
      <c r="I587" s="40" t="s">
        <v>49</v>
      </c>
      <c r="J587" s="40">
        <v>172.47</v>
      </c>
      <c r="K587" s="40">
        <v>172.47</v>
      </c>
      <c r="L587" s="40"/>
      <c r="M587" s="40">
        <v>172.47</v>
      </c>
      <c r="N587" s="40"/>
      <c r="O587" s="40" t="s">
        <v>234</v>
      </c>
    </row>
    <row r="588" spans="1:15" ht="45" x14ac:dyDescent="0.2">
      <c r="A588" s="40" t="s">
        <v>8602</v>
      </c>
      <c r="B588" s="40" t="s">
        <v>8603</v>
      </c>
      <c r="C588" s="41">
        <v>46023</v>
      </c>
      <c r="D588" s="41">
        <v>46023</v>
      </c>
      <c r="E588" s="40" t="s">
        <v>13</v>
      </c>
      <c r="F588" s="40" t="s">
        <v>7005</v>
      </c>
      <c r="G588" s="40" t="s">
        <v>8604</v>
      </c>
      <c r="H588" s="40" t="s">
        <v>8605</v>
      </c>
      <c r="I588" s="40" t="s">
        <v>49</v>
      </c>
      <c r="J588" s="40">
        <v>144.9</v>
      </c>
      <c r="K588" s="40">
        <v>144.9</v>
      </c>
      <c r="L588" s="40"/>
      <c r="M588" s="40">
        <v>144.9</v>
      </c>
      <c r="N588" s="40"/>
      <c r="O588" s="40" t="s">
        <v>234</v>
      </c>
    </row>
    <row r="589" spans="1:15" ht="33.75" x14ac:dyDescent="0.2">
      <c r="A589" s="40" t="s">
        <v>8606</v>
      </c>
      <c r="B589" s="40" t="s">
        <v>8607</v>
      </c>
      <c r="C589" s="41">
        <v>46023</v>
      </c>
      <c r="D589" s="41">
        <v>46023</v>
      </c>
      <c r="E589" s="40" t="s">
        <v>13</v>
      </c>
      <c r="F589" s="40" t="s">
        <v>8608</v>
      </c>
      <c r="G589" s="40" t="s">
        <v>8609</v>
      </c>
      <c r="H589" s="40" t="s">
        <v>8610</v>
      </c>
      <c r="I589" s="40" t="s">
        <v>49</v>
      </c>
      <c r="J589" s="40">
        <v>172.8</v>
      </c>
      <c r="K589" s="40">
        <v>172.8</v>
      </c>
      <c r="L589" s="40"/>
      <c r="M589" s="40">
        <v>172.8</v>
      </c>
      <c r="N589" s="40"/>
      <c r="O589" s="40" t="s">
        <v>234</v>
      </c>
    </row>
    <row r="590" spans="1:15" ht="33.75" x14ac:dyDescent="0.2">
      <c r="A590" s="40" t="s">
        <v>8611</v>
      </c>
      <c r="B590" s="40" t="s">
        <v>8612</v>
      </c>
      <c r="C590" s="41">
        <v>46023</v>
      </c>
      <c r="D590" s="41">
        <v>46023</v>
      </c>
      <c r="E590" s="40" t="s">
        <v>13</v>
      </c>
      <c r="F590" s="40" t="s">
        <v>8613</v>
      </c>
      <c r="G590" s="40" t="s">
        <v>8614</v>
      </c>
      <c r="H590" s="40" t="s">
        <v>8615</v>
      </c>
      <c r="I590" s="40" t="s">
        <v>49</v>
      </c>
      <c r="J590" s="40">
        <v>221.9</v>
      </c>
      <c r="K590" s="40">
        <v>221.9</v>
      </c>
      <c r="L590" s="40"/>
      <c r="M590" s="40">
        <v>221.9</v>
      </c>
      <c r="N590" s="40"/>
      <c r="O590" s="40" t="s">
        <v>234</v>
      </c>
    </row>
    <row r="591" spans="1:15" ht="33.75" x14ac:dyDescent="0.2">
      <c r="A591" s="40" t="s">
        <v>8616</v>
      </c>
      <c r="B591" s="40" t="s">
        <v>8617</v>
      </c>
      <c r="C591" s="41">
        <v>46023</v>
      </c>
      <c r="D591" s="41">
        <v>46023</v>
      </c>
      <c r="E591" s="40" t="s">
        <v>13</v>
      </c>
      <c r="F591" s="40" t="s">
        <v>658</v>
      </c>
      <c r="G591" s="40" t="s">
        <v>7692</v>
      </c>
      <c r="H591" s="40" t="s">
        <v>8618</v>
      </c>
      <c r="I591" s="40" t="s">
        <v>49</v>
      </c>
      <c r="J591" s="40">
        <v>156.06</v>
      </c>
      <c r="K591" s="40">
        <v>156.06</v>
      </c>
      <c r="L591" s="40"/>
      <c r="M591" s="40">
        <v>156.06</v>
      </c>
      <c r="N591" s="40"/>
      <c r="O591" s="40" t="s">
        <v>234</v>
      </c>
    </row>
    <row r="592" spans="1:15" ht="33.75" x14ac:dyDescent="0.2">
      <c r="A592" s="40" t="s">
        <v>8619</v>
      </c>
      <c r="B592" s="40" t="s">
        <v>8620</v>
      </c>
      <c r="C592" s="41">
        <v>46023</v>
      </c>
      <c r="D592" s="41">
        <v>46023</v>
      </c>
      <c r="E592" s="40" t="s">
        <v>13</v>
      </c>
      <c r="F592" s="40" t="s">
        <v>7285</v>
      </c>
      <c r="G592" s="40" t="s">
        <v>8621</v>
      </c>
      <c r="H592" s="40" t="s">
        <v>8622</v>
      </c>
      <c r="I592" s="40" t="s">
        <v>49</v>
      </c>
      <c r="J592" s="40">
        <v>202.82</v>
      </c>
      <c r="K592" s="40">
        <v>202.82</v>
      </c>
      <c r="L592" s="40"/>
      <c r="M592" s="40">
        <v>202.82</v>
      </c>
      <c r="N592" s="40"/>
      <c r="O592" s="40" t="s">
        <v>234</v>
      </c>
    </row>
    <row r="593" spans="1:15" ht="33.75" x14ac:dyDescent="0.2">
      <c r="A593" s="40" t="s">
        <v>8623</v>
      </c>
      <c r="B593" s="40" t="s">
        <v>8624</v>
      </c>
      <c r="C593" s="41">
        <v>46023</v>
      </c>
      <c r="D593" s="41">
        <v>46023</v>
      </c>
      <c r="E593" s="40" t="s">
        <v>13</v>
      </c>
      <c r="F593" s="40" t="s">
        <v>8625</v>
      </c>
      <c r="G593" s="40" t="s">
        <v>8626</v>
      </c>
      <c r="H593" s="40" t="s">
        <v>8627</v>
      </c>
      <c r="I593" s="40" t="s">
        <v>49</v>
      </c>
      <c r="J593" s="40">
        <v>117</v>
      </c>
      <c r="K593" s="40">
        <v>117</v>
      </c>
      <c r="L593" s="40"/>
      <c r="M593" s="40">
        <v>117</v>
      </c>
      <c r="N593" s="40"/>
      <c r="O593" s="40" t="s">
        <v>234</v>
      </c>
    </row>
    <row r="594" spans="1:15" ht="45" x14ac:dyDescent="0.2">
      <c r="A594" s="40" t="s">
        <v>8628</v>
      </c>
      <c r="B594" s="40" t="s">
        <v>8629</v>
      </c>
      <c r="C594" s="41">
        <v>46023</v>
      </c>
      <c r="D594" s="41">
        <v>46023</v>
      </c>
      <c r="E594" s="40" t="s">
        <v>13</v>
      </c>
      <c r="F594" s="40" t="s">
        <v>955</v>
      </c>
      <c r="G594" s="40" t="s">
        <v>8630</v>
      </c>
      <c r="H594" s="40" t="s">
        <v>8631</v>
      </c>
      <c r="I594" s="40" t="s">
        <v>49</v>
      </c>
      <c r="J594" s="40">
        <v>70.569999999999993</v>
      </c>
      <c r="K594" s="40">
        <v>70.569999999999993</v>
      </c>
      <c r="L594" s="40"/>
      <c r="M594" s="40">
        <v>70.569999999999993</v>
      </c>
      <c r="N594" s="40"/>
      <c r="O594" s="40" t="s">
        <v>234</v>
      </c>
    </row>
    <row r="595" spans="1:15" ht="22.5" x14ac:dyDescent="0.2">
      <c r="A595" s="40" t="s">
        <v>8632</v>
      </c>
      <c r="B595" s="40" t="s">
        <v>8633</v>
      </c>
      <c r="C595" s="41">
        <v>46023</v>
      </c>
      <c r="D595" s="41">
        <v>46023</v>
      </c>
      <c r="E595" s="40" t="s">
        <v>13</v>
      </c>
      <c r="F595" s="40" t="s">
        <v>8634</v>
      </c>
      <c r="G595" s="40" t="s">
        <v>8635</v>
      </c>
      <c r="H595" s="40" t="s">
        <v>8636</v>
      </c>
      <c r="I595" s="40" t="s">
        <v>49</v>
      </c>
      <c r="J595" s="40">
        <v>67.5</v>
      </c>
      <c r="K595" s="40">
        <v>67.5</v>
      </c>
      <c r="L595" s="40"/>
      <c r="M595" s="40">
        <v>67.5</v>
      </c>
      <c r="N595" s="40"/>
      <c r="O595" s="40" t="s">
        <v>234</v>
      </c>
    </row>
    <row r="596" spans="1:15" ht="33.75" x14ac:dyDescent="0.2">
      <c r="A596" s="40" t="s">
        <v>8637</v>
      </c>
      <c r="B596" s="40" t="s">
        <v>8638</v>
      </c>
      <c r="C596" s="41">
        <v>46023</v>
      </c>
      <c r="D596" s="41">
        <v>46023</v>
      </c>
      <c r="E596" s="40" t="s">
        <v>13</v>
      </c>
      <c r="F596" s="40" t="s">
        <v>7932</v>
      </c>
      <c r="G596" s="40" t="s">
        <v>8639</v>
      </c>
      <c r="H596" s="40" t="s">
        <v>8640</v>
      </c>
      <c r="I596" s="40" t="s">
        <v>49</v>
      </c>
      <c r="J596" s="40">
        <v>308.70999999999998</v>
      </c>
      <c r="K596" s="40">
        <v>308.70999999999998</v>
      </c>
      <c r="L596" s="40"/>
      <c r="M596" s="40">
        <v>308.70999999999998</v>
      </c>
      <c r="N596" s="40"/>
      <c r="O596" s="40" t="s">
        <v>234</v>
      </c>
    </row>
    <row r="597" spans="1:15" ht="33.75" x14ac:dyDescent="0.2">
      <c r="A597" s="40" t="s">
        <v>8641</v>
      </c>
      <c r="B597" s="40" t="s">
        <v>8642</v>
      </c>
      <c r="C597" s="41">
        <v>46023</v>
      </c>
      <c r="D597" s="41">
        <v>46023</v>
      </c>
      <c r="E597" s="40" t="s">
        <v>13</v>
      </c>
      <c r="F597" s="40" t="s">
        <v>8643</v>
      </c>
      <c r="G597" s="40" t="s">
        <v>8644</v>
      </c>
      <c r="H597" s="40" t="s">
        <v>8645</v>
      </c>
      <c r="I597" s="40" t="s">
        <v>49</v>
      </c>
      <c r="J597" s="40">
        <v>164.95</v>
      </c>
      <c r="K597" s="40">
        <v>164.95</v>
      </c>
      <c r="L597" s="40"/>
      <c r="M597" s="40">
        <v>164.95</v>
      </c>
      <c r="N597" s="40"/>
      <c r="O597" s="40" t="s">
        <v>234</v>
      </c>
    </row>
    <row r="598" spans="1:15" ht="33.75" x14ac:dyDescent="0.2">
      <c r="A598" s="40" t="s">
        <v>8646</v>
      </c>
      <c r="B598" s="40" t="s">
        <v>8647</v>
      </c>
      <c r="C598" s="41">
        <v>46023</v>
      </c>
      <c r="D598" s="41">
        <v>46023</v>
      </c>
      <c r="E598" s="40" t="s">
        <v>13</v>
      </c>
      <c r="F598" s="40" t="s">
        <v>8648</v>
      </c>
      <c r="G598" s="40" t="s">
        <v>8649</v>
      </c>
      <c r="H598" s="40" t="s">
        <v>8650</v>
      </c>
      <c r="I598" s="40" t="s">
        <v>49</v>
      </c>
      <c r="J598" s="40">
        <v>225.07</v>
      </c>
      <c r="K598" s="40">
        <v>225.07</v>
      </c>
      <c r="L598" s="40"/>
      <c r="M598" s="40">
        <v>225.07</v>
      </c>
      <c r="N598" s="40"/>
      <c r="O598" s="40" t="s">
        <v>234</v>
      </c>
    </row>
    <row r="599" spans="1:15" ht="33.75" x14ac:dyDescent="0.2">
      <c r="A599" s="40" t="s">
        <v>8651</v>
      </c>
      <c r="B599" s="40" t="s">
        <v>8652</v>
      </c>
      <c r="C599" s="41">
        <v>46023</v>
      </c>
      <c r="D599" s="41">
        <v>46023</v>
      </c>
      <c r="E599" s="40" t="s">
        <v>13</v>
      </c>
      <c r="F599" s="40" t="s">
        <v>8653</v>
      </c>
      <c r="G599" s="40" t="s">
        <v>8654</v>
      </c>
      <c r="H599" s="40" t="s">
        <v>8655</v>
      </c>
      <c r="I599" s="40" t="s">
        <v>49</v>
      </c>
      <c r="J599" s="40">
        <v>54</v>
      </c>
      <c r="K599" s="40">
        <v>54</v>
      </c>
      <c r="L599" s="40"/>
      <c r="M599" s="40">
        <v>54</v>
      </c>
      <c r="N599" s="40"/>
      <c r="O599" s="40" t="s">
        <v>234</v>
      </c>
    </row>
    <row r="600" spans="1:15" ht="33.75" x14ac:dyDescent="0.2">
      <c r="A600" s="40" t="s">
        <v>8656</v>
      </c>
      <c r="B600" s="40" t="s">
        <v>8657</v>
      </c>
      <c r="C600" s="41">
        <v>46023</v>
      </c>
      <c r="D600" s="41">
        <v>46023</v>
      </c>
      <c r="E600" s="40" t="s">
        <v>13</v>
      </c>
      <c r="F600" s="40" t="s">
        <v>8658</v>
      </c>
      <c r="G600" s="40" t="s">
        <v>8659</v>
      </c>
      <c r="H600" s="40" t="s">
        <v>8660</v>
      </c>
      <c r="I600" s="40" t="s">
        <v>49</v>
      </c>
      <c r="J600" s="40">
        <v>77.400000000000006</v>
      </c>
      <c r="K600" s="40">
        <v>77.400000000000006</v>
      </c>
      <c r="L600" s="40"/>
      <c r="M600" s="40">
        <v>77.400000000000006</v>
      </c>
      <c r="N600" s="40"/>
      <c r="O600" s="40" t="s">
        <v>234</v>
      </c>
    </row>
    <row r="601" spans="1:15" ht="33.75" x14ac:dyDescent="0.2">
      <c r="A601" s="40" t="s">
        <v>8661</v>
      </c>
      <c r="B601" s="40" t="s">
        <v>8662</v>
      </c>
      <c r="C601" s="41">
        <v>46023</v>
      </c>
      <c r="D601" s="41">
        <v>46023</v>
      </c>
      <c r="E601" s="40" t="s">
        <v>13</v>
      </c>
      <c r="F601" s="40" t="s">
        <v>8663</v>
      </c>
      <c r="G601" s="40" t="s">
        <v>8664</v>
      </c>
      <c r="H601" s="40" t="s">
        <v>8665</v>
      </c>
      <c r="I601" s="40" t="s">
        <v>49</v>
      </c>
      <c r="J601" s="40">
        <v>109.05</v>
      </c>
      <c r="K601" s="40">
        <v>109.05</v>
      </c>
      <c r="L601" s="40"/>
      <c r="M601" s="40">
        <v>109.05</v>
      </c>
      <c r="N601" s="40"/>
      <c r="O601" s="40" t="s">
        <v>234</v>
      </c>
    </row>
    <row r="602" spans="1:15" ht="33.75" x14ac:dyDescent="0.2">
      <c r="A602" s="40" t="s">
        <v>8666</v>
      </c>
      <c r="B602" s="40" t="s">
        <v>8667</v>
      </c>
      <c r="C602" s="41">
        <v>46023</v>
      </c>
      <c r="D602" s="41">
        <v>46023</v>
      </c>
      <c r="E602" s="40" t="s">
        <v>13</v>
      </c>
      <c r="F602" s="40" t="s">
        <v>8668</v>
      </c>
      <c r="G602" s="40" t="s">
        <v>8669</v>
      </c>
      <c r="H602" s="40" t="s">
        <v>8670</v>
      </c>
      <c r="I602" s="40" t="s">
        <v>49</v>
      </c>
      <c r="J602" s="40">
        <v>478.45</v>
      </c>
      <c r="K602" s="40">
        <v>478.45</v>
      </c>
      <c r="L602" s="40"/>
      <c r="M602" s="40">
        <v>478.45</v>
      </c>
      <c r="N602" s="40"/>
      <c r="O602" s="40" t="s">
        <v>234</v>
      </c>
    </row>
    <row r="603" spans="1:15" ht="33.75" x14ac:dyDescent="0.2">
      <c r="A603" s="40" t="s">
        <v>8671</v>
      </c>
      <c r="B603" s="40" t="s">
        <v>8672</v>
      </c>
      <c r="C603" s="41">
        <v>46023</v>
      </c>
      <c r="D603" s="41">
        <v>46023</v>
      </c>
      <c r="E603" s="40" t="s">
        <v>13</v>
      </c>
      <c r="F603" s="40" t="s">
        <v>8673</v>
      </c>
      <c r="G603" s="40" t="s">
        <v>8674</v>
      </c>
      <c r="H603" s="40" t="s">
        <v>8675</v>
      </c>
      <c r="I603" s="40" t="s">
        <v>49</v>
      </c>
      <c r="J603" s="40">
        <v>83.25</v>
      </c>
      <c r="K603" s="40">
        <v>83.25</v>
      </c>
      <c r="L603" s="40"/>
      <c r="M603" s="40">
        <v>83.25</v>
      </c>
      <c r="N603" s="40"/>
      <c r="O603" s="40" t="s">
        <v>234</v>
      </c>
    </row>
    <row r="604" spans="1:15" ht="33.75" x14ac:dyDescent="0.2">
      <c r="A604" s="40" t="s">
        <v>8676</v>
      </c>
      <c r="B604" s="40" t="s">
        <v>8677</v>
      </c>
      <c r="C604" s="41">
        <v>46023</v>
      </c>
      <c r="D604" s="41">
        <v>46023</v>
      </c>
      <c r="E604" s="40" t="s">
        <v>13</v>
      </c>
      <c r="F604" s="40" t="s">
        <v>4161</v>
      </c>
      <c r="G604" s="40" t="s">
        <v>8678</v>
      </c>
      <c r="H604" s="40" t="s">
        <v>8679</v>
      </c>
      <c r="I604" s="40" t="s">
        <v>49</v>
      </c>
      <c r="J604" s="40">
        <v>203.95</v>
      </c>
      <c r="K604" s="40">
        <v>203.95</v>
      </c>
      <c r="L604" s="40"/>
      <c r="M604" s="40">
        <v>203.95</v>
      </c>
      <c r="N604" s="40"/>
      <c r="O604" s="40" t="s">
        <v>234</v>
      </c>
    </row>
    <row r="605" spans="1:15" ht="33.75" x14ac:dyDescent="0.2">
      <c r="A605" s="40" t="s">
        <v>8680</v>
      </c>
      <c r="B605" s="40" t="s">
        <v>8681</v>
      </c>
      <c r="C605" s="41">
        <v>46023</v>
      </c>
      <c r="D605" s="41">
        <v>46023</v>
      </c>
      <c r="E605" s="40" t="s">
        <v>13</v>
      </c>
      <c r="F605" s="40" t="s">
        <v>8224</v>
      </c>
      <c r="G605" s="40" t="s">
        <v>8682</v>
      </c>
      <c r="H605" s="40" t="s">
        <v>8683</v>
      </c>
      <c r="I605" s="40" t="s">
        <v>49</v>
      </c>
      <c r="J605" s="40">
        <v>165</v>
      </c>
      <c r="K605" s="40">
        <v>165</v>
      </c>
      <c r="L605" s="40"/>
      <c r="M605" s="40">
        <v>165</v>
      </c>
      <c r="N605" s="40"/>
      <c r="O605" s="40" t="s">
        <v>234</v>
      </c>
    </row>
    <row r="606" spans="1:15" ht="33.75" x14ac:dyDescent="0.2">
      <c r="A606" s="40" t="s">
        <v>8684</v>
      </c>
      <c r="B606" s="40" t="s">
        <v>8685</v>
      </c>
      <c r="C606" s="41">
        <v>46023</v>
      </c>
      <c r="D606" s="41">
        <v>46023</v>
      </c>
      <c r="E606" s="40" t="s">
        <v>13</v>
      </c>
      <c r="F606" s="40" t="s">
        <v>8686</v>
      </c>
      <c r="G606" s="40" t="s">
        <v>8687</v>
      </c>
      <c r="H606" s="40" t="s">
        <v>8688</v>
      </c>
      <c r="I606" s="40" t="s">
        <v>49</v>
      </c>
      <c r="J606" s="40">
        <v>167.95</v>
      </c>
      <c r="K606" s="40">
        <v>167.95</v>
      </c>
      <c r="L606" s="40"/>
      <c r="M606" s="40">
        <v>167.95</v>
      </c>
      <c r="N606" s="40"/>
      <c r="O606" s="40" t="s">
        <v>234</v>
      </c>
    </row>
    <row r="607" spans="1:15" ht="33.75" x14ac:dyDescent="0.2">
      <c r="A607" s="40" t="s">
        <v>8689</v>
      </c>
      <c r="B607" s="40" t="s">
        <v>8690</v>
      </c>
      <c r="C607" s="41">
        <v>46023</v>
      </c>
      <c r="D607" s="41">
        <v>46023</v>
      </c>
      <c r="E607" s="40" t="s">
        <v>13</v>
      </c>
      <c r="F607" s="40" t="s">
        <v>8691</v>
      </c>
      <c r="G607" s="40" t="s">
        <v>8692</v>
      </c>
      <c r="H607" s="40" t="s">
        <v>8693</v>
      </c>
      <c r="I607" s="40" t="s">
        <v>49</v>
      </c>
      <c r="J607" s="40">
        <v>121.15</v>
      </c>
      <c r="K607" s="40">
        <v>121.15</v>
      </c>
      <c r="L607" s="40"/>
      <c r="M607" s="40">
        <v>121.15</v>
      </c>
      <c r="N607" s="40"/>
      <c r="O607" s="40" t="s">
        <v>234</v>
      </c>
    </row>
    <row r="608" spans="1:15" ht="33.75" x14ac:dyDescent="0.2">
      <c r="A608" s="40" t="s">
        <v>8694</v>
      </c>
      <c r="B608" s="40" t="s">
        <v>8695</v>
      </c>
      <c r="C608" s="41">
        <v>46023</v>
      </c>
      <c r="D608" s="41">
        <v>46023</v>
      </c>
      <c r="E608" s="40" t="s">
        <v>13</v>
      </c>
      <c r="F608" s="40" t="s">
        <v>8696</v>
      </c>
      <c r="G608" s="40" t="s">
        <v>8697</v>
      </c>
      <c r="H608" s="40" t="s">
        <v>8698</v>
      </c>
      <c r="I608" s="40" t="s">
        <v>49</v>
      </c>
      <c r="J608" s="40">
        <v>162.01</v>
      </c>
      <c r="K608" s="40">
        <v>162.01</v>
      </c>
      <c r="L608" s="40"/>
      <c r="M608" s="40">
        <v>162.01</v>
      </c>
      <c r="N608" s="40"/>
      <c r="O608" s="40" t="s">
        <v>234</v>
      </c>
    </row>
    <row r="609" spans="1:15" ht="33.75" x14ac:dyDescent="0.2">
      <c r="A609" s="40" t="s">
        <v>8699</v>
      </c>
      <c r="B609" s="40" t="s">
        <v>8700</v>
      </c>
      <c r="C609" s="41">
        <v>46023</v>
      </c>
      <c r="D609" s="41">
        <v>46023</v>
      </c>
      <c r="E609" s="40" t="s">
        <v>13</v>
      </c>
      <c r="F609" s="40" t="s">
        <v>8701</v>
      </c>
      <c r="G609" s="40" t="s">
        <v>8702</v>
      </c>
      <c r="H609" s="40" t="s">
        <v>8703</v>
      </c>
      <c r="I609" s="40" t="s">
        <v>49</v>
      </c>
      <c r="J609" s="40">
        <v>36</v>
      </c>
      <c r="K609" s="40">
        <v>36</v>
      </c>
      <c r="L609" s="40"/>
      <c r="M609" s="40">
        <v>36</v>
      </c>
      <c r="N609" s="40"/>
      <c r="O609" s="40" t="s">
        <v>234</v>
      </c>
    </row>
    <row r="610" spans="1:15" ht="33.75" x14ac:dyDescent="0.2">
      <c r="A610" s="40" t="s">
        <v>8704</v>
      </c>
      <c r="B610" s="40" t="s">
        <v>8705</v>
      </c>
      <c r="C610" s="41">
        <v>46023</v>
      </c>
      <c r="D610" s="41">
        <v>46023</v>
      </c>
      <c r="E610" s="40" t="s">
        <v>13</v>
      </c>
      <c r="F610" s="40" t="s">
        <v>8706</v>
      </c>
      <c r="G610" s="40" t="s">
        <v>8707</v>
      </c>
      <c r="H610" s="40" t="s">
        <v>8708</v>
      </c>
      <c r="I610" s="40" t="s">
        <v>49</v>
      </c>
      <c r="J610" s="40">
        <v>90.55</v>
      </c>
      <c r="K610" s="40">
        <v>90.55</v>
      </c>
      <c r="L610" s="40"/>
      <c r="M610" s="40">
        <v>90.55</v>
      </c>
      <c r="N610" s="40"/>
      <c r="O610" s="40" t="s">
        <v>234</v>
      </c>
    </row>
    <row r="611" spans="1:15" ht="33.75" x14ac:dyDescent="0.2">
      <c r="A611" s="40" t="s">
        <v>8709</v>
      </c>
      <c r="B611" s="40" t="s">
        <v>8710</v>
      </c>
      <c r="C611" s="41">
        <v>46023</v>
      </c>
      <c r="D611" s="41">
        <v>46023</v>
      </c>
      <c r="E611" s="40" t="s">
        <v>13</v>
      </c>
      <c r="F611" s="40" t="s">
        <v>8711</v>
      </c>
      <c r="G611" s="40" t="s">
        <v>8712</v>
      </c>
      <c r="H611" s="40" t="s">
        <v>8713</v>
      </c>
      <c r="I611" s="40" t="s">
        <v>49</v>
      </c>
      <c r="J611" s="40">
        <v>196.25</v>
      </c>
      <c r="K611" s="40">
        <v>196.25</v>
      </c>
      <c r="L611" s="40"/>
      <c r="M611" s="40">
        <v>196.25</v>
      </c>
      <c r="N611" s="40"/>
      <c r="O611" s="40" t="s">
        <v>234</v>
      </c>
    </row>
    <row r="612" spans="1:15" ht="33.75" x14ac:dyDescent="0.2">
      <c r="A612" s="40" t="s">
        <v>8714</v>
      </c>
      <c r="B612" s="40" t="s">
        <v>8715</v>
      </c>
      <c r="C612" s="41">
        <v>46023</v>
      </c>
      <c r="D612" s="41">
        <v>46023</v>
      </c>
      <c r="E612" s="40" t="s">
        <v>13</v>
      </c>
      <c r="F612" s="40" t="s">
        <v>8716</v>
      </c>
      <c r="G612" s="40" t="s">
        <v>8717</v>
      </c>
      <c r="H612" s="40" t="s">
        <v>8718</v>
      </c>
      <c r="I612" s="40" t="s">
        <v>49</v>
      </c>
      <c r="J612" s="40">
        <v>207.38</v>
      </c>
      <c r="K612" s="40">
        <v>207.38</v>
      </c>
      <c r="L612" s="40"/>
      <c r="M612" s="40">
        <v>207.38</v>
      </c>
      <c r="N612" s="40"/>
      <c r="O612" s="40" t="s">
        <v>234</v>
      </c>
    </row>
    <row r="613" spans="1:15" ht="33.75" x14ac:dyDescent="0.2">
      <c r="A613" s="40" t="s">
        <v>8719</v>
      </c>
      <c r="B613" s="40" t="s">
        <v>8720</v>
      </c>
      <c r="C613" s="41">
        <v>46023</v>
      </c>
      <c r="D613" s="41">
        <v>46023</v>
      </c>
      <c r="E613" s="40" t="s">
        <v>13</v>
      </c>
      <c r="F613" s="40" t="s">
        <v>543</v>
      </c>
      <c r="G613" s="40" t="s">
        <v>8721</v>
      </c>
      <c r="H613" s="40" t="s">
        <v>8722</v>
      </c>
      <c r="I613" s="40" t="s">
        <v>49</v>
      </c>
      <c r="J613" s="40">
        <v>66</v>
      </c>
      <c r="K613" s="40">
        <v>66</v>
      </c>
      <c r="L613" s="40"/>
      <c r="M613" s="40">
        <v>66</v>
      </c>
      <c r="N613" s="40"/>
      <c r="O613" s="40" t="s">
        <v>234</v>
      </c>
    </row>
    <row r="614" spans="1:15" ht="33.75" x14ac:dyDescent="0.2">
      <c r="A614" s="40" t="s">
        <v>8723</v>
      </c>
      <c r="B614" s="40" t="s">
        <v>8724</v>
      </c>
      <c r="C614" s="41">
        <v>46023</v>
      </c>
      <c r="D614" s="41">
        <v>46023</v>
      </c>
      <c r="E614" s="40" t="s">
        <v>13</v>
      </c>
      <c r="F614" s="40" t="s">
        <v>6714</v>
      </c>
      <c r="G614" s="40" t="s">
        <v>8725</v>
      </c>
      <c r="H614" s="40" t="s">
        <v>8726</v>
      </c>
      <c r="I614" s="40" t="s">
        <v>49</v>
      </c>
      <c r="J614" s="40">
        <v>115.02</v>
      </c>
      <c r="K614" s="40">
        <v>115.02</v>
      </c>
      <c r="L614" s="40"/>
      <c r="M614" s="40">
        <v>115.02</v>
      </c>
      <c r="N614" s="40"/>
      <c r="O614" s="40" t="s">
        <v>234</v>
      </c>
    </row>
    <row r="615" spans="1:15" ht="33.75" x14ac:dyDescent="0.2">
      <c r="A615" s="40" t="s">
        <v>8727</v>
      </c>
      <c r="B615" s="40" t="s">
        <v>8728</v>
      </c>
      <c r="C615" s="41">
        <v>46023</v>
      </c>
      <c r="D615" s="41">
        <v>46023</v>
      </c>
      <c r="E615" s="40" t="s">
        <v>13</v>
      </c>
      <c r="F615" s="40" t="s">
        <v>8729</v>
      </c>
      <c r="G615" s="40" t="s">
        <v>8730</v>
      </c>
      <c r="H615" s="40" t="s">
        <v>8731</v>
      </c>
      <c r="I615" s="40" t="s">
        <v>49</v>
      </c>
      <c r="J615" s="40">
        <v>94.8</v>
      </c>
      <c r="K615" s="40">
        <v>94.8</v>
      </c>
      <c r="L615" s="40"/>
      <c r="M615" s="40">
        <v>94.8</v>
      </c>
      <c r="N615" s="40"/>
      <c r="O615" s="40" t="s">
        <v>234</v>
      </c>
    </row>
    <row r="616" spans="1:15" ht="33.75" x14ac:dyDescent="0.2">
      <c r="A616" s="40" t="s">
        <v>8732</v>
      </c>
      <c r="B616" s="40" t="s">
        <v>8733</v>
      </c>
      <c r="C616" s="41">
        <v>46023</v>
      </c>
      <c r="D616" s="41">
        <v>46023</v>
      </c>
      <c r="E616" s="40" t="s">
        <v>13</v>
      </c>
      <c r="F616" s="40" t="s">
        <v>1844</v>
      </c>
      <c r="G616" s="40" t="s">
        <v>8734</v>
      </c>
      <c r="H616" s="40" t="s">
        <v>8735</v>
      </c>
      <c r="I616" s="40" t="s">
        <v>49</v>
      </c>
      <c r="J616" s="40">
        <v>193.98</v>
      </c>
      <c r="K616" s="40">
        <v>193.98</v>
      </c>
      <c r="L616" s="40"/>
      <c r="M616" s="40">
        <v>193.98</v>
      </c>
      <c r="N616" s="40"/>
      <c r="O616" s="40" t="s">
        <v>234</v>
      </c>
    </row>
    <row r="617" spans="1:15" ht="33.75" x14ac:dyDescent="0.2">
      <c r="A617" s="40" t="s">
        <v>8736</v>
      </c>
      <c r="B617" s="40" t="s">
        <v>8737</v>
      </c>
      <c r="C617" s="41">
        <v>46023</v>
      </c>
      <c r="D617" s="41">
        <v>46023</v>
      </c>
      <c r="E617" s="40" t="s">
        <v>13</v>
      </c>
      <c r="F617" s="40" t="s">
        <v>4277</v>
      </c>
      <c r="G617" s="40" t="s">
        <v>8738</v>
      </c>
      <c r="H617" s="40" t="s">
        <v>8739</v>
      </c>
      <c r="I617" s="40" t="s">
        <v>49</v>
      </c>
      <c r="J617" s="40">
        <v>82.48</v>
      </c>
      <c r="K617" s="40">
        <v>82.48</v>
      </c>
      <c r="L617" s="40"/>
      <c r="M617" s="40">
        <v>82.48</v>
      </c>
      <c r="N617" s="40"/>
      <c r="O617" s="40" t="s">
        <v>234</v>
      </c>
    </row>
    <row r="618" spans="1:15" ht="33.75" x14ac:dyDescent="0.2">
      <c r="A618" s="40" t="s">
        <v>8740</v>
      </c>
      <c r="B618" s="40" t="s">
        <v>8741</v>
      </c>
      <c r="C618" s="41">
        <v>46023</v>
      </c>
      <c r="D618" s="41">
        <v>46023</v>
      </c>
      <c r="E618" s="40" t="s">
        <v>13</v>
      </c>
      <c r="F618" s="40" t="s">
        <v>8742</v>
      </c>
      <c r="G618" s="40" t="s">
        <v>8743</v>
      </c>
      <c r="H618" s="40" t="s">
        <v>8744</v>
      </c>
      <c r="I618" s="40" t="s">
        <v>49</v>
      </c>
      <c r="J618" s="40">
        <v>221.24</v>
      </c>
      <c r="K618" s="40">
        <v>221.24</v>
      </c>
      <c r="L618" s="40"/>
      <c r="M618" s="40">
        <v>221.24</v>
      </c>
      <c r="N618" s="40"/>
      <c r="O618" s="40" t="s">
        <v>234</v>
      </c>
    </row>
    <row r="619" spans="1:15" ht="33.75" x14ac:dyDescent="0.2">
      <c r="A619" s="40" t="s">
        <v>8745</v>
      </c>
      <c r="B619" s="40" t="s">
        <v>8746</v>
      </c>
      <c r="C619" s="41">
        <v>46023</v>
      </c>
      <c r="D619" s="41">
        <v>46023</v>
      </c>
      <c r="E619" s="40" t="s">
        <v>13</v>
      </c>
      <c r="F619" s="40" t="s">
        <v>8747</v>
      </c>
      <c r="G619" s="40" t="s">
        <v>8748</v>
      </c>
      <c r="H619" s="40" t="s">
        <v>8749</v>
      </c>
      <c r="I619" s="40" t="s">
        <v>49</v>
      </c>
      <c r="J619" s="40">
        <v>248</v>
      </c>
      <c r="K619" s="40">
        <v>248</v>
      </c>
      <c r="L619" s="40"/>
      <c r="M619" s="40">
        <v>248</v>
      </c>
      <c r="N619" s="40"/>
      <c r="O619" s="40" t="s">
        <v>234</v>
      </c>
    </row>
    <row r="620" spans="1:15" ht="33.75" x14ac:dyDescent="0.2">
      <c r="A620" s="40" t="s">
        <v>8750</v>
      </c>
      <c r="B620" s="40" t="s">
        <v>8751</v>
      </c>
      <c r="C620" s="41">
        <v>46023</v>
      </c>
      <c r="D620" s="41">
        <v>46023</v>
      </c>
      <c r="E620" s="40" t="s">
        <v>13</v>
      </c>
      <c r="F620" s="40" t="s">
        <v>4016</v>
      </c>
      <c r="G620" s="40" t="s">
        <v>8752</v>
      </c>
      <c r="H620" s="40" t="s">
        <v>8753</v>
      </c>
      <c r="I620" s="40" t="s">
        <v>49</v>
      </c>
      <c r="J620" s="40">
        <v>861.99</v>
      </c>
      <c r="K620" s="40">
        <v>861.99</v>
      </c>
      <c r="L620" s="40"/>
      <c r="M620" s="40">
        <v>861.99</v>
      </c>
      <c r="N620" s="40"/>
      <c r="O620" s="40" t="s">
        <v>234</v>
      </c>
    </row>
    <row r="621" spans="1:15" ht="33.75" x14ac:dyDescent="0.2">
      <c r="A621" s="40" t="s">
        <v>8754</v>
      </c>
      <c r="B621" s="40" t="s">
        <v>8755</v>
      </c>
      <c r="C621" s="41">
        <v>46023</v>
      </c>
      <c r="D621" s="41">
        <v>46023</v>
      </c>
      <c r="E621" s="40" t="s">
        <v>13</v>
      </c>
      <c r="F621" s="40" t="s">
        <v>498</v>
      </c>
      <c r="G621" s="40" t="s">
        <v>8756</v>
      </c>
      <c r="H621" s="40" t="s">
        <v>8757</v>
      </c>
      <c r="I621" s="40" t="s">
        <v>49</v>
      </c>
      <c r="J621" s="40">
        <v>723.53</v>
      </c>
      <c r="K621" s="40">
        <v>723.53</v>
      </c>
      <c r="L621" s="40"/>
      <c r="M621" s="40">
        <v>723.53</v>
      </c>
      <c r="N621" s="40"/>
      <c r="O621" s="40" t="s">
        <v>234</v>
      </c>
    </row>
    <row r="622" spans="1:15" ht="33.75" x14ac:dyDescent="0.2">
      <c r="A622" s="40" t="s">
        <v>8758</v>
      </c>
      <c r="B622" s="40" t="s">
        <v>8759</v>
      </c>
      <c r="C622" s="41">
        <v>46023</v>
      </c>
      <c r="D622" s="41">
        <v>46023</v>
      </c>
      <c r="E622" s="40" t="s">
        <v>13</v>
      </c>
      <c r="F622" s="40" t="s">
        <v>1913</v>
      </c>
      <c r="G622" s="40" t="s">
        <v>8760</v>
      </c>
      <c r="H622" s="40" t="s">
        <v>8761</v>
      </c>
      <c r="I622" s="40" t="s">
        <v>49</v>
      </c>
      <c r="J622" s="40">
        <v>366</v>
      </c>
      <c r="K622" s="40">
        <v>366</v>
      </c>
      <c r="L622" s="40"/>
      <c r="M622" s="40">
        <v>366</v>
      </c>
      <c r="N622" s="40"/>
      <c r="O622" s="40" t="s">
        <v>234</v>
      </c>
    </row>
    <row r="623" spans="1:15" ht="33.75" x14ac:dyDescent="0.2">
      <c r="A623" s="40" t="s">
        <v>8762</v>
      </c>
      <c r="B623" s="40" t="s">
        <v>8763</v>
      </c>
      <c r="C623" s="41">
        <v>46023</v>
      </c>
      <c r="D623" s="41">
        <v>46023</v>
      </c>
      <c r="E623" s="40" t="s">
        <v>13</v>
      </c>
      <c r="F623" s="40" t="s">
        <v>8764</v>
      </c>
      <c r="G623" s="40" t="s">
        <v>8765</v>
      </c>
      <c r="H623" s="40" t="s">
        <v>8766</v>
      </c>
      <c r="I623" s="40" t="s">
        <v>49</v>
      </c>
      <c r="J623" s="40">
        <v>422.41</v>
      </c>
      <c r="K623" s="40">
        <v>422.41</v>
      </c>
      <c r="L623" s="40"/>
      <c r="M623" s="40">
        <v>422.41</v>
      </c>
      <c r="N623" s="40"/>
      <c r="O623" s="40" t="s">
        <v>234</v>
      </c>
    </row>
    <row r="624" spans="1:15" ht="45" x14ac:dyDescent="0.2">
      <c r="A624" s="40" t="s">
        <v>8767</v>
      </c>
      <c r="B624" s="40" t="s">
        <v>8768</v>
      </c>
      <c r="C624" s="41">
        <v>46023</v>
      </c>
      <c r="D624" s="41">
        <v>46023</v>
      </c>
      <c r="E624" s="40" t="s">
        <v>13</v>
      </c>
      <c r="F624" s="40" t="s">
        <v>8769</v>
      </c>
      <c r="G624" s="40" t="s">
        <v>8770</v>
      </c>
      <c r="H624" s="40" t="s">
        <v>8771</v>
      </c>
      <c r="I624" s="40" t="s">
        <v>49</v>
      </c>
      <c r="J624" s="40">
        <v>241</v>
      </c>
      <c r="K624" s="40">
        <v>241</v>
      </c>
      <c r="L624" s="40"/>
      <c r="M624" s="40">
        <v>241</v>
      </c>
      <c r="N624" s="40"/>
      <c r="O624" s="40" t="s">
        <v>234</v>
      </c>
    </row>
    <row r="625" spans="1:15" ht="33.75" x14ac:dyDescent="0.2">
      <c r="A625" s="40" t="s">
        <v>8772</v>
      </c>
      <c r="B625" s="40" t="s">
        <v>8773</v>
      </c>
      <c r="C625" s="41">
        <v>46023</v>
      </c>
      <c r="D625" s="41">
        <v>46023</v>
      </c>
      <c r="E625" s="40" t="s">
        <v>13</v>
      </c>
      <c r="F625" s="40" t="s">
        <v>1844</v>
      </c>
      <c r="G625" s="40" t="s">
        <v>8774</v>
      </c>
      <c r="H625" s="40" t="s">
        <v>8775</v>
      </c>
      <c r="I625" s="40" t="s">
        <v>49</v>
      </c>
      <c r="J625" s="40">
        <v>254.43</v>
      </c>
      <c r="K625" s="40">
        <v>254.43</v>
      </c>
      <c r="L625" s="40"/>
      <c r="M625" s="40">
        <v>254.43</v>
      </c>
      <c r="N625" s="40"/>
      <c r="O625" s="40" t="s">
        <v>234</v>
      </c>
    </row>
    <row r="626" spans="1:15" ht="33.75" x14ac:dyDescent="0.2">
      <c r="A626" s="40" t="s">
        <v>8776</v>
      </c>
      <c r="B626" s="40" t="s">
        <v>8777</v>
      </c>
      <c r="C626" s="41">
        <v>46023</v>
      </c>
      <c r="D626" s="41">
        <v>46023</v>
      </c>
      <c r="E626" s="40" t="s">
        <v>13</v>
      </c>
      <c r="F626" s="40" t="s">
        <v>8778</v>
      </c>
      <c r="G626" s="40" t="s">
        <v>8779</v>
      </c>
      <c r="H626" s="40" t="s">
        <v>8780</v>
      </c>
      <c r="I626" s="40" t="s">
        <v>49</v>
      </c>
      <c r="J626" s="40">
        <v>40.01</v>
      </c>
      <c r="K626" s="40">
        <v>40.01</v>
      </c>
      <c r="L626" s="40"/>
      <c r="M626" s="40">
        <v>40.01</v>
      </c>
      <c r="N626" s="40"/>
      <c r="O626" s="40" t="s">
        <v>234</v>
      </c>
    </row>
    <row r="627" spans="1:15" ht="33.75" x14ac:dyDescent="0.2">
      <c r="A627" s="40" t="s">
        <v>8781</v>
      </c>
      <c r="B627" s="40" t="s">
        <v>8782</v>
      </c>
      <c r="C627" s="41">
        <v>46023</v>
      </c>
      <c r="D627" s="41">
        <v>46023</v>
      </c>
      <c r="E627" s="40" t="s">
        <v>13</v>
      </c>
      <c r="F627" s="40" t="s">
        <v>4277</v>
      </c>
      <c r="G627" s="40" t="s">
        <v>8783</v>
      </c>
      <c r="H627" s="40" t="s">
        <v>8784</v>
      </c>
      <c r="I627" s="40" t="s">
        <v>49</v>
      </c>
      <c r="J627" s="40">
        <v>51.85</v>
      </c>
      <c r="K627" s="40">
        <v>51.85</v>
      </c>
      <c r="L627" s="40"/>
      <c r="M627" s="40">
        <v>51.85</v>
      </c>
      <c r="N627" s="40"/>
      <c r="O627" s="40" t="s">
        <v>234</v>
      </c>
    </row>
    <row r="628" spans="1:15" ht="33.75" x14ac:dyDescent="0.2">
      <c r="A628" s="40" t="s">
        <v>8785</v>
      </c>
      <c r="B628" s="40" t="s">
        <v>8786</v>
      </c>
      <c r="C628" s="41">
        <v>46023</v>
      </c>
      <c r="D628" s="41">
        <v>46023</v>
      </c>
      <c r="E628" s="40" t="s">
        <v>13</v>
      </c>
      <c r="F628" s="40" t="s">
        <v>8787</v>
      </c>
      <c r="G628" s="40" t="s">
        <v>8788</v>
      </c>
      <c r="H628" s="40" t="s">
        <v>8789</v>
      </c>
      <c r="I628" s="40" t="s">
        <v>49</v>
      </c>
      <c r="J628" s="40">
        <v>82.3</v>
      </c>
      <c r="K628" s="40">
        <v>82.3</v>
      </c>
      <c r="L628" s="40"/>
      <c r="M628" s="40">
        <v>82.3</v>
      </c>
      <c r="N628" s="40"/>
      <c r="O628" s="40" t="s">
        <v>234</v>
      </c>
    </row>
    <row r="629" spans="1:15" ht="33.75" x14ac:dyDescent="0.2">
      <c r="A629" s="40" t="s">
        <v>8790</v>
      </c>
      <c r="B629" s="40" t="s">
        <v>8791</v>
      </c>
      <c r="C629" s="41">
        <v>46023</v>
      </c>
      <c r="D629" s="41">
        <v>46023</v>
      </c>
      <c r="E629" s="40" t="s">
        <v>13</v>
      </c>
      <c r="F629" s="40" t="s">
        <v>8729</v>
      </c>
      <c r="G629" s="40" t="s">
        <v>8792</v>
      </c>
      <c r="H629" s="40" t="s">
        <v>8793</v>
      </c>
      <c r="I629" s="40" t="s">
        <v>49</v>
      </c>
      <c r="J629" s="40">
        <v>330</v>
      </c>
      <c r="K629" s="40">
        <v>330</v>
      </c>
      <c r="L629" s="40"/>
      <c r="M629" s="40">
        <v>330</v>
      </c>
      <c r="N629" s="40"/>
      <c r="O629" s="40" t="s">
        <v>234</v>
      </c>
    </row>
    <row r="630" spans="1:15" ht="33.75" x14ac:dyDescent="0.2">
      <c r="A630" s="40" t="s">
        <v>8794</v>
      </c>
      <c r="B630" s="40" t="s">
        <v>8795</v>
      </c>
      <c r="C630" s="41">
        <v>46023</v>
      </c>
      <c r="D630" s="41">
        <v>46023</v>
      </c>
      <c r="E630" s="40" t="s">
        <v>13</v>
      </c>
      <c r="F630" s="40" t="s">
        <v>8796</v>
      </c>
      <c r="G630" s="40" t="s">
        <v>8797</v>
      </c>
      <c r="H630" s="40" t="s">
        <v>8798</v>
      </c>
      <c r="I630" s="40" t="s">
        <v>49</v>
      </c>
      <c r="J630" s="40">
        <v>38.01</v>
      </c>
      <c r="K630" s="40">
        <v>38.01</v>
      </c>
      <c r="L630" s="40"/>
      <c r="M630" s="40">
        <v>38.01</v>
      </c>
      <c r="N630" s="40"/>
      <c r="O630" s="40" t="s">
        <v>234</v>
      </c>
    </row>
    <row r="631" spans="1:15" ht="33.75" x14ac:dyDescent="0.2">
      <c r="A631" s="40" t="s">
        <v>8799</v>
      </c>
      <c r="B631" s="40" t="s">
        <v>8800</v>
      </c>
      <c r="C631" s="41">
        <v>46023</v>
      </c>
      <c r="D631" s="41">
        <v>46023</v>
      </c>
      <c r="E631" s="40" t="s">
        <v>13</v>
      </c>
      <c r="F631" s="40" t="s">
        <v>8801</v>
      </c>
      <c r="G631" s="40" t="s">
        <v>8802</v>
      </c>
      <c r="H631" s="40" t="s">
        <v>8803</v>
      </c>
      <c r="I631" s="40" t="s">
        <v>49</v>
      </c>
      <c r="J631" s="40">
        <v>381.6</v>
      </c>
      <c r="K631" s="40">
        <v>381.6</v>
      </c>
      <c r="L631" s="40"/>
      <c r="M631" s="40">
        <v>381.6</v>
      </c>
      <c r="N631" s="40"/>
      <c r="O631" s="40" t="s">
        <v>234</v>
      </c>
    </row>
    <row r="632" spans="1:15" ht="33.75" x14ac:dyDescent="0.2">
      <c r="A632" s="40" t="s">
        <v>8804</v>
      </c>
      <c r="B632" s="40" t="s">
        <v>8805</v>
      </c>
      <c r="C632" s="41">
        <v>46023</v>
      </c>
      <c r="D632" s="41">
        <v>46023</v>
      </c>
      <c r="E632" s="40" t="s">
        <v>13</v>
      </c>
      <c r="F632" s="40" t="s">
        <v>8806</v>
      </c>
      <c r="G632" s="40" t="s">
        <v>8807</v>
      </c>
      <c r="H632" s="40" t="s">
        <v>8808</v>
      </c>
      <c r="I632" s="40" t="s">
        <v>49</v>
      </c>
      <c r="J632" s="40">
        <v>115.01</v>
      </c>
      <c r="K632" s="40">
        <v>115.01</v>
      </c>
      <c r="L632" s="40"/>
      <c r="M632" s="40">
        <v>115.01</v>
      </c>
      <c r="N632" s="40"/>
      <c r="O632" s="40" t="s">
        <v>234</v>
      </c>
    </row>
    <row r="633" spans="1:15" ht="33.75" x14ac:dyDescent="0.2">
      <c r="A633" s="40" t="s">
        <v>8809</v>
      </c>
      <c r="B633" s="40" t="s">
        <v>8810</v>
      </c>
      <c r="C633" s="41">
        <v>46023</v>
      </c>
      <c r="D633" s="41">
        <v>46023</v>
      </c>
      <c r="E633" s="40" t="s">
        <v>13</v>
      </c>
      <c r="F633" s="40" t="s">
        <v>8811</v>
      </c>
      <c r="G633" s="40" t="s">
        <v>8812</v>
      </c>
      <c r="H633" s="40" t="s">
        <v>8813</v>
      </c>
      <c r="I633" s="40" t="s">
        <v>49</v>
      </c>
      <c r="J633" s="40">
        <v>119</v>
      </c>
      <c r="K633" s="40">
        <v>119</v>
      </c>
      <c r="L633" s="40"/>
      <c r="M633" s="40">
        <v>119</v>
      </c>
      <c r="N633" s="40"/>
      <c r="O633" s="40" t="s">
        <v>234</v>
      </c>
    </row>
    <row r="634" spans="1:15" ht="33.75" x14ac:dyDescent="0.2">
      <c r="A634" s="40" t="s">
        <v>8814</v>
      </c>
      <c r="B634" s="40" t="s">
        <v>8815</v>
      </c>
      <c r="C634" s="41">
        <v>46023</v>
      </c>
      <c r="D634" s="41">
        <v>46023</v>
      </c>
      <c r="E634" s="40" t="s">
        <v>13</v>
      </c>
      <c r="F634" s="40" t="s">
        <v>8816</v>
      </c>
      <c r="G634" s="40" t="s">
        <v>8817</v>
      </c>
      <c r="H634" s="40" t="s">
        <v>8818</v>
      </c>
      <c r="I634" s="40" t="s">
        <v>49</v>
      </c>
      <c r="J634" s="40">
        <v>278.20999999999998</v>
      </c>
      <c r="K634" s="40">
        <v>278.20999999999998</v>
      </c>
      <c r="L634" s="40"/>
      <c r="M634" s="40">
        <v>278.20999999999998</v>
      </c>
      <c r="N634" s="40"/>
      <c r="O634" s="40" t="s">
        <v>234</v>
      </c>
    </row>
    <row r="635" spans="1:15" ht="33.75" x14ac:dyDescent="0.2">
      <c r="A635" s="40" t="s">
        <v>8819</v>
      </c>
      <c r="B635" s="40" t="s">
        <v>8820</v>
      </c>
      <c r="C635" s="41">
        <v>46023</v>
      </c>
      <c r="D635" s="41">
        <v>46023</v>
      </c>
      <c r="E635" s="40" t="s">
        <v>13</v>
      </c>
      <c r="F635" s="40" t="s">
        <v>8821</v>
      </c>
      <c r="G635" s="40" t="s">
        <v>8822</v>
      </c>
      <c r="H635" s="40" t="s">
        <v>8823</v>
      </c>
      <c r="I635" s="40" t="s">
        <v>49</v>
      </c>
      <c r="J635" s="40">
        <v>234.4</v>
      </c>
      <c r="K635" s="40">
        <v>234.4</v>
      </c>
      <c r="L635" s="40"/>
      <c r="M635" s="40">
        <v>234.4</v>
      </c>
      <c r="N635" s="40"/>
      <c r="O635" s="40" t="s">
        <v>234</v>
      </c>
    </row>
    <row r="636" spans="1:15" ht="33.75" x14ac:dyDescent="0.2">
      <c r="A636" s="40" t="s">
        <v>8824</v>
      </c>
      <c r="B636" s="40" t="s">
        <v>8825</v>
      </c>
      <c r="C636" s="41">
        <v>46023</v>
      </c>
      <c r="D636" s="41">
        <v>46023</v>
      </c>
      <c r="E636" s="40" t="s">
        <v>13</v>
      </c>
      <c r="F636" s="40" t="s">
        <v>8826</v>
      </c>
      <c r="G636" s="40" t="s">
        <v>8827</v>
      </c>
      <c r="H636" s="40" t="s">
        <v>8828</v>
      </c>
      <c r="I636" s="40" t="s">
        <v>49</v>
      </c>
      <c r="J636" s="40">
        <v>134</v>
      </c>
      <c r="K636" s="40">
        <v>134</v>
      </c>
      <c r="L636" s="40"/>
      <c r="M636" s="40">
        <v>134</v>
      </c>
      <c r="N636" s="40"/>
      <c r="O636" s="40" t="s">
        <v>234</v>
      </c>
    </row>
    <row r="637" spans="1:15" ht="33.75" x14ac:dyDescent="0.2">
      <c r="A637" s="40" t="s">
        <v>8829</v>
      </c>
      <c r="B637" s="40" t="s">
        <v>8830</v>
      </c>
      <c r="C637" s="41">
        <v>46023</v>
      </c>
      <c r="D637" s="41">
        <v>46023</v>
      </c>
      <c r="E637" s="40" t="s">
        <v>13</v>
      </c>
      <c r="F637" s="40" t="s">
        <v>8831</v>
      </c>
      <c r="G637" s="40" t="s">
        <v>8832</v>
      </c>
      <c r="H637" s="40" t="s">
        <v>8833</v>
      </c>
      <c r="I637" s="40" t="s">
        <v>49</v>
      </c>
      <c r="J637" s="40">
        <v>99</v>
      </c>
      <c r="K637" s="40">
        <v>99</v>
      </c>
      <c r="L637" s="40"/>
      <c r="M637" s="40">
        <v>99</v>
      </c>
      <c r="N637" s="40"/>
      <c r="O637" s="40" t="s">
        <v>234</v>
      </c>
    </row>
    <row r="638" spans="1:15" ht="45" x14ac:dyDescent="0.2">
      <c r="A638" s="40" t="s">
        <v>8834</v>
      </c>
      <c r="B638" s="40" t="s">
        <v>8835</v>
      </c>
      <c r="C638" s="41">
        <v>46023</v>
      </c>
      <c r="D638" s="41">
        <v>46023</v>
      </c>
      <c r="E638" s="40" t="s">
        <v>13</v>
      </c>
      <c r="F638" s="40" t="s">
        <v>8836</v>
      </c>
      <c r="G638" s="40" t="s">
        <v>8837</v>
      </c>
      <c r="H638" s="40" t="s">
        <v>8838</v>
      </c>
      <c r="I638" s="40" t="s">
        <v>49</v>
      </c>
      <c r="J638" s="40">
        <v>503</v>
      </c>
      <c r="K638" s="40">
        <v>503</v>
      </c>
      <c r="L638" s="40"/>
      <c r="M638" s="40">
        <v>503</v>
      </c>
      <c r="N638" s="40"/>
      <c r="O638" s="40" t="s">
        <v>234</v>
      </c>
    </row>
    <row r="639" spans="1:15" ht="33.75" x14ac:dyDescent="0.2">
      <c r="A639" s="40" t="s">
        <v>8839</v>
      </c>
      <c r="B639" s="40" t="s">
        <v>8840</v>
      </c>
      <c r="C639" s="41">
        <v>46023</v>
      </c>
      <c r="D639" s="41">
        <v>46023</v>
      </c>
      <c r="E639" s="40" t="s">
        <v>13</v>
      </c>
      <c r="F639" s="40" t="s">
        <v>1913</v>
      </c>
      <c r="G639" s="40" t="s">
        <v>8760</v>
      </c>
      <c r="H639" s="40" t="s">
        <v>8841</v>
      </c>
      <c r="I639" s="40" t="s">
        <v>49</v>
      </c>
      <c r="J639" s="40">
        <v>366</v>
      </c>
      <c r="K639" s="40">
        <v>366</v>
      </c>
      <c r="L639" s="40"/>
      <c r="M639" s="40">
        <v>366</v>
      </c>
      <c r="N639" s="40"/>
      <c r="O639" s="40" t="s">
        <v>234</v>
      </c>
    </row>
    <row r="640" spans="1:15" ht="33.75" x14ac:dyDescent="0.2">
      <c r="A640" s="40" t="s">
        <v>8842</v>
      </c>
      <c r="B640" s="40" t="s">
        <v>8843</v>
      </c>
      <c r="C640" s="41">
        <v>46023</v>
      </c>
      <c r="D640" s="41">
        <v>46023</v>
      </c>
      <c r="E640" s="40" t="s">
        <v>13</v>
      </c>
      <c r="F640" s="40" t="s">
        <v>498</v>
      </c>
      <c r="G640" s="40" t="s">
        <v>8844</v>
      </c>
      <c r="H640" s="40" t="s">
        <v>8845</v>
      </c>
      <c r="I640" s="40" t="s">
        <v>49</v>
      </c>
      <c r="J640" s="40">
        <v>552.26</v>
      </c>
      <c r="K640" s="40">
        <v>552.26</v>
      </c>
      <c r="L640" s="40"/>
      <c r="M640" s="40">
        <v>552.26</v>
      </c>
      <c r="N640" s="40"/>
      <c r="O640" s="40" t="s">
        <v>234</v>
      </c>
    </row>
    <row r="641" spans="1:15" ht="33.75" x14ac:dyDescent="0.2">
      <c r="A641" s="40" t="s">
        <v>8846</v>
      </c>
      <c r="B641" s="40" t="s">
        <v>8847</v>
      </c>
      <c r="C641" s="41">
        <v>46023</v>
      </c>
      <c r="D641" s="41">
        <v>46023</v>
      </c>
      <c r="E641" s="40" t="s">
        <v>13</v>
      </c>
      <c r="F641" s="40" t="s">
        <v>8816</v>
      </c>
      <c r="G641" s="40" t="s">
        <v>8848</v>
      </c>
      <c r="H641" s="40" t="s">
        <v>8849</v>
      </c>
      <c r="I641" s="40" t="s">
        <v>49</v>
      </c>
      <c r="J641" s="40">
        <v>278.19</v>
      </c>
      <c r="K641" s="40">
        <v>278.19</v>
      </c>
      <c r="L641" s="40"/>
      <c r="M641" s="40">
        <v>278.19</v>
      </c>
      <c r="N641" s="40"/>
      <c r="O641" s="40" t="s">
        <v>234</v>
      </c>
    </row>
    <row r="642" spans="1:15" ht="33.75" x14ac:dyDescent="0.2">
      <c r="A642" s="40" t="s">
        <v>8850</v>
      </c>
      <c r="B642" s="40" t="s">
        <v>8851</v>
      </c>
      <c r="C642" s="41">
        <v>46023</v>
      </c>
      <c r="D642" s="41">
        <v>46023</v>
      </c>
      <c r="E642" s="40" t="s">
        <v>13</v>
      </c>
      <c r="F642" s="40" t="s">
        <v>1844</v>
      </c>
      <c r="G642" s="40" t="s">
        <v>8852</v>
      </c>
      <c r="H642" s="40" t="s">
        <v>8853</v>
      </c>
      <c r="I642" s="40" t="s">
        <v>49</v>
      </c>
      <c r="J642" s="40">
        <v>186.84</v>
      </c>
      <c r="K642" s="40">
        <v>186.84</v>
      </c>
      <c r="L642" s="40"/>
      <c r="M642" s="40">
        <v>186.84</v>
      </c>
      <c r="N642" s="40"/>
      <c r="O642" s="40" t="s">
        <v>234</v>
      </c>
    </row>
    <row r="643" spans="1:15" ht="33.75" x14ac:dyDescent="0.2">
      <c r="A643" s="40" t="s">
        <v>8854</v>
      </c>
      <c r="B643" s="40" t="s">
        <v>8855</v>
      </c>
      <c r="C643" s="41">
        <v>46023</v>
      </c>
      <c r="D643" s="41">
        <v>46023</v>
      </c>
      <c r="E643" s="40" t="s">
        <v>13</v>
      </c>
      <c r="F643" s="40" t="s">
        <v>4277</v>
      </c>
      <c r="G643" s="40" t="s">
        <v>8856</v>
      </c>
      <c r="H643" s="40" t="s">
        <v>8857</v>
      </c>
      <c r="I643" s="40" t="s">
        <v>49</v>
      </c>
      <c r="J643" s="40">
        <v>56.25</v>
      </c>
      <c r="K643" s="40">
        <v>56.25</v>
      </c>
      <c r="L643" s="40"/>
      <c r="M643" s="40">
        <v>56.25</v>
      </c>
      <c r="N643" s="40"/>
      <c r="O643" s="40" t="s">
        <v>234</v>
      </c>
    </row>
    <row r="644" spans="1:15" ht="33.75" x14ac:dyDescent="0.2">
      <c r="A644" s="40" t="s">
        <v>8858</v>
      </c>
      <c r="B644" s="40" t="s">
        <v>8859</v>
      </c>
      <c r="C644" s="41">
        <v>46023</v>
      </c>
      <c r="D644" s="41">
        <v>46023</v>
      </c>
      <c r="E644" s="40" t="s">
        <v>13</v>
      </c>
      <c r="F644" s="40" t="s">
        <v>8860</v>
      </c>
      <c r="G644" s="40" t="s">
        <v>8861</v>
      </c>
      <c r="H644" s="40" t="s">
        <v>8862</v>
      </c>
      <c r="I644" s="40" t="s">
        <v>49</v>
      </c>
      <c r="J644" s="40">
        <v>1176.3</v>
      </c>
      <c r="K644" s="40">
        <v>1176.3</v>
      </c>
      <c r="L644" s="40"/>
      <c r="M644" s="40">
        <v>1176.3</v>
      </c>
      <c r="N644" s="40"/>
      <c r="O644" s="40" t="s">
        <v>234</v>
      </c>
    </row>
    <row r="645" spans="1:15" ht="33.75" x14ac:dyDescent="0.2">
      <c r="A645" s="40" t="s">
        <v>8863</v>
      </c>
      <c r="B645" s="40" t="s">
        <v>8864</v>
      </c>
      <c r="C645" s="41">
        <v>46023</v>
      </c>
      <c r="D645" s="41">
        <v>46023</v>
      </c>
      <c r="E645" s="40" t="s">
        <v>13</v>
      </c>
      <c r="F645" s="40" t="s">
        <v>8865</v>
      </c>
      <c r="G645" s="40" t="s">
        <v>8866</v>
      </c>
      <c r="H645" s="40" t="s">
        <v>8867</v>
      </c>
      <c r="I645" s="40" t="s">
        <v>49</v>
      </c>
      <c r="J645" s="40">
        <v>304.3</v>
      </c>
      <c r="K645" s="40">
        <v>304.3</v>
      </c>
      <c r="L645" s="40"/>
      <c r="M645" s="40">
        <v>304.3</v>
      </c>
      <c r="N645" s="40"/>
      <c r="O645" s="40" t="s">
        <v>234</v>
      </c>
    </row>
    <row r="646" spans="1:15" ht="33.75" x14ac:dyDescent="0.2">
      <c r="A646" s="40" t="s">
        <v>8868</v>
      </c>
      <c r="B646" s="40" t="s">
        <v>8869</v>
      </c>
      <c r="C646" s="41">
        <v>46023</v>
      </c>
      <c r="D646" s="41">
        <v>46023</v>
      </c>
      <c r="E646" s="40" t="s">
        <v>13</v>
      </c>
      <c r="F646" s="40" t="s">
        <v>872</v>
      </c>
      <c r="G646" s="40" t="s">
        <v>8870</v>
      </c>
      <c r="H646" s="40" t="s">
        <v>8871</v>
      </c>
      <c r="I646" s="40" t="s">
        <v>49</v>
      </c>
      <c r="J646" s="40">
        <v>292.60000000000002</v>
      </c>
      <c r="K646" s="40">
        <v>292.60000000000002</v>
      </c>
      <c r="L646" s="40"/>
      <c r="M646" s="40">
        <v>292.60000000000002</v>
      </c>
      <c r="N646" s="40"/>
      <c r="O646" s="40" t="s">
        <v>234</v>
      </c>
    </row>
    <row r="647" spans="1:15" ht="33.75" x14ac:dyDescent="0.2">
      <c r="A647" s="40" t="s">
        <v>8872</v>
      </c>
      <c r="B647" s="40" t="s">
        <v>8873</v>
      </c>
      <c r="C647" s="41">
        <v>46023</v>
      </c>
      <c r="D647" s="41">
        <v>46023</v>
      </c>
      <c r="E647" s="40" t="s">
        <v>13</v>
      </c>
      <c r="F647" s="40" t="s">
        <v>84</v>
      </c>
      <c r="G647" s="40" t="s">
        <v>8874</v>
      </c>
      <c r="H647" s="40" t="s">
        <v>8875</v>
      </c>
      <c r="I647" s="40" t="s">
        <v>49</v>
      </c>
      <c r="J647" s="40">
        <v>352.01</v>
      </c>
      <c r="K647" s="40">
        <v>352.01</v>
      </c>
      <c r="L647" s="40"/>
      <c r="M647" s="40">
        <v>352.01</v>
      </c>
      <c r="N647" s="40"/>
      <c r="O647" s="40" t="s">
        <v>234</v>
      </c>
    </row>
    <row r="648" spans="1:15" ht="33.75" x14ac:dyDescent="0.2">
      <c r="A648" s="40" t="s">
        <v>8876</v>
      </c>
      <c r="B648" s="40" t="s">
        <v>8877</v>
      </c>
      <c r="C648" s="41">
        <v>46023</v>
      </c>
      <c r="D648" s="41">
        <v>46023</v>
      </c>
      <c r="E648" s="40" t="s">
        <v>13</v>
      </c>
      <c r="F648" s="40" t="s">
        <v>8729</v>
      </c>
      <c r="G648" s="40" t="s">
        <v>8878</v>
      </c>
      <c r="H648" s="40" t="s">
        <v>8879</v>
      </c>
      <c r="I648" s="40" t="s">
        <v>49</v>
      </c>
      <c r="J648" s="40">
        <v>148</v>
      </c>
      <c r="K648" s="40">
        <v>148</v>
      </c>
      <c r="L648" s="40"/>
      <c r="M648" s="40">
        <v>148</v>
      </c>
      <c r="N648" s="40"/>
      <c r="O648" s="40" t="s">
        <v>234</v>
      </c>
    </row>
    <row r="649" spans="1:15" ht="33.75" x14ac:dyDescent="0.2">
      <c r="A649" s="40" t="s">
        <v>8880</v>
      </c>
      <c r="B649" s="40" t="s">
        <v>8881</v>
      </c>
      <c r="C649" s="41">
        <v>46023</v>
      </c>
      <c r="D649" s="41">
        <v>46023</v>
      </c>
      <c r="E649" s="40" t="s">
        <v>13</v>
      </c>
      <c r="F649" s="40" t="s">
        <v>8882</v>
      </c>
      <c r="G649" s="40" t="s">
        <v>8883</v>
      </c>
      <c r="H649" s="40" t="s">
        <v>8884</v>
      </c>
      <c r="I649" s="40" t="s">
        <v>49</v>
      </c>
      <c r="J649" s="40">
        <v>92.8</v>
      </c>
      <c r="K649" s="40">
        <v>92.8</v>
      </c>
      <c r="L649" s="40"/>
      <c r="M649" s="40">
        <v>92.8</v>
      </c>
      <c r="N649" s="40"/>
      <c r="O649" s="40" t="s">
        <v>234</v>
      </c>
    </row>
    <row r="650" spans="1:15" ht="33.75" x14ac:dyDescent="0.2">
      <c r="A650" s="40" t="s">
        <v>8885</v>
      </c>
      <c r="B650" s="40" t="s">
        <v>8886</v>
      </c>
      <c r="C650" s="41">
        <v>46023</v>
      </c>
      <c r="D650" s="41">
        <v>46023</v>
      </c>
      <c r="E650" s="40" t="s">
        <v>13</v>
      </c>
      <c r="F650" s="40" t="s">
        <v>8816</v>
      </c>
      <c r="G650" s="40" t="s">
        <v>8848</v>
      </c>
      <c r="H650" s="40" t="s">
        <v>8887</v>
      </c>
      <c r="I650" s="40" t="s">
        <v>49</v>
      </c>
      <c r="J650" s="40">
        <v>278.19</v>
      </c>
      <c r="K650" s="40">
        <v>278.19</v>
      </c>
      <c r="L650" s="40"/>
      <c r="M650" s="40">
        <v>278.19</v>
      </c>
      <c r="N650" s="40"/>
      <c r="O650" s="40" t="s">
        <v>234</v>
      </c>
    </row>
    <row r="651" spans="1:15" ht="33.75" x14ac:dyDescent="0.2">
      <c r="A651" s="40" t="s">
        <v>8888</v>
      </c>
      <c r="B651" s="40" t="s">
        <v>8889</v>
      </c>
      <c r="C651" s="41">
        <v>46023</v>
      </c>
      <c r="D651" s="41">
        <v>46023</v>
      </c>
      <c r="E651" s="40" t="s">
        <v>13</v>
      </c>
      <c r="F651" s="40" t="s">
        <v>8890</v>
      </c>
      <c r="G651" s="40" t="s">
        <v>8891</v>
      </c>
      <c r="H651" s="40" t="s">
        <v>8892</v>
      </c>
      <c r="I651" s="40" t="s">
        <v>49</v>
      </c>
      <c r="J651" s="40">
        <v>226</v>
      </c>
      <c r="K651" s="40">
        <v>226</v>
      </c>
      <c r="L651" s="40"/>
      <c r="M651" s="40">
        <v>226</v>
      </c>
      <c r="N651" s="40"/>
      <c r="O651" s="40" t="s">
        <v>234</v>
      </c>
    </row>
    <row r="652" spans="1:15" ht="33.75" x14ac:dyDescent="0.2">
      <c r="A652" s="40" t="s">
        <v>8893</v>
      </c>
      <c r="B652" s="40" t="s">
        <v>8894</v>
      </c>
      <c r="C652" s="41">
        <v>46023</v>
      </c>
      <c r="D652" s="41">
        <v>46023</v>
      </c>
      <c r="E652" s="40" t="s">
        <v>13</v>
      </c>
      <c r="F652" s="40" t="s">
        <v>8895</v>
      </c>
      <c r="G652" s="40" t="s">
        <v>8896</v>
      </c>
      <c r="H652" s="40" t="s">
        <v>8897</v>
      </c>
      <c r="I652" s="40" t="s">
        <v>49</v>
      </c>
      <c r="J652" s="40">
        <v>78</v>
      </c>
      <c r="K652" s="40">
        <v>78</v>
      </c>
      <c r="L652" s="40"/>
      <c r="M652" s="40">
        <v>78</v>
      </c>
      <c r="N652" s="40"/>
      <c r="O652" s="40" t="s">
        <v>234</v>
      </c>
    </row>
    <row r="653" spans="1:15" ht="33.75" x14ac:dyDescent="0.2">
      <c r="A653" s="40" t="s">
        <v>8898</v>
      </c>
      <c r="B653" s="40" t="s">
        <v>8899</v>
      </c>
      <c r="C653" s="41">
        <v>46023</v>
      </c>
      <c r="D653" s="41">
        <v>46023</v>
      </c>
      <c r="E653" s="40" t="s">
        <v>13</v>
      </c>
      <c r="F653" s="40" t="s">
        <v>4277</v>
      </c>
      <c r="G653" s="40" t="s">
        <v>8900</v>
      </c>
      <c r="H653" s="40" t="s">
        <v>8901</v>
      </c>
      <c r="I653" s="40" t="s">
        <v>49</v>
      </c>
      <c r="J653" s="40">
        <v>78.260000000000005</v>
      </c>
      <c r="K653" s="40">
        <v>78.260000000000005</v>
      </c>
      <c r="L653" s="40"/>
      <c r="M653" s="40">
        <v>78.260000000000005</v>
      </c>
      <c r="N653" s="40"/>
      <c r="O653" s="40" t="s">
        <v>234</v>
      </c>
    </row>
    <row r="654" spans="1:15" ht="33.75" x14ac:dyDescent="0.2">
      <c r="A654" s="40" t="s">
        <v>8902</v>
      </c>
      <c r="B654" s="40" t="s">
        <v>8903</v>
      </c>
      <c r="C654" s="41">
        <v>46023</v>
      </c>
      <c r="D654" s="41">
        <v>46023</v>
      </c>
      <c r="E654" s="40" t="s">
        <v>13</v>
      </c>
      <c r="F654" s="40" t="s">
        <v>8904</v>
      </c>
      <c r="G654" s="40" t="s">
        <v>8905</v>
      </c>
      <c r="H654" s="40" t="s">
        <v>8906</v>
      </c>
      <c r="I654" s="40" t="s">
        <v>49</v>
      </c>
      <c r="J654" s="40">
        <v>44.1</v>
      </c>
      <c r="K654" s="40">
        <v>44.1</v>
      </c>
      <c r="L654" s="40"/>
      <c r="M654" s="40">
        <v>44.1</v>
      </c>
      <c r="N654" s="40"/>
      <c r="O654" s="40" t="s">
        <v>234</v>
      </c>
    </row>
    <row r="655" spans="1:15" ht="33.75" x14ac:dyDescent="0.2">
      <c r="A655" s="40" t="s">
        <v>8907</v>
      </c>
      <c r="B655" s="40" t="s">
        <v>8908</v>
      </c>
      <c r="C655" s="41">
        <v>46023</v>
      </c>
      <c r="D655" s="41">
        <v>46023</v>
      </c>
      <c r="E655" s="40" t="s">
        <v>13</v>
      </c>
      <c r="F655" s="40" t="s">
        <v>1844</v>
      </c>
      <c r="G655" s="40" t="s">
        <v>8852</v>
      </c>
      <c r="H655" s="40" t="s">
        <v>8909</v>
      </c>
      <c r="I655" s="40" t="s">
        <v>49</v>
      </c>
      <c r="J655" s="40">
        <v>186.84</v>
      </c>
      <c r="K655" s="40">
        <v>186.84</v>
      </c>
      <c r="L655" s="40"/>
      <c r="M655" s="40">
        <v>186.84</v>
      </c>
      <c r="N655" s="40"/>
      <c r="O655" s="40" t="s">
        <v>234</v>
      </c>
    </row>
    <row r="656" spans="1:15" ht="33.75" x14ac:dyDescent="0.2">
      <c r="A656" s="40" t="s">
        <v>8910</v>
      </c>
      <c r="B656" s="40" t="s">
        <v>8911</v>
      </c>
      <c r="C656" s="41">
        <v>46023</v>
      </c>
      <c r="D656" s="41">
        <v>46023</v>
      </c>
      <c r="E656" s="40" t="s">
        <v>13</v>
      </c>
      <c r="F656" s="40" t="s">
        <v>8912</v>
      </c>
      <c r="G656" s="40" t="s">
        <v>8913</v>
      </c>
      <c r="H656" s="40" t="s">
        <v>8914</v>
      </c>
      <c r="I656" s="40" t="s">
        <v>49</v>
      </c>
      <c r="J656" s="40">
        <v>752.4</v>
      </c>
      <c r="K656" s="40">
        <v>752.4</v>
      </c>
      <c r="L656" s="40"/>
      <c r="M656" s="40">
        <v>752.4</v>
      </c>
      <c r="N656" s="40"/>
      <c r="O656" s="40" t="s">
        <v>234</v>
      </c>
    </row>
    <row r="657" spans="1:15" ht="33.75" x14ac:dyDescent="0.2">
      <c r="A657" s="40" t="s">
        <v>8915</v>
      </c>
      <c r="B657" s="40" t="s">
        <v>8916</v>
      </c>
      <c r="C657" s="41">
        <v>46023</v>
      </c>
      <c r="D657" s="41">
        <v>46023</v>
      </c>
      <c r="E657" s="40" t="s">
        <v>13</v>
      </c>
      <c r="F657" s="40" t="s">
        <v>84</v>
      </c>
      <c r="G657" s="40" t="s">
        <v>8917</v>
      </c>
      <c r="H657" s="40" t="s">
        <v>8918</v>
      </c>
      <c r="I657" s="40" t="s">
        <v>49</v>
      </c>
      <c r="J657" s="40">
        <v>273</v>
      </c>
      <c r="K657" s="40">
        <v>273</v>
      </c>
      <c r="L657" s="40"/>
      <c r="M657" s="40">
        <v>273</v>
      </c>
      <c r="N657" s="40"/>
      <c r="O657" s="40" t="s">
        <v>234</v>
      </c>
    </row>
    <row r="658" spans="1:15" ht="33.75" x14ac:dyDescent="0.2">
      <c r="A658" s="40" t="s">
        <v>8919</v>
      </c>
      <c r="B658" s="40" t="s">
        <v>8920</v>
      </c>
      <c r="C658" s="41">
        <v>46023</v>
      </c>
      <c r="D658" s="41">
        <v>46023</v>
      </c>
      <c r="E658" s="40" t="s">
        <v>13</v>
      </c>
      <c r="F658" s="40" t="s">
        <v>8921</v>
      </c>
      <c r="G658" s="40" t="s">
        <v>8922</v>
      </c>
      <c r="H658" s="40" t="s">
        <v>8923</v>
      </c>
      <c r="I658" s="40" t="s">
        <v>49</v>
      </c>
      <c r="J658" s="40">
        <v>69.010000000000005</v>
      </c>
      <c r="K658" s="40">
        <v>69.010000000000005</v>
      </c>
      <c r="L658" s="40"/>
      <c r="M658" s="40">
        <v>69.010000000000005</v>
      </c>
      <c r="N658" s="40"/>
      <c r="O658" s="40" t="s">
        <v>234</v>
      </c>
    </row>
    <row r="659" spans="1:15" ht="33.75" x14ac:dyDescent="0.2">
      <c r="A659" s="40" t="s">
        <v>8924</v>
      </c>
      <c r="B659" s="40" t="s">
        <v>8925</v>
      </c>
      <c r="C659" s="41">
        <v>46023</v>
      </c>
      <c r="D659" s="41">
        <v>46023</v>
      </c>
      <c r="E659" s="40" t="s">
        <v>13</v>
      </c>
      <c r="F659" s="40" t="s">
        <v>8926</v>
      </c>
      <c r="G659" s="40" t="s">
        <v>8927</v>
      </c>
      <c r="H659" s="40" t="s">
        <v>8928</v>
      </c>
      <c r="I659" s="40" t="s">
        <v>49</v>
      </c>
      <c r="J659" s="40">
        <v>67</v>
      </c>
      <c r="K659" s="40">
        <v>67</v>
      </c>
      <c r="L659" s="40"/>
      <c r="M659" s="40">
        <v>67</v>
      </c>
      <c r="N659" s="40"/>
      <c r="O659" s="40" t="s">
        <v>234</v>
      </c>
    </row>
    <row r="660" spans="1:15" ht="33.75" x14ac:dyDescent="0.2">
      <c r="A660" s="40" t="s">
        <v>8929</v>
      </c>
      <c r="B660" s="40" t="s">
        <v>8930</v>
      </c>
      <c r="C660" s="41">
        <v>46023</v>
      </c>
      <c r="D660" s="41">
        <v>46023</v>
      </c>
      <c r="E660" s="40" t="s">
        <v>13</v>
      </c>
      <c r="F660" s="40" t="s">
        <v>8931</v>
      </c>
      <c r="G660" s="40" t="s">
        <v>8932</v>
      </c>
      <c r="H660" s="40" t="s">
        <v>8933</v>
      </c>
      <c r="I660" s="40" t="s">
        <v>49</v>
      </c>
      <c r="J660" s="40">
        <v>39</v>
      </c>
      <c r="K660" s="40">
        <v>39</v>
      </c>
      <c r="L660" s="40"/>
      <c r="M660" s="40">
        <v>39</v>
      </c>
      <c r="N660" s="40"/>
      <c r="O660" s="40" t="s">
        <v>234</v>
      </c>
    </row>
    <row r="661" spans="1:15" ht="33.75" x14ac:dyDescent="0.2">
      <c r="A661" s="40" t="s">
        <v>8934</v>
      </c>
      <c r="B661" s="40" t="s">
        <v>8935</v>
      </c>
      <c r="C661" s="41">
        <v>46023</v>
      </c>
      <c r="D661" s="41">
        <v>46023</v>
      </c>
      <c r="E661" s="40" t="s">
        <v>13</v>
      </c>
      <c r="F661" s="40" t="s">
        <v>8936</v>
      </c>
      <c r="G661" s="40" t="s">
        <v>8937</v>
      </c>
      <c r="H661" s="40" t="s">
        <v>8938</v>
      </c>
      <c r="I661" s="40" t="s">
        <v>49</v>
      </c>
      <c r="J661" s="40">
        <v>99.9</v>
      </c>
      <c r="K661" s="40">
        <v>99.9</v>
      </c>
      <c r="L661" s="40"/>
      <c r="M661" s="40">
        <v>99.9</v>
      </c>
      <c r="N661" s="40"/>
      <c r="O661" s="40" t="s">
        <v>234</v>
      </c>
    </row>
    <row r="662" spans="1:15" ht="33.75" x14ac:dyDescent="0.2">
      <c r="A662" s="40" t="s">
        <v>8939</v>
      </c>
      <c r="B662" s="40" t="s">
        <v>8940</v>
      </c>
      <c r="C662" s="41">
        <v>46023</v>
      </c>
      <c r="D662" s="41">
        <v>46023</v>
      </c>
      <c r="E662" s="40" t="s">
        <v>13</v>
      </c>
      <c r="F662" s="40" t="s">
        <v>8941</v>
      </c>
      <c r="G662" s="40" t="s">
        <v>8942</v>
      </c>
      <c r="H662" s="40" t="s">
        <v>8943</v>
      </c>
      <c r="I662" s="40" t="s">
        <v>49</v>
      </c>
      <c r="J662" s="40">
        <v>99.9</v>
      </c>
      <c r="K662" s="40">
        <v>99.9</v>
      </c>
      <c r="L662" s="40"/>
      <c r="M662" s="40">
        <v>99.9</v>
      </c>
      <c r="N662" s="40"/>
      <c r="O662" s="40" t="s">
        <v>234</v>
      </c>
    </row>
    <row r="663" spans="1:15" ht="33.75" x14ac:dyDescent="0.2">
      <c r="A663" s="40" t="s">
        <v>8944</v>
      </c>
      <c r="B663" s="40" t="s">
        <v>8945</v>
      </c>
      <c r="C663" s="41">
        <v>46023</v>
      </c>
      <c r="D663" s="41">
        <v>46023</v>
      </c>
      <c r="E663" s="40" t="s">
        <v>13</v>
      </c>
      <c r="F663" s="40" t="s">
        <v>8946</v>
      </c>
      <c r="G663" s="40" t="s">
        <v>8947</v>
      </c>
      <c r="H663" s="40" t="s">
        <v>8948</v>
      </c>
      <c r="I663" s="40" t="s">
        <v>49</v>
      </c>
      <c r="J663" s="40">
        <v>113.89</v>
      </c>
      <c r="K663" s="40">
        <v>113.89</v>
      </c>
      <c r="L663" s="40"/>
      <c r="M663" s="40">
        <v>113.89</v>
      </c>
      <c r="N663" s="40"/>
      <c r="O663" s="40" t="s">
        <v>234</v>
      </c>
    </row>
    <row r="664" spans="1:15" ht="33.75" x14ac:dyDescent="0.2">
      <c r="A664" s="40" t="s">
        <v>8949</v>
      </c>
      <c r="B664" s="40" t="s">
        <v>8950</v>
      </c>
      <c r="C664" s="41">
        <v>46023</v>
      </c>
      <c r="D664" s="41">
        <v>46023</v>
      </c>
      <c r="E664" s="40" t="s">
        <v>13</v>
      </c>
      <c r="F664" s="40" t="s">
        <v>8951</v>
      </c>
      <c r="G664" s="40" t="s">
        <v>8952</v>
      </c>
      <c r="H664" s="40" t="s">
        <v>8953</v>
      </c>
      <c r="I664" s="40" t="s">
        <v>49</v>
      </c>
      <c r="J664" s="40">
        <v>171.5</v>
      </c>
      <c r="K664" s="40">
        <v>171.5</v>
      </c>
      <c r="L664" s="40"/>
      <c r="M664" s="40">
        <v>171.5</v>
      </c>
      <c r="N664" s="40"/>
      <c r="O664" s="40" t="s">
        <v>234</v>
      </c>
    </row>
    <row r="665" spans="1:15" ht="33.75" x14ac:dyDescent="0.2">
      <c r="A665" s="40" t="s">
        <v>8954</v>
      </c>
      <c r="B665" s="40" t="s">
        <v>8955</v>
      </c>
      <c r="C665" s="41">
        <v>46023</v>
      </c>
      <c r="D665" s="41">
        <v>46023</v>
      </c>
      <c r="E665" s="40" t="s">
        <v>13</v>
      </c>
      <c r="F665" s="40" t="s">
        <v>8956</v>
      </c>
      <c r="G665" s="40" t="s">
        <v>8957</v>
      </c>
      <c r="H665" s="40" t="s">
        <v>8958</v>
      </c>
      <c r="I665" s="40" t="s">
        <v>49</v>
      </c>
      <c r="J665" s="40">
        <v>204.45</v>
      </c>
      <c r="K665" s="40">
        <v>204.45</v>
      </c>
      <c r="L665" s="40"/>
      <c r="M665" s="40">
        <v>204.45</v>
      </c>
      <c r="N665" s="40"/>
      <c r="O665" s="40" t="s">
        <v>234</v>
      </c>
    </row>
    <row r="666" spans="1:15" ht="33.75" x14ac:dyDescent="0.2">
      <c r="A666" s="40" t="s">
        <v>8959</v>
      </c>
      <c r="B666" s="40" t="s">
        <v>8960</v>
      </c>
      <c r="C666" s="41">
        <v>46023</v>
      </c>
      <c r="D666" s="41">
        <v>46023</v>
      </c>
      <c r="E666" s="40" t="s">
        <v>13</v>
      </c>
      <c r="F666" s="40" t="s">
        <v>8961</v>
      </c>
      <c r="G666" s="40" t="s">
        <v>8962</v>
      </c>
      <c r="H666" s="40" t="s">
        <v>8963</v>
      </c>
      <c r="I666" s="40" t="s">
        <v>49</v>
      </c>
      <c r="J666" s="40">
        <v>122</v>
      </c>
      <c r="K666" s="40">
        <v>122</v>
      </c>
      <c r="L666" s="40"/>
      <c r="M666" s="40">
        <v>122</v>
      </c>
      <c r="N666" s="40"/>
      <c r="O666" s="40" t="s">
        <v>234</v>
      </c>
    </row>
    <row r="667" spans="1:15" ht="45" x14ac:dyDescent="0.2">
      <c r="A667" s="40" t="s">
        <v>8964</v>
      </c>
      <c r="B667" s="40" t="s">
        <v>8965</v>
      </c>
      <c r="C667" s="41">
        <v>46023</v>
      </c>
      <c r="D667" s="41">
        <v>46023</v>
      </c>
      <c r="E667" s="40" t="s">
        <v>13</v>
      </c>
      <c r="F667" s="40" t="s">
        <v>8966</v>
      </c>
      <c r="G667" s="40" t="s">
        <v>8967</v>
      </c>
      <c r="H667" s="40" t="s">
        <v>8968</v>
      </c>
      <c r="I667" s="40" t="s">
        <v>49</v>
      </c>
      <c r="J667" s="40">
        <v>53.74</v>
      </c>
      <c r="K667" s="40">
        <v>53.74</v>
      </c>
      <c r="L667" s="40"/>
      <c r="M667" s="40">
        <v>53.74</v>
      </c>
      <c r="N667" s="40"/>
      <c r="O667" s="40" t="s">
        <v>234</v>
      </c>
    </row>
    <row r="668" spans="1:15" ht="33.75" x14ac:dyDescent="0.2">
      <c r="A668" s="40" t="s">
        <v>8969</v>
      </c>
      <c r="B668" s="40" t="s">
        <v>8970</v>
      </c>
      <c r="C668" s="41">
        <v>46023</v>
      </c>
      <c r="D668" s="41">
        <v>46023</v>
      </c>
      <c r="E668" s="40" t="s">
        <v>13</v>
      </c>
      <c r="F668" s="40" t="s">
        <v>8971</v>
      </c>
      <c r="G668" s="40" t="s">
        <v>8972</v>
      </c>
      <c r="H668" s="40" t="s">
        <v>8973</v>
      </c>
      <c r="I668" s="40" t="s">
        <v>49</v>
      </c>
      <c r="J668" s="40">
        <v>89.99</v>
      </c>
      <c r="K668" s="40">
        <v>89.99</v>
      </c>
      <c r="L668" s="40"/>
      <c r="M668" s="40">
        <v>89.99</v>
      </c>
      <c r="N668" s="40"/>
      <c r="O668" s="40" t="s">
        <v>234</v>
      </c>
    </row>
    <row r="669" spans="1:15" ht="33.75" x14ac:dyDescent="0.2">
      <c r="A669" s="40" t="s">
        <v>8974</v>
      </c>
      <c r="B669" s="40" t="s">
        <v>8975</v>
      </c>
      <c r="C669" s="41">
        <v>46023</v>
      </c>
      <c r="D669" s="41">
        <v>46023</v>
      </c>
      <c r="E669" s="40" t="s">
        <v>13</v>
      </c>
      <c r="F669" s="40" t="s">
        <v>8976</v>
      </c>
      <c r="G669" s="40" t="s">
        <v>8977</v>
      </c>
      <c r="H669" s="40" t="s">
        <v>8978</v>
      </c>
      <c r="I669" s="40" t="s">
        <v>49</v>
      </c>
      <c r="J669" s="40">
        <v>86.43</v>
      </c>
      <c r="K669" s="40">
        <v>86.43</v>
      </c>
      <c r="L669" s="40"/>
      <c r="M669" s="40">
        <v>86.43</v>
      </c>
      <c r="N669" s="40"/>
      <c r="O669" s="40" t="s">
        <v>234</v>
      </c>
    </row>
    <row r="670" spans="1:15" ht="33.75" x14ac:dyDescent="0.2">
      <c r="A670" s="40" t="s">
        <v>8979</v>
      </c>
      <c r="B670" s="40" t="s">
        <v>8980</v>
      </c>
      <c r="C670" s="41">
        <v>46023</v>
      </c>
      <c r="D670" s="41">
        <v>46023</v>
      </c>
      <c r="E670" s="40" t="s">
        <v>13</v>
      </c>
      <c r="F670" s="40" t="s">
        <v>8981</v>
      </c>
      <c r="G670" s="40" t="s">
        <v>8982</v>
      </c>
      <c r="H670" s="40" t="s">
        <v>8983</v>
      </c>
      <c r="I670" s="40" t="s">
        <v>49</v>
      </c>
      <c r="J670" s="40">
        <v>58.01</v>
      </c>
      <c r="K670" s="40">
        <v>58.01</v>
      </c>
      <c r="L670" s="40"/>
      <c r="M670" s="40">
        <v>58.01</v>
      </c>
      <c r="N670" s="40"/>
      <c r="O670" s="40" t="s">
        <v>234</v>
      </c>
    </row>
    <row r="671" spans="1:15" ht="33.75" x14ac:dyDescent="0.2">
      <c r="A671" s="40" t="s">
        <v>8984</v>
      </c>
      <c r="B671" s="40" t="s">
        <v>8985</v>
      </c>
      <c r="C671" s="41">
        <v>46023</v>
      </c>
      <c r="D671" s="41">
        <v>46023</v>
      </c>
      <c r="E671" s="40" t="s">
        <v>13</v>
      </c>
      <c r="F671" s="40" t="s">
        <v>8986</v>
      </c>
      <c r="G671" s="40" t="s">
        <v>8987</v>
      </c>
      <c r="H671" s="40" t="s">
        <v>8988</v>
      </c>
      <c r="I671" s="40" t="s">
        <v>49</v>
      </c>
      <c r="J671" s="40">
        <v>64.150000000000006</v>
      </c>
      <c r="K671" s="40">
        <v>64.150000000000006</v>
      </c>
      <c r="L671" s="40"/>
      <c r="M671" s="40">
        <v>64.150000000000006</v>
      </c>
      <c r="N671" s="40"/>
      <c r="O671" s="40" t="s">
        <v>234</v>
      </c>
    </row>
    <row r="672" spans="1:15" ht="33.75" x14ac:dyDescent="0.2">
      <c r="A672" s="40" t="s">
        <v>8989</v>
      </c>
      <c r="B672" s="40" t="s">
        <v>8990</v>
      </c>
      <c r="C672" s="41">
        <v>46023</v>
      </c>
      <c r="D672" s="41">
        <v>46023</v>
      </c>
      <c r="E672" s="40" t="s">
        <v>13</v>
      </c>
      <c r="F672" s="40" t="s">
        <v>8991</v>
      </c>
      <c r="G672" s="40" t="s">
        <v>8992</v>
      </c>
      <c r="H672" s="40" t="s">
        <v>8993</v>
      </c>
      <c r="I672" s="40" t="s">
        <v>49</v>
      </c>
      <c r="J672" s="40">
        <v>185.61</v>
      </c>
      <c r="K672" s="40">
        <v>185.61</v>
      </c>
      <c r="L672" s="40"/>
      <c r="M672" s="40">
        <v>185.61</v>
      </c>
      <c r="N672" s="40"/>
      <c r="O672" s="40" t="s">
        <v>234</v>
      </c>
    </row>
    <row r="673" spans="1:15" ht="33.75" x14ac:dyDescent="0.2">
      <c r="A673" s="40" t="s">
        <v>8994</v>
      </c>
      <c r="B673" s="40" t="s">
        <v>8995</v>
      </c>
      <c r="C673" s="41">
        <v>46023</v>
      </c>
      <c r="D673" s="41">
        <v>46023</v>
      </c>
      <c r="E673" s="40" t="s">
        <v>13</v>
      </c>
      <c r="F673" s="40" t="s">
        <v>8996</v>
      </c>
      <c r="G673" s="40" t="s">
        <v>8997</v>
      </c>
      <c r="H673" s="40" t="s">
        <v>8998</v>
      </c>
      <c r="I673" s="40" t="s">
        <v>49</v>
      </c>
      <c r="J673" s="40">
        <v>86.43</v>
      </c>
      <c r="K673" s="40">
        <v>86.43</v>
      </c>
      <c r="L673" s="40"/>
      <c r="M673" s="40">
        <v>86.43</v>
      </c>
      <c r="N673" s="40"/>
      <c r="O673" s="40" t="s">
        <v>234</v>
      </c>
    </row>
    <row r="674" spans="1:15" ht="33.75" x14ac:dyDescent="0.2">
      <c r="A674" s="40" t="s">
        <v>8999</v>
      </c>
      <c r="B674" s="40" t="s">
        <v>9000</v>
      </c>
      <c r="C674" s="41">
        <v>46023</v>
      </c>
      <c r="D674" s="41">
        <v>46023</v>
      </c>
      <c r="E674" s="40" t="s">
        <v>13</v>
      </c>
      <c r="F674" s="40" t="s">
        <v>9001</v>
      </c>
      <c r="G674" s="40" t="s">
        <v>9002</v>
      </c>
      <c r="H674" s="40" t="s">
        <v>9003</v>
      </c>
      <c r="I674" s="40" t="s">
        <v>49</v>
      </c>
      <c r="J674" s="40">
        <v>86.43</v>
      </c>
      <c r="K674" s="40">
        <v>86.43</v>
      </c>
      <c r="L674" s="40"/>
      <c r="M674" s="40">
        <v>86.43</v>
      </c>
      <c r="N674" s="40"/>
      <c r="O674" s="40" t="s">
        <v>234</v>
      </c>
    </row>
    <row r="675" spans="1:15" ht="33.75" x14ac:dyDescent="0.2">
      <c r="A675" s="40" t="s">
        <v>9004</v>
      </c>
      <c r="B675" s="40" t="s">
        <v>9005</v>
      </c>
      <c r="C675" s="41">
        <v>46023</v>
      </c>
      <c r="D675" s="41">
        <v>46023</v>
      </c>
      <c r="E675" s="40" t="s">
        <v>13</v>
      </c>
      <c r="F675" s="40" t="s">
        <v>9006</v>
      </c>
      <c r="G675" s="40" t="s">
        <v>9007</v>
      </c>
      <c r="H675" s="40" t="s">
        <v>9008</v>
      </c>
      <c r="I675" s="40" t="s">
        <v>49</v>
      </c>
      <c r="J675" s="40">
        <v>156.4</v>
      </c>
      <c r="K675" s="40">
        <v>156.4</v>
      </c>
      <c r="L675" s="40"/>
      <c r="M675" s="40">
        <v>156.4</v>
      </c>
      <c r="N675" s="40"/>
      <c r="O675" s="40" t="s">
        <v>234</v>
      </c>
    </row>
    <row r="676" spans="1:15" ht="33.75" x14ac:dyDescent="0.2">
      <c r="A676" s="40" t="s">
        <v>9009</v>
      </c>
      <c r="B676" s="40" t="s">
        <v>9010</v>
      </c>
      <c r="C676" s="41">
        <v>46023</v>
      </c>
      <c r="D676" s="41">
        <v>46023</v>
      </c>
      <c r="E676" s="40" t="s">
        <v>13</v>
      </c>
      <c r="F676" s="40" t="s">
        <v>9011</v>
      </c>
      <c r="G676" s="40" t="s">
        <v>9012</v>
      </c>
      <c r="H676" s="40" t="s">
        <v>9013</v>
      </c>
      <c r="I676" s="40" t="s">
        <v>49</v>
      </c>
      <c r="J676" s="40">
        <v>358.18</v>
      </c>
      <c r="K676" s="40">
        <v>358.18</v>
      </c>
      <c r="L676" s="40"/>
      <c r="M676" s="40">
        <v>358.18</v>
      </c>
      <c r="N676" s="40"/>
      <c r="O676" s="40" t="s">
        <v>234</v>
      </c>
    </row>
    <row r="677" spans="1:15" ht="33.75" x14ac:dyDescent="0.2">
      <c r="A677" s="40" t="s">
        <v>9014</v>
      </c>
      <c r="B677" s="40" t="s">
        <v>9015</v>
      </c>
      <c r="C677" s="41">
        <v>46023</v>
      </c>
      <c r="D677" s="41">
        <v>46023</v>
      </c>
      <c r="E677" s="40" t="s">
        <v>13</v>
      </c>
      <c r="F677" s="40" t="s">
        <v>9016</v>
      </c>
      <c r="G677" s="40" t="s">
        <v>9017</v>
      </c>
      <c r="H677" s="40" t="s">
        <v>9018</v>
      </c>
      <c r="I677" s="40" t="s">
        <v>49</v>
      </c>
      <c r="J677" s="40">
        <v>89.99</v>
      </c>
      <c r="K677" s="40">
        <v>89.99</v>
      </c>
      <c r="L677" s="40"/>
      <c r="M677" s="40">
        <v>89.99</v>
      </c>
      <c r="N677" s="40"/>
      <c r="O677" s="40" t="s">
        <v>234</v>
      </c>
    </row>
    <row r="678" spans="1:15" ht="33.75" x14ac:dyDescent="0.2">
      <c r="A678" s="40" t="s">
        <v>9019</v>
      </c>
      <c r="B678" s="40" t="s">
        <v>9020</v>
      </c>
      <c r="C678" s="41">
        <v>46023</v>
      </c>
      <c r="D678" s="41">
        <v>46023</v>
      </c>
      <c r="E678" s="40" t="s">
        <v>13</v>
      </c>
      <c r="F678" s="40" t="s">
        <v>9021</v>
      </c>
      <c r="G678" s="40" t="s">
        <v>9022</v>
      </c>
      <c r="H678" s="40" t="s">
        <v>9023</v>
      </c>
      <c r="I678" s="40" t="s">
        <v>49</v>
      </c>
      <c r="J678" s="40">
        <v>130.01</v>
      </c>
      <c r="K678" s="40">
        <v>130.01</v>
      </c>
      <c r="L678" s="40"/>
      <c r="M678" s="40">
        <v>130.01</v>
      </c>
      <c r="N678" s="40"/>
      <c r="O678" s="40" t="s">
        <v>234</v>
      </c>
    </row>
    <row r="679" spans="1:15" ht="33.75" x14ac:dyDescent="0.2">
      <c r="A679" s="40" t="s">
        <v>9024</v>
      </c>
      <c r="B679" s="40" t="s">
        <v>9025</v>
      </c>
      <c r="C679" s="41">
        <v>46023</v>
      </c>
      <c r="D679" s="41">
        <v>46023</v>
      </c>
      <c r="E679" s="40" t="s">
        <v>13</v>
      </c>
      <c r="F679" s="40" t="s">
        <v>9026</v>
      </c>
      <c r="G679" s="40" t="s">
        <v>9027</v>
      </c>
      <c r="H679" s="40" t="s">
        <v>9028</v>
      </c>
      <c r="I679" s="40" t="s">
        <v>49</v>
      </c>
      <c r="J679" s="40">
        <v>194</v>
      </c>
      <c r="K679" s="40">
        <v>194</v>
      </c>
      <c r="L679" s="40"/>
      <c r="M679" s="40">
        <v>194</v>
      </c>
      <c r="N679" s="40"/>
      <c r="O679" s="40" t="s">
        <v>234</v>
      </c>
    </row>
    <row r="680" spans="1:15" ht="33.75" x14ac:dyDescent="0.2">
      <c r="A680" s="40" t="s">
        <v>9029</v>
      </c>
      <c r="B680" s="40" t="s">
        <v>9030</v>
      </c>
      <c r="C680" s="41">
        <v>46023</v>
      </c>
      <c r="D680" s="41">
        <v>46023</v>
      </c>
      <c r="E680" s="40" t="s">
        <v>13</v>
      </c>
      <c r="F680" s="40" t="s">
        <v>9031</v>
      </c>
      <c r="G680" s="40" t="s">
        <v>9032</v>
      </c>
      <c r="H680" s="40" t="s">
        <v>9033</v>
      </c>
      <c r="I680" s="40" t="s">
        <v>49</v>
      </c>
      <c r="J680" s="40">
        <v>60.3</v>
      </c>
      <c r="K680" s="40">
        <v>60.3</v>
      </c>
      <c r="L680" s="40"/>
      <c r="M680" s="40">
        <v>60.3</v>
      </c>
      <c r="N680" s="40"/>
      <c r="O680" s="40" t="s">
        <v>234</v>
      </c>
    </row>
    <row r="681" spans="1:15" ht="33.75" x14ac:dyDescent="0.2">
      <c r="A681" s="40" t="s">
        <v>9034</v>
      </c>
      <c r="B681" s="40" t="s">
        <v>9035</v>
      </c>
      <c r="C681" s="41">
        <v>46023</v>
      </c>
      <c r="D681" s="41">
        <v>46023</v>
      </c>
      <c r="E681" s="40" t="s">
        <v>13</v>
      </c>
      <c r="F681" s="40" t="s">
        <v>9036</v>
      </c>
      <c r="G681" s="40" t="s">
        <v>9037</v>
      </c>
      <c r="H681" s="40" t="s">
        <v>9038</v>
      </c>
      <c r="I681" s="40" t="s">
        <v>49</v>
      </c>
      <c r="J681" s="40">
        <v>173</v>
      </c>
      <c r="K681" s="40">
        <v>173</v>
      </c>
      <c r="L681" s="40"/>
      <c r="M681" s="40">
        <v>173</v>
      </c>
      <c r="N681" s="40"/>
      <c r="O681" s="40" t="s">
        <v>234</v>
      </c>
    </row>
    <row r="682" spans="1:15" ht="33.75" x14ac:dyDescent="0.2">
      <c r="A682" s="40" t="s">
        <v>9039</v>
      </c>
      <c r="B682" s="40" t="s">
        <v>9040</v>
      </c>
      <c r="C682" s="41">
        <v>46023</v>
      </c>
      <c r="D682" s="41">
        <v>46023</v>
      </c>
      <c r="E682" s="40" t="s">
        <v>13</v>
      </c>
      <c r="F682" s="40" t="s">
        <v>9041</v>
      </c>
      <c r="G682" s="40" t="s">
        <v>9042</v>
      </c>
      <c r="H682" s="40" t="s">
        <v>9043</v>
      </c>
      <c r="I682" s="40" t="s">
        <v>49</v>
      </c>
      <c r="J682" s="40">
        <v>46</v>
      </c>
      <c r="K682" s="40">
        <v>46</v>
      </c>
      <c r="L682" s="40"/>
      <c r="M682" s="40">
        <v>46</v>
      </c>
      <c r="N682" s="40"/>
      <c r="O682" s="40" t="s">
        <v>234</v>
      </c>
    </row>
    <row r="683" spans="1:15" ht="33.75" x14ac:dyDescent="0.2">
      <c r="A683" s="40" t="s">
        <v>9044</v>
      </c>
      <c r="B683" s="40" t="s">
        <v>9045</v>
      </c>
      <c r="C683" s="41">
        <v>46023</v>
      </c>
      <c r="D683" s="41">
        <v>46023</v>
      </c>
      <c r="E683" s="40" t="s">
        <v>13</v>
      </c>
      <c r="F683" s="40" t="s">
        <v>9046</v>
      </c>
      <c r="G683" s="40" t="s">
        <v>9047</v>
      </c>
      <c r="H683" s="40" t="s">
        <v>9048</v>
      </c>
      <c r="I683" s="40" t="s">
        <v>49</v>
      </c>
      <c r="J683" s="40">
        <v>102.41</v>
      </c>
      <c r="K683" s="40">
        <v>102.41</v>
      </c>
      <c r="L683" s="40"/>
      <c r="M683" s="40">
        <v>102.41</v>
      </c>
      <c r="N683" s="40"/>
      <c r="O683" s="40" t="s">
        <v>234</v>
      </c>
    </row>
    <row r="684" spans="1:15" ht="33.75" x14ac:dyDescent="0.2">
      <c r="A684" s="40" t="s">
        <v>9049</v>
      </c>
      <c r="B684" s="40" t="s">
        <v>9050</v>
      </c>
      <c r="C684" s="41">
        <v>46023</v>
      </c>
      <c r="D684" s="41">
        <v>46023</v>
      </c>
      <c r="E684" s="40" t="s">
        <v>13</v>
      </c>
      <c r="F684" s="40" t="s">
        <v>9051</v>
      </c>
      <c r="G684" s="40" t="s">
        <v>9052</v>
      </c>
      <c r="H684" s="40" t="s">
        <v>9053</v>
      </c>
      <c r="I684" s="40" t="s">
        <v>49</v>
      </c>
      <c r="J684" s="40">
        <v>102.41</v>
      </c>
      <c r="K684" s="40">
        <v>102.41</v>
      </c>
      <c r="L684" s="40"/>
      <c r="M684" s="40">
        <v>102.41</v>
      </c>
      <c r="N684" s="40"/>
      <c r="O684" s="40" t="s">
        <v>234</v>
      </c>
    </row>
    <row r="685" spans="1:15" ht="33.75" x14ac:dyDescent="0.2">
      <c r="A685" s="40" t="s">
        <v>9054</v>
      </c>
      <c r="B685" s="40" t="s">
        <v>9055</v>
      </c>
      <c r="C685" s="41">
        <v>46023</v>
      </c>
      <c r="D685" s="41">
        <v>46023</v>
      </c>
      <c r="E685" s="40" t="s">
        <v>13</v>
      </c>
      <c r="F685" s="40" t="s">
        <v>9056</v>
      </c>
      <c r="G685" s="40" t="s">
        <v>9057</v>
      </c>
      <c r="H685" s="40" t="s">
        <v>9058</v>
      </c>
      <c r="I685" s="40" t="s">
        <v>49</v>
      </c>
      <c r="J685" s="40">
        <v>59.4</v>
      </c>
      <c r="K685" s="40">
        <v>59.4</v>
      </c>
      <c r="L685" s="40"/>
      <c r="M685" s="40">
        <v>59.4</v>
      </c>
      <c r="N685" s="40"/>
      <c r="O685" s="40" t="s">
        <v>234</v>
      </c>
    </row>
    <row r="686" spans="1:15" ht="33.75" x14ac:dyDescent="0.2">
      <c r="A686" s="40" t="s">
        <v>9059</v>
      </c>
      <c r="B686" s="40" t="s">
        <v>9060</v>
      </c>
      <c r="C686" s="41">
        <v>46023</v>
      </c>
      <c r="D686" s="41">
        <v>46023</v>
      </c>
      <c r="E686" s="40" t="s">
        <v>13</v>
      </c>
      <c r="F686" s="40" t="s">
        <v>9061</v>
      </c>
      <c r="G686" s="40" t="s">
        <v>9062</v>
      </c>
      <c r="H686" s="40" t="s">
        <v>9063</v>
      </c>
      <c r="I686" s="40" t="s">
        <v>49</v>
      </c>
      <c r="J686" s="40">
        <v>52.19</v>
      </c>
      <c r="K686" s="40">
        <v>52.19</v>
      </c>
      <c r="L686" s="40"/>
      <c r="M686" s="40">
        <v>52.19</v>
      </c>
      <c r="N686" s="40"/>
      <c r="O686" s="40" t="s">
        <v>234</v>
      </c>
    </row>
    <row r="687" spans="1:15" ht="33.75" x14ac:dyDescent="0.2">
      <c r="A687" s="40" t="s">
        <v>9064</v>
      </c>
      <c r="B687" s="40" t="s">
        <v>9065</v>
      </c>
      <c r="C687" s="41">
        <v>46023</v>
      </c>
      <c r="D687" s="41">
        <v>46023</v>
      </c>
      <c r="E687" s="40" t="s">
        <v>13</v>
      </c>
      <c r="F687" s="40" t="s">
        <v>9066</v>
      </c>
      <c r="G687" s="40" t="s">
        <v>9067</v>
      </c>
      <c r="H687" s="40" t="s">
        <v>9068</v>
      </c>
      <c r="I687" s="40" t="s">
        <v>49</v>
      </c>
      <c r="J687" s="40">
        <v>117</v>
      </c>
      <c r="K687" s="40">
        <v>117</v>
      </c>
      <c r="L687" s="40"/>
      <c r="M687" s="40">
        <v>117</v>
      </c>
      <c r="N687" s="40"/>
      <c r="O687" s="40" t="s">
        <v>234</v>
      </c>
    </row>
    <row r="688" spans="1:15" ht="33.75" x14ac:dyDescent="0.2">
      <c r="A688" s="40" t="s">
        <v>9069</v>
      </c>
      <c r="B688" s="40" t="s">
        <v>9070</v>
      </c>
      <c r="C688" s="41">
        <v>46023</v>
      </c>
      <c r="D688" s="41">
        <v>46023</v>
      </c>
      <c r="E688" s="40" t="s">
        <v>13</v>
      </c>
      <c r="F688" s="40" t="s">
        <v>9071</v>
      </c>
      <c r="G688" s="40" t="s">
        <v>9072</v>
      </c>
      <c r="H688" s="40" t="s">
        <v>9073</v>
      </c>
      <c r="I688" s="40" t="s">
        <v>49</v>
      </c>
      <c r="J688" s="40">
        <v>102.41</v>
      </c>
      <c r="K688" s="40">
        <v>102.41</v>
      </c>
      <c r="L688" s="40"/>
      <c r="M688" s="40">
        <v>102.41</v>
      </c>
      <c r="N688" s="40"/>
      <c r="O688" s="40" t="s">
        <v>234</v>
      </c>
    </row>
    <row r="689" spans="1:15" ht="33.75" x14ac:dyDescent="0.2">
      <c r="A689" s="40" t="s">
        <v>9074</v>
      </c>
      <c r="B689" s="40" t="s">
        <v>9075</v>
      </c>
      <c r="C689" s="41">
        <v>46023</v>
      </c>
      <c r="D689" s="41">
        <v>46023</v>
      </c>
      <c r="E689" s="40" t="s">
        <v>13</v>
      </c>
      <c r="F689" s="40" t="s">
        <v>9076</v>
      </c>
      <c r="G689" s="40" t="s">
        <v>9077</v>
      </c>
      <c r="H689" s="40" t="s">
        <v>9078</v>
      </c>
      <c r="I689" s="40" t="s">
        <v>49</v>
      </c>
      <c r="J689" s="40">
        <v>87.3</v>
      </c>
      <c r="K689" s="40">
        <v>87.3</v>
      </c>
      <c r="L689" s="40"/>
      <c r="M689" s="40">
        <v>87.3</v>
      </c>
      <c r="N689" s="40"/>
      <c r="O689" s="40" t="s">
        <v>234</v>
      </c>
    </row>
    <row r="690" spans="1:15" ht="33.75" x14ac:dyDescent="0.2">
      <c r="A690" s="40" t="s">
        <v>9079</v>
      </c>
      <c r="B690" s="40" t="s">
        <v>9080</v>
      </c>
      <c r="C690" s="41">
        <v>46023</v>
      </c>
      <c r="D690" s="41">
        <v>46023</v>
      </c>
      <c r="E690" s="40" t="s">
        <v>13</v>
      </c>
      <c r="F690" s="40" t="s">
        <v>9081</v>
      </c>
      <c r="G690" s="40" t="s">
        <v>9082</v>
      </c>
      <c r="H690" s="40" t="s">
        <v>9083</v>
      </c>
      <c r="I690" s="40" t="s">
        <v>49</v>
      </c>
      <c r="J690" s="40">
        <v>118</v>
      </c>
      <c r="K690" s="40">
        <v>118</v>
      </c>
      <c r="L690" s="40"/>
      <c r="M690" s="40">
        <v>118</v>
      </c>
      <c r="N690" s="40"/>
      <c r="O690" s="40" t="s">
        <v>234</v>
      </c>
    </row>
    <row r="691" spans="1:15" ht="33.75" x14ac:dyDescent="0.2">
      <c r="A691" s="40" t="s">
        <v>9084</v>
      </c>
      <c r="B691" s="40" t="s">
        <v>9085</v>
      </c>
      <c r="C691" s="41">
        <v>46023</v>
      </c>
      <c r="D691" s="41">
        <v>46023</v>
      </c>
      <c r="E691" s="40" t="s">
        <v>13</v>
      </c>
      <c r="F691" s="40" t="s">
        <v>9086</v>
      </c>
      <c r="G691" s="40" t="s">
        <v>9087</v>
      </c>
      <c r="H691" s="40" t="s">
        <v>9088</v>
      </c>
      <c r="I691" s="40" t="s">
        <v>49</v>
      </c>
      <c r="J691" s="40">
        <v>60</v>
      </c>
      <c r="K691" s="40">
        <v>60</v>
      </c>
      <c r="L691" s="40"/>
      <c r="M691" s="40">
        <v>60</v>
      </c>
      <c r="N691" s="40"/>
      <c r="O691" s="40" t="s">
        <v>234</v>
      </c>
    </row>
    <row r="692" spans="1:15" ht="33.75" x14ac:dyDescent="0.2">
      <c r="A692" s="40" t="s">
        <v>9089</v>
      </c>
      <c r="B692" s="40" t="s">
        <v>9090</v>
      </c>
      <c r="C692" s="41">
        <v>46023</v>
      </c>
      <c r="D692" s="41">
        <v>46023</v>
      </c>
      <c r="E692" s="40" t="s">
        <v>13</v>
      </c>
      <c r="F692" s="40" t="s">
        <v>9091</v>
      </c>
      <c r="G692" s="40" t="s">
        <v>9092</v>
      </c>
      <c r="H692" s="40" t="s">
        <v>9093</v>
      </c>
      <c r="I692" s="40" t="s">
        <v>49</v>
      </c>
      <c r="J692" s="40">
        <v>55.8</v>
      </c>
      <c r="K692" s="40">
        <v>55.8</v>
      </c>
      <c r="L692" s="40"/>
      <c r="M692" s="40">
        <v>55.8</v>
      </c>
      <c r="N692" s="40"/>
      <c r="O692" s="40" t="s">
        <v>234</v>
      </c>
    </row>
    <row r="693" spans="1:15" ht="33.75" x14ac:dyDescent="0.2">
      <c r="A693" s="40" t="s">
        <v>9094</v>
      </c>
      <c r="B693" s="40" t="s">
        <v>9095</v>
      </c>
      <c r="C693" s="41">
        <v>46023</v>
      </c>
      <c r="D693" s="41">
        <v>46023</v>
      </c>
      <c r="E693" s="40" t="s">
        <v>13</v>
      </c>
      <c r="F693" s="40" t="s">
        <v>9096</v>
      </c>
      <c r="G693" s="40" t="s">
        <v>9097</v>
      </c>
      <c r="H693" s="40" t="s">
        <v>9098</v>
      </c>
      <c r="I693" s="40" t="s">
        <v>49</v>
      </c>
      <c r="J693" s="40">
        <v>88.8</v>
      </c>
      <c r="K693" s="40">
        <v>88.8</v>
      </c>
      <c r="L693" s="40"/>
      <c r="M693" s="40">
        <v>88.8</v>
      </c>
      <c r="N693" s="40"/>
      <c r="O693" s="40" t="s">
        <v>234</v>
      </c>
    </row>
    <row r="694" spans="1:15" ht="33.75" x14ac:dyDescent="0.2">
      <c r="A694" s="40" t="s">
        <v>9099</v>
      </c>
      <c r="B694" s="40" t="s">
        <v>9100</v>
      </c>
      <c r="C694" s="41">
        <v>46023</v>
      </c>
      <c r="D694" s="41">
        <v>46023</v>
      </c>
      <c r="E694" s="40" t="s">
        <v>13</v>
      </c>
      <c r="F694" s="40" t="s">
        <v>9101</v>
      </c>
      <c r="G694" s="40" t="s">
        <v>9102</v>
      </c>
      <c r="H694" s="40" t="s">
        <v>9103</v>
      </c>
      <c r="I694" s="40" t="s">
        <v>49</v>
      </c>
      <c r="J694" s="40">
        <v>121</v>
      </c>
      <c r="K694" s="40">
        <v>121</v>
      </c>
      <c r="L694" s="40"/>
      <c r="M694" s="40">
        <v>121</v>
      </c>
      <c r="N694" s="40"/>
      <c r="O694" s="40" t="s">
        <v>234</v>
      </c>
    </row>
    <row r="695" spans="1:15" ht="33.75" x14ac:dyDescent="0.2">
      <c r="A695" s="40" t="s">
        <v>9104</v>
      </c>
      <c r="B695" s="40" t="s">
        <v>9105</v>
      </c>
      <c r="C695" s="41">
        <v>46023</v>
      </c>
      <c r="D695" s="41">
        <v>46023</v>
      </c>
      <c r="E695" s="40" t="s">
        <v>13</v>
      </c>
      <c r="F695" s="40" t="s">
        <v>9106</v>
      </c>
      <c r="G695" s="40" t="s">
        <v>9107</v>
      </c>
      <c r="H695" s="40" t="s">
        <v>9108</v>
      </c>
      <c r="I695" s="40" t="s">
        <v>49</v>
      </c>
      <c r="J695" s="40">
        <v>122</v>
      </c>
      <c r="K695" s="40">
        <v>122</v>
      </c>
      <c r="L695" s="40"/>
      <c r="M695" s="40">
        <v>122</v>
      </c>
      <c r="N695" s="40"/>
      <c r="O695" s="40" t="s">
        <v>234</v>
      </c>
    </row>
    <row r="696" spans="1:15" ht="33.75" x14ac:dyDescent="0.2">
      <c r="A696" s="40" t="s">
        <v>9109</v>
      </c>
      <c r="B696" s="40" t="s">
        <v>9110</v>
      </c>
      <c r="C696" s="41">
        <v>46023</v>
      </c>
      <c r="D696" s="41">
        <v>46023</v>
      </c>
      <c r="E696" s="40" t="s">
        <v>13</v>
      </c>
      <c r="F696" s="40" t="s">
        <v>9111</v>
      </c>
      <c r="G696" s="40" t="s">
        <v>9112</v>
      </c>
      <c r="H696" s="40" t="s">
        <v>9113</v>
      </c>
      <c r="I696" s="40" t="s">
        <v>49</v>
      </c>
      <c r="J696" s="40">
        <v>102.41</v>
      </c>
      <c r="K696" s="40">
        <v>102.41</v>
      </c>
      <c r="L696" s="40"/>
      <c r="M696" s="40">
        <v>102.41</v>
      </c>
      <c r="N696" s="40"/>
      <c r="O696" s="40" t="s">
        <v>234</v>
      </c>
    </row>
    <row r="697" spans="1:15" ht="33.75" x14ac:dyDescent="0.2">
      <c r="A697" s="40" t="s">
        <v>9114</v>
      </c>
      <c r="B697" s="40" t="s">
        <v>9115</v>
      </c>
      <c r="C697" s="41">
        <v>46023</v>
      </c>
      <c r="D697" s="41">
        <v>46023</v>
      </c>
      <c r="E697" s="40" t="s">
        <v>13</v>
      </c>
      <c r="F697" s="40" t="s">
        <v>9116</v>
      </c>
      <c r="G697" s="40" t="s">
        <v>9117</v>
      </c>
      <c r="H697" s="40" t="s">
        <v>9118</v>
      </c>
      <c r="I697" s="40" t="s">
        <v>49</v>
      </c>
      <c r="J697" s="40">
        <v>102.41</v>
      </c>
      <c r="K697" s="40">
        <v>102.41</v>
      </c>
      <c r="L697" s="40"/>
      <c r="M697" s="40">
        <v>102.41</v>
      </c>
      <c r="N697" s="40"/>
      <c r="O697" s="40" t="s">
        <v>234</v>
      </c>
    </row>
    <row r="698" spans="1:15" ht="33.75" x14ac:dyDescent="0.2">
      <c r="A698" s="40" t="s">
        <v>9119</v>
      </c>
      <c r="B698" s="40" t="s">
        <v>9120</v>
      </c>
      <c r="C698" s="41">
        <v>46023</v>
      </c>
      <c r="D698" s="41">
        <v>46023</v>
      </c>
      <c r="E698" s="40" t="s">
        <v>13</v>
      </c>
      <c r="F698" s="40" t="s">
        <v>9121</v>
      </c>
      <c r="G698" s="40" t="s">
        <v>9122</v>
      </c>
      <c r="H698" s="40" t="s">
        <v>9123</v>
      </c>
      <c r="I698" s="40" t="s">
        <v>49</v>
      </c>
      <c r="J698" s="40">
        <v>82.25</v>
      </c>
      <c r="K698" s="40">
        <v>82.25</v>
      </c>
      <c r="L698" s="40"/>
      <c r="M698" s="40">
        <v>82.25</v>
      </c>
      <c r="N698" s="40"/>
      <c r="O698" s="40" t="s">
        <v>234</v>
      </c>
    </row>
    <row r="699" spans="1:15" ht="33.75" x14ac:dyDescent="0.2">
      <c r="A699" s="40" t="s">
        <v>9124</v>
      </c>
      <c r="B699" s="40" t="s">
        <v>9125</v>
      </c>
      <c r="C699" s="41">
        <v>46023</v>
      </c>
      <c r="D699" s="41">
        <v>46023</v>
      </c>
      <c r="E699" s="40" t="s">
        <v>13</v>
      </c>
      <c r="F699" s="40" t="s">
        <v>9126</v>
      </c>
      <c r="G699" s="40" t="s">
        <v>9127</v>
      </c>
      <c r="H699" s="40" t="s">
        <v>9128</v>
      </c>
      <c r="I699" s="40" t="s">
        <v>49</v>
      </c>
      <c r="J699" s="40">
        <v>380</v>
      </c>
      <c r="K699" s="40">
        <v>380</v>
      </c>
      <c r="L699" s="40"/>
      <c r="M699" s="40">
        <v>380</v>
      </c>
      <c r="N699" s="40"/>
      <c r="O699" s="40" t="s">
        <v>234</v>
      </c>
    </row>
    <row r="700" spans="1:15" ht="33.75" x14ac:dyDescent="0.2">
      <c r="A700" s="40" t="s">
        <v>9129</v>
      </c>
      <c r="B700" s="40" t="s">
        <v>9130</v>
      </c>
      <c r="C700" s="41">
        <v>46023</v>
      </c>
      <c r="D700" s="41">
        <v>46023</v>
      </c>
      <c r="E700" s="40" t="s">
        <v>13</v>
      </c>
      <c r="F700" s="40" t="s">
        <v>9131</v>
      </c>
      <c r="G700" s="40" t="s">
        <v>9132</v>
      </c>
      <c r="H700" s="40" t="s">
        <v>9133</v>
      </c>
      <c r="I700" s="40" t="s">
        <v>49</v>
      </c>
      <c r="J700" s="40">
        <v>58</v>
      </c>
      <c r="K700" s="40">
        <v>58</v>
      </c>
      <c r="L700" s="40"/>
      <c r="M700" s="40">
        <v>58</v>
      </c>
      <c r="N700" s="40"/>
      <c r="O700" s="40" t="s">
        <v>234</v>
      </c>
    </row>
    <row r="701" spans="1:15" ht="33.75" x14ac:dyDescent="0.2">
      <c r="A701" s="40" t="s">
        <v>9134</v>
      </c>
      <c r="B701" s="40" t="s">
        <v>9135</v>
      </c>
      <c r="C701" s="41">
        <v>46023</v>
      </c>
      <c r="D701" s="41">
        <v>46023</v>
      </c>
      <c r="E701" s="40" t="s">
        <v>13</v>
      </c>
      <c r="F701" s="40" t="s">
        <v>9136</v>
      </c>
      <c r="G701" s="40" t="s">
        <v>9137</v>
      </c>
      <c r="H701" s="40" t="s">
        <v>9138</v>
      </c>
      <c r="I701" s="40" t="s">
        <v>49</v>
      </c>
      <c r="J701" s="40">
        <v>102.41</v>
      </c>
      <c r="K701" s="40">
        <v>102.41</v>
      </c>
      <c r="L701" s="40"/>
      <c r="M701" s="40">
        <v>102.41</v>
      </c>
      <c r="N701" s="40"/>
      <c r="O701" s="40" t="s">
        <v>234</v>
      </c>
    </row>
    <row r="702" spans="1:15" ht="33.75" x14ac:dyDescent="0.2">
      <c r="A702" s="40" t="s">
        <v>9139</v>
      </c>
      <c r="B702" s="40" t="s">
        <v>9140</v>
      </c>
      <c r="C702" s="41">
        <v>46023</v>
      </c>
      <c r="D702" s="41">
        <v>46023</v>
      </c>
      <c r="E702" s="40" t="s">
        <v>13</v>
      </c>
      <c r="F702" s="40" t="s">
        <v>9141</v>
      </c>
      <c r="G702" s="40" t="s">
        <v>9142</v>
      </c>
      <c r="H702" s="40" t="s">
        <v>9143</v>
      </c>
      <c r="I702" s="40" t="s">
        <v>49</v>
      </c>
      <c r="J702" s="40">
        <v>136.01</v>
      </c>
      <c r="K702" s="40">
        <v>136.01</v>
      </c>
      <c r="L702" s="40"/>
      <c r="M702" s="40">
        <v>136.01</v>
      </c>
      <c r="N702" s="40"/>
      <c r="O702" s="40" t="s">
        <v>234</v>
      </c>
    </row>
    <row r="703" spans="1:15" ht="45" x14ac:dyDescent="0.2">
      <c r="A703" s="40" t="s">
        <v>9144</v>
      </c>
      <c r="B703" s="40" t="s">
        <v>9145</v>
      </c>
      <c r="C703" s="41">
        <v>46023</v>
      </c>
      <c r="D703" s="41">
        <v>46023</v>
      </c>
      <c r="E703" s="40" t="s">
        <v>13</v>
      </c>
      <c r="F703" s="40" t="s">
        <v>9146</v>
      </c>
      <c r="G703" s="40" t="s">
        <v>9147</v>
      </c>
      <c r="H703" s="40" t="s">
        <v>9148</v>
      </c>
      <c r="I703" s="40" t="s">
        <v>49</v>
      </c>
      <c r="J703" s="40">
        <v>97</v>
      </c>
      <c r="K703" s="40">
        <v>97</v>
      </c>
      <c r="L703" s="40"/>
      <c r="M703" s="40">
        <v>97</v>
      </c>
      <c r="N703" s="40"/>
      <c r="O703" s="40" t="s">
        <v>234</v>
      </c>
    </row>
    <row r="704" spans="1:15" ht="33.75" x14ac:dyDescent="0.2">
      <c r="A704" s="40" t="s">
        <v>9149</v>
      </c>
      <c r="B704" s="40" t="s">
        <v>9150</v>
      </c>
      <c r="C704" s="41">
        <v>46023</v>
      </c>
      <c r="D704" s="41">
        <v>46023</v>
      </c>
      <c r="E704" s="40" t="s">
        <v>13</v>
      </c>
      <c r="F704" s="40" t="s">
        <v>9151</v>
      </c>
      <c r="G704" s="40" t="s">
        <v>9152</v>
      </c>
      <c r="H704" s="40" t="s">
        <v>9153</v>
      </c>
      <c r="I704" s="40" t="s">
        <v>49</v>
      </c>
      <c r="J704" s="40">
        <v>60.57</v>
      </c>
      <c r="K704" s="40">
        <v>60.57</v>
      </c>
      <c r="L704" s="40"/>
      <c r="M704" s="40">
        <v>60.57</v>
      </c>
      <c r="N704" s="40"/>
      <c r="O704" s="40" t="s">
        <v>234</v>
      </c>
    </row>
    <row r="705" spans="1:15" ht="33.75" x14ac:dyDescent="0.2">
      <c r="A705" s="40" t="s">
        <v>9154</v>
      </c>
      <c r="B705" s="40" t="s">
        <v>9155</v>
      </c>
      <c r="C705" s="41">
        <v>46023</v>
      </c>
      <c r="D705" s="41">
        <v>46023</v>
      </c>
      <c r="E705" s="40" t="s">
        <v>13</v>
      </c>
      <c r="F705" s="40" t="s">
        <v>9156</v>
      </c>
      <c r="G705" s="40" t="s">
        <v>9157</v>
      </c>
      <c r="H705" s="40" t="s">
        <v>9158</v>
      </c>
      <c r="I705" s="40" t="s">
        <v>49</v>
      </c>
      <c r="J705" s="40">
        <v>136</v>
      </c>
      <c r="K705" s="40">
        <v>136</v>
      </c>
      <c r="L705" s="40"/>
      <c r="M705" s="40">
        <v>136</v>
      </c>
      <c r="N705" s="40"/>
      <c r="O705" s="40" t="s">
        <v>234</v>
      </c>
    </row>
    <row r="706" spans="1:15" ht="33.75" x14ac:dyDescent="0.2">
      <c r="A706" s="40" t="s">
        <v>9159</v>
      </c>
      <c r="B706" s="40" t="s">
        <v>9160</v>
      </c>
      <c r="C706" s="41">
        <v>46023</v>
      </c>
      <c r="D706" s="41">
        <v>46023</v>
      </c>
      <c r="E706" s="40" t="s">
        <v>13</v>
      </c>
      <c r="F706" s="40" t="s">
        <v>9161</v>
      </c>
      <c r="G706" s="40" t="s">
        <v>9162</v>
      </c>
      <c r="H706" s="40" t="s">
        <v>9163</v>
      </c>
      <c r="I706" s="40" t="s">
        <v>49</v>
      </c>
      <c r="J706" s="40">
        <v>82</v>
      </c>
      <c r="K706" s="40">
        <v>82</v>
      </c>
      <c r="L706" s="40"/>
      <c r="M706" s="40">
        <v>82</v>
      </c>
      <c r="N706" s="40"/>
      <c r="O706" s="40" t="s">
        <v>234</v>
      </c>
    </row>
    <row r="707" spans="1:15" ht="33.75" x14ac:dyDescent="0.2">
      <c r="A707" s="40" t="s">
        <v>9164</v>
      </c>
      <c r="B707" s="40" t="s">
        <v>9165</v>
      </c>
      <c r="C707" s="41">
        <v>46023</v>
      </c>
      <c r="D707" s="41">
        <v>46023</v>
      </c>
      <c r="E707" s="40" t="s">
        <v>13</v>
      </c>
      <c r="F707" s="40" t="s">
        <v>9166</v>
      </c>
      <c r="G707" s="40" t="s">
        <v>9167</v>
      </c>
      <c r="H707" s="40" t="s">
        <v>9168</v>
      </c>
      <c r="I707" s="40" t="s">
        <v>49</v>
      </c>
      <c r="J707" s="40">
        <v>385</v>
      </c>
      <c r="K707" s="40">
        <v>385</v>
      </c>
      <c r="L707" s="40"/>
      <c r="M707" s="40">
        <v>385</v>
      </c>
      <c r="N707" s="40"/>
      <c r="O707" s="40" t="s">
        <v>234</v>
      </c>
    </row>
    <row r="708" spans="1:15" ht="33.75" x14ac:dyDescent="0.2">
      <c r="A708" s="40" t="s">
        <v>9169</v>
      </c>
      <c r="B708" s="40" t="s">
        <v>9170</v>
      </c>
      <c r="C708" s="41">
        <v>46023</v>
      </c>
      <c r="D708" s="41">
        <v>46023</v>
      </c>
      <c r="E708" s="40" t="s">
        <v>13</v>
      </c>
      <c r="F708" s="40" t="s">
        <v>4322</v>
      </c>
      <c r="G708" s="40" t="s">
        <v>9171</v>
      </c>
      <c r="H708" s="40" t="s">
        <v>9172</v>
      </c>
      <c r="I708" s="40" t="s">
        <v>49</v>
      </c>
      <c r="J708" s="40">
        <v>177.59</v>
      </c>
      <c r="K708" s="40">
        <v>177.59</v>
      </c>
      <c r="L708" s="40"/>
      <c r="M708" s="40">
        <v>177.59</v>
      </c>
      <c r="N708" s="40"/>
      <c r="O708" s="40" t="s">
        <v>234</v>
      </c>
    </row>
    <row r="709" spans="1:15" ht="33.75" x14ac:dyDescent="0.2">
      <c r="A709" s="40" t="s">
        <v>9173</v>
      </c>
      <c r="B709" s="40" t="s">
        <v>9174</v>
      </c>
      <c r="C709" s="41">
        <v>46023</v>
      </c>
      <c r="D709" s="41">
        <v>46023</v>
      </c>
      <c r="E709" s="40" t="s">
        <v>13</v>
      </c>
      <c r="F709" s="40" t="s">
        <v>9175</v>
      </c>
      <c r="G709" s="40" t="s">
        <v>9176</v>
      </c>
      <c r="H709" s="40" t="s">
        <v>9177</v>
      </c>
      <c r="I709" s="40" t="s">
        <v>49</v>
      </c>
      <c r="J709" s="40">
        <v>82.25</v>
      </c>
      <c r="K709" s="40">
        <v>82.25</v>
      </c>
      <c r="L709" s="40"/>
      <c r="M709" s="40">
        <v>82.25</v>
      </c>
      <c r="N709" s="40"/>
      <c r="O709" s="40" t="s">
        <v>234</v>
      </c>
    </row>
    <row r="710" spans="1:15" ht="33.75" x14ac:dyDescent="0.2">
      <c r="A710" s="40" t="s">
        <v>9178</v>
      </c>
      <c r="B710" s="40" t="s">
        <v>9179</v>
      </c>
      <c r="C710" s="41">
        <v>46023</v>
      </c>
      <c r="D710" s="41">
        <v>46023</v>
      </c>
      <c r="E710" s="40" t="s">
        <v>13</v>
      </c>
      <c r="F710" s="40" t="s">
        <v>9180</v>
      </c>
      <c r="G710" s="40" t="s">
        <v>9181</v>
      </c>
      <c r="H710" s="40" t="s">
        <v>9182</v>
      </c>
      <c r="I710" s="40" t="s">
        <v>49</v>
      </c>
      <c r="J710" s="40">
        <v>204.44</v>
      </c>
      <c r="K710" s="40">
        <v>204.44</v>
      </c>
      <c r="L710" s="40"/>
      <c r="M710" s="40">
        <v>204.44</v>
      </c>
      <c r="N710" s="40"/>
      <c r="O710" s="40" t="s">
        <v>234</v>
      </c>
    </row>
    <row r="711" spans="1:15" ht="33.75" x14ac:dyDescent="0.2">
      <c r="A711" s="40" t="s">
        <v>9183</v>
      </c>
      <c r="B711" s="40" t="s">
        <v>9184</v>
      </c>
      <c r="C711" s="41">
        <v>46023</v>
      </c>
      <c r="D711" s="41">
        <v>46023</v>
      </c>
      <c r="E711" s="40" t="s">
        <v>13</v>
      </c>
      <c r="F711" s="40" t="s">
        <v>310</v>
      </c>
      <c r="G711" s="40" t="s">
        <v>9185</v>
      </c>
      <c r="H711" s="40" t="s">
        <v>9186</v>
      </c>
      <c r="I711" s="40" t="s">
        <v>49</v>
      </c>
      <c r="J711" s="40">
        <v>177.6</v>
      </c>
      <c r="K711" s="40">
        <v>177.6</v>
      </c>
      <c r="L711" s="40"/>
      <c r="M711" s="40">
        <v>177.6</v>
      </c>
      <c r="N711" s="40"/>
      <c r="O711" s="40" t="s">
        <v>234</v>
      </c>
    </row>
    <row r="712" spans="1:15" ht="33.75" x14ac:dyDescent="0.2">
      <c r="A712" s="40" t="s">
        <v>9187</v>
      </c>
      <c r="B712" s="40" t="s">
        <v>9188</v>
      </c>
      <c r="C712" s="41">
        <v>46023</v>
      </c>
      <c r="D712" s="41">
        <v>46023</v>
      </c>
      <c r="E712" s="40" t="s">
        <v>13</v>
      </c>
      <c r="F712" s="40" t="s">
        <v>1681</v>
      </c>
      <c r="G712" s="40" t="s">
        <v>9189</v>
      </c>
      <c r="H712" s="40" t="s">
        <v>9190</v>
      </c>
      <c r="I712" s="40" t="s">
        <v>49</v>
      </c>
      <c r="J712" s="40">
        <v>88.8</v>
      </c>
      <c r="K712" s="40">
        <v>88.8</v>
      </c>
      <c r="L712" s="40"/>
      <c r="M712" s="40">
        <v>88.8</v>
      </c>
      <c r="N712" s="40"/>
      <c r="O712" s="40" t="s">
        <v>234</v>
      </c>
    </row>
    <row r="713" spans="1:15" ht="33.75" x14ac:dyDescent="0.2">
      <c r="A713" s="40" t="s">
        <v>9191</v>
      </c>
      <c r="B713" s="40" t="s">
        <v>9192</v>
      </c>
      <c r="C713" s="41">
        <v>46023</v>
      </c>
      <c r="D713" s="41">
        <v>46023</v>
      </c>
      <c r="E713" s="40" t="s">
        <v>13</v>
      </c>
      <c r="F713" s="40" t="s">
        <v>9193</v>
      </c>
      <c r="G713" s="40" t="s">
        <v>9194</v>
      </c>
      <c r="H713" s="40" t="s">
        <v>9195</v>
      </c>
      <c r="I713" s="40" t="s">
        <v>49</v>
      </c>
      <c r="J713" s="40">
        <v>82.25</v>
      </c>
      <c r="K713" s="40">
        <v>82.25</v>
      </c>
      <c r="L713" s="40"/>
      <c r="M713" s="40">
        <v>82.25</v>
      </c>
      <c r="N713" s="40"/>
      <c r="O713" s="40" t="s">
        <v>234</v>
      </c>
    </row>
    <row r="714" spans="1:15" ht="33.75" x14ac:dyDescent="0.2">
      <c r="A714" s="40" t="s">
        <v>9196</v>
      </c>
      <c r="B714" s="40" t="s">
        <v>9197</v>
      </c>
      <c r="C714" s="41">
        <v>46023</v>
      </c>
      <c r="D714" s="41">
        <v>46023</v>
      </c>
      <c r="E714" s="40" t="s">
        <v>13</v>
      </c>
      <c r="F714" s="40" t="s">
        <v>9198</v>
      </c>
      <c r="G714" s="40" t="s">
        <v>9199</v>
      </c>
      <c r="H714" s="40" t="s">
        <v>9200</v>
      </c>
      <c r="I714" s="40" t="s">
        <v>49</v>
      </c>
      <c r="J714" s="40">
        <v>65</v>
      </c>
      <c r="K714" s="40">
        <v>65</v>
      </c>
      <c r="L714" s="40"/>
      <c r="M714" s="40">
        <v>65</v>
      </c>
      <c r="N714" s="40"/>
      <c r="O714" s="40" t="s">
        <v>234</v>
      </c>
    </row>
    <row r="715" spans="1:15" ht="33.75" x14ac:dyDescent="0.2">
      <c r="A715" s="40" t="s">
        <v>9201</v>
      </c>
      <c r="B715" s="40" t="s">
        <v>9202</v>
      </c>
      <c r="C715" s="41">
        <v>46023</v>
      </c>
      <c r="D715" s="41">
        <v>46023</v>
      </c>
      <c r="E715" s="40" t="s">
        <v>13</v>
      </c>
      <c r="F715" s="40" t="s">
        <v>9203</v>
      </c>
      <c r="G715" s="40" t="s">
        <v>9204</v>
      </c>
      <c r="H715" s="40" t="s">
        <v>9205</v>
      </c>
      <c r="I715" s="40" t="s">
        <v>49</v>
      </c>
      <c r="J715" s="40">
        <v>130</v>
      </c>
      <c r="K715" s="40">
        <v>130</v>
      </c>
      <c r="L715" s="40"/>
      <c r="M715" s="40">
        <v>130</v>
      </c>
      <c r="N715" s="40"/>
      <c r="O715" s="40" t="s">
        <v>234</v>
      </c>
    </row>
    <row r="716" spans="1:15" ht="45" x14ac:dyDescent="0.2">
      <c r="A716" s="40" t="s">
        <v>9206</v>
      </c>
      <c r="B716" s="40" t="s">
        <v>9207</v>
      </c>
      <c r="C716" s="41">
        <v>46023</v>
      </c>
      <c r="D716" s="41">
        <v>46023</v>
      </c>
      <c r="E716" s="40" t="s">
        <v>13</v>
      </c>
      <c r="F716" s="40" t="s">
        <v>4060</v>
      </c>
      <c r="G716" s="40" t="s">
        <v>9208</v>
      </c>
      <c r="H716" s="40" t="s">
        <v>9209</v>
      </c>
      <c r="I716" s="40" t="s">
        <v>49</v>
      </c>
      <c r="J716" s="40">
        <v>120</v>
      </c>
      <c r="K716" s="40">
        <v>120</v>
      </c>
      <c r="L716" s="40"/>
      <c r="M716" s="40">
        <v>120</v>
      </c>
      <c r="N716" s="40"/>
      <c r="O716" s="40" t="s">
        <v>234</v>
      </c>
    </row>
    <row r="717" spans="1:15" ht="33.75" x14ac:dyDescent="0.2">
      <c r="A717" s="40" t="s">
        <v>9210</v>
      </c>
      <c r="B717" s="40" t="s">
        <v>9211</v>
      </c>
      <c r="C717" s="41">
        <v>46023</v>
      </c>
      <c r="D717" s="41">
        <v>46023</v>
      </c>
      <c r="E717" s="40" t="s">
        <v>13</v>
      </c>
      <c r="F717" s="40" t="s">
        <v>9212</v>
      </c>
      <c r="G717" s="40" t="s">
        <v>9213</v>
      </c>
      <c r="H717" s="40" t="s">
        <v>9214</v>
      </c>
      <c r="I717" s="40" t="s">
        <v>49</v>
      </c>
      <c r="J717" s="40">
        <v>103.7</v>
      </c>
      <c r="K717" s="40">
        <v>103.7</v>
      </c>
      <c r="L717" s="40"/>
      <c r="M717" s="40">
        <v>103.7</v>
      </c>
      <c r="N717" s="40"/>
      <c r="O717" s="40" t="s">
        <v>234</v>
      </c>
    </row>
    <row r="718" spans="1:15" ht="33.75" x14ac:dyDescent="0.2">
      <c r="A718" s="40" t="s">
        <v>9215</v>
      </c>
      <c r="B718" s="40" t="s">
        <v>9216</v>
      </c>
      <c r="C718" s="41">
        <v>46023</v>
      </c>
      <c r="D718" s="41">
        <v>46023</v>
      </c>
      <c r="E718" s="40" t="s">
        <v>13</v>
      </c>
      <c r="F718" s="40" t="s">
        <v>9217</v>
      </c>
      <c r="G718" s="40" t="s">
        <v>9218</v>
      </c>
      <c r="H718" s="40" t="s">
        <v>9219</v>
      </c>
      <c r="I718" s="40" t="s">
        <v>49</v>
      </c>
      <c r="J718" s="40">
        <v>385.01</v>
      </c>
      <c r="K718" s="40">
        <v>385.01</v>
      </c>
      <c r="L718" s="40"/>
      <c r="M718" s="40">
        <v>385.01</v>
      </c>
      <c r="N718" s="40"/>
      <c r="O718" s="40" t="s">
        <v>234</v>
      </c>
    </row>
    <row r="719" spans="1:15" ht="33.75" x14ac:dyDescent="0.2">
      <c r="A719" s="40" t="s">
        <v>9220</v>
      </c>
      <c r="B719" s="40" t="s">
        <v>9221</v>
      </c>
      <c r="C719" s="41">
        <v>46023</v>
      </c>
      <c r="D719" s="41">
        <v>46023</v>
      </c>
      <c r="E719" s="40" t="s">
        <v>13</v>
      </c>
      <c r="F719" s="40" t="s">
        <v>9222</v>
      </c>
      <c r="G719" s="40" t="s">
        <v>9223</v>
      </c>
      <c r="H719" s="40" t="s">
        <v>9224</v>
      </c>
      <c r="I719" s="40" t="s">
        <v>49</v>
      </c>
      <c r="J719" s="40">
        <v>103.7</v>
      </c>
      <c r="K719" s="40">
        <v>103.7</v>
      </c>
      <c r="L719" s="40"/>
      <c r="M719" s="40">
        <v>103.7</v>
      </c>
      <c r="N719" s="40"/>
      <c r="O719" s="40" t="s">
        <v>234</v>
      </c>
    </row>
    <row r="720" spans="1:15" ht="33.75" x14ac:dyDescent="0.2">
      <c r="A720" s="40" t="s">
        <v>9225</v>
      </c>
      <c r="B720" s="40" t="s">
        <v>9226</v>
      </c>
      <c r="C720" s="41">
        <v>46023</v>
      </c>
      <c r="D720" s="41">
        <v>46023</v>
      </c>
      <c r="E720" s="40" t="s">
        <v>13</v>
      </c>
      <c r="F720" s="40" t="s">
        <v>9227</v>
      </c>
      <c r="G720" s="40" t="s">
        <v>9228</v>
      </c>
      <c r="H720" s="40" t="s">
        <v>9229</v>
      </c>
      <c r="I720" s="40" t="s">
        <v>49</v>
      </c>
      <c r="J720" s="40">
        <v>385.01</v>
      </c>
      <c r="K720" s="40">
        <v>385.01</v>
      </c>
      <c r="L720" s="40"/>
      <c r="M720" s="40">
        <v>385.01</v>
      </c>
      <c r="N720" s="40"/>
      <c r="O720" s="40" t="s">
        <v>234</v>
      </c>
    </row>
    <row r="721" spans="1:15" ht="33.75" x14ac:dyDescent="0.2">
      <c r="A721" s="40" t="s">
        <v>9230</v>
      </c>
      <c r="B721" s="40" t="s">
        <v>9231</v>
      </c>
      <c r="C721" s="41">
        <v>46023</v>
      </c>
      <c r="D721" s="41">
        <v>46023</v>
      </c>
      <c r="E721" s="40" t="s">
        <v>13</v>
      </c>
      <c r="F721" s="40" t="s">
        <v>9232</v>
      </c>
      <c r="G721" s="40" t="s">
        <v>9233</v>
      </c>
      <c r="H721" s="40" t="s">
        <v>9234</v>
      </c>
      <c r="I721" s="40" t="s">
        <v>49</v>
      </c>
      <c r="J721" s="40">
        <v>177.87</v>
      </c>
      <c r="K721" s="40">
        <v>177.87</v>
      </c>
      <c r="L721" s="40"/>
      <c r="M721" s="40">
        <v>177.87</v>
      </c>
      <c r="N721" s="40"/>
      <c r="O721" s="40" t="s">
        <v>234</v>
      </c>
    </row>
    <row r="722" spans="1:15" ht="33.75" x14ac:dyDescent="0.2">
      <c r="A722" s="40" t="s">
        <v>9235</v>
      </c>
      <c r="B722" s="40" t="s">
        <v>9236</v>
      </c>
      <c r="C722" s="41">
        <v>46023</v>
      </c>
      <c r="D722" s="41">
        <v>46023</v>
      </c>
      <c r="E722" s="40" t="s">
        <v>13</v>
      </c>
      <c r="F722" s="40" t="s">
        <v>310</v>
      </c>
      <c r="G722" s="40" t="s">
        <v>9237</v>
      </c>
      <c r="H722" s="40" t="s">
        <v>9238</v>
      </c>
      <c r="I722" s="40" t="s">
        <v>49</v>
      </c>
      <c r="J722" s="40">
        <v>150.96</v>
      </c>
      <c r="K722" s="40">
        <v>150.96</v>
      </c>
      <c r="L722" s="40"/>
      <c r="M722" s="40">
        <v>150.96</v>
      </c>
      <c r="N722" s="40"/>
      <c r="O722" s="40" t="s">
        <v>234</v>
      </c>
    </row>
    <row r="723" spans="1:15" ht="22.5" x14ac:dyDescent="0.2">
      <c r="A723" s="40" t="s">
        <v>9239</v>
      </c>
      <c r="B723" s="40" t="s">
        <v>9240</v>
      </c>
      <c r="C723" s="41">
        <v>46023</v>
      </c>
      <c r="D723" s="41">
        <v>46023</v>
      </c>
      <c r="E723" s="40" t="s">
        <v>13</v>
      </c>
      <c r="F723" s="40" t="s">
        <v>9241</v>
      </c>
      <c r="G723" s="40" t="s">
        <v>9242</v>
      </c>
      <c r="H723" s="40" t="s">
        <v>9243</v>
      </c>
      <c r="I723" s="40" t="s">
        <v>49</v>
      </c>
      <c r="J723" s="40">
        <v>130.01</v>
      </c>
      <c r="K723" s="40">
        <v>130.01</v>
      </c>
      <c r="L723" s="40"/>
      <c r="M723" s="40">
        <v>130.01</v>
      </c>
      <c r="N723" s="40"/>
      <c r="O723" s="40" t="s">
        <v>234</v>
      </c>
    </row>
    <row r="724" spans="1:15" ht="33.75" x14ac:dyDescent="0.2">
      <c r="A724" s="40" t="s">
        <v>9244</v>
      </c>
      <c r="B724" s="40" t="s">
        <v>9245</v>
      </c>
      <c r="C724" s="41">
        <v>46023</v>
      </c>
      <c r="D724" s="41">
        <v>46023</v>
      </c>
      <c r="E724" s="40" t="s">
        <v>13</v>
      </c>
      <c r="F724" s="40" t="s">
        <v>9246</v>
      </c>
      <c r="G724" s="40" t="s">
        <v>9247</v>
      </c>
      <c r="H724" s="40" t="s">
        <v>9248</v>
      </c>
      <c r="I724" s="40" t="s">
        <v>49</v>
      </c>
      <c r="J724" s="40">
        <v>48.01</v>
      </c>
      <c r="K724" s="40">
        <v>48.01</v>
      </c>
      <c r="L724" s="40"/>
      <c r="M724" s="40">
        <v>48.01</v>
      </c>
      <c r="N724" s="40"/>
      <c r="O724" s="40" t="s">
        <v>234</v>
      </c>
    </row>
    <row r="725" spans="1:15" ht="33.75" x14ac:dyDescent="0.2">
      <c r="A725" s="40" t="s">
        <v>9249</v>
      </c>
      <c r="B725" s="40" t="s">
        <v>9250</v>
      </c>
      <c r="C725" s="41">
        <v>46023</v>
      </c>
      <c r="D725" s="41">
        <v>46023</v>
      </c>
      <c r="E725" s="40" t="s">
        <v>13</v>
      </c>
      <c r="F725" s="40" t="s">
        <v>9251</v>
      </c>
      <c r="G725" s="40" t="s">
        <v>9252</v>
      </c>
      <c r="H725" s="40" t="s">
        <v>9253</v>
      </c>
      <c r="I725" s="40" t="s">
        <v>49</v>
      </c>
      <c r="J725" s="40">
        <v>280</v>
      </c>
      <c r="K725" s="40">
        <v>280</v>
      </c>
      <c r="L725" s="40"/>
      <c r="M725" s="40">
        <v>280</v>
      </c>
      <c r="N725" s="40"/>
      <c r="O725" s="40" t="s">
        <v>234</v>
      </c>
    </row>
    <row r="726" spans="1:15" ht="33.75" x14ac:dyDescent="0.2">
      <c r="A726" s="40" t="s">
        <v>9254</v>
      </c>
      <c r="B726" s="40" t="s">
        <v>9255</v>
      </c>
      <c r="C726" s="41">
        <v>46023</v>
      </c>
      <c r="D726" s="41">
        <v>46023</v>
      </c>
      <c r="E726" s="40" t="s">
        <v>13</v>
      </c>
      <c r="F726" s="40" t="s">
        <v>9256</v>
      </c>
      <c r="G726" s="40" t="s">
        <v>9257</v>
      </c>
      <c r="H726" s="40" t="s">
        <v>9258</v>
      </c>
      <c r="I726" s="40" t="s">
        <v>49</v>
      </c>
      <c r="J726" s="40">
        <v>62.53</v>
      </c>
      <c r="K726" s="40">
        <v>62.53</v>
      </c>
      <c r="L726" s="40"/>
      <c r="M726" s="40">
        <v>62.53</v>
      </c>
      <c r="N726" s="40"/>
      <c r="O726" s="40" t="s">
        <v>234</v>
      </c>
    </row>
    <row r="727" spans="1:15" ht="33.75" x14ac:dyDescent="0.2">
      <c r="A727" s="40" t="s">
        <v>9259</v>
      </c>
      <c r="B727" s="40" t="s">
        <v>9260</v>
      </c>
      <c r="C727" s="41">
        <v>46023</v>
      </c>
      <c r="D727" s="41">
        <v>46023</v>
      </c>
      <c r="E727" s="40" t="s">
        <v>13</v>
      </c>
      <c r="F727" s="40" t="s">
        <v>9261</v>
      </c>
      <c r="G727" s="40" t="s">
        <v>9262</v>
      </c>
      <c r="H727" s="40" t="s">
        <v>9263</v>
      </c>
      <c r="I727" s="40" t="s">
        <v>49</v>
      </c>
      <c r="J727" s="40">
        <v>85.8</v>
      </c>
      <c r="K727" s="40">
        <v>85.8</v>
      </c>
      <c r="L727" s="40"/>
      <c r="M727" s="40">
        <v>85.8</v>
      </c>
      <c r="N727" s="40"/>
      <c r="O727" s="40" t="s">
        <v>234</v>
      </c>
    </row>
    <row r="728" spans="1:15" ht="33.75" x14ac:dyDescent="0.2">
      <c r="A728" s="40" t="s">
        <v>9264</v>
      </c>
      <c r="B728" s="40" t="s">
        <v>9265</v>
      </c>
      <c r="C728" s="41">
        <v>46023</v>
      </c>
      <c r="D728" s="41">
        <v>46023</v>
      </c>
      <c r="E728" s="40" t="s">
        <v>13</v>
      </c>
      <c r="F728" s="40" t="s">
        <v>9266</v>
      </c>
      <c r="G728" s="40" t="s">
        <v>9267</v>
      </c>
      <c r="H728" s="40" t="s">
        <v>9268</v>
      </c>
      <c r="I728" s="40" t="s">
        <v>49</v>
      </c>
      <c r="J728" s="40">
        <v>110.61</v>
      </c>
      <c r="K728" s="40">
        <v>110.61</v>
      </c>
      <c r="L728" s="40"/>
      <c r="M728" s="40">
        <v>110.61</v>
      </c>
      <c r="N728" s="40"/>
      <c r="O728" s="40" t="s">
        <v>234</v>
      </c>
    </row>
    <row r="729" spans="1:15" ht="33.75" x14ac:dyDescent="0.2">
      <c r="A729" s="40" t="s">
        <v>9269</v>
      </c>
      <c r="B729" s="40" t="s">
        <v>9270</v>
      </c>
      <c r="C729" s="41">
        <v>46023</v>
      </c>
      <c r="D729" s="41">
        <v>46023</v>
      </c>
      <c r="E729" s="40" t="s">
        <v>13</v>
      </c>
      <c r="F729" s="40" t="s">
        <v>9271</v>
      </c>
      <c r="G729" s="40" t="s">
        <v>9272</v>
      </c>
      <c r="H729" s="40" t="s">
        <v>9273</v>
      </c>
      <c r="I729" s="40" t="s">
        <v>49</v>
      </c>
      <c r="J729" s="40">
        <v>135.19999999999999</v>
      </c>
      <c r="K729" s="40">
        <v>135.19999999999999</v>
      </c>
      <c r="L729" s="40"/>
      <c r="M729" s="40">
        <v>135.19999999999999</v>
      </c>
      <c r="N729" s="40"/>
      <c r="O729" s="40" t="s">
        <v>234</v>
      </c>
    </row>
    <row r="730" spans="1:15" ht="22.5" x14ac:dyDescent="0.2">
      <c r="A730" s="40" t="s">
        <v>9274</v>
      </c>
      <c r="B730" s="40" t="s">
        <v>9275</v>
      </c>
      <c r="C730" s="41">
        <v>46023</v>
      </c>
      <c r="D730" s="41">
        <v>46023</v>
      </c>
      <c r="E730" s="40" t="s">
        <v>13</v>
      </c>
      <c r="F730" s="40" t="s">
        <v>9276</v>
      </c>
      <c r="G730" s="40" t="s">
        <v>9277</v>
      </c>
      <c r="H730" s="40" t="s">
        <v>9278</v>
      </c>
      <c r="I730" s="40" t="s">
        <v>49</v>
      </c>
      <c r="J730" s="40">
        <v>110.61</v>
      </c>
      <c r="K730" s="40">
        <v>110.61</v>
      </c>
      <c r="L730" s="40"/>
      <c r="M730" s="40">
        <v>110.61</v>
      </c>
      <c r="N730" s="40"/>
      <c r="O730" s="40" t="s">
        <v>234</v>
      </c>
    </row>
    <row r="731" spans="1:15" ht="22.5" x14ac:dyDescent="0.2">
      <c r="A731" s="40" t="s">
        <v>9279</v>
      </c>
      <c r="B731" s="40" t="s">
        <v>9280</v>
      </c>
      <c r="C731" s="41">
        <v>46023</v>
      </c>
      <c r="D731" s="41">
        <v>46023</v>
      </c>
      <c r="E731" s="40" t="s">
        <v>13</v>
      </c>
      <c r="F731" s="40" t="s">
        <v>9276</v>
      </c>
      <c r="G731" s="40" t="s">
        <v>9281</v>
      </c>
      <c r="H731" s="40" t="s">
        <v>9282</v>
      </c>
      <c r="I731" s="40" t="s">
        <v>49</v>
      </c>
      <c r="J731" s="40">
        <v>94.3</v>
      </c>
      <c r="K731" s="40">
        <v>94.3</v>
      </c>
      <c r="L731" s="40"/>
      <c r="M731" s="40">
        <v>94.3</v>
      </c>
      <c r="N731" s="40"/>
      <c r="O731" s="40" t="s">
        <v>234</v>
      </c>
    </row>
    <row r="732" spans="1:15" ht="33.75" x14ac:dyDescent="0.2">
      <c r="A732" s="40" t="s">
        <v>9283</v>
      </c>
      <c r="B732" s="40" t="s">
        <v>9284</v>
      </c>
      <c r="C732" s="41">
        <v>46023</v>
      </c>
      <c r="D732" s="41">
        <v>46023</v>
      </c>
      <c r="E732" s="40" t="s">
        <v>13</v>
      </c>
      <c r="F732" s="40" t="s">
        <v>1681</v>
      </c>
      <c r="G732" s="40" t="s">
        <v>9285</v>
      </c>
      <c r="H732" s="40" t="s">
        <v>9286</v>
      </c>
      <c r="I732" s="40" t="s">
        <v>49</v>
      </c>
      <c r="J732" s="40">
        <v>58</v>
      </c>
      <c r="K732" s="40">
        <v>58</v>
      </c>
      <c r="L732" s="40"/>
      <c r="M732" s="40">
        <v>58</v>
      </c>
      <c r="N732" s="40"/>
      <c r="O732" s="40" t="s">
        <v>234</v>
      </c>
    </row>
    <row r="733" spans="1:15" ht="33.75" x14ac:dyDescent="0.2">
      <c r="A733" s="40" t="s">
        <v>9287</v>
      </c>
      <c r="B733" s="40" t="s">
        <v>9288</v>
      </c>
      <c r="C733" s="41">
        <v>46023</v>
      </c>
      <c r="D733" s="41">
        <v>46023</v>
      </c>
      <c r="E733" s="40" t="s">
        <v>13</v>
      </c>
      <c r="F733" s="40" t="s">
        <v>9289</v>
      </c>
      <c r="G733" s="40" t="s">
        <v>9290</v>
      </c>
      <c r="H733" s="40" t="s">
        <v>9291</v>
      </c>
      <c r="I733" s="40" t="s">
        <v>49</v>
      </c>
      <c r="J733" s="40">
        <v>99.7</v>
      </c>
      <c r="K733" s="40">
        <v>99.7</v>
      </c>
      <c r="L733" s="40"/>
      <c r="M733" s="40">
        <v>99.7</v>
      </c>
      <c r="N733" s="40"/>
      <c r="O733" s="40" t="s">
        <v>234</v>
      </c>
    </row>
    <row r="734" spans="1:15" ht="33.75" x14ac:dyDescent="0.2">
      <c r="A734" s="40" t="s">
        <v>9292</v>
      </c>
      <c r="B734" s="40" t="s">
        <v>9293</v>
      </c>
      <c r="C734" s="41">
        <v>46023</v>
      </c>
      <c r="D734" s="41">
        <v>46023</v>
      </c>
      <c r="E734" s="40" t="s">
        <v>13</v>
      </c>
      <c r="F734" s="40" t="s">
        <v>9294</v>
      </c>
      <c r="G734" s="40" t="s">
        <v>9295</v>
      </c>
      <c r="H734" s="40" t="s">
        <v>9296</v>
      </c>
      <c r="I734" s="40" t="s">
        <v>49</v>
      </c>
      <c r="J734" s="40">
        <v>141.4</v>
      </c>
      <c r="K734" s="40">
        <v>141.4</v>
      </c>
      <c r="L734" s="40"/>
      <c r="M734" s="40">
        <v>141.4</v>
      </c>
      <c r="N734" s="40"/>
      <c r="O734" s="40" t="s">
        <v>234</v>
      </c>
    </row>
    <row r="735" spans="1:15" ht="33.75" x14ac:dyDescent="0.2">
      <c r="A735" s="40" t="s">
        <v>9297</v>
      </c>
      <c r="B735" s="40" t="s">
        <v>9298</v>
      </c>
      <c r="C735" s="41">
        <v>46023</v>
      </c>
      <c r="D735" s="41">
        <v>46023</v>
      </c>
      <c r="E735" s="40" t="s">
        <v>13</v>
      </c>
      <c r="F735" s="40" t="s">
        <v>9299</v>
      </c>
      <c r="G735" s="40" t="s">
        <v>9300</v>
      </c>
      <c r="H735" s="40" t="s">
        <v>9301</v>
      </c>
      <c r="I735" s="40" t="s">
        <v>49</v>
      </c>
      <c r="J735" s="40">
        <v>34.200000000000003</v>
      </c>
      <c r="K735" s="40">
        <v>34.200000000000003</v>
      </c>
      <c r="L735" s="40"/>
      <c r="M735" s="40">
        <v>34.200000000000003</v>
      </c>
      <c r="N735" s="40"/>
      <c r="O735" s="40" t="s">
        <v>234</v>
      </c>
    </row>
    <row r="736" spans="1:15" ht="33.75" x14ac:dyDescent="0.2">
      <c r="A736" s="40" t="s">
        <v>9302</v>
      </c>
      <c r="B736" s="40" t="s">
        <v>9303</v>
      </c>
      <c r="C736" s="41">
        <v>46023</v>
      </c>
      <c r="D736" s="41">
        <v>46023</v>
      </c>
      <c r="E736" s="40" t="s">
        <v>13</v>
      </c>
      <c r="F736" s="40" t="s">
        <v>9304</v>
      </c>
      <c r="G736" s="40" t="s">
        <v>9305</v>
      </c>
      <c r="H736" s="40" t="s">
        <v>9306</v>
      </c>
      <c r="I736" s="40" t="s">
        <v>49</v>
      </c>
      <c r="J736" s="40">
        <v>75.67</v>
      </c>
      <c r="K736" s="40">
        <v>75.67</v>
      </c>
      <c r="L736" s="40"/>
      <c r="M736" s="40">
        <v>75.67</v>
      </c>
      <c r="N736" s="40"/>
      <c r="O736" s="40" t="s">
        <v>234</v>
      </c>
    </row>
    <row r="737" spans="1:15" ht="33.75" x14ac:dyDescent="0.2">
      <c r="A737" s="40" t="s">
        <v>9307</v>
      </c>
      <c r="B737" s="40" t="s">
        <v>9308</v>
      </c>
      <c r="C737" s="41">
        <v>46023</v>
      </c>
      <c r="D737" s="41">
        <v>46023</v>
      </c>
      <c r="E737" s="40" t="s">
        <v>13</v>
      </c>
      <c r="F737" s="40" t="s">
        <v>9309</v>
      </c>
      <c r="G737" s="40" t="s">
        <v>9310</v>
      </c>
      <c r="H737" s="40" t="s">
        <v>9311</v>
      </c>
      <c r="I737" s="40" t="s">
        <v>49</v>
      </c>
      <c r="J737" s="40">
        <v>53.1</v>
      </c>
      <c r="K737" s="40">
        <v>53.1</v>
      </c>
      <c r="L737" s="40"/>
      <c r="M737" s="40">
        <v>53.1</v>
      </c>
      <c r="N737" s="40"/>
      <c r="O737" s="40" t="s">
        <v>234</v>
      </c>
    </row>
    <row r="738" spans="1:15" ht="33.75" x14ac:dyDescent="0.2">
      <c r="A738" s="40" t="s">
        <v>9312</v>
      </c>
      <c r="B738" s="40" t="s">
        <v>9313</v>
      </c>
      <c r="C738" s="41">
        <v>46023</v>
      </c>
      <c r="D738" s="41">
        <v>46023</v>
      </c>
      <c r="E738" s="40" t="s">
        <v>13</v>
      </c>
      <c r="F738" s="40" t="s">
        <v>9314</v>
      </c>
      <c r="G738" s="40" t="s">
        <v>9315</v>
      </c>
      <c r="H738" s="40" t="s">
        <v>9316</v>
      </c>
      <c r="I738" s="40" t="s">
        <v>49</v>
      </c>
      <c r="J738" s="40">
        <v>105.3</v>
      </c>
      <c r="K738" s="40">
        <v>105.3</v>
      </c>
      <c r="L738" s="40"/>
      <c r="M738" s="40">
        <v>105.3</v>
      </c>
      <c r="N738" s="40"/>
      <c r="O738" s="40" t="s">
        <v>234</v>
      </c>
    </row>
    <row r="739" spans="1:15" ht="33.75" x14ac:dyDescent="0.2">
      <c r="A739" s="40" t="s">
        <v>9317</v>
      </c>
      <c r="B739" s="40" t="s">
        <v>9318</v>
      </c>
      <c r="C739" s="41">
        <v>46023</v>
      </c>
      <c r="D739" s="41">
        <v>46023</v>
      </c>
      <c r="E739" s="40" t="s">
        <v>13</v>
      </c>
      <c r="F739" s="40" t="s">
        <v>9319</v>
      </c>
      <c r="G739" s="40" t="s">
        <v>9320</v>
      </c>
      <c r="H739" s="40" t="s">
        <v>9321</v>
      </c>
      <c r="I739" s="40" t="s">
        <v>49</v>
      </c>
      <c r="J739" s="40">
        <v>286.2</v>
      </c>
      <c r="K739" s="40">
        <v>286.2</v>
      </c>
      <c r="L739" s="40"/>
      <c r="M739" s="40">
        <v>286.2</v>
      </c>
      <c r="N739" s="40"/>
      <c r="O739" s="40" t="s">
        <v>234</v>
      </c>
    </row>
    <row r="740" spans="1:15" ht="33.75" x14ac:dyDescent="0.2">
      <c r="A740" s="40" t="s">
        <v>9322</v>
      </c>
      <c r="B740" s="40" t="s">
        <v>9323</v>
      </c>
      <c r="C740" s="41">
        <v>46023</v>
      </c>
      <c r="D740" s="41">
        <v>46023</v>
      </c>
      <c r="E740" s="40" t="s">
        <v>13</v>
      </c>
      <c r="F740" s="40" t="s">
        <v>9324</v>
      </c>
      <c r="G740" s="40" t="s">
        <v>9325</v>
      </c>
      <c r="H740" s="40" t="s">
        <v>9326</v>
      </c>
      <c r="I740" s="40" t="s">
        <v>49</v>
      </c>
      <c r="J740" s="40">
        <v>68.5</v>
      </c>
      <c r="K740" s="40">
        <v>68.5</v>
      </c>
      <c r="L740" s="40"/>
      <c r="M740" s="40">
        <v>68.5</v>
      </c>
      <c r="N740" s="40"/>
      <c r="O740" s="40" t="s">
        <v>234</v>
      </c>
    </row>
    <row r="741" spans="1:15" ht="33.75" x14ac:dyDescent="0.2">
      <c r="A741" s="40" t="s">
        <v>9327</v>
      </c>
      <c r="B741" s="40" t="s">
        <v>9328</v>
      </c>
      <c r="C741" s="41">
        <v>46023</v>
      </c>
      <c r="D741" s="41">
        <v>46023</v>
      </c>
      <c r="E741" s="40" t="s">
        <v>13</v>
      </c>
      <c r="F741" s="40" t="s">
        <v>9324</v>
      </c>
      <c r="G741" s="40" t="s">
        <v>9325</v>
      </c>
      <c r="H741" s="40" t="s">
        <v>9329</v>
      </c>
      <c r="I741" s="40" t="s">
        <v>49</v>
      </c>
      <c r="J741" s="40">
        <v>68.5</v>
      </c>
      <c r="K741" s="40">
        <v>68.5</v>
      </c>
      <c r="L741" s="40"/>
      <c r="M741" s="40">
        <v>68.5</v>
      </c>
      <c r="N741" s="40"/>
      <c r="O741" s="40" t="s">
        <v>234</v>
      </c>
    </row>
    <row r="742" spans="1:15" ht="33.75" x14ac:dyDescent="0.2">
      <c r="A742" s="40" t="s">
        <v>9330</v>
      </c>
      <c r="B742" s="40" t="s">
        <v>9331</v>
      </c>
      <c r="C742" s="41">
        <v>46023</v>
      </c>
      <c r="D742" s="41">
        <v>46023</v>
      </c>
      <c r="E742" s="40" t="s">
        <v>13</v>
      </c>
      <c r="F742" s="40" t="s">
        <v>9332</v>
      </c>
      <c r="G742" s="40" t="s">
        <v>9333</v>
      </c>
      <c r="H742" s="40" t="s">
        <v>9334</v>
      </c>
      <c r="I742" s="40" t="s">
        <v>49</v>
      </c>
      <c r="J742" s="40">
        <v>60.3</v>
      </c>
      <c r="K742" s="40">
        <v>60.3</v>
      </c>
      <c r="L742" s="40"/>
      <c r="M742" s="40">
        <v>60.3</v>
      </c>
      <c r="N742" s="40"/>
      <c r="O742" s="40" t="s">
        <v>234</v>
      </c>
    </row>
    <row r="743" spans="1:15" ht="33.75" x14ac:dyDescent="0.2">
      <c r="A743" s="40" t="s">
        <v>9335</v>
      </c>
      <c r="B743" s="40" t="s">
        <v>9336</v>
      </c>
      <c r="C743" s="41">
        <v>46023</v>
      </c>
      <c r="D743" s="41">
        <v>46023</v>
      </c>
      <c r="E743" s="40" t="s">
        <v>13</v>
      </c>
      <c r="F743" s="40" t="s">
        <v>9337</v>
      </c>
      <c r="G743" s="40" t="s">
        <v>9338</v>
      </c>
      <c r="H743" s="40" t="s">
        <v>9339</v>
      </c>
      <c r="I743" s="40" t="s">
        <v>49</v>
      </c>
      <c r="J743" s="40">
        <v>400</v>
      </c>
      <c r="K743" s="40">
        <v>400</v>
      </c>
      <c r="L743" s="40"/>
      <c r="M743" s="40">
        <v>400</v>
      </c>
      <c r="N743" s="40"/>
      <c r="O743" s="40" t="s">
        <v>234</v>
      </c>
    </row>
    <row r="744" spans="1:15" ht="33.75" x14ac:dyDescent="0.2">
      <c r="A744" s="40" t="s">
        <v>9340</v>
      </c>
      <c r="B744" s="40" t="s">
        <v>9341</v>
      </c>
      <c r="C744" s="41">
        <v>46023</v>
      </c>
      <c r="D744" s="41">
        <v>46023</v>
      </c>
      <c r="E744" s="40" t="s">
        <v>13</v>
      </c>
      <c r="F744" s="40" t="s">
        <v>9342</v>
      </c>
      <c r="G744" s="40" t="s">
        <v>9343</v>
      </c>
      <c r="H744" s="40" t="s">
        <v>9344</v>
      </c>
      <c r="I744" s="40" t="s">
        <v>49</v>
      </c>
      <c r="J744" s="40">
        <v>345</v>
      </c>
      <c r="K744" s="40">
        <v>345</v>
      </c>
      <c r="L744" s="40"/>
      <c r="M744" s="40">
        <v>345</v>
      </c>
      <c r="N744" s="40"/>
      <c r="O744" s="40" t="s">
        <v>234</v>
      </c>
    </row>
    <row r="745" spans="1:15" ht="33.75" x14ac:dyDescent="0.2">
      <c r="A745" s="40" t="s">
        <v>9345</v>
      </c>
      <c r="B745" s="40" t="s">
        <v>9346</v>
      </c>
      <c r="C745" s="41">
        <v>46023</v>
      </c>
      <c r="D745" s="41">
        <v>46023</v>
      </c>
      <c r="E745" s="40" t="s">
        <v>13</v>
      </c>
      <c r="F745" s="40" t="s">
        <v>9347</v>
      </c>
      <c r="G745" s="40" t="s">
        <v>9348</v>
      </c>
      <c r="H745" s="40" t="s">
        <v>9349</v>
      </c>
      <c r="I745" s="40" t="s">
        <v>49</v>
      </c>
      <c r="J745" s="40">
        <v>440.01</v>
      </c>
      <c r="K745" s="40">
        <v>440.01</v>
      </c>
      <c r="L745" s="40"/>
      <c r="M745" s="40">
        <v>440.01</v>
      </c>
      <c r="N745" s="40"/>
      <c r="O745" s="40" t="s">
        <v>234</v>
      </c>
    </row>
    <row r="746" spans="1:15" ht="33.75" x14ac:dyDescent="0.2">
      <c r="A746" s="40" t="s">
        <v>9350</v>
      </c>
      <c r="B746" s="40" t="s">
        <v>9351</v>
      </c>
      <c r="C746" s="41">
        <v>46023</v>
      </c>
      <c r="D746" s="41">
        <v>46023</v>
      </c>
      <c r="E746" s="40" t="s">
        <v>13</v>
      </c>
      <c r="F746" s="40" t="s">
        <v>9352</v>
      </c>
      <c r="G746" s="40" t="s">
        <v>9353</v>
      </c>
      <c r="H746" s="40" t="s">
        <v>9354</v>
      </c>
      <c r="I746" s="40" t="s">
        <v>49</v>
      </c>
      <c r="J746" s="40">
        <v>102</v>
      </c>
      <c r="K746" s="40">
        <v>102</v>
      </c>
      <c r="L746" s="40"/>
      <c r="M746" s="40">
        <v>102</v>
      </c>
      <c r="N746" s="40"/>
      <c r="O746" s="40" t="s">
        <v>234</v>
      </c>
    </row>
    <row r="747" spans="1:15" ht="33.75" x14ac:dyDescent="0.2">
      <c r="A747" s="40" t="s">
        <v>9355</v>
      </c>
      <c r="B747" s="40" t="s">
        <v>9356</v>
      </c>
      <c r="C747" s="41">
        <v>46023</v>
      </c>
      <c r="D747" s="41">
        <v>46023</v>
      </c>
      <c r="E747" s="40" t="s">
        <v>13</v>
      </c>
      <c r="F747" s="40" t="s">
        <v>9357</v>
      </c>
      <c r="G747" s="40" t="s">
        <v>9358</v>
      </c>
      <c r="H747" s="40" t="s">
        <v>9359</v>
      </c>
      <c r="I747" s="40" t="s">
        <v>49</v>
      </c>
      <c r="J747" s="40">
        <v>197</v>
      </c>
      <c r="K747" s="40">
        <v>197</v>
      </c>
      <c r="L747" s="40"/>
      <c r="M747" s="40">
        <v>197</v>
      </c>
      <c r="N747" s="40"/>
      <c r="O747" s="40" t="s">
        <v>234</v>
      </c>
    </row>
    <row r="748" spans="1:15" ht="33.75" x14ac:dyDescent="0.2">
      <c r="A748" s="40" t="s">
        <v>9360</v>
      </c>
      <c r="B748" s="40" t="s">
        <v>9361</v>
      </c>
      <c r="C748" s="41">
        <v>46023</v>
      </c>
      <c r="D748" s="41">
        <v>46023</v>
      </c>
      <c r="E748" s="40" t="s">
        <v>13</v>
      </c>
      <c r="F748" s="40" t="s">
        <v>9362</v>
      </c>
      <c r="G748" s="40" t="s">
        <v>9363</v>
      </c>
      <c r="H748" s="40" t="s">
        <v>9364</v>
      </c>
      <c r="I748" s="40" t="s">
        <v>49</v>
      </c>
      <c r="J748" s="40">
        <v>178</v>
      </c>
      <c r="K748" s="40">
        <v>178</v>
      </c>
      <c r="L748" s="40"/>
      <c r="M748" s="40">
        <v>178</v>
      </c>
      <c r="N748" s="40"/>
      <c r="O748" s="40" t="s">
        <v>234</v>
      </c>
    </row>
    <row r="749" spans="1:15" ht="33.75" x14ac:dyDescent="0.2">
      <c r="A749" s="40" t="s">
        <v>9365</v>
      </c>
      <c r="B749" s="40" t="s">
        <v>9366</v>
      </c>
      <c r="C749" s="41">
        <v>46023</v>
      </c>
      <c r="D749" s="41">
        <v>46023</v>
      </c>
      <c r="E749" s="40" t="s">
        <v>13</v>
      </c>
      <c r="F749" s="40" t="s">
        <v>9367</v>
      </c>
      <c r="G749" s="40" t="s">
        <v>9368</v>
      </c>
      <c r="H749" s="40" t="s">
        <v>9369</v>
      </c>
      <c r="I749" s="40" t="s">
        <v>49</v>
      </c>
      <c r="J749" s="40">
        <v>72</v>
      </c>
      <c r="K749" s="40">
        <v>72</v>
      </c>
      <c r="L749" s="40"/>
      <c r="M749" s="40">
        <v>72</v>
      </c>
      <c r="N749" s="40"/>
      <c r="O749" s="40" t="s">
        <v>234</v>
      </c>
    </row>
    <row r="750" spans="1:15" ht="33.75" x14ac:dyDescent="0.2">
      <c r="A750" s="40" t="s">
        <v>9370</v>
      </c>
      <c r="B750" s="40" t="s">
        <v>9371</v>
      </c>
      <c r="C750" s="41">
        <v>46023</v>
      </c>
      <c r="D750" s="41">
        <v>46023</v>
      </c>
      <c r="E750" s="40" t="s">
        <v>13</v>
      </c>
      <c r="F750" s="40" t="s">
        <v>9372</v>
      </c>
      <c r="G750" s="40" t="s">
        <v>9373</v>
      </c>
      <c r="H750" s="40" t="s">
        <v>9374</v>
      </c>
      <c r="I750" s="40" t="s">
        <v>49</v>
      </c>
      <c r="J750" s="40">
        <v>101</v>
      </c>
      <c r="K750" s="40">
        <v>101</v>
      </c>
      <c r="L750" s="40"/>
      <c r="M750" s="40">
        <v>101</v>
      </c>
      <c r="N750" s="40"/>
      <c r="O750" s="40" t="s">
        <v>234</v>
      </c>
    </row>
    <row r="751" spans="1:15" ht="33.75" x14ac:dyDescent="0.2">
      <c r="A751" s="40" t="s">
        <v>9375</v>
      </c>
      <c r="B751" s="40" t="s">
        <v>9376</v>
      </c>
      <c r="C751" s="41">
        <v>46023</v>
      </c>
      <c r="D751" s="41">
        <v>46023</v>
      </c>
      <c r="E751" s="40" t="s">
        <v>13</v>
      </c>
      <c r="F751" s="40" t="s">
        <v>9377</v>
      </c>
      <c r="G751" s="40" t="s">
        <v>9378</v>
      </c>
      <c r="H751" s="40" t="s">
        <v>9379</v>
      </c>
      <c r="I751" s="40" t="s">
        <v>49</v>
      </c>
      <c r="J751" s="40">
        <v>410</v>
      </c>
      <c r="K751" s="40">
        <v>410</v>
      </c>
      <c r="L751" s="40"/>
      <c r="M751" s="40">
        <v>410</v>
      </c>
      <c r="N751" s="40"/>
      <c r="O751" s="40" t="s">
        <v>234</v>
      </c>
    </row>
    <row r="752" spans="1:15" ht="33.75" x14ac:dyDescent="0.2">
      <c r="A752" s="40" t="s">
        <v>9380</v>
      </c>
      <c r="B752" s="40" t="s">
        <v>9381</v>
      </c>
      <c r="C752" s="41">
        <v>46023</v>
      </c>
      <c r="D752" s="41">
        <v>46023</v>
      </c>
      <c r="E752" s="40" t="s">
        <v>13</v>
      </c>
      <c r="F752" s="40" t="s">
        <v>9382</v>
      </c>
      <c r="G752" s="40" t="s">
        <v>9383</v>
      </c>
      <c r="H752" s="40" t="s">
        <v>9384</v>
      </c>
      <c r="I752" s="40" t="s">
        <v>49</v>
      </c>
      <c r="J752" s="40">
        <v>118</v>
      </c>
      <c r="K752" s="40">
        <v>118</v>
      </c>
      <c r="L752" s="40"/>
      <c r="M752" s="40">
        <v>118</v>
      </c>
      <c r="N752" s="40"/>
      <c r="O752" s="40" t="s">
        <v>234</v>
      </c>
    </row>
    <row r="753" spans="1:15" ht="33.75" x14ac:dyDescent="0.2">
      <c r="A753" s="40" t="s">
        <v>9385</v>
      </c>
      <c r="B753" s="40" t="s">
        <v>9386</v>
      </c>
      <c r="C753" s="41">
        <v>46023</v>
      </c>
      <c r="D753" s="41">
        <v>46023</v>
      </c>
      <c r="E753" s="40" t="s">
        <v>13</v>
      </c>
      <c r="F753" s="40" t="s">
        <v>9387</v>
      </c>
      <c r="G753" s="40" t="s">
        <v>9388</v>
      </c>
      <c r="H753" s="40" t="s">
        <v>9389</v>
      </c>
      <c r="I753" s="40" t="s">
        <v>49</v>
      </c>
      <c r="J753" s="40">
        <v>419.4</v>
      </c>
      <c r="K753" s="40">
        <v>419.4</v>
      </c>
      <c r="L753" s="40"/>
      <c r="M753" s="40">
        <v>419.4</v>
      </c>
      <c r="N753" s="40"/>
      <c r="O753" s="40" t="s">
        <v>234</v>
      </c>
    </row>
    <row r="754" spans="1:15" ht="33.75" x14ac:dyDescent="0.2">
      <c r="A754" s="40" t="s">
        <v>9390</v>
      </c>
      <c r="B754" s="40" t="s">
        <v>9391</v>
      </c>
      <c r="C754" s="41">
        <v>46023</v>
      </c>
      <c r="D754" s="41">
        <v>46023</v>
      </c>
      <c r="E754" s="40" t="s">
        <v>13</v>
      </c>
      <c r="F754" s="40" t="s">
        <v>9392</v>
      </c>
      <c r="G754" s="40" t="s">
        <v>9393</v>
      </c>
      <c r="H754" s="40" t="s">
        <v>9394</v>
      </c>
      <c r="I754" s="40" t="s">
        <v>49</v>
      </c>
      <c r="J754" s="40">
        <v>162.80000000000001</v>
      </c>
      <c r="K754" s="40">
        <v>162.80000000000001</v>
      </c>
      <c r="L754" s="40"/>
      <c r="M754" s="40">
        <v>162.80000000000001</v>
      </c>
      <c r="N754" s="40"/>
      <c r="O754" s="40" t="s">
        <v>234</v>
      </c>
    </row>
    <row r="755" spans="1:15" ht="45" x14ac:dyDescent="0.2">
      <c r="A755" s="40" t="s">
        <v>9395</v>
      </c>
      <c r="B755" s="40" t="s">
        <v>9396</v>
      </c>
      <c r="C755" s="41">
        <v>46023</v>
      </c>
      <c r="D755" s="41">
        <v>46023</v>
      </c>
      <c r="E755" s="40" t="s">
        <v>13</v>
      </c>
      <c r="F755" s="40" t="s">
        <v>628</v>
      </c>
      <c r="G755" s="40" t="s">
        <v>9397</v>
      </c>
      <c r="H755" s="40" t="s">
        <v>9398</v>
      </c>
      <c r="I755" s="40" t="s">
        <v>49</v>
      </c>
      <c r="J755" s="40">
        <v>159</v>
      </c>
      <c r="K755" s="40">
        <v>159</v>
      </c>
      <c r="L755" s="40"/>
      <c r="M755" s="40">
        <v>159</v>
      </c>
      <c r="N755" s="40"/>
      <c r="O755" s="40" t="s">
        <v>234</v>
      </c>
    </row>
    <row r="756" spans="1:15" ht="33.75" x14ac:dyDescent="0.2">
      <c r="A756" s="40" t="s">
        <v>9399</v>
      </c>
      <c r="B756" s="40" t="s">
        <v>9400</v>
      </c>
      <c r="C756" s="41">
        <v>46023</v>
      </c>
      <c r="D756" s="41">
        <v>46023</v>
      </c>
      <c r="E756" s="40" t="s">
        <v>13</v>
      </c>
      <c r="F756" s="40" t="s">
        <v>9401</v>
      </c>
      <c r="G756" s="40" t="s">
        <v>9402</v>
      </c>
      <c r="H756" s="40" t="s">
        <v>9403</v>
      </c>
      <c r="I756" s="40" t="s">
        <v>49</v>
      </c>
      <c r="J756" s="40">
        <v>417.4</v>
      </c>
      <c r="K756" s="40">
        <v>417.4</v>
      </c>
      <c r="L756" s="40"/>
      <c r="M756" s="40">
        <v>417.4</v>
      </c>
      <c r="N756" s="40"/>
      <c r="O756" s="40" t="s">
        <v>234</v>
      </c>
    </row>
    <row r="757" spans="1:15" ht="33.75" x14ac:dyDescent="0.2">
      <c r="A757" s="40" t="s">
        <v>9404</v>
      </c>
      <c r="B757" s="40" t="s">
        <v>9405</v>
      </c>
      <c r="C757" s="41">
        <v>46023</v>
      </c>
      <c r="D757" s="41">
        <v>46023</v>
      </c>
      <c r="E757" s="40" t="s">
        <v>13</v>
      </c>
      <c r="F757" s="40" t="s">
        <v>9406</v>
      </c>
      <c r="G757" s="40" t="s">
        <v>9407</v>
      </c>
      <c r="H757" s="40" t="s">
        <v>9408</v>
      </c>
      <c r="I757" s="40" t="s">
        <v>49</v>
      </c>
      <c r="J757" s="40">
        <v>88</v>
      </c>
      <c r="K757" s="40">
        <v>88</v>
      </c>
      <c r="L757" s="40"/>
      <c r="M757" s="40">
        <v>88</v>
      </c>
      <c r="N757" s="40"/>
      <c r="O757" s="40" t="s">
        <v>234</v>
      </c>
    </row>
    <row r="758" spans="1:15" ht="33.75" x14ac:dyDescent="0.2">
      <c r="A758" s="40" t="s">
        <v>9409</v>
      </c>
      <c r="B758" s="40" t="s">
        <v>9410</v>
      </c>
      <c r="C758" s="41">
        <v>46023</v>
      </c>
      <c r="D758" s="41">
        <v>46023</v>
      </c>
      <c r="E758" s="40" t="s">
        <v>13</v>
      </c>
      <c r="F758" s="40" t="s">
        <v>9411</v>
      </c>
      <c r="G758" s="40" t="s">
        <v>9412</v>
      </c>
      <c r="H758" s="40" t="s">
        <v>9413</v>
      </c>
      <c r="I758" s="40" t="s">
        <v>49</v>
      </c>
      <c r="J758" s="40">
        <v>25.13</v>
      </c>
      <c r="K758" s="40">
        <v>25.13</v>
      </c>
      <c r="L758" s="40"/>
      <c r="M758" s="40">
        <v>25.13</v>
      </c>
      <c r="N758" s="40"/>
      <c r="O758" s="40" t="s">
        <v>234</v>
      </c>
    </row>
    <row r="759" spans="1:15" ht="33.75" x14ac:dyDescent="0.2">
      <c r="A759" s="40" t="s">
        <v>9414</v>
      </c>
      <c r="B759" s="40" t="s">
        <v>9415</v>
      </c>
      <c r="C759" s="41">
        <v>46023</v>
      </c>
      <c r="D759" s="41">
        <v>46023</v>
      </c>
      <c r="E759" s="40" t="s">
        <v>13</v>
      </c>
      <c r="F759" s="40" t="s">
        <v>9416</v>
      </c>
      <c r="G759" s="40" t="s">
        <v>9417</v>
      </c>
      <c r="H759" s="40" t="s">
        <v>9418</v>
      </c>
      <c r="I759" s="40" t="s">
        <v>49</v>
      </c>
      <c r="J759" s="40">
        <v>50</v>
      </c>
      <c r="K759" s="40">
        <v>50</v>
      </c>
      <c r="L759" s="40"/>
      <c r="M759" s="40">
        <v>50</v>
      </c>
      <c r="N759" s="40"/>
      <c r="O759" s="40" t="s">
        <v>234</v>
      </c>
    </row>
    <row r="760" spans="1:15" ht="33.75" x14ac:dyDescent="0.2">
      <c r="A760" s="40" t="s">
        <v>9419</v>
      </c>
      <c r="B760" s="40" t="s">
        <v>9420</v>
      </c>
      <c r="C760" s="41">
        <v>46023</v>
      </c>
      <c r="D760" s="41">
        <v>46023</v>
      </c>
      <c r="E760" s="40" t="s">
        <v>13</v>
      </c>
      <c r="F760" s="40" t="s">
        <v>9421</v>
      </c>
      <c r="G760" s="40" t="s">
        <v>9422</v>
      </c>
      <c r="H760" s="40" t="s">
        <v>9423</v>
      </c>
      <c r="I760" s="40" t="s">
        <v>49</v>
      </c>
      <c r="J760" s="40">
        <v>127.5</v>
      </c>
      <c r="K760" s="40">
        <v>127.5</v>
      </c>
      <c r="L760" s="40"/>
      <c r="M760" s="40">
        <v>127.5</v>
      </c>
      <c r="N760" s="40"/>
      <c r="O760" s="40" t="s">
        <v>234</v>
      </c>
    </row>
    <row r="761" spans="1:15" ht="33.75" x14ac:dyDescent="0.2">
      <c r="A761" s="40" t="s">
        <v>9424</v>
      </c>
      <c r="B761" s="40" t="s">
        <v>9425</v>
      </c>
      <c r="C761" s="41">
        <v>46023</v>
      </c>
      <c r="D761" s="41">
        <v>46023</v>
      </c>
      <c r="E761" s="40" t="s">
        <v>13</v>
      </c>
      <c r="F761" s="40" t="s">
        <v>9426</v>
      </c>
      <c r="G761" s="40" t="s">
        <v>9427</v>
      </c>
      <c r="H761" s="40" t="s">
        <v>9428</v>
      </c>
      <c r="I761" s="40" t="s">
        <v>49</v>
      </c>
      <c r="J761" s="40">
        <v>142.5</v>
      </c>
      <c r="K761" s="40">
        <v>142.5</v>
      </c>
      <c r="L761" s="40"/>
      <c r="M761" s="40">
        <v>142.5</v>
      </c>
      <c r="N761" s="40"/>
      <c r="O761" s="40" t="s">
        <v>234</v>
      </c>
    </row>
    <row r="762" spans="1:15" ht="33.75" x14ac:dyDescent="0.2">
      <c r="A762" s="40" t="s">
        <v>9429</v>
      </c>
      <c r="B762" s="40" t="s">
        <v>9430</v>
      </c>
      <c r="C762" s="41">
        <v>46023</v>
      </c>
      <c r="D762" s="41">
        <v>46023</v>
      </c>
      <c r="E762" s="40" t="s">
        <v>13</v>
      </c>
      <c r="F762" s="40" t="s">
        <v>9431</v>
      </c>
      <c r="G762" s="40" t="s">
        <v>9432</v>
      </c>
      <c r="H762" s="40" t="s">
        <v>9433</v>
      </c>
      <c r="I762" s="40" t="s">
        <v>49</v>
      </c>
      <c r="J762" s="40">
        <v>79</v>
      </c>
      <c r="K762" s="40">
        <v>79</v>
      </c>
      <c r="L762" s="40"/>
      <c r="M762" s="40">
        <v>79</v>
      </c>
      <c r="N762" s="40"/>
      <c r="O762" s="40" t="s">
        <v>234</v>
      </c>
    </row>
    <row r="763" spans="1:15" ht="33.75" x14ac:dyDescent="0.2">
      <c r="A763" s="40" t="s">
        <v>9434</v>
      </c>
      <c r="B763" s="40" t="s">
        <v>9435</v>
      </c>
      <c r="C763" s="41">
        <v>46023</v>
      </c>
      <c r="D763" s="41">
        <v>46023</v>
      </c>
      <c r="E763" s="40" t="s">
        <v>13</v>
      </c>
      <c r="F763" s="40" t="s">
        <v>9436</v>
      </c>
      <c r="G763" s="40" t="s">
        <v>9437</v>
      </c>
      <c r="H763" s="40" t="s">
        <v>9438</v>
      </c>
      <c r="I763" s="40" t="s">
        <v>49</v>
      </c>
      <c r="J763" s="40">
        <v>99.3</v>
      </c>
      <c r="K763" s="40">
        <v>99.3</v>
      </c>
      <c r="L763" s="40"/>
      <c r="M763" s="40">
        <v>99.3</v>
      </c>
      <c r="N763" s="40"/>
      <c r="O763" s="40" t="s">
        <v>234</v>
      </c>
    </row>
    <row r="764" spans="1:15" ht="33.75" x14ac:dyDescent="0.2">
      <c r="A764" s="40" t="s">
        <v>9439</v>
      </c>
      <c r="B764" s="40" t="s">
        <v>9440</v>
      </c>
      <c r="C764" s="41">
        <v>46023</v>
      </c>
      <c r="D764" s="41">
        <v>46023</v>
      </c>
      <c r="E764" s="40" t="s">
        <v>13</v>
      </c>
      <c r="F764" s="40" t="s">
        <v>9441</v>
      </c>
      <c r="G764" s="40" t="s">
        <v>9442</v>
      </c>
      <c r="H764" s="40" t="s">
        <v>9443</v>
      </c>
      <c r="I764" s="40" t="s">
        <v>49</v>
      </c>
      <c r="J764" s="40">
        <v>121.8</v>
      </c>
      <c r="K764" s="40">
        <v>121.8</v>
      </c>
      <c r="L764" s="40"/>
      <c r="M764" s="40">
        <v>121.8</v>
      </c>
      <c r="N764" s="40"/>
      <c r="O764" s="40" t="s">
        <v>234</v>
      </c>
    </row>
    <row r="765" spans="1:15" ht="33.75" x14ac:dyDescent="0.2">
      <c r="A765" s="40" t="s">
        <v>9444</v>
      </c>
      <c r="B765" s="40" t="s">
        <v>9445</v>
      </c>
      <c r="C765" s="41">
        <v>46023</v>
      </c>
      <c r="D765" s="41">
        <v>46023</v>
      </c>
      <c r="E765" s="40" t="s">
        <v>13</v>
      </c>
      <c r="F765" s="40" t="s">
        <v>9426</v>
      </c>
      <c r="G765" s="40" t="s">
        <v>9446</v>
      </c>
      <c r="H765" s="40" t="s">
        <v>9447</v>
      </c>
      <c r="I765" s="40" t="s">
        <v>49</v>
      </c>
      <c r="J765" s="40">
        <v>131.80000000000001</v>
      </c>
      <c r="K765" s="40">
        <v>131.80000000000001</v>
      </c>
      <c r="L765" s="40"/>
      <c r="M765" s="40">
        <v>131.80000000000001</v>
      </c>
      <c r="N765" s="40"/>
      <c r="O765" s="40" t="s">
        <v>234</v>
      </c>
    </row>
    <row r="766" spans="1:15" ht="33.75" x14ac:dyDescent="0.2">
      <c r="A766" s="40" t="s">
        <v>9448</v>
      </c>
      <c r="B766" s="40" t="s">
        <v>9449</v>
      </c>
      <c r="C766" s="41">
        <v>46023</v>
      </c>
      <c r="D766" s="41">
        <v>46023</v>
      </c>
      <c r="E766" s="40" t="s">
        <v>13</v>
      </c>
      <c r="F766" s="40" t="s">
        <v>9450</v>
      </c>
      <c r="G766" s="40" t="s">
        <v>9451</v>
      </c>
      <c r="H766" s="40" t="s">
        <v>9452</v>
      </c>
      <c r="I766" s="40" t="s">
        <v>49</v>
      </c>
      <c r="J766" s="40">
        <v>225.9</v>
      </c>
      <c r="K766" s="40">
        <v>225.9</v>
      </c>
      <c r="L766" s="40"/>
      <c r="M766" s="40">
        <v>225.9</v>
      </c>
      <c r="N766" s="40"/>
      <c r="O766" s="40" t="s">
        <v>234</v>
      </c>
    </row>
    <row r="767" spans="1:15" ht="33.75" x14ac:dyDescent="0.2">
      <c r="A767" s="40" t="s">
        <v>9453</v>
      </c>
      <c r="B767" s="40" t="s">
        <v>9454</v>
      </c>
      <c r="C767" s="41">
        <v>46023</v>
      </c>
      <c r="D767" s="41">
        <v>46023</v>
      </c>
      <c r="E767" s="40" t="s">
        <v>13</v>
      </c>
      <c r="F767" s="40" t="s">
        <v>9455</v>
      </c>
      <c r="G767" s="40" t="s">
        <v>9456</v>
      </c>
      <c r="H767" s="40" t="s">
        <v>9457</v>
      </c>
      <c r="I767" s="40" t="s">
        <v>49</v>
      </c>
      <c r="J767" s="40">
        <v>54.01</v>
      </c>
      <c r="K767" s="40">
        <v>54.01</v>
      </c>
      <c r="L767" s="40"/>
      <c r="M767" s="40">
        <v>54.01</v>
      </c>
      <c r="N767" s="40"/>
      <c r="O767" s="40" t="s">
        <v>234</v>
      </c>
    </row>
    <row r="768" spans="1:15" ht="33.75" x14ac:dyDescent="0.2">
      <c r="A768" s="40" t="s">
        <v>9458</v>
      </c>
      <c r="B768" s="40" t="s">
        <v>9459</v>
      </c>
      <c r="C768" s="41">
        <v>46023</v>
      </c>
      <c r="D768" s="41">
        <v>46023</v>
      </c>
      <c r="E768" s="40" t="s">
        <v>13</v>
      </c>
      <c r="F768" s="40" t="s">
        <v>9460</v>
      </c>
      <c r="G768" s="40" t="s">
        <v>9461</v>
      </c>
      <c r="H768" s="40" t="s">
        <v>9462</v>
      </c>
      <c r="I768" s="40" t="s">
        <v>49</v>
      </c>
      <c r="J768" s="40">
        <v>119</v>
      </c>
      <c r="K768" s="40">
        <v>119</v>
      </c>
      <c r="L768" s="40"/>
      <c r="M768" s="40">
        <v>119</v>
      </c>
      <c r="N768" s="40"/>
      <c r="O768" s="40" t="s">
        <v>234</v>
      </c>
    </row>
    <row r="769" spans="1:15" ht="33.75" x14ac:dyDescent="0.2">
      <c r="A769" s="40" t="s">
        <v>9463</v>
      </c>
      <c r="B769" s="40" t="s">
        <v>9464</v>
      </c>
      <c r="C769" s="41">
        <v>46023</v>
      </c>
      <c r="D769" s="41">
        <v>46023</v>
      </c>
      <c r="E769" s="40" t="s">
        <v>13</v>
      </c>
      <c r="F769" s="40" t="s">
        <v>9465</v>
      </c>
      <c r="G769" s="40" t="s">
        <v>9466</v>
      </c>
      <c r="H769" s="40" t="s">
        <v>9467</v>
      </c>
      <c r="I769" s="40" t="s">
        <v>49</v>
      </c>
      <c r="J769" s="40">
        <v>207</v>
      </c>
      <c r="K769" s="40">
        <v>207</v>
      </c>
      <c r="L769" s="40"/>
      <c r="M769" s="40">
        <v>207</v>
      </c>
      <c r="N769" s="40"/>
      <c r="O769" s="40" t="s">
        <v>234</v>
      </c>
    </row>
    <row r="770" spans="1:15" ht="33.75" x14ac:dyDescent="0.2">
      <c r="A770" s="40" t="s">
        <v>9468</v>
      </c>
      <c r="B770" s="40" t="s">
        <v>9469</v>
      </c>
      <c r="C770" s="41">
        <v>46023</v>
      </c>
      <c r="D770" s="41">
        <v>46023</v>
      </c>
      <c r="E770" s="40" t="s">
        <v>13</v>
      </c>
      <c r="F770" s="40" t="s">
        <v>9470</v>
      </c>
      <c r="G770" s="40" t="s">
        <v>9471</v>
      </c>
      <c r="H770" s="40" t="s">
        <v>9472</v>
      </c>
      <c r="I770" s="40" t="s">
        <v>49</v>
      </c>
      <c r="J770" s="40">
        <v>121.8</v>
      </c>
      <c r="K770" s="40">
        <v>121.8</v>
      </c>
      <c r="L770" s="40"/>
      <c r="M770" s="40">
        <v>121.8</v>
      </c>
      <c r="N770" s="40"/>
      <c r="O770" s="40" t="s">
        <v>234</v>
      </c>
    </row>
    <row r="771" spans="1:15" ht="33.75" x14ac:dyDescent="0.2">
      <c r="A771" s="40" t="s">
        <v>9473</v>
      </c>
      <c r="B771" s="40" t="s">
        <v>9474</v>
      </c>
      <c r="C771" s="41">
        <v>46023</v>
      </c>
      <c r="D771" s="41">
        <v>46023</v>
      </c>
      <c r="E771" s="40" t="s">
        <v>13</v>
      </c>
      <c r="F771" s="40" t="s">
        <v>9475</v>
      </c>
      <c r="G771" s="40" t="s">
        <v>9476</v>
      </c>
      <c r="H771" s="40" t="s">
        <v>9477</v>
      </c>
      <c r="I771" s="40" t="s">
        <v>49</v>
      </c>
      <c r="J771" s="40">
        <v>68</v>
      </c>
      <c r="K771" s="40">
        <v>68</v>
      </c>
      <c r="L771" s="40"/>
      <c r="M771" s="40">
        <v>68</v>
      </c>
      <c r="N771" s="40"/>
      <c r="O771" s="40" t="s">
        <v>234</v>
      </c>
    </row>
    <row r="772" spans="1:15" ht="33.75" x14ac:dyDescent="0.2">
      <c r="A772" s="40" t="s">
        <v>9478</v>
      </c>
      <c r="B772" s="40" t="s">
        <v>9479</v>
      </c>
      <c r="C772" s="41">
        <v>46023</v>
      </c>
      <c r="D772" s="41">
        <v>46023</v>
      </c>
      <c r="E772" s="40" t="s">
        <v>13</v>
      </c>
      <c r="F772" s="40" t="s">
        <v>9480</v>
      </c>
      <c r="G772" s="40" t="s">
        <v>9481</v>
      </c>
      <c r="H772" s="40" t="s">
        <v>9482</v>
      </c>
      <c r="I772" s="40" t="s">
        <v>49</v>
      </c>
      <c r="J772" s="40">
        <v>102</v>
      </c>
      <c r="K772" s="40">
        <v>102</v>
      </c>
      <c r="L772" s="40"/>
      <c r="M772" s="40">
        <v>102</v>
      </c>
      <c r="N772" s="40"/>
      <c r="O772" s="40" t="s">
        <v>234</v>
      </c>
    </row>
    <row r="773" spans="1:15" ht="33.75" x14ac:dyDescent="0.2">
      <c r="A773" s="40" t="s">
        <v>9483</v>
      </c>
      <c r="B773" s="40" t="s">
        <v>9484</v>
      </c>
      <c r="C773" s="41">
        <v>46023</v>
      </c>
      <c r="D773" s="41">
        <v>46023</v>
      </c>
      <c r="E773" s="40" t="s">
        <v>13</v>
      </c>
      <c r="F773" s="40" t="s">
        <v>9485</v>
      </c>
      <c r="G773" s="40" t="s">
        <v>9486</v>
      </c>
      <c r="H773" s="40" t="s">
        <v>9487</v>
      </c>
      <c r="I773" s="40" t="s">
        <v>49</v>
      </c>
      <c r="J773" s="40">
        <v>44</v>
      </c>
      <c r="K773" s="40">
        <v>44</v>
      </c>
      <c r="L773" s="40"/>
      <c r="M773" s="40">
        <v>44</v>
      </c>
      <c r="N773" s="40"/>
      <c r="O773" s="40" t="s">
        <v>234</v>
      </c>
    </row>
    <row r="774" spans="1:15" ht="33.75" x14ac:dyDescent="0.2">
      <c r="A774" s="40" t="s">
        <v>9488</v>
      </c>
      <c r="B774" s="40" t="s">
        <v>9489</v>
      </c>
      <c r="C774" s="41">
        <v>46023</v>
      </c>
      <c r="D774" s="41">
        <v>46023</v>
      </c>
      <c r="E774" s="40" t="s">
        <v>13</v>
      </c>
      <c r="F774" s="40" t="s">
        <v>9490</v>
      </c>
      <c r="G774" s="40" t="s">
        <v>9491</v>
      </c>
      <c r="H774" s="40" t="s">
        <v>9492</v>
      </c>
      <c r="I774" s="40" t="s">
        <v>49</v>
      </c>
      <c r="J774" s="40">
        <v>44</v>
      </c>
      <c r="K774" s="40">
        <v>44</v>
      </c>
      <c r="L774" s="40"/>
      <c r="M774" s="40">
        <v>44</v>
      </c>
      <c r="N774" s="40"/>
      <c r="O774" s="40" t="s">
        <v>234</v>
      </c>
    </row>
    <row r="775" spans="1:15" ht="33.75" x14ac:dyDescent="0.2">
      <c r="A775" s="40" t="s">
        <v>9493</v>
      </c>
      <c r="B775" s="40" t="s">
        <v>9494</v>
      </c>
      <c r="C775" s="41">
        <v>46023</v>
      </c>
      <c r="D775" s="41">
        <v>46023</v>
      </c>
      <c r="E775" s="40" t="s">
        <v>13</v>
      </c>
      <c r="F775" s="40" t="s">
        <v>2041</v>
      </c>
      <c r="G775" s="40" t="s">
        <v>9495</v>
      </c>
      <c r="H775" s="40" t="s">
        <v>9496</v>
      </c>
      <c r="I775" s="40" t="s">
        <v>49</v>
      </c>
      <c r="J775" s="40">
        <v>119</v>
      </c>
      <c r="K775" s="40">
        <v>119</v>
      </c>
      <c r="L775" s="40"/>
      <c r="M775" s="40">
        <v>119</v>
      </c>
      <c r="N775" s="40"/>
      <c r="O775" s="40" t="s">
        <v>234</v>
      </c>
    </row>
    <row r="776" spans="1:15" ht="33.75" x14ac:dyDescent="0.2">
      <c r="A776" s="40" t="s">
        <v>9497</v>
      </c>
      <c r="B776" s="40" t="s">
        <v>9498</v>
      </c>
      <c r="C776" s="41">
        <v>46023</v>
      </c>
      <c r="D776" s="41">
        <v>46023</v>
      </c>
      <c r="E776" s="40" t="s">
        <v>13</v>
      </c>
      <c r="F776" s="40" t="s">
        <v>9499</v>
      </c>
      <c r="G776" s="40" t="s">
        <v>9500</v>
      </c>
      <c r="H776" s="40" t="s">
        <v>9501</v>
      </c>
      <c r="I776" s="40" t="s">
        <v>49</v>
      </c>
      <c r="J776" s="40">
        <v>90.5</v>
      </c>
      <c r="K776" s="40">
        <v>90.5</v>
      </c>
      <c r="L776" s="40"/>
      <c r="M776" s="40">
        <v>90.5</v>
      </c>
      <c r="N776" s="40"/>
      <c r="O776" s="40" t="s">
        <v>234</v>
      </c>
    </row>
    <row r="777" spans="1:15" ht="33.75" x14ac:dyDescent="0.2">
      <c r="A777" s="40" t="s">
        <v>9502</v>
      </c>
      <c r="B777" s="40" t="s">
        <v>9503</v>
      </c>
      <c r="C777" s="41">
        <v>46023</v>
      </c>
      <c r="D777" s="41">
        <v>46023</v>
      </c>
      <c r="E777" s="40" t="s">
        <v>13</v>
      </c>
      <c r="F777" s="40" t="s">
        <v>9504</v>
      </c>
      <c r="G777" s="40" t="s">
        <v>9505</v>
      </c>
      <c r="H777" s="40" t="s">
        <v>9506</v>
      </c>
      <c r="I777" s="40" t="s">
        <v>49</v>
      </c>
      <c r="J777" s="40">
        <v>128.5</v>
      </c>
      <c r="K777" s="40">
        <v>128.5</v>
      </c>
      <c r="L777" s="40"/>
      <c r="M777" s="40">
        <v>128.5</v>
      </c>
      <c r="N777" s="40"/>
      <c r="O777" s="40" t="s">
        <v>234</v>
      </c>
    </row>
    <row r="778" spans="1:15" ht="33.75" x14ac:dyDescent="0.2">
      <c r="A778" s="40" t="s">
        <v>9507</v>
      </c>
      <c r="B778" s="40" t="s">
        <v>9508</v>
      </c>
      <c r="C778" s="41">
        <v>46023</v>
      </c>
      <c r="D778" s="41">
        <v>46023</v>
      </c>
      <c r="E778" s="40" t="s">
        <v>13</v>
      </c>
      <c r="F778" s="40" t="s">
        <v>9509</v>
      </c>
      <c r="G778" s="40" t="s">
        <v>9510</v>
      </c>
      <c r="H778" s="40" t="s">
        <v>9511</v>
      </c>
      <c r="I778" s="40" t="s">
        <v>49</v>
      </c>
      <c r="J778" s="40">
        <v>107.15</v>
      </c>
      <c r="K778" s="40">
        <v>107.15</v>
      </c>
      <c r="L778" s="40"/>
      <c r="M778" s="40">
        <v>107.15</v>
      </c>
      <c r="N778" s="40"/>
      <c r="O778" s="40" t="s">
        <v>234</v>
      </c>
    </row>
    <row r="779" spans="1:15" ht="33.75" x14ac:dyDescent="0.2">
      <c r="A779" s="40" t="s">
        <v>9512</v>
      </c>
      <c r="B779" s="40" t="s">
        <v>9513</v>
      </c>
      <c r="C779" s="41">
        <v>46023</v>
      </c>
      <c r="D779" s="41">
        <v>46023</v>
      </c>
      <c r="E779" s="40" t="s">
        <v>13</v>
      </c>
      <c r="F779" s="40" t="s">
        <v>9514</v>
      </c>
      <c r="G779" s="40" t="s">
        <v>9515</v>
      </c>
      <c r="H779" s="40" t="s">
        <v>9516</v>
      </c>
      <c r="I779" s="40" t="s">
        <v>49</v>
      </c>
      <c r="J779" s="40">
        <v>43</v>
      </c>
      <c r="K779" s="40">
        <v>43</v>
      </c>
      <c r="L779" s="40"/>
      <c r="M779" s="40">
        <v>43</v>
      </c>
      <c r="N779" s="40"/>
      <c r="O779" s="40" t="s">
        <v>234</v>
      </c>
    </row>
    <row r="780" spans="1:15" ht="33.75" x14ac:dyDescent="0.2">
      <c r="A780" s="40" t="s">
        <v>9517</v>
      </c>
      <c r="B780" s="40" t="s">
        <v>9518</v>
      </c>
      <c r="C780" s="41">
        <v>46023</v>
      </c>
      <c r="D780" s="41">
        <v>46023</v>
      </c>
      <c r="E780" s="40" t="s">
        <v>13</v>
      </c>
      <c r="F780" s="40" t="s">
        <v>9519</v>
      </c>
      <c r="G780" s="40" t="s">
        <v>9520</v>
      </c>
      <c r="H780" s="40" t="s">
        <v>9521</v>
      </c>
      <c r="I780" s="40" t="s">
        <v>49</v>
      </c>
      <c r="J780" s="40">
        <v>44</v>
      </c>
      <c r="K780" s="40">
        <v>44</v>
      </c>
      <c r="L780" s="40"/>
      <c r="M780" s="40">
        <v>44</v>
      </c>
      <c r="N780" s="40"/>
      <c r="O780" s="40" t="s">
        <v>234</v>
      </c>
    </row>
    <row r="781" spans="1:15" ht="33.75" x14ac:dyDescent="0.2">
      <c r="A781" s="40" t="s">
        <v>9522</v>
      </c>
      <c r="B781" s="40" t="s">
        <v>9523</v>
      </c>
      <c r="C781" s="41">
        <v>46023</v>
      </c>
      <c r="D781" s="41">
        <v>46023</v>
      </c>
      <c r="E781" s="40" t="s">
        <v>13</v>
      </c>
      <c r="F781" s="40" t="s">
        <v>9524</v>
      </c>
      <c r="G781" s="40" t="s">
        <v>9525</v>
      </c>
      <c r="H781" s="40" t="s">
        <v>9526</v>
      </c>
      <c r="I781" s="40" t="s">
        <v>49</v>
      </c>
      <c r="J781" s="40">
        <v>110.3</v>
      </c>
      <c r="K781" s="40">
        <v>110.3</v>
      </c>
      <c r="L781" s="40"/>
      <c r="M781" s="40">
        <v>110.3</v>
      </c>
      <c r="N781" s="40"/>
      <c r="O781" s="40" t="s">
        <v>234</v>
      </c>
    </row>
    <row r="782" spans="1:15" ht="33.75" x14ac:dyDescent="0.2">
      <c r="A782" s="40" t="s">
        <v>9527</v>
      </c>
      <c r="B782" s="40" t="s">
        <v>9528</v>
      </c>
      <c r="C782" s="41">
        <v>46023</v>
      </c>
      <c r="D782" s="41">
        <v>46023</v>
      </c>
      <c r="E782" s="40" t="s">
        <v>13</v>
      </c>
      <c r="F782" s="40" t="s">
        <v>9529</v>
      </c>
      <c r="G782" s="40" t="s">
        <v>9530</v>
      </c>
      <c r="H782" s="40" t="s">
        <v>9531</v>
      </c>
      <c r="I782" s="40" t="s">
        <v>49</v>
      </c>
      <c r="J782" s="40">
        <v>115.5</v>
      </c>
      <c r="K782" s="40">
        <v>115.5</v>
      </c>
      <c r="L782" s="40"/>
      <c r="M782" s="40">
        <v>115.5</v>
      </c>
      <c r="N782" s="40"/>
      <c r="O782" s="40" t="s">
        <v>234</v>
      </c>
    </row>
    <row r="783" spans="1:15" ht="33.75" x14ac:dyDescent="0.2">
      <c r="A783" s="40" t="s">
        <v>9532</v>
      </c>
      <c r="B783" s="40" t="s">
        <v>9533</v>
      </c>
      <c r="C783" s="41">
        <v>46023</v>
      </c>
      <c r="D783" s="41">
        <v>46023</v>
      </c>
      <c r="E783" s="40" t="s">
        <v>13</v>
      </c>
      <c r="F783" s="40" t="s">
        <v>9534</v>
      </c>
      <c r="G783" s="40" t="s">
        <v>9535</v>
      </c>
      <c r="H783" s="40" t="s">
        <v>9536</v>
      </c>
      <c r="I783" s="40" t="s">
        <v>49</v>
      </c>
      <c r="J783" s="40">
        <v>147.9</v>
      </c>
      <c r="K783" s="40">
        <v>147.9</v>
      </c>
      <c r="L783" s="40"/>
      <c r="M783" s="40">
        <v>147.9</v>
      </c>
      <c r="N783" s="40"/>
      <c r="O783" s="40" t="s">
        <v>234</v>
      </c>
    </row>
    <row r="784" spans="1:15" ht="33.75" x14ac:dyDescent="0.2">
      <c r="A784" s="40" t="s">
        <v>9537</v>
      </c>
      <c r="B784" s="40" t="s">
        <v>9538</v>
      </c>
      <c r="C784" s="41">
        <v>46023</v>
      </c>
      <c r="D784" s="41">
        <v>46023</v>
      </c>
      <c r="E784" s="40" t="s">
        <v>13</v>
      </c>
      <c r="F784" s="40" t="s">
        <v>9539</v>
      </c>
      <c r="G784" s="40" t="s">
        <v>9540</v>
      </c>
      <c r="H784" s="40" t="s">
        <v>9541</v>
      </c>
      <c r="I784" s="40" t="s">
        <v>49</v>
      </c>
      <c r="J784" s="40">
        <v>42.49</v>
      </c>
      <c r="K784" s="40">
        <v>42.49</v>
      </c>
      <c r="L784" s="40"/>
      <c r="M784" s="40">
        <v>42.49</v>
      </c>
      <c r="N784" s="40"/>
      <c r="O784" s="40" t="s">
        <v>234</v>
      </c>
    </row>
    <row r="785" spans="1:15" ht="33.75" x14ac:dyDescent="0.2">
      <c r="A785" s="40" t="s">
        <v>9542</v>
      </c>
      <c r="B785" s="40" t="s">
        <v>9543</v>
      </c>
      <c r="C785" s="41">
        <v>46023</v>
      </c>
      <c r="D785" s="41">
        <v>46023</v>
      </c>
      <c r="E785" s="40" t="s">
        <v>13</v>
      </c>
      <c r="F785" s="40" t="s">
        <v>9544</v>
      </c>
      <c r="G785" s="40" t="s">
        <v>9545</v>
      </c>
      <c r="H785" s="40" t="s">
        <v>9546</v>
      </c>
      <c r="I785" s="40" t="s">
        <v>49</v>
      </c>
      <c r="J785" s="40">
        <v>68.7</v>
      </c>
      <c r="K785" s="40">
        <v>68.7</v>
      </c>
      <c r="L785" s="40"/>
      <c r="M785" s="40">
        <v>68.7</v>
      </c>
      <c r="N785" s="40"/>
      <c r="O785" s="40" t="s">
        <v>234</v>
      </c>
    </row>
    <row r="786" spans="1:15" ht="33.75" x14ac:dyDescent="0.2">
      <c r="A786" s="40" t="s">
        <v>9547</v>
      </c>
      <c r="B786" s="40" t="s">
        <v>9548</v>
      </c>
      <c r="C786" s="41">
        <v>46023</v>
      </c>
      <c r="D786" s="41">
        <v>46023</v>
      </c>
      <c r="E786" s="40" t="s">
        <v>13</v>
      </c>
      <c r="F786" s="40" t="s">
        <v>9544</v>
      </c>
      <c r="G786" s="40" t="s">
        <v>9549</v>
      </c>
      <c r="H786" s="40" t="s">
        <v>9550</v>
      </c>
      <c r="I786" s="40" t="s">
        <v>49</v>
      </c>
      <c r="J786" s="40">
        <v>52.7</v>
      </c>
      <c r="K786" s="40">
        <v>52.7</v>
      </c>
      <c r="L786" s="40"/>
      <c r="M786" s="40">
        <v>52.7</v>
      </c>
      <c r="N786" s="40"/>
      <c r="O786" s="40" t="s">
        <v>234</v>
      </c>
    </row>
    <row r="787" spans="1:15" ht="33.75" x14ac:dyDescent="0.2">
      <c r="A787" s="40" t="s">
        <v>9551</v>
      </c>
      <c r="B787" s="40" t="s">
        <v>9552</v>
      </c>
      <c r="C787" s="41">
        <v>46023</v>
      </c>
      <c r="D787" s="41">
        <v>46023</v>
      </c>
      <c r="E787" s="40" t="s">
        <v>13</v>
      </c>
      <c r="F787" s="40" t="s">
        <v>9553</v>
      </c>
      <c r="G787" s="40" t="s">
        <v>9554</v>
      </c>
      <c r="H787" s="40" t="s">
        <v>9555</v>
      </c>
      <c r="I787" s="40" t="s">
        <v>49</v>
      </c>
      <c r="J787" s="40">
        <v>76.95</v>
      </c>
      <c r="K787" s="40">
        <v>76.95</v>
      </c>
      <c r="L787" s="40"/>
      <c r="M787" s="40">
        <v>76.95</v>
      </c>
      <c r="N787" s="40"/>
      <c r="O787" s="40" t="s">
        <v>234</v>
      </c>
    </row>
    <row r="788" spans="1:15" ht="33.75" x14ac:dyDescent="0.2">
      <c r="A788" s="40" t="s">
        <v>9556</v>
      </c>
      <c r="B788" s="40" t="s">
        <v>9557</v>
      </c>
      <c r="C788" s="41">
        <v>46023</v>
      </c>
      <c r="D788" s="41">
        <v>46023</v>
      </c>
      <c r="E788" s="40" t="s">
        <v>13</v>
      </c>
      <c r="F788" s="40" t="s">
        <v>9558</v>
      </c>
      <c r="G788" s="40" t="s">
        <v>9559</v>
      </c>
      <c r="H788" s="40" t="s">
        <v>9560</v>
      </c>
      <c r="I788" s="40" t="s">
        <v>49</v>
      </c>
      <c r="J788" s="40">
        <v>11.1</v>
      </c>
      <c r="K788" s="40">
        <v>11.1</v>
      </c>
      <c r="L788" s="40"/>
      <c r="M788" s="40">
        <v>11.1</v>
      </c>
      <c r="N788" s="40"/>
      <c r="O788" s="40" t="s">
        <v>234</v>
      </c>
    </row>
    <row r="789" spans="1:15" ht="33.75" x14ac:dyDescent="0.2">
      <c r="A789" s="40" t="s">
        <v>9561</v>
      </c>
      <c r="B789" s="40" t="s">
        <v>9562</v>
      </c>
      <c r="C789" s="41">
        <v>46023</v>
      </c>
      <c r="D789" s="41">
        <v>46023</v>
      </c>
      <c r="E789" s="40" t="s">
        <v>13</v>
      </c>
      <c r="F789" s="40" t="s">
        <v>9563</v>
      </c>
      <c r="G789" s="40" t="s">
        <v>9564</v>
      </c>
      <c r="H789" s="40" t="s">
        <v>9565</v>
      </c>
      <c r="I789" s="40" t="s">
        <v>49</v>
      </c>
      <c r="J789" s="40">
        <v>42.2</v>
      </c>
      <c r="K789" s="40">
        <v>42.2</v>
      </c>
      <c r="L789" s="40"/>
      <c r="M789" s="40">
        <v>42.2</v>
      </c>
      <c r="N789" s="40"/>
      <c r="O789" s="40" t="s">
        <v>234</v>
      </c>
    </row>
    <row r="790" spans="1:15" ht="33.75" x14ac:dyDescent="0.2">
      <c r="A790" s="40" t="s">
        <v>9566</v>
      </c>
      <c r="B790" s="40" t="s">
        <v>9567</v>
      </c>
      <c r="C790" s="41">
        <v>46023</v>
      </c>
      <c r="D790" s="41">
        <v>46023</v>
      </c>
      <c r="E790" s="40" t="s">
        <v>13</v>
      </c>
      <c r="F790" s="40" t="s">
        <v>3839</v>
      </c>
      <c r="G790" s="40" t="s">
        <v>9568</v>
      </c>
      <c r="H790" s="40" t="s">
        <v>9569</v>
      </c>
      <c r="I790" s="40" t="s">
        <v>49</v>
      </c>
      <c r="J790" s="40">
        <v>127.42</v>
      </c>
      <c r="K790" s="40">
        <v>127.42</v>
      </c>
      <c r="L790" s="40"/>
      <c r="M790" s="40">
        <v>127.42</v>
      </c>
      <c r="N790" s="40"/>
      <c r="O790" s="40" t="s">
        <v>234</v>
      </c>
    </row>
    <row r="791" spans="1:15" ht="33.75" x14ac:dyDescent="0.2">
      <c r="A791" s="40" t="s">
        <v>9570</v>
      </c>
      <c r="B791" s="40" t="s">
        <v>9571</v>
      </c>
      <c r="C791" s="41">
        <v>46023</v>
      </c>
      <c r="D791" s="41">
        <v>46023</v>
      </c>
      <c r="E791" s="40" t="s">
        <v>13</v>
      </c>
      <c r="F791" s="40" t="s">
        <v>9572</v>
      </c>
      <c r="G791" s="40" t="s">
        <v>9573</v>
      </c>
      <c r="H791" s="40" t="s">
        <v>9574</v>
      </c>
      <c r="I791" s="40" t="s">
        <v>49</v>
      </c>
      <c r="J791" s="40">
        <v>109.8</v>
      </c>
      <c r="K791" s="40">
        <v>109.8</v>
      </c>
      <c r="L791" s="40"/>
      <c r="M791" s="40">
        <v>109.8</v>
      </c>
      <c r="N791" s="40"/>
      <c r="O791" s="40" t="s">
        <v>234</v>
      </c>
    </row>
    <row r="792" spans="1:15" ht="33.75" x14ac:dyDescent="0.2">
      <c r="A792" s="40" t="s">
        <v>9575</v>
      </c>
      <c r="B792" s="40" t="s">
        <v>9576</v>
      </c>
      <c r="C792" s="41">
        <v>46023</v>
      </c>
      <c r="D792" s="41">
        <v>46023</v>
      </c>
      <c r="E792" s="40" t="s">
        <v>13</v>
      </c>
      <c r="F792" s="40" t="s">
        <v>9577</v>
      </c>
      <c r="G792" s="40" t="s">
        <v>9578</v>
      </c>
      <c r="H792" s="40" t="s">
        <v>9579</v>
      </c>
      <c r="I792" s="40" t="s">
        <v>49</v>
      </c>
      <c r="J792" s="40">
        <v>154.36000000000001</v>
      </c>
      <c r="K792" s="40">
        <v>154.36000000000001</v>
      </c>
      <c r="L792" s="40"/>
      <c r="M792" s="40">
        <v>154.36000000000001</v>
      </c>
      <c r="N792" s="40"/>
      <c r="O792" s="40" t="s">
        <v>234</v>
      </c>
    </row>
    <row r="793" spans="1:15" ht="33.75" x14ac:dyDescent="0.2">
      <c r="A793" s="40" t="s">
        <v>9580</v>
      </c>
      <c r="B793" s="40" t="s">
        <v>9581</v>
      </c>
      <c r="C793" s="41">
        <v>46023</v>
      </c>
      <c r="D793" s="41">
        <v>46023</v>
      </c>
      <c r="E793" s="40" t="s">
        <v>13</v>
      </c>
      <c r="F793" s="40" t="s">
        <v>9582</v>
      </c>
      <c r="G793" s="40" t="s">
        <v>9583</v>
      </c>
      <c r="H793" s="40" t="s">
        <v>9584</v>
      </c>
      <c r="I793" s="40" t="s">
        <v>49</v>
      </c>
      <c r="J793" s="40">
        <v>171.5</v>
      </c>
      <c r="K793" s="40">
        <v>171.5</v>
      </c>
      <c r="L793" s="40"/>
      <c r="M793" s="40">
        <v>171.5</v>
      </c>
      <c r="N793" s="40"/>
      <c r="O793" s="40" t="s">
        <v>234</v>
      </c>
    </row>
    <row r="794" spans="1:15" ht="33.75" x14ac:dyDescent="0.2">
      <c r="A794" s="40" t="s">
        <v>9585</v>
      </c>
      <c r="B794" s="40" t="s">
        <v>9586</v>
      </c>
      <c r="C794" s="41">
        <v>46023</v>
      </c>
      <c r="D794" s="41">
        <v>46023</v>
      </c>
      <c r="E794" s="40" t="s">
        <v>13</v>
      </c>
      <c r="F794" s="40" t="s">
        <v>9587</v>
      </c>
      <c r="G794" s="40" t="s">
        <v>9588</v>
      </c>
      <c r="H794" s="40" t="s">
        <v>9589</v>
      </c>
      <c r="I794" s="40" t="s">
        <v>49</v>
      </c>
      <c r="J794" s="40">
        <v>91</v>
      </c>
      <c r="K794" s="40">
        <v>91</v>
      </c>
      <c r="L794" s="40"/>
      <c r="M794" s="40">
        <v>91</v>
      </c>
      <c r="N794" s="40"/>
      <c r="O794" s="40" t="s">
        <v>234</v>
      </c>
    </row>
    <row r="795" spans="1:15" ht="33.75" x14ac:dyDescent="0.2">
      <c r="A795" s="40" t="s">
        <v>9590</v>
      </c>
      <c r="B795" s="40" t="s">
        <v>9591</v>
      </c>
      <c r="C795" s="41">
        <v>46023</v>
      </c>
      <c r="D795" s="41">
        <v>46023</v>
      </c>
      <c r="E795" s="40" t="s">
        <v>13</v>
      </c>
      <c r="F795" s="40" t="s">
        <v>9592</v>
      </c>
      <c r="G795" s="40" t="s">
        <v>9593</v>
      </c>
      <c r="H795" s="40" t="s">
        <v>9594</v>
      </c>
      <c r="I795" s="40" t="s">
        <v>49</v>
      </c>
      <c r="J795" s="40">
        <v>283.5</v>
      </c>
      <c r="K795" s="40">
        <v>283.5</v>
      </c>
      <c r="L795" s="40"/>
      <c r="M795" s="40">
        <v>283.5</v>
      </c>
      <c r="N795" s="40"/>
      <c r="O795" s="40" t="s">
        <v>234</v>
      </c>
    </row>
    <row r="796" spans="1:15" ht="33.75" x14ac:dyDescent="0.2">
      <c r="A796" s="40" t="s">
        <v>9595</v>
      </c>
      <c r="B796" s="40" t="s">
        <v>9596</v>
      </c>
      <c r="C796" s="41">
        <v>46023</v>
      </c>
      <c r="D796" s="41">
        <v>46023</v>
      </c>
      <c r="E796" s="40" t="s">
        <v>13</v>
      </c>
      <c r="F796" s="40" t="s">
        <v>9597</v>
      </c>
      <c r="G796" s="40" t="s">
        <v>9598</v>
      </c>
      <c r="H796" s="40" t="s">
        <v>9599</v>
      </c>
      <c r="I796" s="40" t="s">
        <v>49</v>
      </c>
      <c r="J796" s="40">
        <v>117</v>
      </c>
      <c r="K796" s="40">
        <v>117</v>
      </c>
      <c r="L796" s="40"/>
      <c r="M796" s="40">
        <v>117</v>
      </c>
      <c r="N796" s="40"/>
      <c r="O796" s="40" t="s">
        <v>234</v>
      </c>
    </row>
    <row r="797" spans="1:15" ht="33.75" x14ac:dyDescent="0.2">
      <c r="A797" s="40" t="s">
        <v>9600</v>
      </c>
      <c r="B797" s="40" t="s">
        <v>9601</v>
      </c>
      <c r="C797" s="41">
        <v>46023</v>
      </c>
      <c r="D797" s="41">
        <v>46023</v>
      </c>
      <c r="E797" s="40" t="s">
        <v>13</v>
      </c>
      <c r="F797" s="40" t="s">
        <v>9602</v>
      </c>
      <c r="G797" s="40" t="s">
        <v>9603</v>
      </c>
      <c r="H797" s="40" t="s">
        <v>9604</v>
      </c>
      <c r="I797" s="40" t="s">
        <v>49</v>
      </c>
      <c r="J797" s="40">
        <v>91.8</v>
      </c>
      <c r="K797" s="40">
        <v>91.8</v>
      </c>
      <c r="L797" s="40"/>
      <c r="M797" s="40">
        <v>91.8</v>
      </c>
      <c r="N797" s="40"/>
      <c r="O797" s="40" t="s">
        <v>234</v>
      </c>
    </row>
    <row r="798" spans="1:15" ht="33.75" x14ac:dyDescent="0.2">
      <c r="A798" s="40" t="s">
        <v>9605</v>
      </c>
      <c r="B798" s="40" t="s">
        <v>9606</v>
      </c>
      <c r="C798" s="41">
        <v>46023</v>
      </c>
      <c r="D798" s="41">
        <v>46023</v>
      </c>
      <c r="E798" s="40" t="s">
        <v>13</v>
      </c>
      <c r="F798" s="40" t="s">
        <v>9607</v>
      </c>
      <c r="G798" s="40" t="s">
        <v>9608</v>
      </c>
      <c r="H798" s="40" t="s">
        <v>9609</v>
      </c>
      <c r="I798" s="40" t="s">
        <v>49</v>
      </c>
      <c r="J798" s="40">
        <v>9.5500000000000007</v>
      </c>
      <c r="K798" s="40">
        <v>9.5500000000000007</v>
      </c>
      <c r="L798" s="40"/>
      <c r="M798" s="40">
        <v>9.5500000000000007</v>
      </c>
      <c r="N798" s="40"/>
      <c r="O798" s="40" t="s">
        <v>234</v>
      </c>
    </row>
    <row r="799" spans="1:15" ht="22.5" x14ac:dyDescent="0.2">
      <c r="A799" s="40" t="s">
        <v>9610</v>
      </c>
      <c r="B799" s="40" t="s">
        <v>9610</v>
      </c>
      <c r="C799" s="41">
        <v>46020</v>
      </c>
      <c r="D799" s="40"/>
      <c r="E799" s="40" t="s">
        <v>13</v>
      </c>
      <c r="F799" s="40" t="s">
        <v>295</v>
      </c>
      <c r="G799" s="40" t="s">
        <v>6377</v>
      </c>
      <c r="H799" s="40"/>
      <c r="I799" s="40" t="s">
        <v>49</v>
      </c>
      <c r="J799" s="40">
        <v>-1524.31</v>
      </c>
      <c r="K799" s="40"/>
      <c r="L799" s="40">
        <v>1524.31</v>
      </c>
      <c r="M799" s="40">
        <v>-1524.31</v>
      </c>
      <c r="N799" s="40"/>
      <c r="O799" s="40" t="s">
        <v>234</v>
      </c>
    </row>
    <row r="800" spans="1:15" ht="22.5" x14ac:dyDescent="0.2">
      <c r="A800" s="40" t="s">
        <v>9611</v>
      </c>
      <c r="B800" s="40" t="s">
        <v>9611</v>
      </c>
      <c r="C800" s="41">
        <v>46020</v>
      </c>
      <c r="D800" s="40"/>
      <c r="E800" s="40" t="s">
        <v>13</v>
      </c>
      <c r="F800" s="40" t="s">
        <v>295</v>
      </c>
      <c r="G800" s="40" t="s">
        <v>6383</v>
      </c>
      <c r="H800" s="40"/>
      <c r="I800" s="40" t="s">
        <v>49</v>
      </c>
      <c r="J800" s="40">
        <v>-138.32</v>
      </c>
      <c r="K800" s="40"/>
      <c r="L800" s="40">
        <v>138.32</v>
      </c>
      <c r="M800" s="40">
        <v>-138.32</v>
      </c>
      <c r="N800" s="40"/>
      <c r="O800" s="40" t="s">
        <v>234</v>
      </c>
    </row>
    <row r="801" spans="1:15" ht="22.5" x14ac:dyDescent="0.2">
      <c r="A801" s="40" t="s">
        <v>9612</v>
      </c>
      <c r="B801" s="40" t="s">
        <v>9612</v>
      </c>
      <c r="C801" s="41">
        <v>46014</v>
      </c>
      <c r="D801" s="40"/>
      <c r="E801" s="40" t="s">
        <v>13</v>
      </c>
      <c r="F801" s="40" t="s">
        <v>295</v>
      </c>
      <c r="G801" s="40" t="s">
        <v>6380</v>
      </c>
      <c r="H801" s="40"/>
      <c r="I801" s="40" t="s">
        <v>49</v>
      </c>
      <c r="J801" s="40">
        <v>-376.91</v>
      </c>
      <c r="K801" s="40"/>
      <c r="L801" s="40">
        <v>376.91</v>
      </c>
      <c r="M801" s="40">
        <v>-376.91</v>
      </c>
      <c r="N801" s="40"/>
      <c r="O801" s="40" t="s">
        <v>234</v>
      </c>
    </row>
    <row r="802" spans="1:15" ht="22.5" x14ac:dyDescent="0.2">
      <c r="A802" s="40" t="s">
        <v>9613</v>
      </c>
      <c r="B802" s="40" t="s">
        <v>9613</v>
      </c>
      <c r="C802" s="41">
        <v>46007</v>
      </c>
      <c r="D802" s="40"/>
      <c r="E802" s="40" t="s">
        <v>13</v>
      </c>
      <c r="F802" s="40" t="s">
        <v>295</v>
      </c>
      <c r="G802" s="40" t="s">
        <v>6377</v>
      </c>
      <c r="H802" s="40"/>
      <c r="I802" s="40" t="s">
        <v>49</v>
      </c>
      <c r="J802" s="40">
        <v>-2167</v>
      </c>
      <c r="K802" s="40"/>
      <c r="L802" s="40">
        <v>2167</v>
      </c>
      <c r="M802" s="40">
        <v>-2167</v>
      </c>
      <c r="N802" s="40"/>
      <c r="O802" s="40" t="s">
        <v>234</v>
      </c>
    </row>
    <row r="803" spans="1:15" ht="22.5" x14ac:dyDescent="0.2">
      <c r="A803" s="40" t="s">
        <v>9614</v>
      </c>
      <c r="B803" s="40" t="s">
        <v>9614</v>
      </c>
      <c r="C803" s="41">
        <v>45989</v>
      </c>
      <c r="D803" s="40"/>
      <c r="E803" s="40" t="s">
        <v>13</v>
      </c>
      <c r="F803" s="40" t="s">
        <v>295</v>
      </c>
      <c r="G803" s="40" t="s">
        <v>6383</v>
      </c>
      <c r="H803" s="40"/>
      <c r="I803" s="40" t="s">
        <v>49</v>
      </c>
      <c r="J803" s="40">
        <v>-300.93</v>
      </c>
      <c r="K803" s="40"/>
      <c r="L803" s="40">
        <v>300.93</v>
      </c>
      <c r="M803" s="40">
        <v>-300.93</v>
      </c>
      <c r="N803" s="40"/>
      <c r="O803" s="40" t="s">
        <v>234</v>
      </c>
    </row>
    <row r="804" spans="1:15" ht="22.5" x14ac:dyDescent="0.2">
      <c r="A804" s="40" t="s">
        <v>9615</v>
      </c>
      <c r="B804" s="40" t="s">
        <v>9615</v>
      </c>
      <c r="C804" s="41">
        <v>45987</v>
      </c>
      <c r="D804" s="40"/>
      <c r="E804" s="40" t="s">
        <v>13</v>
      </c>
      <c r="F804" s="40" t="s">
        <v>295</v>
      </c>
      <c r="G804" s="40" t="s">
        <v>6375</v>
      </c>
      <c r="H804" s="40"/>
      <c r="I804" s="40" t="s">
        <v>49</v>
      </c>
      <c r="J804" s="40">
        <v>-282.38</v>
      </c>
      <c r="K804" s="40"/>
      <c r="L804" s="40">
        <v>282.38</v>
      </c>
      <c r="M804" s="40">
        <v>-282.38</v>
      </c>
      <c r="N804" s="40"/>
      <c r="O804" s="40" t="s">
        <v>234</v>
      </c>
    </row>
    <row r="805" spans="1:15" ht="22.5" x14ac:dyDescent="0.2">
      <c r="A805" s="40" t="s">
        <v>9616</v>
      </c>
      <c r="B805" s="40" t="s">
        <v>9616</v>
      </c>
      <c r="C805" s="41">
        <v>46108</v>
      </c>
      <c r="D805" s="40"/>
      <c r="E805" s="40" t="s">
        <v>13</v>
      </c>
      <c r="F805" s="40" t="s">
        <v>295</v>
      </c>
      <c r="G805" s="40" t="s">
        <v>9617</v>
      </c>
      <c r="H805" s="40"/>
      <c r="I805" s="40" t="s">
        <v>49</v>
      </c>
      <c r="J805" s="40">
        <v>-7318.8</v>
      </c>
      <c r="K805" s="40"/>
      <c r="L805" s="40">
        <v>7318.8</v>
      </c>
      <c r="M805" s="40">
        <v>-7318.8</v>
      </c>
      <c r="N805" s="40" t="s">
        <v>9618</v>
      </c>
      <c r="O805" s="40" t="s">
        <v>234</v>
      </c>
    </row>
    <row r="806" spans="1:15" ht="22.5" x14ac:dyDescent="0.2">
      <c r="A806" s="40" t="s">
        <v>9619</v>
      </c>
      <c r="B806" s="40" t="s">
        <v>9619</v>
      </c>
      <c r="C806" s="41">
        <v>46087</v>
      </c>
      <c r="D806" s="40"/>
      <c r="E806" s="40" t="s">
        <v>13</v>
      </c>
      <c r="F806" s="40" t="s">
        <v>295</v>
      </c>
      <c r="G806" s="40" t="s">
        <v>9617</v>
      </c>
      <c r="H806" s="40"/>
      <c r="I806" s="40" t="s">
        <v>49</v>
      </c>
      <c r="J806" s="40">
        <v>-3616.6</v>
      </c>
      <c r="K806" s="40"/>
      <c r="L806" s="40">
        <v>3616.6</v>
      </c>
      <c r="M806" s="40">
        <v>-3616.6</v>
      </c>
      <c r="N806" s="40" t="s">
        <v>9618</v>
      </c>
      <c r="O806" s="40" t="s">
        <v>234</v>
      </c>
    </row>
    <row r="807" spans="1:15" ht="22.5" x14ac:dyDescent="0.2">
      <c r="A807" s="40" t="s">
        <v>9620</v>
      </c>
      <c r="B807" s="40" t="s">
        <v>9620</v>
      </c>
      <c r="C807" s="41">
        <v>46080</v>
      </c>
      <c r="D807" s="40"/>
      <c r="E807" s="40" t="s">
        <v>13</v>
      </c>
      <c r="F807" s="40" t="s">
        <v>295</v>
      </c>
      <c r="G807" s="40" t="s">
        <v>9617</v>
      </c>
      <c r="H807" s="40"/>
      <c r="I807" s="40" t="s">
        <v>49</v>
      </c>
      <c r="J807" s="40">
        <v>-1660.72</v>
      </c>
      <c r="K807" s="40"/>
      <c r="L807" s="40">
        <v>1660.72</v>
      </c>
      <c r="M807" s="40">
        <v>-1660.72</v>
      </c>
      <c r="N807" s="40" t="s">
        <v>9618</v>
      </c>
      <c r="O807" s="40" t="s">
        <v>234</v>
      </c>
    </row>
    <row r="808" spans="1:15" ht="22.5" x14ac:dyDescent="0.2">
      <c r="A808" s="40" t="s">
        <v>9621</v>
      </c>
      <c r="B808" s="40" t="s">
        <v>9621</v>
      </c>
      <c r="C808" s="41">
        <v>46076</v>
      </c>
      <c r="D808" s="40"/>
      <c r="E808" s="40" t="s">
        <v>13</v>
      </c>
      <c r="F808" s="40" t="s">
        <v>295</v>
      </c>
      <c r="G808" s="40" t="s">
        <v>9617</v>
      </c>
      <c r="H808" s="40"/>
      <c r="I808" s="40" t="s">
        <v>49</v>
      </c>
      <c r="J808" s="40">
        <v>-1471.9</v>
      </c>
      <c r="K808" s="40"/>
      <c r="L808" s="40">
        <v>1471.9</v>
      </c>
      <c r="M808" s="40">
        <v>-1471.9</v>
      </c>
      <c r="N808" s="40" t="s">
        <v>9618</v>
      </c>
      <c r="O808" s="40" t="s">
        <v>234</v>
      </c>
    </row>
    <row r="809" spans="1:15" ht="22.5" x14ac:dyDescent="0.2">
      <c r="A809" s="40" t="s">
        <v>9622</v>
      </c>
      <c r="B809" s="40" t="s">
        <v>9622</v>
      </c>
      <c r="C809" s="41">
        <v>45979</v>
      </c>
      <c r="D809" s="40"/>
      <c r="E809" s="40" t="s">
        <v>13</v>
      </c>
      <c r="F809" s="40" t="s">
        <v>295</v>
      </c>
      <c r="G809" s="40" t="s">
        <v>6375</v>
      </c>
      <c r="H809" s="40"/>
      <c r="I809" s="40" t="s">
        <v>49</v>
      </c>
      <c r="J809" s="40">
        <v>-25.2</v>
      </c>
      <c r="K809" s="40"/>
      <c r="L809" s="40">
        <v>25.2</v>
      </c>
      <c r="M809" s="40">
        <v>-25.2</v>
      </c>
      <c r="N809" s="40"/>
      <c r="O809" s="40" t="s">
        <v>234</v>
      </c>
    </row>
    <row r="810" spans="1:15" ht="22.5" x14ac:dyDescent="0.2">
      <c r="A810" s="40" t="s">
        <v>9623</v>
      </c>
      <c r="B810" s="40" t="s">
        <v>9623</v>
      </c>
      <c r="C810" s="41">
        <v>45978</v>
      </c>
      <c r="D810" s="40"/>
      <c r="E810" s="40" t="s">
        <v>13</v>
      </c>
      <c r="F810" s="40" t="s">
        <v>295</v>
      </c>
      <c r="G810" s="40" t="s">
        <v>6377</v>
      </c>
      <c r="H810" s="40"/>
      <c r="I810" s="40" t="s">
        <v>49</v>
      </c>
      <c r="J810" s="40">
        <v>-8790.7199999999993</v>
      </c>
      <c r="K810" s="40"/>
      <c r="L810" s="40">
        <v>8790.7199999999993</v>
      </c>
      <c r="M810" s="40">
        <v>-8790.7199999999993</v>
      </c>
      <c r="N810" s="40"/>
      <c r="O810" s="40" t="s">
        <v>234</v>
      </c>
    </row>
    <row r="811" spans="1:15" ht="22.5" x14ac:dyDescent="0.2">
      <c r="A811" s="40" t="s">
        <v>9624</v>
      </c>
      <c r="B811" s="40" t="s">
        <v>9624</v>
      </c>
      <c r="C811" s="41">
        <v>46069</v>
      </c>
      <c r="D811" s="40"/>
      <c r="E811" s="40" t="s">
        <v>13</v>
      </c>
      <c r="F811" s="40" t="s">
        <v>295</v>
      </c>
      <c r="G811" s="40" t="s">
        <v>9617</v>
      </c>
      <c r="H811" s="40"/>
      <c r="I811" s="40" t="s">
        <v>49</v>
      </c>
      <c r="J811" s="40">
        <v>-1274.57</v>
      </c>
      <c r="K811" s="40"/>
      <c r="L811" s="40">
        <v>1274.57</v>
      </c>
      <c r="M811" s="40">
        <v>-1274.57</v>
      </c>
      <c r="N811" s="40" t="s">
        <v>9618</v>
      </c>
      <c r="O811" s="40" t="s">
        <v>234</v>
      </c>
    </row>
    <row r="812" spans="1:15" ht="22.5" x14ac:dyDescent="0.2">
      <c r="A812" s="40" t="s">
        <v>9625</v>
      </c>
      <c r="B812" s="40" t="s">
        <v>9625</v>
      </c>
      <c r="C812" s="41">
        <v>46062</v>
      </c>
      <c r="D812" s="40"/>
      <c r="E812" s="40" t="s">
        <v>13</v>
      </c>
      <c r="F812" s="40" t="s">
        <v>295</v>
      </c>
      <c r="G812" s="40" t="s">
        <v>9617</v>
      </c>
      <c r="H812" s="40"/>
      <c r="I812" s="40" t="s">
        <v>49</v>
      </c>
      <c r="J812" s="40">
        <v>-1732.25</v>
      </c>
      <c r="K812" s="40"/>
      <c r="L812" s="40">
        <v>1732.25</v>
      </c>
      <c r="M812" s="40">
        <v>-1732.25</v>
      </c>
      <c r="N812" s="40" t="s">
        <v>9618</v>
      </c>
      <c r="O812" s="40" t="s">
        <v>234</v>
      </c>
    </row>
    <row r="813" spans="1:15" ht="22.5" x14ac:dyDescent="0.2">
      <c r="A813" s="40" t="s">
        <v>9626</v>
      </c>
      <c r="B813" s="40" t="s">
        <v>9626</v>
      </c>
      <c r="C813" s="41">
        <v>46055</v>
      </c>
      <c r="D813" s="40"/>
      <c r="E813" s="40" t="s">
        <v>13</v>
      </c>
      <c r="F813" s="40" t="s">
        <v>295</v>
      </c>
      <c r="G813" s="40" t="s">
        <v>9617</v>
      </c>
      <c r="H813" s="40"/>
      <c r="I813" s="40" t="s">
        <v>49</v>
      </c>
      <c r="J813" s="40">
        <v>-923.48</v>
      </c>
      <c r="K813" s="40"/>
      <c r="L813" s="40">
        <v>923.48</v>
      </c>
      <c r="M813" s="40">
        <v>-923.48</v>
      </c>
      <c r="N813" s="40" t="s">
        <v>9618</v>
      </c>
      <c r="O813" s="40" t="s">
        <v>234</v>
      </c>
    </row>
    <row r="814" spans="1:15" ht="22.5" x14ac:dyDescent="0.2">
      <c r="A814" s="40" t="s">
        <v>9627</v>
      </c>
      <c r="B814" s="40" t="s">
        <v>9627</v>
      </c>
      <c r="C814" s="41">
        <v>45974</v>
      </c>
      <c r="D814" s="40"/>
      <c r="E814" s="40" t="s">
        <v>13</v>
      </c>
      <c r="F814" s="40" t="s">
        <v>295</v>
      </c>
      <c r="G814" s="40" t="s">
        <v>9628</v>
      </c>
      <c r="H814" s="40"/>
      <c r="I814" s="40" t="s">
        <v>49</v>
      </c>
      <c r="J814" s="40">
        <v>-149.93</v>
      </c>
      <c r="K814" s="40"/>
      <c r="L814" s="40">
        <v>149.93</v>
      </c>
      <c r="M814" s="40">
        <v>-149.93</v>
      </c>
      <c r="N814" s="40"/>
      <c r="O814" s="40" t="s">
        <v>234</v>
      </c>
    </row>
    <row r="815" spans="1:15" ht="22.5" x14ac:dyDescent="0.2">
      <c r="A815" s="40" t="s">
        <v>9629</v>
      </c>
      <c r="B815" s="40" t="s">
        <v>9629</v>
      </c>
      <c r="C815" s="41">
        <v>45973</v>
      </c>
      <c r="D815" s="40"/>
      <c r="E815" s="40" t="s">
        <v>13</v>
      </c>
      <c r="F815" s="40" t="s">
        <v>295</v>
      </c>
      <c r="G815" s="40" t="s">
        <v>9630</v>
      </c>
      <c r="H815" s="40"/>
      <c r="I815" s="40" t="s">
        <v>49</v>
      </c>
      <c r="J815" s="40">
        <v>-225.62</v>
      </c>
      <c r="K815" s="40"/>
      <c r="L815" s="40">
        <v>225.62</v>
      </c>
      <c r="M815" s="40">
        <v>-225.62</v>
      </c>
      <c r="N815" s="40"/>
      <c r="O815" s="40" t="s">
        <v>234</v>
      </c>
    </row>
    <row r="816" spans="1:15" ht="22.5" x14ac:dyDescent="0.2">
      <c r="A816" s="40" t="s">
        <v>9631</v>
      </c>
      <c r="B816" s="40" t="s">
        <v>9631</v>
      </c>
      <c r="C816" s="41">
        <v>46048</v>
      </c>
      <c r="D816" s="40"/>
      <c r="E816" s="40" t="s">
        <v>13</v>
      </c>
      <c r="F816" s="40" t="s">
        <v>295</v>
      </c>
      <c r="G816" s="40" t="s">
        <v>9617</v>
      </c>
      <c r="H816" s="40"/>
      <c r="I816" s="40" t="s">
        <v>49</v>
      </c>
      <c r="J816" s="40">
        <v>-2165.48</v>
      </c>
      <c r="K816" s="40"/>
      <c r="L816" s="40">
        <v>2165.48</v>
      </c>
      <c r="M816" s="40">
        <v>-2165.48</v>
      </c>
      <c r="N816" s="40" t="s">
        <v>9618</v>
      </c>
      <c r="O816" s="40" t="s">
        <v>234</v>
      </c>
    </row>
    <row r="817" spans="1:15" ht="22.5" x14ac:dyDescent="0.2">
      <c r="A817" s="40" t="s">
        <v>9632</v>
      </c>
      <c r="B817" s="40" t="s">
        <v>9632</v>
      </c>
      <c r="C817" s="41">
        <v>46045</v>
      </c>
      <c r="D817" s="40"/>
      <c r="E817" s="40" t="s">
        <v>13</v>
      </c>
      <c r="F817" s="40" t="s">
        <v>295</v>
      </c>
      <c r="G817" s="40" t="s">
        <v>9617</v>
      </c>
      <c r="H817" s="40"/>
      <c r="I817" s="40" t="s">
        <v>49</v>
      </c>
      <c r="J817" s="40">
        <v>-1962.56</v>
      </c>
      <c r="K817" s="40"/>
      <c r="L817" s="40">
        <v>1962.56</v>
      </c>
      <c r="M817" s="40">
        <v>-1962.56</v>
      </c>
      <c r="N817" s="40" t="s">
        <v>9618</v>
      </c>
      <c r="O817" s="40" t="s">
        <v>234</v>
      </c>
    </row>
    <row r="818" spans="1:15" ht="22.5" x14ac:dyDescent="0.2">
      <c r="A818" s="40" t="s">
        <v>9633</v>
      </c>
      <c r="B818" s="40" t="s">
        <v>9633</v>
      </c>
      <c r="C818" s="41">
        <v>46029</v>
      </c>
      <c r="D818" s="40"/>
      <c r="E818" s="40" t="s">
        <v>13</v>
      </c>
      <c r="F818" s="40" t="s">
        <v>295</v>
      </c>
      <c r="G818" s="40" t="s">
        <v>9617</v>
      </c>
      <c r="H818" s="40"/>
      <c r="I818" s="40" t="s">
        <v>49</v>
      </c>
      <c r="J818" s="40">
        <v>-723.58</v>
      </c>
      <c r="K818" s="40"/>
      <c r="L818" s="40">
        <v>723.58</v>
      </c>
      <c r="M818" s="40">
        <v>-723.58</v>
      </c>
      <c r="N818" s="40" t="s">
        <v>9618</v>
      </c>
      <c r="O818" s="40" t="s">
        <v>234</v>
      </c>
    </row>
    <row r="819" spans="1:15" ht="22.5" x14ac:dyDescent="0.2">
      <c r="A819" s="40" t="s">
        <v>9634</v>
      </c>
      <c r="B819" s="40" t="s">
        <v>9634</v>
      </c>
      <c r="C819" s="41">
        <v>46028</v>
      </c>
      <c r="D819" s="40"/>
      <c r="E819" s="40" t="s">
        <v>13</v>
      </c>
      <c r="F819" s="40" t="s">
        <v>295</v>
      </c>
      <c r="G819" s="40" t="s">
        <v>9617</v>
      </c>
      <c r="H819" s="40"/>
      <c r="I819" s="40" t="s">
        <v>49</v>
      </c>
      <c r="J819" s="40">
        <v>-267.58</v>
      </c>
      <c r="K819" s="40"/>
      <c r="L819" s="40">
        <v>267.58</v>
      </c>
      <c r="M819" s="40">
        <v>-267.58</v>
      </c>
      <c r="N819" s="40" t="s">
        <v>9618</v>
      </c>
      <c r="O819" s="40" t="s">
        <v>234</v>
      </c>
    </row>
    <row r="820" spans="1:15" ht="22.5" x14ac:dyDescent="0.2">
      <c r="A820" s="40" t="s">
        <v>9635</v>
      </c>
      <c r="B820" s="40" t="s">
        <v>9635</v>
      </c>
      <c r="C820" s="41">
        <v>46027</v>
      </c>
      <c r="D820" s="40"/>
      <c r="E820" s="40" t="s">
        <v>13</v>
      </c>
      <c r="F820" s="40" t="s">
        <v>295</v>
      </c>
      <c r="G820" s="40" t="s">
        <v>9617</v>
      </c>
      <c r="H820" s="40"/>
      <c r="I820" s="40" t="s">
        <v>49</v>
      </c>
      <c r="J820" s="40">
        <v>-1236.9000000000001</v>
      </c>
      <c r="K820" s="40"/>
      <c r="L820" s="40">
        <v>1236.9000000000001</v>
      </c>
      <c r="M820" s="40">
        <v>-1236.9000000000001</v>
      </c>
      <c r="N820" s="40" t="s">
        <v>9618</v>
      </c>
      <c r="O820" s="40" t="s">
        <v>234</v>
      </c>
    </row>
    <row r="821" spans="1:15" ht="22.5" x14ac:dyDescent="0.2">
      <c r="A821" s="40" t="s">
        <v>9636</v>
      </c>
      <c r="B821" s="40" t="s">
        <v>9636</v>
      </c>
      <c r="C821" s="41">
        <v>46010</v>
      </c>
      <c r="D821" s="40"/>
      <c r="E821" s="40" t="s">
        <v>13</v>
      </c>
      <c r="F821" s="40" t="s">
        <v>295</v>
      </c>
      <c r="G821" s="40" t="s">
        <v>9617</v>
      </c>
      <c r="H821" s="40"/>
      <c r="I821" s="40" t="s">
        <v>49</v>
      </c>
      <c r="J821" s="40">
        <v>-752.83</v>
      </c>
      <c r="K821" s="40"/>
      <c r="L821" s="40">
        <v>752.83</v>
      </c>
      <c r="M821" s="40">
        <v>-752.83</v>
      </c>
      <c r="N821" s="40" t="s">
        <v>9618</v>
      </c>
      <c r="O821" s="40" t="s">
        <v>234</v>
      </c>
    </row>
    <row r="822" spans="1:15" ht="22.5" x14ac:dyDescent="0.2">
      <c r="A822" s="40" t="s">
        <v>9637</v>
      </c>
      <c r="B822" s="40" t="s">
        <v>9637</v>
      </c>
      <c r="C822" s="41">
        <v>46009</v>
      </c>
      <c r="D822" s="40"/>
      <c r="E822" s="40" t="s">
        <v>13</v>
      </c>
      <c r="F822" s="40" t="s">
        <v>295</v>
      </c>
      <c r="G822" s="40" t="s">
        <v>9617</v>
      </c>
      <c r="H822" s="40"/>
      <c r="I822" s="40" t="s">
        <v>49</v>
      </c>
      <c r="J822" s="40">
        <v>-1198.74</v>
      </c>
      <c r="K822" s="40"/>
      <c r="L822" s="40">
        <v>1198.74</v>
      </c>
      <c r="M822" s="40">
        <v>-1198.74</v>
      </c>
      <c r="N822" s="40" t="s">
        <v>9618</v>
      </c>
      <c r="O822" s="40" t="s">
        <v>234</v>
      </c>
    </row>
    <row r="823" spans="1:15" ht="22.5" x14ac:dyDescent="0.2">
      <c r="A823" s="40" t="s">
        <v>9638</v>
      </c>
      <c r="B823" s="40" t="s">
        <v>9638</v>
      </c>
      <c r="C823" s="41">
        <v>45967</v>
      </c>
      <c r="D823" s="40"/>
      <c r="E823" s="40" t="s">
        <v>13</v>
      </c>
      <c r="F823" s="40" t="s">
        <v>295</v>
      </c>
      <c r="G823" s="40" t="s">
        <v>6383</v>
      </c>
      <c r="H823" s="40"/>
      <c r="I823" s="40" t="s">
        <v>49</v>
      </c>
      <c r="J823" s="40">
        <v>-151.05000000000001</v>
      </c>
      <c r="K823" s="40"/>
      <c r="L823" s="40">
        <v>151.05000000000001</v>
      </c>
      <c r="M823" s="40">
        <v>-151.05000000000001</v>
      </c>
      <c r="N823" s="40"/>
      <c r="O823" s="40" t="s">
        <v>234</v>
      </c>
    </row>
    <row r="824" spans="1:15" ht="22.5" x14ac:dyDescent="0.2">
      <c r="A824" s="40" t="s">
        <v>9639</v>
      </c>
      <c r="B824" s="40" t="s">
        <v>9639</v>
      </c>
      <c r="C824" s="41">
        <v>45965</v>
      </c>
      <c r="D824" s="40"/>
      <c r="E824" s="40" t="s">
        <v>13</v>
      </c>
      <c r="F824" s="40" t="s">
        <v>295</v>
      </c>
      <c r="G824" s="40" t="s">
        <v>6375</v>
      </c>
      <c r="H824" s="40"/>
      <c r="I824" s="40" t="s">
        <v>49</v>
      </c>
      <c r="J824" s="40">
        <v>-557.95000000000005</v>
      </c>
      <c r="K824" s="40"/>
      <c r="L824" s="40">
        <v>557.95000000000005</v>
      </c>
      <c r="M824" s="40">
        <v>-557.95000000000005</v>
      </c>
      <c r="N824" s="40"/>
      <c r="O824" s="40" t="s">
        <v>234</v>
      </c>
    </row>
    <row r="825" spans="1:15" ht="22.5" x14ac:dyDescent="0.2">
      <c r="A825" s="40" t="s">
        <v>9640</v>
      </c>
      <c r="B825" s="40" t="s">
        <v>9640</v>
      </c>
      <c r="C825" s="41">
        <v>46009</v>
      </c>
      <c r="D825" s="40"/>
      <c r="E825" s="40" t="s">
        <v>13</v>
      </c>
      <c r="F825" s="40" t="s">
        <v>295</v>
      </c>
      <c r="G825" s="40" t="s">
        <v>9617</v>
      </c>
      <c r="H825" s="40"/>
      <c r="I825" s="40" t="s">
        <v>49</v>
      </c>
      <c r="J825" s="40">
        <v>-692.32</v>
      </c>
      <c r="K825" s="40"/>
      <c r="L825" s="40">
        <v>692.32</v>
      </c>
      <c r="M825" s="40">
        <v>-692.32</v>
      </c>
      <c r="N825" s="40" t="s">
        <v>9618</v>
      </c>
      <c r="O825" s="40" t="s">
        <v>234</v>
      </c>
    </row>
    <row r="826" spans="1:15" ht="22.5" x14ac:dyDescent="0.2">
      <c r="A826" s="40" t="s">
        <v>9641</v>
      </c>
      <c r="B826" s="40" t="s">
        <v>9641</v>
      </c>
      <c r="C826" s="41">
        <v>45964</v>
      </c>
      <c r="D826" s="40"/>
      <c r="E826" s="40" t="s">
        <v>13</v>
      </c>
      <c r="F826" s="40" t="s">
        <v>295</v>
      </c>
      <c r="G826" s="40" t="s">
        <v>6377</v>
      </c>
      <c r="H826" s="40"/>
      <c r="I826" s="40" t="s">
        <v>49</v>
      </c>
      <c r="J826" s="40">
        <v>-837.61</v>
      </c>
      <c r="K826" s="40"/>
      <c r="L826" s="40">
        <v>837.61</v>
      </c>
      <c r="M826" s="40">
        <v>-837.61</v>
      </c>
      <c r="N826" s="40"/>
      <c r="O826" s="40" t="s">
        <v>234</v>
      </c>
    </row>
    <row r="827" spans="1:15" ht="22.5" x14ac:dyDescent="0.2">
      <c r="A827" s="40" t="s">
        <v>9642</v>
      </c>
      <c r="B827" s="40" t="s">
        <v>9642</v>
      </c>
      <c r="C827" s="41">
        <v>46007</v>
      </c>
      <c r="D827" s="40"/>
      <c r="E827" s="40" t="s">
        <v>13</v>
      </c>
      <c r="F827" s="40" t="s">
        <v>295</v>
      </c>
      <c r="G827" s="40" t="s">
        <v>9617</v>
      </c>
      <c r="H827" s="40"/>
      <c r="I827" s="40" t="s">
        <v>49</v>
      </c>
      <c r="J827" s="40">
        <v>-484.56</v>
      </c>
      <c r="K827" s="40"/>
      <c r="L827" s="40">
        <v>484.56</v>
      </c>
      <c r="M827" s="40">
        <v>-484.56</v>
      </c>
      <c r="N827" s="40" t="s">
        <v>9618</v>
      </c>
      <c r="O827" s="40" t="s">
        <v>234</v>
      </c>
    </row>
    <row r="828" spans="1:15" ht="22.5" x14ac:dyDescent="0.2">
      <c r="A828" s="40" t="s">
        <v>9643</v>
      </c>
      <c r="B828" s="40" t="s">
        <v>9643</v>
      </c>
      <c r="C828" s="41">
        <v>45961</v>
      </c>
      <c r="D828" s="40"/>
      <c r="E828" s="40" t="s">
        <v>13</v>
      </c>
      <c r="F828" s="40" t="s">
        <v>295</v>
      </c>
      <c r="G828" s="40" t="s">
        <v>6377</v>
      </c>
      <c r="H828" s="40"/>
      <c r="I828" s="40" t="s">
        <v>49</v>
      </c>
      <c r="J828" s="40">
        <v>-3369.57</v>
      </c>
      <c r="K828" s="40"/>
      <c r="L828" s="40">
        <v>3369.57</v>
      </c>
      <c r="M828" s="40">
        <v>-3369.57</v>
      </c>
      <c r="N828" s="40"/>
      <c r="O828" s="40" t="s">
        <v>234</v>
      </c>
    </row>
    <row r="829" spans="1:15" ht="22.5" x14ac:dyDescent="0.2">
      <c r="A829" s="40" t="s">
        <v>9644</v>
      </c>
      <c r="B829" s="40" t="s">
        <v>9644</v>
      </c>
      <c r="C829" s="41">
        <v>45960</v>
      </c>
      <c r="D829" s="40"/>
      <c r="E829" s="40" t="s">
        <v>13</v>
      </c>
      <c r="F829" s="40" t="s">
        <v>295</v>
      </c>
      <c r="G829" s="40" t="s">
        <v>6375</v>
      </c>
      <c r="H829" s="40"/>
      <c r="I829" s="40" t="s">
        <v>49</v>
      </c>
      <c r="J829" s="40">
        <v>-253.8</v>
      </c>
      <c r="K829" s="40"/>
      <c r="L829" s="40">
        <v>253.8</v>
      </c>
      <c r="M829" s="40">
        <v>-253.8</v>
      </c>
      <c r="N829" s="40"/>
      <c r="O829" s="40" t="s">
        <v>234</v>
      </c>
    </row>
    <row r="830" spans="1:15" ht="22.5" x14ac:dyDescent="0.2">
      <c r="A830" s="40" t="s">
        <v>9645</v>
      </c>
      <c r="B830" s="40" t="s">
        <v>9645</v>
      </c>
      <c r="C830" s="41">
        <v>45958</v>
      </c>
      <c r="D830" s="40"/>
      <c r="E830" s="40" t="s">
        <v>13</v>
      </c>
      <c r="F830" s="40" t="s">
        <v>295</v>
      </c>
      <c r="G830" s="40" t="s">
        <v>6377</v>
      </c>
      <c r="H830" s="40"/>
      <c r="I830" s="40" t="s">
        <v>49</v>
      </c>
      <c r="J830" s="40">
        <v>-4513.3500000000004</v>
      </c>
      <c r="K830" s="40"/>
      <c r="L830" s="40">
        <v>4513.3500000000004</v>
      </c>
      <c r="M830" s="40">
        <v>-4513.3500000000004</v>
      </c>
      <c r="N830" s="40"/>
      <c r="O830" s="40" t="s">
        <v>234</v>
      </c>
    </row>
    <row r="831" spans="1:15" ht="22.5" x14ac:dyDescent="0.2">
      <c r="A831" s="40" t="s">
        <v>9646</v>
      </c>
      <c r="B831" s="40" t="s">
        <v>9646</v>
      </c>
      <c r="C831" s="41">
        <v>45951</v>
      </c>
      <c r="D831" s="40"/>
      <c r="E831" s="40" t="s">
        <v>13</v>
      </c>
      <c r="F831" s="40" t="s">
        <v>295</v>
      </c>
      <c r="G831" s="40" t="s">
        <v>6375</v>
      </c>
      <c r="H831" s="40"/>
      <c r="I831" s="40" t="s">
        <v>49</v>
      </c>
      <c r="J831" s="40">
        <v>-199.29</v>
      </c>
      <c r="K831" s="40"/>
      <c r="L831" s="40">
        <v>199.29</v>
      </c>
      <c r="M831" s="40">
        <v>-199.29</v>
      </c>
      <c r="N831" s="40"/>
      <c r="O831" s="40" t="s">
        <v>234</v>
      </c>
    </row>
    <row r="832" spans="1:15" ht="22.5" x14ac:dyDescent="0.2">
      <c r="A832" s="40" t="s">
        <v>9647</v>
      </c>
      <c r="B832" s="40" t="s">
        <v>9647</v>
      </c>
      <c r="C832" s="41">
        <v>45950</v>
      </c>
      <c r="D832" s="40"/>
      <c r="E832" s="40" t="s">
        <v>13</v>
      </c>
      <c r="F832" s="40" t="s">
        <v>295</v>
      </c>
      <c r="G832" s="40" t="s">
        <v>6377</v>
      </c>
      <c r="H832" s="40"/>
      <c r="I832" s="40" t="s">
        <v>49</v>
      </c>
      <c r="J832" s="40">
        <v>-3494.06</v>
      </c>
      <c r="K832" s="40"/>
      <c r="L832" s="40">
        <v>3494.06</v>
      </c>
      <c r="M832" s="40">
        <v>-3494.06</v>
      </c>
      <c r="N832" s="40"/>
      <c r="O832" s="40" t="s">
        <v>234</v>
      </c>
    </row>
    <row r="833" spans="1:15" ht="22.5" x14ac:dyDescent="0.2">
      <c r="A833" s="40" t="s">
        <v>9648</v>
      </c>
      <c r="B833" s="40" t="s">
        <v>9648</v>
      </c>
      <c r="C833" s="41">
        <v>45944</v>
      </c>
      <c r="D833" s="40"/>
      <c r="E833" s="40" t="s">
        <v>13</v>
      </c>
      <c r="F833" s="40" t="s">
        <v>295</v>
      </c>
      <c r="G833" s="40" t="s">
        <v>6375</v>
      </c>
      <c r="H833" s="40"/>
      <c r="I833" s="40" t="s">
        <v>49</v>
      </c>
      <c r="J833" s="40">
        <v>-238.82</v>
      </c>
      <c r="K833" s="40"/>
      <c r="L833" s="40">
        <v>238.82</v>
      </c>
      <c r="M833" s="40">
        <v>-238.82</v>
      </c>
      <c r="N833" s="40"/>
      <c r="O833" s="40" t="s">
        <v>234</v>
      </c>
    </row>
    <row r="834" spans="1:15" ht="22.5" x14ac:dyDescent="0.2">
      <c r="A834" s="40" t="s">
        <v>9649</v>
      </c>
      <c r="B834" s="40" t="s">
        <v>9649</v>
      </c>
      <c r="C834" s="41">
        <v>45943</v>
      </c>
      <c r="D834" s="40"/>
      <c r="E834" s="40" t="s">
        <v>13</v>
      </c>
      <c r="F834" s="40" t="s">
        <v>295</v>
      </c>
      <c r="G834" s="40" t="s">
        <v>9650</v>
      </c>
      <c r="H834" s="40"/>
      <c r="I834" s="40" t="s">
        <v>49</v>
      </c>
      <c r="J834" s="40">
        <v>-2179.12</v>
      </c>
      <c r="K834" s="40"/>
      <c r="L834" s="40">
        <v>2179.12</v>
      </c>
      <c r="M834" s="40">
        <v>-2179.12</v>
      </c>
      <c r="N834" s="40"/>
      <c r="O834" s="40" t="s">
        <v>234</v>
      </c>
    </row>
    <row r="835" spans="1:15" ht="22.5" x14ac:dyDescent="0.2">
      <c r="A835" s="40" t="s">
        <v>9651</v>
      </c>
      <c r="B835" s="40" t="s">
        <v>9651</v>
      </c>
      <c r="C835" s="41">
        <v>45931</v>
      </c>
      <c r="D835" s="40"/>
      <c r="E835" s="40" t="s">
        <v>13</v>
      </c>
      <c r="F835" s="40" t="s">
        <v>295</v>
      </c>
      <c r="G835" s="40" t="s">
        <v>6377</v>
      </c>
      <c r="H835" s="40"/>
      <c r="I835" s="40" t="s">
        <v>49</v>
      </c>
      <c r="J835" s="40">
        <v>-2382.1999999999998</v>
      </c>
      <c r="K835" s="40"/>
      <c r="L835" s="40">
        <v>2382.1999999999998</v>
      </c>
      <c r="M835" s="40">
        <v>-2382.1999999999998</v>
      </c>
      <c r="N835" s="40"/>
      <c r="O835" s="40" t="s">
        <v>234</v>
      </c>
    </row>
    <row r="836" spans="1:15" ht="22.5" x14ac:dyDescent="0.2">
      <c r="A836" s="40" t="s">
        <v>9652</v>
      </c>
      <c r="B836" s="40" t="s">
        <v>9652</v>
      </c>
      <c r="C836" s="41">
        <v>45925</v>
      </c>
      <c r="D836" s="40"/>
      <c r="E836" s="40" t="s">
        <v>13</v>
      </c>
      <c r="F836" s="40" t="s">
        <v>295</v>
      </c>
      <c r="G836" s="40" t="s">
        <v>6375</v>
      </c>
      <c r="H836" s="40"/>
      <c r="I836" s="40" t="s">
        <v>49</v>
      </c>
      <c r="J836" s="40">
        <v>-40.869999999999997</v>
      </c>
      <c r="K836" s="40"/>
      <c r="L836" s="40">
        <v>40.869999999999997</v>
      </c>
      <c r="M836" s="40">
        <v>-40.869999999999997</v>
      </c>
      <c r="N836" s="40"/>
      <c r="O836" s="40" t="s">
        <v>234</v>
      </c>
    </row>
    <row r="837" spans="1:15" ht="22.5" x14ac:dyDescent="0.2">
      <c r="A837" s="40" t="s">
        <v>9653</v>
      </c>
      <c r="B837" s="40" t="s">
        <v>9653</v>
      </c>
      <c r="C837" s="41">
        <v>45924</v>
      </c>
      <c r="D837" s="40"/>
      <c r="E837" s="40" t="s">
        <v>13</v>
      </c>
      <c r="F837" s="40" t="s">
        <v>295</v>
      </c>
      <c r="G837" s="40" t="s">
        <v>6377</v>
      </c>
      <c r="H837" s="40"/>
      <c r="I837" s="40" t="s">
        <v>49</v>
      </c>
      <c r="J837" s="40">
        <v>-2063.62</v>
      </c>
      <c r="K837" s="40"/>
      <c r="L837" s="40">
        <v>2063.62</v>
      </c>
      <c r="M837" s="40">
        <v>-2063.62</v>
      </c>
      <c r="N837" s="40"/>
      <c r="O837" s="40" t="s">
        <v>234</v>
      </c>
    </row>
    <row r="838" spans="1:15" ht="22.5" x14ac:dyDescent="0.2">
      <c r="A838" s="40" t="s">
        <v>9654</v>
      </c>
      <c r="B838" s="40" t="s">
        <v>9654</v>
      </c>
      <c r="C838" s="41">
        <v>45923</v>
      </c>
      <c r="D838" s="40"/>
      <c r="E838" s="40" t="s">
        <v>13</v>
      </c>
      <c r="F838" s="40" t="s">
        <v>295</v>
      </c>
      <c r="G838" s="40" t="s">
        <v>6375</v>
      </c>
      <c r="H838" s="40"/>
      <c r="I838" s="40" t="s">
        <v>49</v>
      </c>
      <c r="J838" s="40">
        <v>-190.1</v>
      </c>
      <c r="K838" s="40"/>
      <c r="L838" s="40">
        <v>190.1</v>
      </c>
      <c r="M838" s="40">
        <v>-190.1</v>
      </c>
      <c r="N838" s="40"/>
      <c r="O838" s="40" t="s">
        <v>234</v>
      </c>
    </row>
    <row r="839" spans="1:15" ht="22.5" x14ac:dyDescent="0.2">
      <c r="A839" s="40" t="s">
        <v>9655</v>
      </c>
      <c r="B839" s="40" t="s">
        <v>9655</v>
      </c>
      <c r="C839" s="41">
        <v>45919</v>
      </c>
      <c r="D839" s="40"/>
      <c r="E839" s="40" t="s">
        <v>13</v>
      </c>
      <c r="F839" s="40" t="s">
        <v>295</v>
      </c>
      <c r="G839" s="40" t="s">
        <v>9656</v>
      </c>
      <c r="H839" s="40"/>
      <c r="I839" s="40" t="s">
        <v>49</v>
      </c>
      <c r="J839" s="40">
        <v>-1323.27</v>
      </c>
      <c r="K839" s="40"/>
      <c r="L839" s="40">
        <v>1323.27</v>
      </c>
      <c r="M839" s="40">
        <v>-1323.27</v>
      </c>
      <c r="N839" s="40"/>
      <c r="O839" s="40" t="s">
        <v>234</v>
      </c>
    </row>
    <row r="840" spans="1:15" ht="22.5" x14ac:dyDescent="0.2">
      <c r="A840" s="40" t="s">
        <v>9657</v>
      </c>
      <c r="B840" s="40" t="s">
        <v>9657</v>
      </c>
      <c r="C840" s="41">
        <v>45916</v>
      </c>
      <c r="D840" s="40"/>
      <c r="E840" s="40" t="s">
        <v>13</v>
      </c>
      <c r="F840" s="40" t="s">
        <v>295</v>
      </c>
      <c r="G840" s="40" t="s">
        <v>6375</v>
      </c>
      <c r="H840" s="40"/>
      <c r="I840" s="40" t="s">
        <v>49</v>
      </c>
      <c r="J840" s="40">
        <v>-105.46</v>
      </c>
      <c r="K840" s="40"/>
      <c r="L840" s="40">
        <v>105.46</v>
      </c>
      <c r="M840" s="40">
        <v>-105.46</v>
      </c>
      <c r="N840" s="40"/>
      <c r="O840" s="40" t="s">
        <v>234</v>
      </c>
    </row>
    <row r="841" spans="1:15" ht="22.5" x14ac:dyDescent="0.2">
      <c r="A841" s="40" t="s">
        <v>9658</v>
      </c>
      <c r="B841" s="40" t="s">
        <v>9658</v>
      </c>
      <c r="C841" s="41">
        <v>45916</v>
      </c>
      <c r="D841" s="40"/>
      <c r="E841" s="40" t="s">
        <v>13</v>
      </c>
      <c r="F841" s="40" t="s">
        <v>295</v>
      </c>
      <c r="G841" s="40" t="s">
        <v>6377</v>
      </c>
      <c r="H841" s="40"/>
      <c r="I841" s="40" t="s">
        <v>49</v>
      </c>
      <c r="J841" s="40">
        <v>-3354.21</v>
      </c>
      <c r="K841" s="40"/>
      <c r="L841" s="40">
        <v>3354.21</v>
      </c>
      <c r="M841" s="40">
        <v>-3354.21</v>
      </c>
      <c r="N841" s="40"/>
      <c r="O841" s="40" t="s">
        <v>234</v>
      </c>
    </row>
    <row r="842" spans="1:15" ht="22.5" x14ac:dyDescent="0.2">
      <c r="A842" s="40" t="s">
        <v>9659</v>
      </c>
      <c r="B842" s="40" t="s">
        <v>9659</v>
      </c>
      <c r="C842" s="41">
        <v>45992</v>
      </c>
      <c r="D842" s="40"/>
      <c r="E842" s="40" t="s">
        <v>13</v>
      </c>
      <c r="F842" s="40" t="s">
        <v>295</v>
      </c>
      <c r="G842" s="40" t="s">
        <v>9617</v>
      </c>
      <c r="H842" s="40"/>
      <c r="I842" s="40" t="s">
        <v>49</v>
      </c>
      <c r="J842" s="40">
        <v>-780.85</v>
      </c>
      <c r="K842" s="40"/>
      <c r="L842" s="40">
        <v>780.85</v>
      </c>
      <c r="M842" s="40">
        <v>-780.85</v>
      </c>
      <c r="N842" s="40" t="s">
        <v>9618</v>
      </c>
      <c r="O842" s="40" t="s">
        <v>234</v>
      </c>
    </row>
    <row r="843" spans="1:15" ht="22.5" x14ac:dyDescent="0.2">
      <c r="A843" s="40" t="s">
        <v>9660</v>
      </c>
      <c r="B843" s="40" t="s">
        <v>9660</v>
      </c>
      <c r="C843" s="41">
        <v>45972</v>
      </c>
      <c r="D843" s="40"/>
      <c r="E843" s="40" t="s">
        <v>13</v>
      </c>
      <c r="F843" s="40" t="s">
        <v>295</v>
      </c>
      <c r="G843" s="40" t="s">
        <v>9617</v>
      </c>
      <c r="H843" s="40"/>
      <c r="I843" s="40" t="s">
        <v>49</v>
      </c>
      <c r="J843" s="40">
        <v>-2.2799999999999998</v>
      </c>
      <c r="K843" s="40"/>
      <c r="L843" s="40">
        <v>2.2799999999999998</v>
      </c>
      <c r="M843" s="40">
        <v>-2.2799999999999998</v>
      </c>
      <c r="N843" s="40" t="s">
        <v>9618</v>
      </c>
      <c r="O843" s="40" t="s">
        <v>234</v>
      </c>
    </row>
    <row r="844" spans="1:15" ht="22.5" x14ac:dyDescent="0.2">
      <c r="A844" s="40" t="s">
        <v>9661</v>
      </c>
      <c r="B844" s="40" t="s">
        <v>9661</v>
      </c>
      <c r="C844" s="41">
        <v>45971</v>
      </c>
      <c r="D844" s="40"/>
      <c r="E844" s="40" t="s">
        <v>13</v>
      </c>
      <c r="F844" s="40" t="s">
        <v>295</v>
      </c>
      <c r="G844" s="40" t="s">
        <v>9617</v>
      </c>
      <c r="H844" s="40"/>
      <c r="I844" s="40" t="s">
        <v>49</v>
      </c>
      <c r="J844" s="40">
        <v>-1.28</v>
      </c>
      <c r="K844" s="40"/>
      <c r="L844" s="40">
        <v>1.28</v>
      </c>
      <c r="M844" s="40">
        <v>-1.28</v>
      </c>
      <c r="N844" s="40" t="s">
        <v>9618</v>
      </c>
      <c r="O844" s="40" t="s">
        <v>234</v>
      </c>
    </row>
    <row r="845" spans="1:15" ht="22.5" x14ac:dyDescent="0.2">
      <c r="A845" s="40" t="s">
        <v>9662</v>
      </c>
      <c r="B845" s="40" t="s">
        <v>9662</v>
      </c>
      <c r="C845" s="41">
        <v>45964</v>
      </c>
      <c r="D845" s="40"/>
      <c r="E845" s="40" t="s">
        <v>13</v>
      </c>
      <c r="F845" s="40" t="s">
        <v>295</v>
      </c>
      <c r="G845" s="40" t="s">
        <v>9617</v>
      </c>
      <c r="H845" s="40"/>
      <c r="I845" s="40" t="s">
        <v>49</v>
      </c>
      <c r="J845" s="40">
        <v>-565.03</v>
      </c>
      <c r="K845" s="40"/>
      <c r="L845" s="40">
        <v>565.03</v>
      </c>
      <c r="M845" s="40">
        <v>-565.03</v>
      </c>
      <c r="N845" s="40" t="s">
        <v>9618</v>
      </c>
      <c r="O845" s="40" t="s">
        <v>234</v>
      </c>
    </row>
    <row r="846" spans="1:15" ht="22.5" x14ac:dyDescent="0.2">
      <c r="A846" s="40" t="s">
        <v>9663</v>
      </c>
      <c r="B846" s="40" t="s">
        <v>9663</v>
      </c>
      <c r="C846" s="41">
        <v>45912</v>
      </c>
      <c r="D846" s="40"/>
      <c r="E846" s="40" t="s">
        <v>13</v>
      </c>
      <c r="F846" s="40" t="s">
        <v>295</v>
      </c>
      <c r="G846" s="40" t="s">
        <v>6377</v>
      </c>
      <c r="H846" s="40"/>
      <c r="I846" s="40" t="s">
        <v>49</v>
      </c>
      <c r="J846" s="40">
        <v>-4271.01</v>
      </c>
      <c r="K846" s="40"/>
      <c r="L846" s="40">
        <v>4271.01</v>
      </c>
      <c r="M846" s="40">
        <v>-4271.01</v>
      </c>
      <c r="N846" s="40"/>
      <c r="O846" s="40" t="s">
        <v>234</v>
      </c>
    </row>
    <row r="847" spans="1:15" ht="22.5" x14ac:dyDescent="0.2">
      <c r="A847" s="40" t="s">
        <v>9664</v>
      </c>
      <c r="B847" s="40" t="s">
        <v>9664</v>
      </c>
      <c r="C847" s="41">
        <v>45909</v>
      </c>
      <c r="D847" s="40"/>
      <c r="E847" s="40" t="s">
        <v>13</v>
      </c>
      <c r="F847" s="40" t="s">
        <v>295</v>
      </c>
      <c r="G847" s="40" t="s">
        <v>6375</v>
      </c>
      <c r="H847" s="40"/>
      <c r="I847" s="40" t="s">
        <v>49</v>
      </c>
      <c r="J847" s="40">
        <v>-210.39</v>
      </c>
      <c r="K847" s="40"/>
      <c r="L847" s="40">
        <v>210.39</v>
      </c>
      <c r="M847" s="40">
        <v>-210.39</v>
      </c>
      <c r="N847" s="40"/>
      <c r="O847" s="40" t="s">
        <v>234</v>
      </c>
    </row>
    <row r="848" spans="1:15" ht="22.5" x14ac:dyDescent="0.2">
      <c r="A848" s="40" t="s">
        <v>9665</v>
      </c>
      <c r="B848" s="40" t="s">
        <v>9665</v>
      </c>
      <c r="C848" s="41">
        <v>45903</v>
      </c>
      <c r="D848" s="40"/>
      <c r="E848" s="40" t="s">
        <v>13</v>
      </c>
      <c r="F848" s="40" t="s">
        <v>295</v>
      </c>
      <c r="G848" s="40" t="s">
        <v>6375</v>
      </c>
      <c r="H848" s="40"/>
      <c r="I848" s="40" t="s">
        <v>49</v>
      </c>
      <c r="J848" s="40">
        <v>-64.64</v>
      </c>
      <c r="K848" s="40"/>
      <c r="L848" s="40">
        <v>64.64</v>
      </c>
      <c r="M848" s="40">
        <v>-64.64</v>
      </c>
      <c r="N848" s="40"/>
      <c r="O848" s="40" t="s">
        <v>234</v>
      </c>
    </row>
    <row r="849" spans="1:15" ht="22.5" x14ac:dyDescent="0.2">
      <c r="A849" s="40" t="s">
        <v>9666</v>
      </c>
      <c r="B849" s="40" t="s">
        <v>9666</v>
      </c>
      <c r="C849" s="41">
        <v>45901</v>
      </c>
      <c r="D849" s="40"/>
      <c r="E849" s="40" t="s">
        <v>13</v>
      </c>
      <c r="F849" s="40" t="s">
        <v>295</v>
      </c>
      <c r="G849" s="40" t="s">
        <v>6377</v>
      </c>
      <c r="H849" s="40"/>
      <c r="I849" s="40" t="s">
        <v>49</v>
      </c>
      <c r="J849" s="40">
        <v>-5655.99</v>
      </c>
      <c r="K849" s="40"/>
      <c r="L849" s="40">
        <v>5655.99</v>
      </c>
      <c r="M849" s="40">
        <v>-5655.99</v>
      </c>
      <c r="N849" s="40"/>
      <c r="O849" s="40" t="s">
        <v>234</v>
      </c>
    </row>
    <row r="850" spans="1:15" ht="22.5" x14ac:dyDescent="0.2">
      <c r="A850" s="40" t="s">
        <v>9667</v>
      </c>
      <c r="B850" s="40" t="s">
        <v>9667</v>
      </c>
      <c r="C850" s="41">
        <v>45894</v>
      </c>
      <c r="D850" s="40"/>
      <c r="E850" s="40" t="s">
        <v>13</v>
      </c>
      <c r="F850" s="40" t="s">
        <v>295</v>
      </c>
      <c r="G850" s="40" t="s">
        <v>9650</v>
      </c>
      <c r="H850" s="40"/>
      <c r="I850" s="40" t="s">
        <v>49</v>
      </c>
      <c r="J850" s="40">
        <v>-446.91</v>
      </c>
      <c r="K850" s="40"/>
      <c r="L850" s="40">
        <v>446.91</v>
      </c>
      <c r="M850" s="40">
        <v>-446.91</v>
      </c>
      <c r="N850" s="40"/>
      <c r="O850" s="40" t="s">
        <v>234</v>
      </c>
    </row>
    <row r="851" spans="1:15" ht="22.5" x14ac:dyDescent="0.2">
      <c r="A851" s="40" t="s">
        <v>9668</v>
      </c>
      <c r="B851" s="40" t="s">
        <v>9668</v>
      </c>
      <c r="C851" s="41">
        <v>45891</v>
      </c>
      <c r="D851" s="40"/>
      <c r="E851" s="40" t="s">
        <v>13</v>
      </c>
      <c r="F851" s="40" t="s">
        <v>295</v>
      </c>
      <c r="G851" s="40" t="s">
        <v>9650</v>
      </c>
      <c r="H851" s="40"/>
      <c r="I851" s="40" t="s">
        <v>49</v>
      </c>
      <c r="J851" s="40">
        <v>-461.13</v>
      </c>
      <c r="K851" s="40"/>
      <c r="L851" s="40">
        <v>461.13</v>
      </c>
      <c r="M851" s="40">
        <v>-461.13</v>
      </c>
      <c r="N851" s="40"/>
      <c r="O851" s="40" t="s">
        <v>234</v>
      </c>
    </row>
    <row r="852" spans="1:15" ht="22.5" x14ac:dyDescent="0.2">
      <c r="A852" s="40" t="s">
        <v>9669</v>
      </c>
      <c r="B852" s="40" t="s">
        <v>9669</v>
      </c>
      <c r="C852" s="41">
        <v>45890</v>
      </c>
      <c r="D852" s="40"/>
      <c r="E852" s="40" t="s">
        <v>13</v>
      </c>
      <c r="F852" s="40" t="s">
        <v>295</v>
      </c>
      <c r="G852" s="40" t="s">
        <v>9650</v>
      </c>
      <c r="H852" s="40"/>
      <c r="I852" s="40" t="s">
        <v>49</v>
      </c>
      <c r="J852" s="40">
        <v>-1909.78</v>
      </c>
      <c r="K852" s="40"/>
      <c r="L852" s="40">
        <v>1909.78</v>
      </c>
      <c r="M852" s="40">
        <v>-1909.78</v>
      </c>
      <c r="N852" s="40"/>
      <c r="O852" s="40" t="s">
        <v>234</v>
      </c>
    </row>
    <row r="853" spans="1:15" ht="22.5" x14ac:dyDescent="0.2">
      <c r="A853" s="40" t="s">
        <v>9670</v>
      </c>
      <c r="B853" s="40" t="s">
        <v>9670</v>
      </c>
      <c r="C853" s="41">
        <v>45888</v>
      </c>
      <c r="D853" s="40"/>
      <c r="E853" s="40" t="s">
        <v>13</v>
      </c>
      <c r="F853" s="40" t="s">
        <v>295</v>
      </c>
      <c r="G853" s="40" t="s">
        <v>9650</v>
      </c>
      <c r="H853" s="40"/>
      <c r="I853" s="40" t="s">
        <v>49</v>
      </c>
      <c r="J853" s="40">
        <v>-1789.88</v>
      </c>
      <c r="K853" s="40"/>
      <c r="L853" s="40">
        <v>1789.88</v>
      </c>
      <c r="M853" s="40">
        <v>-1789.88</v>
      </c>
      <c r="N853" s="40"/>
      <c r="O853" s="40" t="s">
        <v>234</v>
      </c>
    </row>
    <row r="854" spans="1:15" ht="22.5" x14ac:dyDescent="0.2">
      <c r="A854" s="40" t="s">
        <v>9671</v>
      </c>
      <c r="B854" s="40" t="s">
        <v>9671</v>
      </c>
      <c r="C854" s="41">
        <v>45884</v>
      </c>
      <c r="D854" s="40"/>
      <c r="E854" s="40" t="s">
        <v>13</v>
      </c>
      <c r="F854" s="40" t="s">
        <v>295</v>
      </c>
      <c r="G854" s="40" t="s">
        <v>9650</v>
      </c>
      <c r="H854" s="40"/>
      <c r="I854" s="40" t="s">
        <v>49</v>
      </c>
      <c r="J854" s="40">
        <v>-2956.71</v>
      </c>
      <c r="K854" s="40"/>
      <c r="L854" s="40">
        <v>2956.71</v>
      </c>
      <c r="M854" s="40">
        <v>-2956.71</v>
      </c>
      <c r="N854" s="40"/>
      <c r="O854" s="40" t="s">
        <v>234</v>
      </c>
    </row>
    <row r="855" spans="1:15" ht="22.5" x14ac:dyDescent="0.2">
      <c r="A855" s="40" t="s">
        <v>9672</v>
      </c>
      <c r="B855" s="40" t="s">
        <v>9672</v>
      </c>
      <c r="C855" s="41">
        <v>45880</v>
      </c>
      <c r="D855" s="40"/>
      <c r="E855" s="40" t="s">
        <v>13</v>
      </c>
      <c r="F855" s="40" t="s">
        <v>295</v>
      </c>
      <c r="G855" s="40" t="s">
        <v>9650</v>
      </c>
      <c r="H855" s="40"/>
      <c r="I855" s="40" t="s">
        <v>49</v>
      </c>
      <c r="J855" s="40">
        <v>-2368.71</v>
      </c>
      <c r="K855" s="40"/>
      <c r="L855" s="40">
        <v>2368.71</v>
      </c>
      <c r="M855" s="40">
        <v>-2368.71</v>
      </c>
      <c r="N855" s="40"/>
      <c r="O855" s="40" t="s">
        <v>234</v>
      </c>
    </row>
    <row r="856" spans="1:15" ht="22.5" x14ac:dyDescent="0.2">
      <c r="A856" s="40" t="s">
        <v>9673</v>
      </c>
      <c r="B856" s="40" t="s">
        <v>9673</v>
      </c>
      <c r="C856" s="41">
        <v>45876</v>
      </c>
      <c r="D856" s="40"/>
      <c r="E856" s="40" t="s">
        <v>13</v>
      </c>
      <c r="F856" s="40" t="s">
        <v>295</v>
      </c>
      <c r="G856" s="40" t="s">
        <v>9674</v>
      </c>
      <c r="H856" s="40"/>
      <c r="I856" s="40" t="s">
        <v>49</v>
      </c>
      <c r="J856" s="40">
        <v>-6660.11</v>
      </c>
      <c r="K856" s="40"/>
      <c r="L856" s="40">
        <v>6660.11</v>
      </c>
      <c r="M856" s="40">
        <v>-6660.11</v>
      </c>
      <c r="N856" s="40"/>
      <c r="O856" s="40" t="s">
        <v>234</v>
      </c>
    </row>
    <row r="857" spans="1:15" ht="22.5" x14ac:dyDescent="0.2">
      <c r="A857" s="40" t="s">
        <v>9675</v>
      </c>
      <c r="B857" s="40" t="s">
        <v>9675</v>
      </c>
      <c r="C857" s="41">
        <v>45874</v>
      </c>
      <c r="D857" s="40"/>
      <c r="E857" s="40" t="s">
        <v>13</v>
      </c>
      <c r="F857" s="40" t="s">
        <v>295</v>
      </c>
      <c r="G857" s="40" t="s">
        <v>6375</v>
      </c>
      <c r="H857" s="40"/>
      <c r="I857" s="40" t="s">
        <v>49</v>
      </c>
      <c r="J857" s="40">
        <v>-636.67999999999995</v>
      </c>
      <c r="K857" s="40"/>
      <c r="L857" s="40">
        <v>636.67999999999995</v>
      </c>
      <c r="M857" s="40">
        <v>-636.67999999999995</v>
      </c>
      <c r="N857" s="40"/>
      <c r="O857" s="40" t="s">
        <v>234</v>
      </c>
    </row>
    <row r="858" spans="1:15" ht="22.5" x14ac:dyDescent="0.2">
      <c r="A858" s="40" t="s">
        <v>9676</v>
      </c>
      <c r="B858" s="40" t="s">
        <v>9676</v>
      </c>
      <c r="C858" s="41">
        <v>45868</v>
      </c>
      <c r="D858" s="40"/>
      <c r="E858" s="40" t="s">
        <v>13</v>
      </c>
      <c r="F858" s="40" t="s">
        <v>295</v>
      </c>
      <c r="G858" s="40" t="s">
        <v>6377</v>
      </c>
      <c r="H858" s="40"/>
      <c r="I858" s="40" t="s">
        <v>49</v>
      </c>
      <c r="J858" s="40">
        <v>-3027.79</v>
      </c>
      <c r="K858" s="40"/>
      <c r="L858" s="40">
        <v>3027.79</v>
      </c>
      <c r="M858" s="40">
        <v>-3027.79</v>
      </c>
      <c r="N858" s="40"/>
      <c r="O858" s="40" t="s">
        <v>234</v>
      </c>
    </row>
    <row r="859" spans="1:15" ht="22.5" x14ac:dyDescent="0.2">
      <c r="A859" s="40" t="s">
        <v>9677</v>
      </c>
      <c r="B859" s="40" t="s">
        <v>9677</v>
      </c>
      <c r="C859" s="41">
        <v>45862</v>
      </c>
      <c r="D859" s="40"/>
      <c r="E859" s="40" t="s">
        <v>13</v>
      </c>
      <c r="F859" s="40" t="s">
        <v>295</v>
      </c>
      <c r="G859" s="40" t="s">
        <v>6377</v>
      </c>
      <c r="H859" s="40"/>
      <c r="I859" s="40" t="s">
        <v>49</v>
      </c>
      <c r="J859" s="40">
        <v>-1612.59</v>
      </c>
      <c r="K859" s="40"/>
      <c r="L859" s="40">
        <v>1612.59</v>
      </c>
      <c r="M859" s="40">
        <v>-1612.59</v>
      </c>
      <c r="N859" s="40"/>
      <c r="O859" s="40" t="s">
        <v>234</v>
      </c>
    </row>
    <row r="860" spans="1:15" ht="22.5" x14ac:dyDescent="0.2">
      <c r="A860" s="40" t="s">
        <v>9678</v>
      </c>
      <c r="B860" s="40" t="s">
        <v>9678</v>
      </c>
      <c r="C860" s="41">
        <v>45859</v>
      </c>
      <c r="D860" s="40"/>
      <c r="E860" s="40" t="s">
        <v>13</v>
      </c>
      <c r="F860" s="40" t="s">
        <v>295</v>
      </c>
      <c r="G860" s="40" t="s">
        <v>6377</v>
      </c>
      <c r="H860" s="40"/>
      <c r="I860" s="40" t="s">
        <v>49</v>
      </c>
      <c r="J860" s="40">
        <v>-1984.72</v>
      </c>
      <c r="K860" s="40"/>
      <c r="L860" s="40">
        <v>1984.72</v>
      </c>
      <c r="M860" s="40">
        <v>-1984.72</v>
      </c>
      <c r="N860" s="40"/>
      <c r="O860" s="40" t="s">
        <v>234</v>
      </c>
    </row>
    <row r="861" spans="1:15" ht="22.5" x14ac:dyDescent="0.2">
      <c r="A861" s="40" t="s">
        <v>9679</v>
      </c>
      <c r="B861" s="40" t="s">
        <v>9679</v>
      </c>
      <c r="C861" s="41">
        <v>45856</v>
      </c>
      <c r="D861" s="40"/>
      <c r="E861" s="40" t="s">
        <v>13</v>
      </c>
      <c r="F861" s="40" t="s">
        <v>295</v>
      </c>
      <c r="G861" s="40" t="s">
        <v>6377</v>
      </c>
      <c r="H861" s="40"/>
      <c r="I861" s="40" t="s">
        <v>49</v>
      </c>
      <c r="J861" s="40">
        <v>-540.44000000000005</v>
      </c>
      <c r="K861" s="40"/>
      <c r="L861" s="40">
        <v>540.44000000000005</v>
      </c>
      <c r="M861" s="40">
        <v>-540.44000000000005</v>
      </c>
      <c r="N861" s="40"/>
      <c r="O861" s="40" t="s">
        <v>234</v>
      </c>
    </row>
    <row r="862" spans="1:15" ht="22.5" x14ac:dyDescent="0.2">
      <c r="A862" s="40" t="s">
        <v>9680</v>
      </c>
      <c r="B862" s="40" t="s">
        <v>9680</v>
      </c>
      <c r="C862" s="41">
        <v>45855</v>
      </c>
      <c r="D862" s="40"/>
      <c r="E862" s="40" t="s">
        <v>13</v>
      </c>
      <c r="F862" s="40" t="s">
        <v>295</v>
      </c>
      <c r="G862" s="40" t="s">
        <v>6377</v>
      </c>
      <c r="H862" s="40"/>
      <c r="I862" s="40" t="s">
        <v>49</v>
      </c>
      <c r="J862" s="40">
        <v>-1530.59</v>
      </c>
      <c r="K862" s="40"/>
      <c r="L862" s="40">
        <v>1530.59</v>
      </c>
      <c r="M862" s="40">
        <v>-1530.59</v>
      </c>
      <c r="N862" s="40"/>
      <c r="O862" s="40" t="s">
        <v>234</v>
      </c>
    </row>
    <row r="863" spans="1:15" ht="22.5" x14ac:dyDescent="0.2">
      <c r="A863" s="40" t="s">
        <v>9681</v>
      </c>
      <c r="B863" s="40" t="s">
        <v>9681</v>
      </c>
      <c r="C863" s="41">
        <v>45853</v>
      </c>
      <c r="D863" s="40"/>
      <c r="E863" s="40" t="s">
        <v>13</v>
      </c>
      <c r="F863" s="40" t="s">
        <v>295</v>
      </c>
      <c r="G863" s="40" t="s">
        <v>6377</v>
      </c>
      <c r="H863" s="40"/>
      <c r="I863" s="40" t="s">
        <v>49</v>
      </c>
      <c r="J863" s="40">
        <v>-3420.84</v>
      </c>
      <c r="K863" s="40"/>
      <c r="L863" s="40">
        <v>3420.84</v>
      </c>
      <c r="M863" s="40">
        <v>-3420.84</v>
      </c>
      <c r="N863" s="40"/>
      <c r="O863" s="40" t="s">
        <v>234</v>
      </c>
    </row>
    <row r="864" spans="1:15" ht="22.5" x14ac:dyDescent="0.2">
      <c r="A864" s="40" t="s">
        <v>9682</v>
      </c>
      <c r="B864" s="40" t="s">
        <v>9682</v>
      </c>
      <c r="C864" s="41">
        <v>45848</v>
      </c>
      <c r="D864" s="40"/>
      <c r="E864" s="40" t="s">
        <v>13</v>
      </c>
      <c r="F864" s="40" t="s">
        <v>295</v>
      </c>
      <c r="G864" s="40" t="s">
        <v>6377</v>
      </c>
      <c r="H864" s="40"/>
      <c r="I864" s="40" t="s">
        <v>49</v>
      </c>
      <c r="J864" s="40">
        <v>-3165.19</v>
      </c>
      <c r="K864" s="40"/>
      <c r="L864" s="40">
        <v>3165.19</v>
      </c>
      <c r="M864" s="40">
        <v>-3165.19</v>
      </c>
      <c r="N864" s="40"/>
      <c r="O864" s="40" t="s">
        <v>234</v>
      </c>
    </row>
    <row r="865" spans="1:15" ht="22.5" x14ac:dyDescent="0.2">
      <c r="A865" s="40" t="s">
        <v>9683</v>
      </c>
      <c r="B865" s="40" t="s">
        <v>9683</v>
      </c>
      <c r="C865" s="41">
        <v>45845</v>
      </c>
      <c r="D865" s="40"/>
      <c r="E865" s="40" t="s">
        <v>13</v>
      </c>
      <c r="F865" s="40" t="s">
        <v>295</v>
      </c>
      <c r="G865" s="40" t="s">
        <v>9650</v>
      </c>
      <c r="H865" s="40"/>
      <c r="I865" s="40" t="s">
        <v>49</v>
      </c>
      <c r="J865" s="40">
        <v>-2222.33</v>
      </c>
      <c r="K865" s="40"/>
      <c r="L865" s="40">
        <v>2222.33</v>
      </c>
      <c r="M865" s="40">
        <v>-2222.33</v>
      </c>
      <c r="N865" s="40"/>
      <c r="O865" s="40" t="s">
        <v>234</v>
      </c>
    </row>
    <row r="866" spans="1:15" ht="22.5" x14ac:dyDescent="0.2">
      <c r="A866" s="40" t="s">
        <v>9684</v>
      </c>
      <c r="B866" s="40" t="s">
        <v>9684</v>
      </c>
      <c r="C866" s="41">
        <v>45840</v>
      </c>
      <c r="D866" s="40"/>
      <c r="E866" s="40" t="s">
        <v>13</v>
      </c>
      <c r="F866" s="40" t="s">
        <v>295</v>
      </c>
      <c r="G866" s="40" t="s">
        <v>6377</v>
      </c>
      <c r="H866" s="40"/>
      <c r="I866" s="40" t="s">
        <v>49</v>
      </c>
      <c r="J866" s="40">
        <v>-1733.71</v>
      </c>
      <c r="K866" s="40"/>
      <c r="L866" s="40">
        <v>1733.71</v>
      </c>
      <c r="M866" s="40">
        <v>-1733.71</v>
      </c>
      <c r="N866" s="40"/>
      <c r="O866" s="40" t="s">
        <v>234</v>
      </c>
    </row>
    <row r="867" spans="1:15" ht="22.5" x14ac:dyDescent="0.2">
      <c r="A867" s="40" t="s">
        <v>9685</v>
      </c>
      <c r="B867" s="40" t="s">
        <v>9685</v>
      </c>
      <c r="C867" s="41">
        <v>45834</v>
      </c>
      <c r="D867" s="40"/>
      <c r="E867" s="40" t="s">
        <v>13</v>
      </c>
      <c r="F867" s="40" t="s">
        <v>295</v>
      </c>
      <c r="G867" s="40" t="s">
        <v>6377</v>
      </c>
      <c r="H867" s="40"/>
      <c r="I867" s="40" t="s">
        <v>49</v>
      </c>
      <c r="J867" s="40">
        <v>-2011.36</v>
      </c>
      <c r="K867" s="40"/>
      <c r="L867" s="40">
        <v>2011.36</v>
      </c>
      <c r="M867" s="40">
        <v>-2011.36</v>
      </c>
      <c r="N867" s="40"/>
      <c r="O867" s="40" t="s">
        <v>234</v>
      </c>
    </row>
    <row r="868" spans="1:15" ht="22.5" x14ac:dyDescent="0.2">
      <c r="A868" s="40" t="s">
        <v>9686</v>
      </c>
      <c r="B868" s="40" t="s">
        <v>9686</v>
      </c>
      <c r="C868" s="41">
        <v>45828</v>
      </c>
      <c r="D868" s="40"/>
      <c r="E868" s="40" t="s">
        <v>13</v>
      </c>
      <c r="F868" s="40" t="s">
        <v>295</v>
      </c>
      <c r="G868" s="40" t="s">
        <v>6377</v>
      </c>
      <c r="H868" s="40"/>
      <c r="I868" s="40" t="s">
        <v>49</v>
      </c>
      <c r="J868" s="40">
        <v>-7638.44</v>
      </c>
      <c r="K868" s="40"/>
      <c r="L868" s="40">
        <v>7638.44</v>
      </c>
      <c r="M868" s="40">
        <v>-7638.44</v>
      </c>
      <c r="N868" s="40"/>
      <c r="O868" s="40" t="s">
        <v>234</v>
      </c>
    </row>
    <row r="869" spans="1:15" ht="22.5" x14ac:dyDescent="0.2">
      <c r="A869" s="40" t="s">
        <v>9687</v>
      </c>
      <c r="B869" s="40" t="s">
        <v>9687</v>
      </c>
      <c r="C869" s="41">
        <v>45818</v>
      </c>
      <c r="D869" s="40"/>
      <c r="E869" s="40" t="s">
        <v>13</v>
      </c>
      <c r="F869" s="40" t="s">
        <v>295</v>
      </c>
      <c r="G869" s="40" t="s">
        <v>6377</v>
      </c>
      <c r="H869" s="40"/>
      <c r="I869" s="40" t="s">
        <v>49</v>
      </c>
      <c r="J869" s="40">
        <v>-4737.84</v>
      </c>
      <c r="K869" s="40"/>
      <c r="L869" s="40">
        <v>4737.84</v>
      </c>
      <c r="M869" s="40">
        <v>-4737.84</v>
      </c>
      <c r="N869" s="40"/>
      <c r="O869" s="40" t="s">
        <v>234</v>
      </c>
    </row>
    <row r="870" spans="1:15" ht="22.5" x14ac:dyDescent="0.2">
      <c r="A870" s="40" t="s">
        <v>9688</v>
      </c>
      <c r="B870" s="40" t="s">
        <v>9688</v>
      </c>
      <c r="C870" s="41">
        <v>45811</v>
      </c>
      <c r="D870" s="40"/>
      <c r="E870" s="40" t="s">
        <v>13</v>
      </c>
      <c r="F870" s="40" t="s">
        <v>295</v>
      </c>
      <c r="G870" s="40" t="s">
        <v>6377</v>
      </c>
      <c r="H870" s="40"/>
      <c r="I870" s="40" t="s">
        <v>49</v>
      </c>
      <c r="J870" s="40">
        <v>-4812.0200000000004</v>
      </c>
      <c r="K870" s="40"/>
      <c r="L870" s="40">
        <v>4812.0200000000004</v>
      </c>
      <c r="M870" s="40">
        <v>-4812.0200000000004</v>
      </c>
      <c r="N870" s="40"/>
      <c r="O870" s="40" t="s">
        <v>234</v>
      </c>
    </row>
    <row r="871" spans="1:15" ht="22.5" x14ac:dyDescent="0.2">
      <c r="A871" s="40" t="s">
        <v>9689</v>
      </c>
      <c r="B871" s="40" t="s">
        <v>9689</v>
      </c>
      <c r="C871" s="41">
        <v>45805</v>
      </c>
      <c r="D871" s="40"/>
      <c r="E871" s="40" t="s">
        <v>13</v>
      </c>
      <c r="F871" s="40"/>
      <c r="G871" s="40" t="s">
        <v>9690</v>
      </c>
      <c r="H871" s="40"/>
      <c r="I871" s="40" t="s">
        <v>49</v>
      </c>
      <c r="J871" s="40">
        <v>-763.04</v>
      </c>
      <c r="K871" s="40"/>
      <c r="L871" s="40">
        <v>763.04</v>
      </c>
      <c r="M871" s="40">
        <v>-763.04</v>
      </c>
      <c r="N871" s="40"/>
      <c r="O871" s="40" t="s">
        <v>2706</v>
      </c>
    </row>
    <row r="872" spans="1:15" ht="22.5" x14ac:dyDescent="0.2">
      <c r="A872" s="40" t="s">
        <v>9691</v>
      </c>
      <c r="B872" s="40" t="s">
        <v>9691</v>
      </c>
      <c r="C872" s="41">
        <v>45804</v>
      </c>
      <c r="D872" s="40"/>
      <c r="E872" s="40" t="s">
        <v>13</v>
      </c>
      <c r="F872" s="40" t="s">
        <v>9692</v>
      </c>
      <c r="G872" s="40" t="s">
        <v>9693</v>
      </c>
      <c r="H872" s="40"/>
      <c r="I872" s="40" t="s">
        <v>49</v>
      </c>
      <c r="J872" s="40">
        <v>-212.7</v>
      </c>
      <c r="K872" s="40"/>
      <c r="L872" s="40">
        <v>212.7</v>
      </c>
      <c r="M872" s="40">
        <v>-212.7</v>
      </c>
      <c r="N872" s="40"/>
      <c r="O872" s="40" t="s">
        <v>2706</v>
      </c>
    </row>
    <row r="873" spans="1:15" ht="22.5" x14ac:dyDescent="0.2">
      <c r="A873" s="40" t="s">
        <v>9694</v>
      </c>
      <c r="B873" s="40" t="s">
        <v>9694</v>
      </c>
      <c r="C873" s="41">
        <v>45799</v>
      </c>
      <c r="D873" s="40"/>
      <c r="E873" s="40" t="s">
        <v>13</v>
      </c>
      <c r="F873" s="40"/>
      <c r="G873" s="40" t="s">
        <v>9695</v>
      </c>
      <c r="H873" s="40"/>
      <c r="I873" s="40" t="s">
        <v>49</v>
      </c>
      <c r="J873" s="40">
        <v>-574.96</v>
      </c>
      <c r="K873" s="40"/>
      <c r="L873" s="40">
        <v>574.96</v>
      </c>
      <c r="M873" s="40">
        <v>-574.96</v>
      </c>
      <c r="N873" s="40"/>
      <c r="O873" s="40" t="s">
        <v>2706</v>
      </c>
    </row>
    <row r="874" spans="1:15" ht="22.5" x14ac:dyDescent="0.2">
      <c r="A874" s="40" t="s">
        <v>9696</v>
      </c>
      <c r="B874" s="40" t="s">
        <v>9696</v>
      </c>
      <c r="C874" s="41">
        <v>45791</v>
      </c>
      <c r="D874" s="40"/>
      <c r="E874" s="40" t="s">
        <v>13</v>
      </c>
      <c r="F874" s="40"/>
      <c r="G874" s="40" t="s">
        <v>9697</v>
      </c>
      <c r="H874" s="40"/>
      <c r="I874" s="40" t="s">
        <v>49</v>
      </c>
      <c r="J874" s="40">
        <v>-799.58</v>
      </c>
      <c r="K874" s="40"/>
      <c r="L874" s="40">
        <v>799.58</v>
      </c>
      <c r="M874" s="40">
        <v>-799.58</v>
      </c>
      <c r="N874" s="40"/>
      <c r="O874" s="40" t="s">
        <v>2706</v>
      </c>
    </row>
    <row r="875" spans="1:15" ht="22.5" x14ac:dyDescent="0.2">
      <c r="A875" s="40" t="s">
        <v>9698</v>
      </c>
      <c r="B875" s="40" t="s">
        <v>9698</v>
      </c>
      <c r="C875" s="41">
        <v>45782</v>
      </c>
      <c r="D875" s="40"/>
      <c r="E875" s="40" t="s">
        <v>13</v>
      </c>
      <c r="F875" s="40"/>
      <c r="G875" s="40" t="s">
        <v>9699</v>
      </c>
      <c r="H875" s="40"/>
      <c r="I875" s="40" t="s">
        <v>49</v>
      </c>
      <c r="J875" s="40">
        <v>-155.72999999999999</v>
      </c>
      <c r="K875" s="40"/>
      <c r="L875" s="40">
        <v>155.72999999999999</v>
      </c>
      <c r="M875" s="40">
        <v>-155.72999999999999</v>
      </c>
      <c r="N875" s="40"/>
      <c r="O875" s="40" t="s">
        <v>2706</v>
      </c>
    </row>
    <row r="876" spans="1:15" ht="22.5" x14ac:dyDescent="0.2">
      <c r="A876" s="40" t="s">
        <v>9700</v>
      </c>
      <c r="B876" s="40" t="s">
        <v>9700</v>
      </c>
      <c r="C876" s="41">
        <v>45714</v>
      </c>
      <c r="D876" s="40"/>
      <c r="E876" s="40" t="s">
        <v>13</v>
      </c>
      <c r="F876" s="40" t="s">
        <v>9701</v>
      </c>
      <c r="G876" s="40" t="s">
        <v>9702</v>
      </c>
      <c r="H876" s="40"/>
      <c r="I876" s="40" t="s">
        <v>49</v>
      </c>
      <c r="J876" s="40">
        <v>-50</v>
      </c>
      <c r="K876" s="40"/>
      <c r="L876" s="40">
        <v>50</v>
      </c>
      <c r="M876" s="40">
        <v>-50</v>
      </c>
      <c r="N876" s="40"/>
      <c r="O876" s="40" t="s">
        <v>2706</v>
      </c>
    </row>
    <row r="877" spans="1:15" ht="33.75" x14ac:dyDescent="0.2">
      <c r="A877" s="40" t="s">
        <v>9703</v>
      </c>
      <c r="B877" s="40" t="s">
        <v>9703</v>
      </c>
      <c r="C877" s="41">
        <v>45659</v>
      </c>
      <c r="D877" s="40"/>
      <c r="E877" s="40" t="s">
        <v>13</v>
      </c>
      <c r="F877" s="40"/>
      <c r="G877" s="40" t="s">
        <v>9704</v>
      </c>
      <c r="H877" s="40"/>
      <c r="I877" s="40" t="s">
        <v>49</v>
      </c>
      <c r="J877" s="40">
        <v>-102</v>
      </c>
      <c r="K877" s="40"/>
      <c r="L877" s="40">
        <v>102</v>
      </c>
      <c r="M877" s="40">
        <v>-102</v>
      </c>
      <c r="N877" s="40"/>
      <c r="O877" s="40" t="s">
        <v>2706</v>
      </c>
    </row>
    <row r="879" spans="1:15" x14ac:dyDescent="0.2">
      <c r="M879" s="52">
        <f>SUM(M3:M878)</f>
        <v>-57940.279999999962</v>
      </c>
    </row>
  </sheetData>
  <mergeCells count="1">
    <mergeCell ref="A2:C2"/>
  </mergeCells>
  <conditionalFormatting sqref="N2:N1048576">
    <cfRule type="duplicateValues" dxfId="42" priority="2"/>
  </conditionalFormatting>
  <conditionalFormatting sqref="N1">
    <cfRule type="duplicateValues" dxfId="7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558E-9366-4497-ACB0-52ECABDA9055}">
  <dimension ref="A1:O136"/>
  <sheetViews>
    <sheetView showGridLines="0" topLeftCell="H1" workbookViewId="0">
      <selection activeCell="H1" sqref="A1:XFD1"/>
    </sheetView>
  </sheetViews>
  <sheetFormatPr baseColWidth="10" defaultColWidth="9.140625" defaultRowHeight="12" x14ac:dyDescent="0.2"/>
  <cols>
    <col min="1" max="1" width="30.7109375" style="1" customWidth="1"/>
    <col min="2" max="2" width="17.140625" style="1" customWidth="1"/>
    <col min="3" max="3" width="16" style="1" customWidth="1"/>
    <col min="4" max="4" width="14.42578125" style="1" customWidth="1"/>
    <col min="5" max="9" width="30.7109375" style="1" customWidth="1"/>
    <col min="10" max="10" width="14.140625" style="1" customWidth="1"/>
    <col min="11" max="11" width="16.5703125" style="1" customWidth="1"/>
    <col min="12" max="12" width="20" style="1" customWidth="1"/>
    <col min="13" max="13" width="22.28515625" style="2" customWidth="1"/>
    <col min="14" max="15" width="30.7109375" style="1" customWidth="1"/>
    <col min="16" max="16384" width="9.140625" style="1"/>
  </cols>
  <sheetData>
    <row r="1" spans="1:15" s="18" customFormat="1" ht="25.5" customHeight="1" x14ac:dyDescent="0.25">
      <c r="A1" s="104" t="s">
        <v>33</v>
      </c>
      <c r="B1" s="104" t="s">
        <v>34</v>
      </c>
      <c r="C1" s="104" t="s">
        <v>35</v>
      </c>
      <c r="D1" s="104" t="s">
        <v>36</v>
      </c>
      <c r="E1" s="104" t="s">
        <v>37</v>
      </c>
      <c r="F1" s="104" t="s">
        <v>38</v>
      </c>
      <c r="G1" s="104" t="s">
        <v>39</v>
      </c>
      <c r="H1" s="104" t="s">
        <v>40</v>
      </c>
      <c r="I1" s="104" t="s">
        <v>41</v>
      </c>
      <c r="J1" s="104" t="s">
        <v>42</v>
      </c>
      <c r="K1" s="104" t="s">
        <v>3</v>
      </c>
      <c r="L1" s="104" t="s">
        <v>4</v>
      </c>
      <c r="M1" s="104" t="s">
        <v>43</v>
      </c>
      <c r="N1" s="104" t="s">
        <v>44</v>
      </c>
      <c r="O1" s="104" t="s">
        <v>45</v>
      </c>
    </row>
    <row r="2" spans="1:15" ht="24" x14ac:dyDescent="0.2">
      <c r="A2" s="45" t="s">
        <v>10042</v>
      </c>
      <c r="B2" s="45"/>
      <c r="C2" s="45" t="s">
        <v>5165</v>
      </c>
      <c r="D2" s="45"/>
      <c r="E2" s="45"/>
      <c r="F2" s="45"/>
      <c r="G2" s="45"/>
      <c r="H2" s="45"/>
      <c r="I2" s="45"/>
      <c r="J2" s="45"/>
      <c r="K2" s="45" t="s">
        <v>10043</v>
      </c>
      <c r="L2" s="45" t="s">
        <v>10044</v>
      </c>
      <c r="M2" s="46" t="s">
        <v>10045</v>
      </c>
      <c r="N2" s="45"/>
      <c r="O2" s="45"/>
    </row>
    <row r="3" spans="1:15" ht="36" x14ac:dyDescent="0.2">
      <c r="A3" s="47" t="s">
        <v>10046</v>
      </c>
      <c r="B3" s="47" t="s">
        <v>10047</v>
      </c>
      <c r="C3" s="48">
        <v>46108</v>
      </c>
      <c r="D3" s="48">
        <v>46195</v>
      </c>
      <c r="E3" s="47" t="s">
        <v>16</v>
      </c>
      <c r="F3" s="47" t="s">
        <v>843</v>
      </c>
      <c r="G3" s="47"/>
      <c r="H3" s="47" t="s">
        <v>10048</v>
      </c>
      <c r="I3" s="47" t="s">
        <v>49</v>
      </c>
      <c r="J3" s="47">
        <v>5026.01</v>
      </c>
      <c r="K3" s="47">
        <v>5026.01</v>
      </c>
      <c r="L3" s="47"/>
      <c r="M3" s="47">
        <v>5026.01</v>
      </c>
      <c r="N3" s="47" t="s">
        <v>10049</v>
      </c>
      <c r="O3" s="47" t="s">
        <v>75</v>
      </c>
    </row>
    <row r="4" spans="1:15" ht="36" x14ac:dyDescent="0.2">
      <c r="A4" s="47" t="s">
        <v>10050</v>
      </c>
      <c r="B4" s="47" t="s">
        <v>10051</v>
      </c>
      <c r="C4" s="48">
        <v>46108</v>
      </c>
      <c r="D4" s="48">
        <v>46178</v>
      </c>
      <c r="E4" s="47" t="s">
        <v>16</v>
      </c>
      <c r="F4" s="47" t="s">
        <v>843</v>
      </c>
      <c r="G4" s="47"/>
      <c r="H4" s="47" t="s">
        <v>10052</v>
      </c>
      <c r="I4" s="47" t="s">
        <v>49</v>
      </c>
      <c r="J4" s="47">
        <v>5026.04</v>
      </c>
      <c r="K4" s="47">
        <v>5026.04</v>
      </c>
      <c r="L4" s="47"/>
      <c r="M4" s="47">
        <v>5026.04</v>
      </c>
      <c r="N4" s="47" t="s">
        <v>10053</v>
      </c>
      <c r="O4" s="47" t="s">
        <v>75</v>
      </c>
    </row>
    <row r="5" spans="1:15" ht="36" x14ac:dyDescent="0.2">
      <c r="A5" s="47" t="s">
        <v>10054</v>
      </c>
      <c r="B5" s="47" t="s">
        <v>10055</v>
      </c>
      <c r="C5" s="48">
        <v>46108</v>
      </c>
      <c r="D5" s="48">
        <v>46171</v>
      </c>
      <c r="E5" s="47" t="s">
        <v>16</v>
      </c>
      <c r="F5" s="47" t="s">
        <v>843</v>
      </c>
      <c r="G5" s="47"/>
      <c r="H5" s="47" t="s">
        <v>10056</v>
      </c>
      <c r="I5" s="47" t="s">
        <v>49</v>
      </c>
      <c r="J5" s="47">
        <v>5026.04</v>
      </c>
      <c r="K5" s="47">
        <v>5026.04</v>
      </c>
      <c r="L5" s="47"/>
      <c r="M5" s="47">
        <v>5026.04</v>
      </c>
      <c r="N5" s="47" t="s">
        <v>10057</v>
      </c>
      <c r="O5" s="47" t="s">
        <v>75</v>
      </c>
    </row>
    <row r="6" spans="1:15" ht="36" x14ac:dyDescent="0.2">
      <c r="A6" s="47" t="s">
        <v>10058</v>
      </c>
      <c r="B6" s="47" t="s">
        <v>10059</v>
      </c>
      <c r="C6" s="48">
        <v>46108</v>
      </c>
      <c r="D6" s="48">
        <v>46164</v>
      </c>
      <c r="E6" s="47" t="s">
        <v>16</v>
      </c>
      <c r="F6" s="47" t="s">
        <v>843</v>
      </c>
      <c r="G6" s="47"/>
      <c r="H6" s="47" t="s">
        <v>10060</v>
      </c>
      <c r="I6" s="47" t="s">
        <v>49</v>
      </c>
      <c r="J6" s="47">
        <v>5026.04</v>
      </c>
      <c r="K6" s="47">
        <v>5026.04</v>
      </c>
      <c r="L6" s="47"/>
      <c r="M6" s="47">
        <v>5026.04</v>
      </c>
      <c r="N6" s="47" t="s">
        <v>10061</v>
      </c>
      <c r="O6" s="47" t="s">
        <v>75</v>
      </c>
    </row>
    <row r="7" spans="1:15" ht="36" x14ac:dyDescent="0.2">
      <c r="A7" s="47" t="s">
        <v>10062</v>
      </c>
      <c r="B7" s="47" t="s">
        <v>10063</v>
      </c>
      <c r="C7" s="48">
        <v>46108</v>
      </c>
      <c r="D7" s="48">
        <v>46157</v>
      </c>
      <c r="E7" s="47" t="s">
        <v>16</v>
      </c>
      <c r="F7" s="47" t="s">
        <v>843</v>
      </c>
      <c r="G7" s="47"/>
      <c r="H7" s="47" t="s">
        <v>10064</v>
      </c>
      <c r="I7" s="47" t="s">
        <v>49</v>
      </c>
      <c r="J7" s="47">
        <v>5026.04</v>
      </c>
      <c r="K7" s="47">
        <v>5026.04</v>
      </c>
      <c r="L7" s="47"/>
      <c r="M7" s="47">
        <v>5026.04</v>
      </c>
      <c r="N7" s="47" t="s">
        <v>10065</v>
      </c>
      <c r="O7" s="47" t="s">
        <v>75</v>
      </c>
    </row>
    <row r="8" spans="1:15" ht="36" x14ac:dyDescent="0.2">
      <c r="A8" s="47" t="s">
        <v>10066</v>
      </c>
      <c r="B8" s="47" t="s">
        <v>10067</v>
      </c>
      <c r="C8" s="48">
        <v>46108</v>
      </c>
      <c r="D8" s="48">
        <v>46150</v>
      </c>
      <c r="E8" s="47" t="s">
        <v>16</v>
      </c>
      <c r="F8" s="47" t="s">
        <v>843</v>
      </c>
      <c r="G8" s="47"/>
      <c r="H8" s="47" t="s">
        <v>10068</v>
      </c>
      <c r="I8" s="47" t="s">
        <v>49</v>
      </c>
      <c r="J8" s="47">
        <v>5026.04</v>
      </c>
      <c r="K8" s="47">
        <v>5026.04</v>
      </c>
      <c r="L8" s="47"/>
      <c r="M8" s="47">
        <v>5026.04</v>
      </c>
      <c r="N8" s="47" t="s">
        <v>10069</v>
      </c>
      <c r="O8" s="47" t="s">
        <v>75</v>
      </c>
    </row>
    <row r="9" spans="1:15" ht="36" x14ac:dyDescent="0.2">
      <c r="A9" s="47" t="s">
        <v>10070</v>
      </c>
      <c r="B9" s="47" t="s">
        <v>10071</v>
      </c>
      <c r="C9" s="48">
        <v>46108</v>
      </c>
      <c r="D9" s="48">
        <v>46181</v>
      </c>
      <c r="E9" s="47" t="s">
        <v>16</v>
      </c>
      <c r="F9" s="47" t="s">
        <v>843</v>
      </c>
      <c r="G9" s="47"/>
      <c r="H9" s="47" t="s">
        <v>10072</v>
      </c>
      <c r="I9" s="47" t="s">
        <v>49</v>
      </c>
      <c r="J9" s="47">
        <v>1714.1</v>
      </c>
      <c r="K9" s="47">
        <v>1714.1</v>
      </c>
      <c r="L9" s="47"/>
      <c r="M9" s="47">
        <v>1714.1</v>
      </c>
      <c r="N9" s="47" t="s">
        <v>10073</v>
      </c>
      <c r="O9" s="47" t="s">
        <v>75</v>
      </c>
    </row>
    <row r="10" spans="1:15" ht="36" x14ac:dyDescent="0.2">
      <c r="A10" s="47" t="s">
        <v>10074</v>
      </c>
      <c r="B10" s="47" t="s">
        <v>10075</v>
      </c>
      <c r="C10" s="48">
        <v>46108</v>
      </c>
      <c r="D10" s="48">
        <v>46170</v>
      </c>
      <c r="E10" s="47" t="s">
        <v>16</v>
      </c>
      <c r="F10" s="47" t="s">
        <v>843</v>
      </c>
      <c r="G10" s="47"/>
      <c r="H10" s="47" t="s">
        <v>10076</v>
      </c>
      <c r="I10" s="47" t="s">
        <v>49</v>
      </c>
      <c r="J10" s="47">
        <v>1714.1</v>
      </c>
      <c r="K10" s="47">
        <v>1714.1</v>
      </c>
      <c r="L10" s="47"/>
      <c r="M10" s="47">
        <v>1714.1</v>
      </c>
      <c r="N10" s="47" t="s">
        <v>10077</v>
      </c>
      <c r="O10" s="47" t="s">
        <v>75</v>
      </c>
    </row>
    <row r="11" spans="1:15" ht="36" x14ac:dyDescent="0.2">
      <c r="A11" s="47" t="s">
        <v>10078</v>
      </c>
      <c r="B11" s="47" t="s">
        <v>10079</v>
      </c>
      <c r="C11" s="48">
        <v>46108</v>
      </c>
      <c r="D11" s="48">
        <v>46160</v>
      </c>
      <c r="E11" s="47" t="s">
        <v>16</v>
      </c>
      <c r="F11" s="47" t="s">
        <v>843</v>
      </c>
      <c r="G11" s="47"/>
      <c r="H11" s="47" t="s">
        <v>10080</v>
      </c>
      <c r="I11" s="47" t="s">
        <v>49</v>
      </c>
      <c r="J11" s="47">
        <v>1714.1</v>
      </c>
      <c r="K11" s="47">
        <v>1714.1</v>
      </c>
      <c r="L11" s="47"/>
      <c r="M11" s="47">
        <v>1714.1</v>
      </c>
      <c r="N11" s="47" t="s">
        <v>10081</v>
      </c>
      <c r="O11" s="47" t="s">
        <v>75</v>
      </c>
    </row>
    <row r="12" spans="1:15" ht="36" x14ac:dyDescent="0.2">
      <c r="A12" s="47" t="s">
        <v>10082</v>
      </c>
      <c r="B12" s="47" t="s">
        <v>10083</v>
      </c>
      <c r="C12" s="48">
        <v>46108</v>
      </c>
      <c r="D12" s="48">
        <v>46150</v>
      </c>
      <c r="E12" s="47" t="s">
        <v>16</v>
      </c>
      <c r="F12" s="47" t="s">
        <v>843</v>
      </c>
      <c r="G12" s="47"/>
      <c r="H12" s="47" t="s">
        <v>10084</v>
      </c>
      <c r="I12" s="47" t="s">
        <v>49</v>
      </c>
      <c r="J12" s="47">
        <v>1714.1</v>
      </c>
      <c r="K12" s="47">
        <v>1714.1</v>
      </c>
      <c r="L12" s="47"/>
      <c r="M12" s="47">
        <v>1714.1</v>
      </c>
      <c r="N12" s="47" t="s">
        <v>10085</v>
      </c>
      <c r="O12" s="47" t="s">
        <v>75</v>
      </c>
    </row>
    <row r="13" spans="1:15" ht="36" x14ac:dyDescent="0.2">
      <c r="A13" s="47" t="s">
        <v>10086</v>
      </c>
      <c r="B13" s="47" t="s">
        <v>10087</v>
      </c>
      <c r="C13" s="48">
        <v>46108</v>
      </c>
      <c r="D13" s="48">
        <v>46181</v>
      </c>
      <c r="E13" s="47" t="s">
        <v>16</v>
      </c>
      <c r="F13" s="47" t="s">
        <v>843</v>
      </c>
      <c r="G13" s="47"/>
      <c r="H13" s="47" t="s">
        <v>10088</v>
      </c>
      <c r="I13" s="47" t="s">
        <v>49</v>
      </c>
      <c r="J13" s="47">
        <v>1917.25</v>
      </c>
      <c r="K13" s="47">
        <v>1917.25</v>
      </c>
      <c r="L13" s="47"/>
      <c r="M13" s="47">
        <v>1917.25</v>
      </c>
      <c r="N13" s="47" t="s">
        <v>10089</v>
      </c>
      <c r="O13" s="47" t="s">
        <v>75</v>
      </c>
    </row>
    <row r="14" spans="1:15" ht="36" x14ac:dyDescent="0.2">
      <c r="A14" s="47" t="s">
        <v>10090</v>
      </c>
      <c r="B14" s="47" t="s">
        <v>10091</v>
      </c>
      <c r="C14" s="48">
        <v>46108</v>
      </c>
      <c r="D14" s="48">
        <v>46169</v>
      </c>
      <c r="E14" s="47" t="s">
        <v>16</v>
      </c>
      <c r="F14" s="47" t="s">
        <v>843</v>
      </c>
      <c r="G14" s="47"/>
      <c r="H14" s="47" t="s">
        <v>10092</v>
      </c>
      <c r="I14" s="47" t="s">
        <v>49</v>
      </c>
      <c r="J14" s="47">
        <v>1917.27</v>
      </c>
      <c r="K14" s="47">
        <v>1917.27</v>
      </c>
      <c r="L14" s="47"/>
      <c r="M14" s="47">
        <v>1917.27</v>
      </c>
      <c r="N14" s="47" t="s">
        <v>10093</v>
      </c>
      <c r="O14" s="47" t="s">
        <v>75</v>
      </c>
    </row>
    <row r="15" spans="1:15" ht="36" x14ac:dyDescent="0.2">
      <c r="A15" s="47" t="s">
        <v>10094</v>
      </c>
      <c r="B15" s="47" t="s">
        <v>10095</v>
      </c>
      <c r="C15" s="48">
        <v>46108</v>
      </c>
      <c r="D15" s="48">
        <v>46160</v>
      </c>
      <c r="E15" s="47" t="s">
        <v>16</v>
      </c>
      <c r="F15" s="47" t="s">
        <v>843</v>
      </c>
      <c r="G15" s="47"/>
      <c r="H15" s="47" t="s">
        <v>10096</v>
      </c>
      <c r="I15" s="47" t="s">
        <v>49</v>
      </c>
      <c r="J15" s="47">
        <v>1917.27</v>
      </c>
      <c r="K15" s="47">
        <v>1917.27</v>
      </c>
      <c r="L15" s="47"/>
      <c r="M15" s="47">
        <v>1917.27</v>
      </c>
      <c r="N15" s="47" t="s">
        <v>10097</v>
      </c>
      <c r="O15" s="47" t="s">
        <v>75</v>
      </c>
    </row>
    <row r="16" spans="1:15" ht="36" x14ac:dyDescent="0.2">
      <c r="A16" s="47" t="s">
        <v>10098</v>
      </c>
      <c r="B16" s="47" t="s">
        <v>10099</v>
      </c>
      <c r="C16" s="48">
        <v>46108</v>
      </c>
      <c r="D16" s="48">
        <v>46149</v>
      </c>
      <c r="E16" s="47" t="s">
        <v>16</v>
      </c>
      <c r="F16" s="47" t="s">
        <v>843</v>
      </c>
      <c r="G16" s="47"/>
      <c r="H16" s="47" t="s">
        <v>10100</v>
      </c>
      <c r="I16" s="47" t="s">
        <v>49</v>
      </c>
      <c r="J16" s="47">
        <v>1917.27</v>
      </c>
      <c r="K16" s="47">
        <v>1917.27</v>
      </c>
      <c r="L16" s="47"/>
      <c r="M16" s="47">
        <v>1917.27</v>
      </c>
      <c r="N16" s="47" t="s">
        <v>10101</v>
      </c>
      <c r="O16" s="47" t="s">
        <v>75</v>
      </c>
    </row>
    <row r="17" spans="1:15" ht="36" x14ac:dyDescent="0.2">
      <c r="A17" s="47" t="s">
        <v>10102</v>
      </c>
      <c r="B17" s="47" t="s">
        <v>10103</v>
      </c>
      <c r="C17" s="48">
        <v>46108</v>
      </c>
      <c r="D17" s="48">
        <v>46230</v>
      </c>
      <c r="E17" s="47" t="s">
        <v>16</v>
      </c>
      <c r="F17" s="47" t="s">
        <v>843</v>
      </c>
      <c r="G17" s="47"/>
      <c r="H17" s="47" t="s">
        <v>10104</v>
      </c>
      <c r="I17" s="47" t="s">
        <v>49</v>
      </c>
      <c r="J17" s="47">
        <v>25636.13</v>
      </c>
      <c r="K17" s="47">
        <v>25636.13</v>
      </c>
      <c r="L17" s="47"/>
      <c r="M17" s="47">
        <v>25636.13</v>
      </c>
      <c r="N17" s="47" t="s">
        <v>10105</v>
      </c>
      <c r="O17" s="47" t="s">
        <v>75</v>
      </c>
    </row>
    <row r="18" spans="1:15" ht="36" x14ac:dyDescent="0.2">
      <c r="A18" s="47" t="s">
        <v>10106</v>
      </c>
      <c r="B18" s="47" t="s">
        <v>10107</v>
      </c>
      <c r="C18" s="48">
        <v>46108</v>
      </c>
      <c r="D18" s="48">
        <v>46220</v>
      </c>
      <c r="E18" s="47" t="s">
        <v>16</v>
      </c>
      <c r="F18" s="47" t="s">
        <v>843</v>
      </c>
      <c r="G18" s="47"/>
      <c r="H18" s="47" t="s">
        <v>10108</v>
      </c>
      <c r="I18" s="47" t="s">
        <v>49</v>
      </c>
      <c r="J18" s="47">
        <v>25636.1</v>
      </c>
      <c r="K18" s="47">
        <v>25636.1</v>
      </c>
      <c r="L18" s="47"/>
      <c r="M18" s="47">
        <v>25636.1</v>
      </c>
      <c r="N18" s="47" t="s">
        <v>10109</v>
      </c>
      <c r="O18" s="47" t="s">
        <v>75</v>
      </c>
    </row>
    <row r="19" spans="1:15" ht="36" x14ac:dyDescent="0.2">
      <c r="A19" s="47" t="s">
        <v>10110</v>
      </c>
      <c r="B19" s="47" t="s">
        <v>10111</v>
      </c>
      <c r="C19" s="48">
        <v>46108</v>
      </c>
      <c r="D19" s="48">
        <v>46210</v>
      </c>
      <c r="E19" s="47" t="s">
        <v>16</v>
      </c>
      <c r="F19" s="47" t="s">
        <v>843</v>
      </c>
      <c r="G19" s="47"/>
      <c r="H19" s="47" t="s">
        <v>10112</v>
      </c>
      <c r="I19" s="47" t="s">
        <v>49</v>
      </c>
      <c r="J19" s="47">
        <v>25636.1</v>
      </c>
      <c r="K19" s="47">
        <v>25636.1</v>
      </c>
      <c r="L19" s="47"/>
      <c r="M19" s="47">
        <v>25636.1</v>
      </c>
      <c r="N19" s="47" t="s">
        <v>10113</v>
      </c>
      <c r="O19" s="47" t="s">
        <v>75</v>
      </c>
    </row>
    <row r="20" spans="1:15" ht="36" x14ac:dyDescent="0.2">
      <c r="A20" s="47" t="s">
        <v>10114</v>
      </c>
      <c r="B20" s="47" t="s">
        <v>10115</v>
      </c>
      <c r="C20" s="48">
        <v>46108</v>
      </c>
      <c r="D20" s="48">
        <v>46202</v>
      </c>
      <c r="E20" s="47" t="s">
        <v>16</v>
      </c>
      <c r="F20" s="47" t="s">
        <v>843</v>
      </c>
      <c r="G20" s="47"/>
      <c r="H20" s="47" t="s">
        <v>10116</v>
      </c>
      <c r="I20" s="47" t="s">
        <v>49</v>
      </c>
      <c r="J20" s="47">
        <v>25636.1</v>
      </c>
      <c r="K20" s="47">
        <v>25636.1</v>
      </c>
      <c r="L20" s="47"/>
      <c r="M20" s="47">
        <v>25636.1</v>
      </c>
      <c r="N20" s="47" t="s">
        <v>10117</v>
      </c>
      <c r="O20" s="47" t="s">
        <v>75</v>
      </c>
    </row>
    <row r="21" spans="1:15" ht="36" x14ac:dyDescent="0.2">
      <c r="A21" s="47" t="s">
        <v>10118</v>
      </c>
      <c r="B21" s="47" t="s">
        <v>10119</v>
      </c>
      <c r="C21" s="48">
        <v>46108</v>
      </c>
      <c r="D21" s="48">
        <v>46190</v>
      </c>
      <c r="E21" s="47" t="s">
        <v>16</v>
      </c>
      <c r="F21" s="47" t="s">
        <v>843</v>
      </c>
      <c r="G21" s="47"/>
      <c r="H21" s="47" t="s">
        <v>10120</v>
      </c>
      <c r="I21" s="47" t="s">
        <v>49</v>
      </c>
      <c r="J21" s="47">
        <v>25636.1</v>
      </c>
      <c r="K21" s="47">
        <v>25636.1</v>
      </c>
      <c r="L21" s="47"/>
      <c r="M21" s="47">
        <v>25636.1</v>
      </c>
      <c r="N21" s="47" t="s">
        <v>10121</v>
      </c>
      <c r="O21" s="47" t="s">
        <v>75</v>
      </c>
    </row>
    <row r="22" spans="1:15" ht="36" x14ac:dyDescent="0.2">
      <c r="A22" s="47" t="s">
        <v>10122</v>
      </c>
      <c r="B22" s="47" t="s">
        <v>10123</v>
      </c>
      <c r="C22" s="48">
        <v>46108</v>
      </c>
      <c r="D22" s="48">
        <v>46181</v>
      </c>
      <c r="E22" s="47" t="s">
        <v>16</v>
      </c>
      <c r="F22" s="47" t="s">
        <v>843</v>
      </c>
      <c r="G22" s="47"/>
      <c r="H22" s="47" t="s">
        <v>10124</v>
      </c>
      <c r="I22" s="47" t="s">
        <v>49</v>
      </c>
      <c r="J22" s="47">
        <v>25636.1</v>
      </c>
      <c r="K22" s="47">
        <v>25636.1</v>
      </c>
      <c r="L22" s="47"/>
      <c r="M22" s="47">
        <v>25636.1</v>
      </c>
      <c r="N22" s="47" t="s">
        <v>10125</v>
      </c>
      <c r="O22" s="47" t="s">
        <v>75</v>
      </c>
    </row>
    <row r="23" spans="1:15" ht="36" x14ac:dyDescent="0.2">
      <c r="A23" s="47" t="s">
        <v>10126</v>
      </c>
      <c r="B23" s="47" t="s">
        <v>10127</v>
      </c>
      <c r="C23" s="48">
        <v>46108</v>
      </c>
      <c r="D23" s="48">
        <v>46170</v>
      </c>
      <c r="E23" s="47" t="s">
        <v>16</v>
      </c>
      <c r="F23" s="47" t="s">
        <v>843</v>
      </c>
      <c r="G23" s="47"/>
      <c r="H23" s="47" t="s">
        <v>10128</v>
      </c>
      <c r="I23" s="47" t="s">
        <v>49</v>
      </c>
      <c r="J23" s="47">
        <v>25636.1</v>
      </c>
      <c r="K23" s="47">
        <v>25636.1</v>
      </c>
      <c r="L23" s="47"/>
      <c r="M23" s="47">
        <v>25636.1</v>
      </c>
      <c r="N23" s="47" t="s">
        <v>10129</v>
      </c>
      <c r="O23" s="47" t="s">
        <v>75</v>
      </c>
    </row>
    <row r="24" spans="1:15" ht="36" x14ac:dyDescent="0.2">
      <c r="A24" s="47" t="s">
        <v>10130</v>
      </c>
      <c r="B24" s="47" t="s">
        <v>10131</v>
      </c>
      <c r="C24" s="48">
        <v>46108</v>
      </c>
      <c r="D24" s="48">
        <v>46160</v>
      </c>
      <c r="E24" s="47" t="s">
        <v>16</v>
      </c>
      <c r="F24" s="47" t="s">
        <v>843</v>
      </c>
      <c r="G24" s="47"/>
      <c r="H24" s="47" t="s">
        <v>10132</v>
      </c>
      <c r="I24" s="47" t="s">
        <v>49</v>
      </c>
      <c r="J24" s="47">
        <v>25636.1</v>
      </c>
      <c r="K24" s="47">
        <v>25636.1</v>
      </c>
      <c r="L24" s="47"/>
      <c r="M24" s="47">
        <v>25636.1</v>
      </c>
      <c r="N24" s="47" t="s">
        <v>10133</v>
      </c>
      <c r="O24" s="47" t="s">
        <v>75</v>
      </c>
    </row>
    <row r="25" spans="1:15" ht="36" x14ac:dyDescent="0.2">
      <c r="A25" s="47" t="s">
        <v>10134</v>
      </c>
      <c r="B25" s="47" t="s">
        <v>10135</v>
      </c>
      <c r="C25" s="48">
        <v>46108</v>
      </c>
      <c r="D25" s="48">
        <v>46150</v>
      </c>
      <c r="E25" s="47" t="s">
        <v>16</v>
      </c>
      <c r="F25" s="47" t="s">
        <v>843</v>
      </c>
      <c r="G25" s="47"/>
      <c r="H25" s="47" t="s">
        <v>10136</v>
      </c>
      <c r="I25" s="47" t="s">
        <v>49</v>
      </c>
      <c r="J25" s="47">
        <v>25636.1</v>
      </c>
      <c r="K25" s="47">
        <v>25636.1</v>
      </c>
      <c r="L25" s="47"/>
      <c r="M25" s="47">
        <v>25636.1</v>
      </c>
      <c r="N25" s="47" t="s">
        <v>10137</v>
      </c>
      <c r="O25" s="47" t="s">
        <v>75</v>
      </c>
    </row>
    <row r="26" spans="1:15" ht="36" x14ac:dyDescent="0.2">
      <c r="A26" s="47" t="s">
        <v>10138</v>
      </c>
      <c r="B26" s="47" t="s">
        <v>10139</v>
      </c>
      <c r="C26" s="48">
        <v>46108</v>
      </c>
      <c r="D26" s="48">
        <v>46195</v>
      </c>
      <c r="E26" s="47" t="s">
        <v>16</v>
      </c>
      <c r="F26" s="47" t="s">
        <v>843</v>
      </c>
      <c r="G26" s="47"/>
      <c r="H26" s="47" t="s">
        <v>10140</v>
      </c>
      <c r="I26" s="47" t="s">
        <v>49</v>
      </c>
      <c r="J26" s="47">
        <v>10372.31</v>
      </c>
      <c r="K26" s="47">
        <v>10372.31</v>
      </c>
      <c r="L26" s="47"/>
      <c r="M26" s="47">
        <v>10372.31</v>
      </c>
      <c r="N26" s="47" t="s">
        <v>10141</v>
      </c>
      <c r="O26" s="47" t="s">
        <v>75</v>
      </c>
    </row>
    <row r="27" spans="1:15" ht="36" x14ac:dyDescent="0.2">
      <c r="A27" s="47" t="s">
        <v>10142</v>
      </c>
      <c r="B27" s="47" t="s">
        <v>10143</v>
      </c>
      <c r="C27" s="48">
        <v>46108</v>
      </c>
      <c r="D27" s="48">
        <v>46188</v>
      </c>
      <c r="E27" s="47" t="s">
        <v>16</v>
      </c>
      <c r="F27" s="47" t="s">
        <v>843</v>
      </c>
      <c r="G27" s="47"/>
      <c r="H27" s="47" t="s">
        <v>10144</v>
      </c>
      <c r="I27" s="47" t="s">
        <v>49</v>
      </c>
      <c r="J27" s="47">
        <v>10372.299999999999</v>
      </c>
      <c r="K27" s="47">
        <v>10372.299999999999</v>
      </c>
      <c r="L27" s="47"/>
      <c r="M27" s="47">
        <v>10372.299999999999</v>
      </c>
      <c r="N27" s="47" t="s">
        <v>10145</v>
      </c>
      <c r="O27" s="47" t="s">
        <v>75</v>
      </c>
    </row>
    <row r="28" spans="1:15" ht="36" x14ac:dyDescent="0.2">
      <c r="A28" s="47" t="s">
        <v>10146</v>
      </c>
      <c r="B28" s="47" t="s">
        <v>10147</v>
      </c>
      <c r="C28" s="48">
        <v>46108</v>
      </c>
      <c r="D28" s="48">
        <v>46177</v>
      </c>
      <c r="E28" s="47" t="s">
        <v>16</v>
      </c>
      <c r="F28" s="47" t="s">
        <v>843</v>
      </c>
      <c r="G28" s="47"/>
      <c r="H28" s="47" t="s">
        <v>10148</v>
      </c>
      <c r="I28" s="47" t="s">
        <v>49</v>
      </c>
      <c r="J28" s="47">
        <v>10372.299999999999</v>
      </c>
      <c r="K28" s="47">
        <v>10372.299999999999</v>
      </c>
      <c r="L28" s="47"/>
      <c r="M28" s="47">
        <v>10372.299999999999</v>
      </c>
      <c r="N28" s="47" t="s">
        <v>10149</v>
      </c>
      <c r="O28" s="47" t="s">
        <v>75</v>
      </c>
    </row>
    <row r="29" spans="1:15" ht="36" x14ac:dyDescent="0.2">
      <c r="A29" s="47" t="s">
        <v>10150</v>
      </c>
      <c r="B29" s="47" t="s">
        <v>10151</v>
      </c>
      <c r="C29" s="48">
        <v>46108</v>
      </c>
      <c r="D29" s="48">
        <v>46168</v>
      </c>
      <c r="E29" s="47" t="s">
        <v>16</v>
      </c>
      <c r="F29" s="47" t="s">
        <v>843</v>
      </c>
      <c r="G29" s="47"/>
      <c r="H29" s="47" t="s">
        <v>10152</v>
      </c>
      <c r="I29" s="47" t="s">
        <v>49</v>
      </c>
      <c r="J29" s="47">
        <v>10372.299999999999</v>
      </c>
      <c r="K29" s="47">
        <v>10372.299999999999</v>
      </c>
      <c r="L29" s="47"/>
      <c r="M29" s="47">
        <v>10372.299999999999</v>
      </c>
      <c r="N29" s="47" t="s">
        <v>10153</v>
      </c>
      <c r="O29" s="47" t="s">
        <v>75</v>
      </c>
    </row>
    <row r="30" spans="1:15" ht="36" x14ac:dyDescent="0.2">
      <c r="A30" s="47" t="s">
        <v>10154</v>
      </c>
      <c r="B30" s="47" t="s">
        <v>10155</v>
      </c>
      <c r="C30" s="48">
        <v>46108</v>
      </c>
      <c r="D30" s="48">
        <v>46160</v>
      </c>
      <c r="E30" s="47" t="s">
        <v>16</v>
      </c>
      <c r="F30" s="47" t="s">
        <v>843</v>
      </c>
      <c r="G30" s="47"/>
      <c r="H30" s="47" t="s">
        <v>10156</v>
      </c>
      <c r="I30" s="47" t="s">
        <v>49</v>
      </c>
      <c r="J30" s="47">
        <v>10372.299999999999</v>
      </c>
      <c r="K30" s="47">
        <v>10372.299999999999</v>
      </c>
      <c r="L30" s="47"/>
      <c r="M30" s="47">
        <v>10372.299999999999</v>
      </c>
      <c r="N30" s="47" t="s">
        <v>10157</v>
      </c>
      <c r="O30" s="47" t="s">
        <v>75</v>
      </c>
    </row>
    <row r="31" spans="1:15" ht="36" x14ac:dyDescent="0.2">
      <c r="A31" s="47" t="s">
        <v>10158</v>
      </c>
      <c r="B31" s="47" t="s">
        <v>10159</v>
      </c>
      <c r="C31" s="48">
        <v>46108</v>
      </c>
      <c r="D31" s="48">
        <v>46150</v>
      </c>
      <c r="E31" s="47" t="s">
        <v>16</v>
      </c>
      <c r="F31" s="47" t="s">
        <v>843</v>
      </c>
      <c r="G31" s="47"/>
      <c r="H31" s="47" t="s">
        <v>10160</v>
      </c>
      <c r="I31" s="47" t="s">
        <v>49</v>
      </c>
      <c r="J31" s="47">
        <v>10372.299999999999</v>
      </c>
      <c r="K31" s="47">
        <v>10372.299999999999</v>
      </c>
      <c r="L31" s="47"/>
      <c r="M31" s="47">
        <v>10372.299999999999</v>
      </c>
      <c r="N31" s="47" t="s">
        <v>10161</v>
      </c>
      <c r="O31" s="47" t="s">
        <v>75</v>
      </c>
    </row>
    <row r="32" spans="1:15" ht="24" x14ac:dyDescent="0.2">
      <c r="A32" s="47" t="s">
        <v>10162</v>
      </c>
      <c r="B32" s="47" t="s">
        <v>10163</v>
      </c>
      <c r="C32" s="48">
        <v>46108</v>
      </c>
      <c r="D32" s="48">
        <v>46146</v>
      </c>
      <c r="E32" s="47" t="s">
        <v>16</v>
      </c>
      <c r="F32" s="47" t="s">
        <v>863</v>
      </c>
      <c r="G32" s="47"/>
      <c r="H32" s="47" t="s">
        <v>10164</v>
      </c>
      <c r="I32" s="47" t="s">
        <v>49</v>
      </c>
      <c r="J32" s="47">
        <v>3947.09</v>
      </c>
      <c r="K32" s="47">
        <v>3947.09</v>
      </c>
      <c r="L32" s="47"/>
      <c r="M32" s="47">
        <v>3947.09</v>
      </c>
      <c r="N32" s="47" t="s">
        <v>10165</v>
      </c>
      <c r="O32" s="47" t="s">
        <v>75</v>
      </c>
    </row>
    <row r="33" spans="1:15" ht="24" x14ac:dyDescent="0.2">
      <c r="A33" s="47" t="s">
        <v>10166</v>
      </c>
      <c r="B33" s="47" t="s">
        <v>10167</v>
      </c>
      <c r="C33" s="48">
        <v>46108</v>
      </c>
      <c r="D33" s="48">
        <v>46136</v>
      </c>
      <c r="E33" s="47" t="s">
        <v>16</v>
      </c>
      <c r="F33" s="47" t="s">
        <v>863</v>
      </c>
      <c r="G33" s="47"/>
      <c r="H33" s="47" t="s">
        <v>10168</v>
      </c>
      <c r="I33" s="47" t="s">
        <v>49</v>
      </c>
      <c r="J33" s="47">
        <v>3947.09</v>
      </c>
      <c r="K33" s="47">
        <v>3947.09</v>
      </c>
      <c r="L33" s="47"/>
      <c r="M33" s="47">
        <v>3947.09</v>
      </c>
      <c r="N33" s="47" t="s">
        <v>10169</v>
      </c>
      <c r="O33" s="47" t="s">
        <v>75</v>
      </c>
    </row>
    <row r="34" spans="1:15" ht="24" x14ac:dyDescent="0.2">
      <c r="A34" s="47" t="s">
        <v>10170</v>
      </c>
      <c r="B34" s="47" t="s">
        <v>10171</v>
      </c>
      <c r="C34" s="48">
        <v>46108</v>
      </c>
      <c r="D34" s="48">
        <v>46126</v>
      </c>
      <c r="E34" s="47" t="s">
        <v>16</v>
      </c>
      <c r="F34" s="47" t="s">
        <v>863</v>
      </c>
      <c r="G34" s="47"/>
      <c r="H34" s="47" t="s">
        <v>10172</v>
      </c>
      <c r="I34" s="47" t="s">
        <v>49</v>
      </c>
      <c r="J34" s="47">
        <v>3947.09</v>
      </c>
      <c r="K34" s="47">
        <v>3947.09</v>
      </c>
      <c r="L34" s="47"/>
      <c r="M34" s="47">
        <v>3947.09</v>
      </c>
      <c r="N34" s="47" t="s">
        <v>10173</v>
      </c>
      <c r="O34" s="47" t="s">
        <v>75</v>
      </c>
    </row>
    <row r="35" spans="1:15" ht="24" x14ac:dyDescent="0.2">
      <c r="A35" s="47" t="s">
        <v>10174</v>
      </c>
      <c r="B35" s="47" t="s">
        <v>10175</v>
      </c>
      <c r="C35" s="48">
        <v>46108</v>
      </c>
      <c r="D35" s="48">
        <v>46118</v>
      </c>
      <c r="E35" s="47" t="s">
        <v>16</v>
      </c>
      <c r="F35" s="47" t="s">
        <v>863</v>
      </c>
      <c r="G35" s="47"/>
      <c r="H35" s="47" t="s">
        <v>10176</v>
      </c>
      <c r="I35" s="47" t="s">
        <v>49</v>
      </c>
      <c r="J35" s="47">
        <v>3947.09</v>
      </c>
      <c r="K35" s="47">
        <v>3947.09</v>
      </c>
      <c r="L35" s="47"/>
      <c r="M35" s="47">
        <v>3947.09</v>
      </c>
      <c r="N35" s="47" t="s">
        <v>10177</v>
      </c>
      <c r="O35" s="47" t="s">
        <v>75</v>
      </c>
    </row>
    <row r="36" spans="1:15" ht="24" x14ac:dyDescent="0.2">
      <c r="A36" s="47" t="s">
        <v>10178</v>
      </c>
      <c r="B36" s="47" t="s">
        <v>10179</v>
      </c>
      <c r="C36" s="48">
        <v>46108</v>
      </c>
      <c r="D36" s="48">
        <v>46170</v>
      </c>
      <c r="E36" s="47" t="s">
        <v>16</v>
      </c>
      <c r="F36" s="47" t="s">
        <v>863</v>
      </c>
      <c r="G36" s="47"/>
      <c r="H36" s="47" t="s">
        <v>10180</v>
      </c>
      <c r="I36" s="47" t="s">
        <v>49</v>
      </c>
      <c r="J36" s="47">
        <v>5084.83</v>
      </c>
      <c r="K36" s="47">
        <v>5084.83</v>
      </c>
      <c r="L36" s="47"/>
      <c r="M36" s="47">
        <v>5084.83</v>
      </c>
      <c r="N36" s="47" t="s">
        <v>10181</v>
      </c>
      <c r="O36" s="47" t="s">
        <v>75</v>
      </c>
    </row>
    <row r="37" spans="1:15" ht="24" x14ac:dyDescent="0.2">
      <c r="A37" s="47" t="s">
        <v>10182</v>
      </c>
      <c r="B37" s="47" t="s">
        <v>10183</v>
      </c>
      <c r="C37" s="48">
        <v>46108</v>
      </c>
      <c r="D37" s="48">
        <v>46150</v>
      </c>
      <c r="E37" s="47" t="s">
        <v>16</v>
      </c>
      <c r="F37" s="47" t="s">
        <v>863</v>
      </c>
      <c r="G37" s="47"/>
      <c r="H37" s="47" t="s">
        <v>10184</v>
      </c>
      <c r="I37" s="47" t="s">
        <v>49</v>
      </c>
      <c r="J37" s="47">
        <v>5084.8599999999997</v>
      </c>
      <c r="K37" s="47">
        <v>5084.8599999999997</v>
      </c>
      <c r="L37" s="47"/>
      <c r="M37" s="47">
        <v>5084.8599999999997</v>
      </c>
      <c r="N37" s="47" t="s">
        <v>10185</v>
      </c>
      <c r="O37" s="47" t="s">
        <v>75</v>
      </c>
    </row>
    <row r="38" spans="1:15" ht="24" x14ac:dyDescent="0.2">
      <c r="A38" s="47" t="s">
        <v>10186</v>
      </c>
      <c r="B38" s="47" t="s">
        <v>10187</v>
      </c>
      <c r="C38" s="48">
        <v>46108</v>
      </c>
      <c r="D38" s="48">
        <v>46146</v>
      </c>
      <c r="E38" s="47" t="s">
        <v>16</v>
      </c>
      <c r="F38" s="47" t="s">
        <v>863</v>
      </c>
      <c r="G38" s="47"/>
      <c r="H38" s="47" t="s">
        <v>10188</v>
      </c>
      <c r="I38" s="47" t="s">
        <v>49</v>
      </c>
      <c r="J38" s="47">
        <v>5084.8599999999997</v>
      </c>
      <c r="K38" s="47">
        <v>5084.8599999999997</v>
      </c>
      <c r="L38" s="47"/>
      <c r="M38" s="47">
        <v>5084.8599999999997</v>
      </c>
      <c r="N38" s="47" t="s">
        <v>10189</v>
      </c>
      <c r="O38" s="47" t="s">
        <v>75</v>
      </c>
    </row>
    <row r="39" spans="1:15" ht="24" x14ac:dyDescent="0.2">
      <c r="A39" s="47" t="s">
        <v>10190</v>
      </c>
      <c r="B39" s="47" t="s">
        <v>10191</v>
      </c>
      <c r="C39" s="48">
        <v>46108</v>
      </c>
      <c r="D39" s="48">
        <v>46140</v>
      </c>
      <c r="E39" s="47" t="s">
        <v>16</v>
      </c>
      <c r="F39" s="47" t="s">
        <v>863</v>
      </c>
      <c r="G39" s="47"/>
      <c r="H39" s="47" t="s">
        <v>10192</v>
      </c>
      <c r="I39" s="47" t="s">
        <v>49</v>
      </c>
      <c r="J39" s="47">
        <v>5084.8599999999997</v>
      </c>
      <c r="K39" s="47">
        <v>5084.8599999999997</v>
      </c>
      <c r="L39" s="47"/>
      <c r="M39" s="47">
        <v>5084.8599999999997</v>
      </c>
      <c r="N39" s="47" t="s">
        <v>10193</v>
      </c>
      <c r="O39" s="47" t="s">
        <v>75</v>
      </c>
    </row>
    <row r="40" spans="1:15" ht="24" x14ac:dyDescent="0.2">
      <c r="A40" s="47" t="s">
        <v>10194</v>
      </c>
      <c r="B40" s="47" t="s">
        <v>10195</v>
      </c>
      <c r="C40" s="48">
        <v>46108</v>
      </c>
      <c r="D40" s="48">
        <v>46135</v>
      </c>
      <c r="E40" s="47" t="s">
        <v>16</v>
      </c>
      <c r="F40" s="47" t="s">
        <v>863</v>
      </c>
      <c r="G40" s="47"/>
      <c r="H40" s="47" t="s">
        <v>10196</v>
      </c>
      <c r="I40" s="47" t="s">
        <v>49</v>
      </c>
      <c r="J40" s="47">
        <v>5084.8599999999997</v>
      </c>
      <c r="K40" s="47">
        <v>5084.8599999999997</v>
      </c>
      <c r="L40" s="47"/>
      <c r="M40" s="47">
        <v>5084.8599999999997</v>
      </c>
      <c r="N40" s="47" t="s">
        <v>10197</v>
      </c>
      <c r="O40" s="47" t="s">
        <v>75</v>
      </c>
    </row>
    <row r="41" spans="1:15" ht="24" x14ac:dyDescent="0.2">
      <c r="A41" s="47" t="s">
        <v>10198</v>
      </c>
      <c r="B41" s="47" t="s">
        <v>10199</v>
      </c>
      <c r="C41" s="48">
        <v>46108</v>
      </c>
      <c r="D41" s="48">
        <v>46132</v>
      </c>
      <c r="E41" s="47" t="s">
        <v>16</v>
      </c>
      <c r="F41" s="47" t="s">
        <v>863</v>
      </c>
      <c r="G41" s="47"/>
      <c r="H41" s="47" t="s">
        <v>10200</v>
      </c>
      <c r="I41" s="47" t="s">
        <v>49</v>
      </c>
      <c r="J41" s="47">
        <v>5084.8599999999997</v>
      </c>
      <c r="K41" s="47">
        <v>5084.8599999999997</v>
      </c>
      <c r="L41" s="47"/>
      <c r="M41" s="47">
        <v>5084.8599999999997</v>
      </c>
      <c r="N41" s="47" t="s">
        <v>10201</v>
      </c>
      <c r="O41" s="47" t="s">
        <v>75</v>
      </c>
    </row>
    <row r="42" spans="1:15" ht="24" x14ac:dyDescent="0.2">
      <c r="A42" s="47" t="s">
        <v>10202</v>
      </c>
      <c r="B42" s="47" t="s">
        <v>10203</v>
      </c>
      <c r="C42" s="48">
        <v>46108</v>
      </c>
      <c r="D42" s="48">
        <v>46125</v>
      </c>
      <c r="E42" s="47" t="s">
        <v>16</v>
      </c>
      <c r="F42" s="47" t="s">
        <v>863</v>
      </c>
      <c r="G42" s="47"/>
      <c r="H42" s="47" t="s">
        <v>10204</v>
      </c>
      <c r="I42" s="47" t="s">
        <v>49</v>
      </c>
      <c r="J42" s="47">
        <v>5084.8599999999997</v>
      </c>
      <c r="K42" s="47">
        <v>5084.8599999999997</v>
      </c>
      <c r="L42" s="47"/>
      <c r="M42" s="47">
        <v>5084.8599999999997</v>
      </c>
      <c r="N42" s="47" t="s">
        <v>10205</v>
      </c>
      <c r="O42" s="47" t="s">
        <v>75</v>
      </c>
    </row>
    <row r="43" spans="1:15" ht="24" x14ac:dyDescent="0.2">
      <c r="A43" s="47" t="s">
        <v>10206</v>
      </c>
      <c r="B43" s="47" t="s">
        <v>10207</v>
      </c>
      <c r="C43" s="48">
        <v>46108</v>
      </c>
      <c r="D43" s="48">
        <v>46184</v>
      </c>
      <c r="E43" s="47" t="s">
        <v>16</v>
      </c>
      <c r="F43" s="47" t="s">
        <v>64</v>
      </c>
      <c r="G43" s="47"/>
      <c r="H43" s="47" t="s">
        <v>10208</v>
      </c>
      <c r="I43" s="47" t="s">
        <v>49</v>
      </c>
      <c r="J43" s="47">
        <v>5037.2</v>
      </c>
      <c r="K43" s="47">
        <v>5037.2</v>
      </c>
      <c r="L43" s="47"/>
      <c r="M43" s="47">
        <v>5037.2</v>
      </c>
      <c r="N43" s="47" t="s">
        <v>10209</v>
      </c>
      <c r="O43" s="47" t="s">
        <v>75</v>
      </c>
    </row>
    <row r="44" spans="1:15" ht="24" x14ac:dyDescent="0.2">
      <c r="A44" s="47" t="s">
        <v>10210</v>
      </c>
      <c r="B44" s="47" t="s">
        <v>10211</v>
      </c>
      <c r="C44" s="48">
        <v>46108</v>
      </c>
      <c r="D44" s="48">
        <v>46175</v>
      </c>
      <c r="E44" s="47" t="s">
        <v>16</v>
      </c>
      <c r="F44" s="47" t="s">
        <v>64</v>
      </c>
      <c r="G44" s="47"/>
      <c r="H44" s="47" t="s">
        <v>10212</v>
      </c>
      <c r="I44" s="47" t="s">
        <v>49</v>
      </c>
      <c r="J44" s="47">
        <v>5037.18</v>
      </c>
      <c r="K44" s="47">
        <v>5037.18</v>
      </c>
      <c r="L44" s="47"/>
      <c r="M44" s="47">
        <v>5037.18</v>
      </c>
      <c r="N44" s="47" t="s">
        <v>10213</v>
      </c>
      <c r="O44" s="47" t="s">
        <v>75</v>
      </c>
    </row>
    <row r="45" spans="1:15" ht="24" x14ac:dyDescent="0.2">
      <c r="A45" s="47" t="s">
        <v>10214</v>
      </c>
      <c r="B45" s="47" t="s">
        <v>10215</v>
      </c>
      <c r="C45" s="48">
        <v>46108</v>
      </c>
      <c r="D45" s="48">
        <v>46167</v>
      </c>
      <c r="E45" s="47" t="s">
        <v>16</v>
      </c>
      <c r="F45" s="47" t="s">
        <v>64</v>
      </c>
      <c r="G45" s="47"/>
      <c r="H45" s="47" t="s">
        <v>10216</v>
      </c>
      <c r="I45" s="47" t="s">
        <v>49</v>
      </c>
      <c r="J45" s="47">
        <v>5037.18</v>
      </c>
      <c r="K45" s="47">
        <v>5037.18</v>
      </c>
      <c r="L45" s="47"/>
      <c r="M45" s="47">
        <v>5037.18</v>
      </c>
      <c r="N45" s="47" t="s">
        <v>10217</v>
      </c>
      <c r="O45" s="47" t="s">
        <v>75</v>
      </c>
    </row>
    <row r="46" spans="1:15" ht="24" x14ac:dyDescent="0.2">
      <c r="A46" s="47" t="s">
        <v>10218</v>
      </c>
      <c r="B46" s="47" t="s">
        <v>10219</v>
      </c>
      <c r="C46" s="48">
        <v>46108</v>
      </c>
      <c r="D46" s="48">
        <v>46157</v>
      </c>
      <c r="E46" s="47" t="s">
        <v>16</v>
      </c>
      <c r="F46" s="47" t="s">
        <v>64</v>
      </c>
      <c r="G46" s="47"/>
      <c r="H46" s="47" t="s">
        <v>10220</v>
      </c>
      <c r="I46" s="47" t="s">
        <v>49</v>
      </c>
      <c r="J46" s="47">
        <v>5037.18</v>
      </c>
      <c r="K46" s="47">
        <v>5037.18</v>
      </c>
      <c r="L46" s="47"/>
      <c r="M46" s="47">
        <v>5037.18</v>
      </c>
      <c r="N46" s="47" t="s">
        <v>10221</v>
      </c>
      <c r="O46" s="47" t="s">
        <v>75</v>
      </c>
    </row>
    <row r="47" spans="1:15" ht="24" x14ac:dyDescent="0.2">
      <c r="A47" s="47" t="s">
        <v>10222</v>
      </c>
      <c r="B47" s="47" t="s">
        <v>10223</v>
      </c>
      <c r="C47" s="48">
        <v>46108</v>
      </c>
      <c r="D47" s="48">
        <v>46148</v>
      </c>
      <c r="E47" s="47" t="s">
        <v>16</v>
      </c>
      <c r="F47" s="47" t="s">
        <v>64</v>
      </c>
      <c r="G47" s="47"/>
      <c r="H47" s="47" t="s">
        <v>10224</v>
      </c>
      <c r="I47" s="47" t="s">
        <v>49</v>
      </c>
      <c r="J47" s="47">
        <v>5037.18</v>
      </c>
      <c r="K47" s="47">
        <v>5037.18</v>
      </c>
      <c r="L47" s="47"/>
      <c r="M47" s="47">
        <v>5037.18</v>
      </c>
      <c r="N47" s="47" t="s">
        <v>10225</v>
      </c>
      <c r="O47" s="47" t="s">
        <v>75</v>
      </c>
    </row>
    <row r="48" spans="1:15" ht="24" x14ac:dyDescent="0.2">
      <c r="A48" s="47" t="s">
        <v>10226</v>
      </c>
      <c r="B48" s="47" t="s">
        <v>10227</v>
      </c>
      <c r="C48" s="48">
        <v>46108</v>
      </c>
      <c r="D48" s="48">
        <v>46139</v>
      </c>
      <c r="E48" s="47" t="s">
        <v>16</v>
      </c>
      <c r="F48" s="47" t="s">
        <v>64</v>
      </c>
      <c r="G48" s="47"/>
      <c r="H48" s="47" t="s">
        <v>10228</v>
      </c>
      <c r="I48" s="47" t="s">
        <v>49</v>
      </c>
      <c r="J48" s="47">
        <v>5037.18</v>
      </c>
      <c r="K48" s="47">
        <v>5037.18</v>
      </c>
      <c r="L48" s="47"/>
      <c r="M48" s="47">
        <v>5037.18</v>
      </c>
      <c r="N48" s="47" t="s">
        <v>10229</v>
      </c>
      <c r="O48" s="47" t="s">
        <v>75</v>
      </c>
    </row>
    <row r="49" spans="1:15" ht="24" x14ac:dyDescent="0.2">
      <c r="A49" s="47" t="s">
        <v>10230</v>
      </c>
      <c r="B49" s="47" t="s">
        <v>10231</v>
      </c>
      <c r="C49" s="48">
        <v>46108</v>
      </c>
      <c r="D49" s="48">
        <v>46167</v>
      </c>
      <c r="E49" s="47" t="s">
        <v>16</v>
      </c>
      <c r="F49" s="47" t="s">
        <v>64</v>
      </c>
      <c r="G49" s="47"/>
      <c r="H49" s="47" t="s">
        <v>10232</v>
      </c>
      <c r="I49" s="47" t="s">
        <v>49</v>
      </c>
      <c r="J49" s="47">
        <v>2848.74</v>
      </c>
      <c r="K49" s="47">
        <v>2848.74</v>
      </c>
      <c r="L49" s="47"/>
      <c r="M49" s="47">
        <v>2848.74</v>
      </c>
      <c r="N49" s="47" t="s">
        <v>10233</v>
      </c>
      <c r="O49" s="47" t="s">
        <v>75</v>
      </c>
    </row>
    <row r="50" spans="1:15" ht="24" x14ac:dyDescent="0.2">
      <c r="A50" s="47" t="s">
        <v>10234</v>
      </c>
      <c r="B50" s="47" t="s">
        <v>10235</v>
      </c>
      <c r="C50" s="48">
        <v>46108</v>
      </c>
      <c r="D50" s="48">
        <v>46157</v>
      </c>
      <c r="E50" s="47" t="s">
        <v>16</v>
      </c>
      <c r="F50" s="47" t="s">
        <v>64</v>
      </c>
      <c r="G50" s="47"/>
      <c r="H50" s="47" t="s">
        <v>10236</v>
      </c>
      <c r="I50" s="47" t="s">
        <v>49</v>
      </c>
      <c r="J50" s="47">
        <v>2848.76</v>
      </c>
      <c r="K50" s="47">
        <v>2848.76</v>
      </c>
      <c r="L50" s="47"/>
      <c r="M50" s="47">
        <v>2848.76</v>
      </c>
      <c r="N50" s="47" t="s">
        <v>10237</v>
      </c>
      <c r="O50" s="47" t="s">
        <v>75</v>
      </c>
    </row>
    <row r="51" spans="1:15" ht="24" x14ac:dyDescent="0.2">
      <c r="A51" s="47" t="s">
        <v>10238</v>
      </c>
      <c r="B51" s="47" t="s">
        <v>10239</v>
      </c>
      <c r="C51" s="48">
        <v>46108</v>
      </c>
      <c r="D51" s="48">
        <v>46147</v>
      </c>
      <c r="E51" s="47" t="s">
        <v>16</v>
      </c>
      <c r="F51" s="47" t="s">
        <v>64</v>
      </c>
      <c r="G51" s="47"/>
      <c r="H51" s="47" t="s">
        <v>10240</v>
      </c>
      <c r="I51" s="47" t="s">
        <v>49</v>
      </c>
      <c r="J51" s="47">
        <v>2848.76</v>
      </c>
      <c r="K51" s="47">
        <v>2848.76</v>
      </c>
      <c r="L51" s="47"/>
      <c r="M51" s="47">
        <v>2848.76</v>
      </c>
      <c r="N51" s="47" t="s">
        <v>10241</v>
      </c>
      <c r="O51" s="47" t="s">
        <v>75</v>
      </c>
    </row>
    <row r="52" spans="1:15" ht="24" x14ac:dyDescent="0.2">
      <c r="A52" s="47" t="s">
        <v>10242</v>
      </c>
      <c r="B52" s="47" t="s">
        <v>10243</v>
      </c>
      <c r="C52" s="48">
        <v>46108</v>
      </c>
      <c r="D52" s="48">
        <v>46139</v>
      </c>
      <c r="E52" s="47" t="s">
        <v>16</v>
      </c>
      <c r="F52" s="47" t="s">
        <v>64</v>
      </c>
      <c r="G52" s="47"/>
      <c r="H52" s="47" t="s">
        <v>10244</v>
      </c>
      <c r="I52" s="47" t="s">
        <v>49</v>
      </c>
      <c r="J52" s="47">
        <v>2848.76</v>
      </c>
      <c r="K52" s="47">
        <v>2848.76</v>
      </c>
      <c r="L52" s="47"/>
      <c r="M52" s="47">
        <v>2848.76</v>
      </c>
      <c r="N52" s="47" t="s">
        <v>10245</v>
      </c>
      <c r="O52" s="47" t="s">
        <v>75</v>
      </c>
    </row>
    <row r="53" spans="1:15" ht="24" x14ac:dyDescent="0.2">
      <c r="A53" s="47" t="s">
        <v>10246</v>
      </c>
      <c r="B53" s="47" t="s">
        <v>10247</v>
      </c>
      <c r="C53" s="48">
        <v>46108</v>
      </c>
      <c r="D53" s="48">
        <v>46188</v>
      </c>
      <c r="E53" s="47" t="s">
        <v>16</v>
      </c>
      <c r="F53" s="47" t="s">
        <v>64</v>
      </c>
      <c r="G53" s="47"/>
      <c r="H53" s="47" t="s">
        <v>10248</v>
      </c>
      <c r="I53" s="47" t="s">
        <v>49</v>
      </c>
      <c r="J53" s="47">
        <v>4122.1499999999996</v>
      </c>
      <c r="K53" s="47">
        <v>4122.1499999999996</v>
      </c>
      <c r="L53" s="47"/>
      <c r="M53" s="47">
        <v>4122.1499999999996</v>
      </c>
      <c r="N53" s="47" t="s">
        <v>10249</v>
      </c>
      <c r="O53" s="47" t="s">
        <v>75</v>
      </c>
    </row>
    <row r="54" spans="1:15" ht="24" x14ac:dyDescent="0.2">
      <c r="A54" s="47" t="s">
        <v>10250</v>
      </c>
      <c r="B54" s="47" t="s">
        <v>10251</v>
      </c>
      <c r="C54" s="48">
        <v>46108</v>
      </c>
      <c r="D54" s="48">
        <v>46181</v>
      </c>
      <c r="E54" s="47" t="s">
        <v>16</v>
      </c>
      <c r="F54" s="47" t="s">
        <v>64</v>
      </c>
      <c r="G54" s="47"/>
      <c r="H54" s="47" t="s">
        <v>10252</v>
      </c>
      <c r="I54" s="47" t="s">
        <v>49</v>
      </c>
      <c r="J54" s="47">
        <v>4122.13</v>
      </c>
      <c r="K54" s="47">
        <v>4122.13</v>
      </c>
      <c r="L54" s="47"/>
      <c r="M54" s="47">
        <v>4122.13</v>
      </c>
      <c r="N54" s="47" t="s">
        <v>10253</v>
      </c>
      <c r="O54" s="47" t="s">
        <v>75</v>
      </c>
    </row>
    <row r="55" spans="1:15" ht="24" x14ac:dyDescent="0.2">
      <c r="A55" s="47" t="s">
        <v>10254</v>
      </c>
      <c r="B55" s="47" t="s">
        <v>10255</v>
      </c>
      <c r="C55" s="48">
        <v>46108</v>
      </c>
      <c r="D55" s="48">
        <v>46170</v>
      </c>
      <c r="E55" s="47" t="s">
        <v>16</v>
      </c>
      <c r="F55" s="47" t="s">
        <v>64</v>
      </c>
      <c r="G55" s="47"/>
      <c r="H55" s="47" t="s">
        <v>10256</v>
      </c>
      <c r="I55" s="47" t="s">
        <v>49</v>
      </c>
      <c r="J55" s="47">
        <v>4122.13</v>
      </c>
      <c r="K55" s="47">
        <v>4122.13</v>
      </c>
      <c r="L55" s="47"/>
      <c r="M55" s="47">
        <v>4122.13</v>
      </c>
      <c r="N55" s="47" t="s">
        <v>10257</v>
      </c>
      <c r="O55" s="47" t="s">
        <v>75</v>
      </c>
    </row>
    <row r="56" spans="1:15" ht="24" x14ac:dyDescent="0.2">
      <c r="A56" s="47" t="s">
        <v>10258</v>
      </c>
      <c r="B56" s="47" t="s">
        <v>10259</v>
      </c>
      <c r="C56" s="48">
        <v>46108</v>
      </c>
      <c r="D56" s="48">
        <v>46161</v>
      </c>
      <c r="E56" s="47" t="s">
        <v>16</v>
      </c>
      <c r="F56" s="47" t="s">
        <v>64</v>
      </c>
      <c r="G56" s="47"/>
      <c r="H56" s="47" t="s">
        <v>10260</v>
      </c>
      <c r="I56" s="47" t="s">
        <v>49</v>
      </c>
      <c r="J56" s="47">
        <v>4122.13</v>
      </c>
      <c r="K56" s="47">
        <v>4122.13</v>
      </c>
      <c r="L56" s="47"/>
      <c r="M56" s="47">
        <v>4122.13</v>
      </c>
      <c r="N56" s="47" t="s">
        <v>10261</v>
      </c>
      <c r="O56" s="47" t="s">
        <v>75</v>
      </c>
    </row>
    <row r="57" spans="1:15" ht="24" x14ac:dyDescent="0.2">
      <c r="A57" s="47" t="s">
        <v>10262</v>
      </c>
      <c r="B57" s="47" t="s">
        <v>10263</v>
      </c>
      <c r="C57" s="48">
        <v>46108</v>
      </c>
      <c r="D57" s="48">
        <v>46153</v>
      </c>
      <c r="E57" s="47" t="s">
        <v>16</v>
      </c>
      <c r="F57" s="47" t="s">
        <v>64</v>
      </c>
      <c r="G57" s="47"/>
      <c r="H57" s="47" t="s">
        <v>10264</v>
      </c>
      <c r="I57" s="47" t="s">
        <v>49</v>
      </c>
      <c r="J57" s="47">
        <v>4122.13</v>
      </c>
      <c r="K57" s="47">
        <v>4122.13</v>
      </c>
      <c r="L57" s="47"/>
      <c r="M57" s="47">
        <v>4122.13</v>
      </c>
      <c r="N57" s="47" t="s">
        <v>10265</v>
      </c>
      <c r="O57" s="47" t="s">
        <v>75</v>
      </c>
    </row>
    <row r="58" spans="1:15" ht="24" x14ac:dyDescent="0.2">
      <c r="A58" s="47" t="s">
        <v>10266</v>
      </c>
      <c r="B58" s="47" t="s">
        <v>10267</v>
      </c>
      <c r="C58" s="48">
        <v>46108</v>
      </c>
      <c r="D58" s="48">
        <v>46143</v>
      </c>
      <c r="E58" s="47" t="s">
        <v>16</v>
      </c>
      <c r="F58" s="47" t="s">
        <v>64</v>
      </c>
      <c r="G58" s="47"/>
      <c r="H58" s="47" t="s">
        <v>10268</v>
      </c>
      <c r="I58" s="47" t="s">
        <v>49</v>
      </c>
      <c r="J58" s="47">
        <v>4122.13</v>
      </c>
      <c r="K58" s="47">
        <v>4122.13</v>
      </c>
      <c r="L58" s="47"/>
      <c r="M58" s="47">
        <v>4122.13</v>
      </c>
      <c r="N58" s="47" t="s">
        <v>10269</v>
      </c>
      <c r="O58" s="47" t="s">
        <v>75</v>
      </c>
    </row>
    <row r="59" spans="1:15" ht="24" x14ac:dyDescent="0.2">
      <c r="A59" s="47" t="s">
        <v>10270</v>
      </c>
      <c r="B59" s="47" t="s">
        <v>10271</v>
      </c>
      <c r="C59" s="48">
        <v>46108</v>
      </c>
      <c r="D59" s="48">
        <v>46188</v>
      </c>
      <c r="E59" s="47" t="s">
        <v>16</v>
      </c>
      <c r="F59" s="47" t="s">
        <v>64</v>
      </c>
      <c r="G59" s="47"/>
      <c r="H59" s="47" t="s">
        <v>10272</v>
      </c>
      <c r="I59" s="47" t="s">
        <v>49</v>
      </c>
      <c r="J59" s="47">
        <v>6751.14</v>
      </c>
      <c r="K59" s="47">
        <v>6751.14</v>
      </c>
      <c r="L59" s="47"/>
      <c r="M59" s="47">
        <v>6751.14</v>
      </c>
      <c r="N59" s="47" t="s">
        <v>10273</v>
      </c>
      <c r="O59" s="47" t="s">
        <v>75</v>
      </c>
    </row>
    <row r="60" spans="1:15" ht="24" x14ac:dyDescent="0.2">
      <c r="A60" s="47" t="s">
        <v>10274</v>
      </c>
      <c r="B60" s="47" t="s">
        <v>10275</v>
      </c>
      <c r="C60" s="48">
        <v>46108</v>
      </c>
      <c r="D60" s="48">
        <v>46181</v>
      </c>
      <c r="E60" s="47" t="s">
        <v>16</v>
      </c>
      <c r="F60" s="47" t="s">
        <v>64</v>
      </c>
      <c r="G60" s="47"/>
      <c r="H60" s="47" t="s">
        <v>10276</v>
      </c>
      <c r="I60" s="47" t="s">
        <v>49</v>
      </c>
      <c r="J60" s="47">
        <v>6751.15</v>
      </c>
      <c r="K60" s="47">
        <v>6751.15</v>
      </c>
      <c r="L60" s="47"/>
      <c r="M60" s="47">
        <v>6751.15</v>
      </c>
      <c r="N60" s="47" t="s">
        <v>10277</v>
      </c>
      <c r="O60" s="47" t="s">
        <v>75</v>
      </c>
    </row>
    <row r="61" spans="1:15" ht="24" x14ac:dyDescent="0.2">
      <c r="A61" s="47" t="s">
        <v>10278</v>
      </c>
      <c r="B61" s="47" t="s">
        <v>10279</v>
      </c>
      <c r="C61" s="48">
        <v>46108</v>
      </c>
      <c r="D61" s="48">
        <v>46170</v>
      </c>
      <c r="E61" s="47" t="s">
        <v>16</v>
      </c>
      <c r="F61" s="47" t="s">
        <v>64</v>
      </c>
      <c r="G61" s="47"/>
      <c r="H61" s="47" t="s">
        <v>10280</v>
      </c>
      <c r="I61" s="47" t="s">
        <v>49</v>
      </c>
      <c r="J61" s="47">
        <v>6751.15</v>
      </c>
      <c r="K61" s="47">
        <v>6751.15</v>
      </c>
      <c r="L61" s="47"/>
      <c r="M61" s="47">
        <v>6751.15</v>
      </c>
      <c r="N61" s="47" t="s">
        <v>10281</v>
      </c>
      <c r="O61" s="47" t="s">
        <v>75</v>
      </c>
    </row>
    <row r="62" spans="1:15" ht="24" x14ac:dyDescent="0.2">
      <c r="A62" s="47" t="s">
        <v>10282</v>
      </c>
      <c r="B62" s="47" t="s">
        <v>10283</v>
      </c>
      <c r="C62" s="48">
        <v>46108</v>
      </c>
      <c r="D62" s="48">
        <v>46161</v>
      </c>
      <c r="E62" s="47" t="s">
        <v>16</v>
      </c>
      <c r="F62" s="47" t="s">
        <v>64</v>
      </c>
      <c r="G62" s="47"/>
      <c r="H62" s="47" t="s">
        <v>10284</v>
      </c>
      <c r="I62" s="47" t="s">
        <v>49</v>
      </c>
      <c r="J62" s="47">
        <v>6751.15</v>
      </c>
      <c r="K62" s="47">
        <v>6751.15</v>
      </c>
      <c r="L62" s="47"/>
      <c r="M62" s="47">
        <v>6751.15</v>
      </c>
      <c r="N62" s="47" t="s">
        <v>10285</v>
      </c>
      <c r="O62" s="47" t="s">
        <v>75</v>
      </c>
    </row>
    <row r="63" spans="1:15" ht="24" x14ac:dyDescent="0.2">
      <c r="A63" s="47" t="s">
        <v>10286</v>
      </c>
      <c r="B63" s="47" t="s">
        <v>10287</v>
      </c>
      <c r="C63" s="48">
        <v>46108</v>
      </c>
      <c r="D63" s="48">
        <v>46153</v>
      </c>
      <c r="E63" s="47" t="s">
        <v>16</v>
      </c>
      <c r="F63" s="47" t="s">
        <v>64</v>
      </c>
      <c r="G63" s="47"/>
      <c r="H63" s="47" t="s">
        <v>10288</v>
      </c>
      <c r="I63" s="47" t="s">
        <v>49</v>
      </c>
      <c r="J63" s="47">
        <v>6751.15</v>
      </c>
      <c r="K63" s="47">
        <v>6751.15</v>
      </c>
      <c r="L63" s="47"/>
      <c r="M63" s="47">
        <v>6751.15</v>
      </c>
      <c r="N63" s="47" t="s">
        <v>10289</v>
      </c>
      <c r="O63" s="47" t="s">
        <v>75</v>
      </c>
    </row>
    <row r="64" spans="1:15" ht="24" x14ac:dyDescent="0.2">
      <c r="A64" s="47" t="s">
        <v>10290</v>
      </c>
      <c r="B64" s="47" t="s">
        <v>10291</v>
      </c>
      <c r="C64" s="48">
        <v>46108</v>
      </c>
      <c r="D64" s="48">
        <v>46143</v>
      </c>
      <c r="E64" s="47" t="s">
        <v>16</v>
      </c>
      <c r="F64" s="47" t="s">
        <v>64</v>
      </c>
      <c r="G64" s="47"/>
      <c r="H64" s="47" t="s">
        <v>10292</v>
      </c>
      <c r="I64" s="47" t="s">
        <v>49</v>
      </c>
      <c r="J64" s="47">
        <v>6751.15</v>
      </c>
      <c r="K64" s="47">
        <v>6751.15</v>
      </c>
      <c r="L64" s="47"/>
      <c r="M64" s="47">
        <v>6751.15</v>
      </c>
      <c r="N64" s="47" t="s">
        <v>10293</v>
      </c>
      <c r="O64" s="47" t="s">
        <v>75</v>
      </c>
    </row>
    <row r="65" spans="1:15" ht="24" x14ac:dyDescent="0.2">
      <c r="A65" s="47" t="s">
        <v>10294</v>
      </c>
      <c r="B65" s="47" t="s">
        <v>10295</v>
      </c>
      <c r="C65" s="48">
        <v>46108</v>
      </c>
      <c r="D65" s="48">
        <v>46191</v>
      </c>
      <c r="E65" s="47" t="s">
        <v>16</v>
      </c>
      <c r="F65" s="47" t="s">
        <v>64</v>
      </c>
      <c r="G65" s="47"/>
      <c r="H65" s="47" t="s">
        <v>10296</v>
      </c>
      <c r="I65" s="47" t="s">
        <v>49</v>
      </c>
      <c r="J65" s="47">
        <v>13244.93</v>
      </c>
      <c r="K65" s="47">
        <v>13244.93</v>
      </c>
      <c r="L65" s="47"/>
      <c r="M65" s="47">
        <v>13244.93</v>
      </c>
      <c r="N65" s="47" t="s">
        <v>10297</v>
      </c>
      <c r="O65" s="47" t="s">
        <v>75</v>
      </c>
    </row>
    <row r="66" spans="1:15" ht="24" x14ac:dyDescent="0.2">
      <c r="A66" s="47" t="s">
        <v>10298</v>
      </c>
      <c r="B66" s="47" t="s">
        <v>10299</v>
      </c>
      <c r="C66" s="48">
        <v>46108</v>
      </c>
      <c r="D66" s="48">
        <v>46181</v>
      </c>
      <c r="E66" s="47" t="s">
        <v>16</v>
      </c>
      <c r="F66" s="47" t="s">
        <v>64</v>
      </c>
      <c r="G66" s="47"/>
      <c r="H66" s="47" t="s">
        <v>10300</v>
      </c>
      <c r="I66" s="47" t="s">
        <v>49</v>
      </c>
      <c r="J66" s="47">
        <v>13244.95</v>
      </c>
      <c r="K66" s="47">
        <v>13244.95</v>
      </c>
      <c r="L66" s="47"/>
      <c r="M66" s="47">
        <v>13244.95</v>
      </c>
      <c r="N66" s="47" t="s">
        <v>10301</v>
      </c>
      <c r="O66" s="47" t="s">
        <v>75</v>
      </c>
    </row>
    <row r="67" spans="1:15" ht="24" x14ac:dyDescent="0.2">
      <c r="A67" s="47" t="s">
        <v>10302</v>
      </c>
      <c r="B67" s="47" t="s">
        <v>10303</v>
      </c>
      <c r="C67" s="48">
        <v>46108</v>
      </c>
      <c r="D67" s="48">
        <v>46174</v>
      </c>
      <c r="E67" s="47" t="s">
        <v>16</v>
      </c>
      <c r="F67" s="47" t="s">
        <v>64</v>
      </c>
      <c r="G67" s="47"/>
      <c r="H67" s="47" t="s">
        <v>10304</v>
      </c>
      <c r="I67" s="47" t="s">
        <v>49</v>
      </c>
      <c r="J67" s="47">
        <v>13244.95</v>
      </c>
      <c r="K67" s="47">
        <v>13244.95</v>
      </c>
      <c r="L67" s="47"/>
      <c r="M67" s="47">
        <v>13244.95</v>
      </c>
      <c r="N67" s="47" t="s">
        <v>10305</v>
      </c>
      <c r="O67" s="47" t="s">
        <v>75</v>
      </c>
    </row>
    <row r="68" spans="1:15" ht="24" x14ac:dyDescent="0.2">
      <c r="A68" s="47" t="s">
        <v>10306</v>
      </c>
      <c r="B68" s="47" t="s">
        <v>10307</v>
      </c>
      <c r="C68" s="48">
        <v>46108</v>
      </c>
      <c r="D68" s="48">
        <v>46167</v>
      </c>
      <c r="E68" s="47" t="s">
        <v>16</v>
      </c>
      <c r="F68" s="47" t="s">
        <v>64</v>
      </c>
      <c r="G68" s="47"/>
      <c r="H68" s="47" t="s">
        <v>10308</v>
      </c>
      <c r="I68" s="47" t="s">
        <v>49</v>
      </c>
      <c r="J68" s="47">
        <v>13244.95</v>
      </c>
      <c r="K68" s="47">
        <v>13244.95</v>
      </c>
      <c r="L68" s="47"/>
      <c r="M68" s="47">
        <v>13244.95</v>
      </c>
      <c r="N68" s="47" t="s">
        <v>10309</v>
      </c>
      <c r="O68" s="47" t="s">
        <v>75</v>
      </c>
    </row>
    <row r="69" spans="1:15" ht="24" x14ac:dyDescent="0.2">
      <c r="A69" s="47" t="s">
        <v>10310</v>
      </c>
      <c r="B69" s="47" t="s">
        <v>10311</v>
      </c>
      <c r="C69" s="48">
        <v>46108</v>
      </c>
      <c r="D69" s="48">
        <v>46160</v>
      </c>
      <c r="E69" s="47" t="s">
        <v>16</v>
      </c>
      <c r="F69" s="47" t="s">
        <v>64</v>
      </c>
      <c r="G69" s="47"/>
      <c r="H69" s="47" t="s">
        <v>10312</v>
      </c>
      <c r="I69" s="47" t="s">
        <v>49</v>
      </c>
      <c r="J69" s="47">
        <v>13244.95</v>
      </c>
      <c r="K69" s="47">
        <v>13244.95</v>
      </c>
      <c r="L69" s="47"/>
      <c r="M69" s="47">
        <v>13244.95</v>
      </c>
      <c r="N69" s="47" t="s">
        <v>10313</v>
      </c>
      <c r="O69" s="47" t="s">
        <v>75</v>
      </c>
    </row>
    <row r="70" spans="1:15" ht="24" x14ac:dyDescent="0.2">
      <c r="A70" s="47" t="s">
        <v>10314</v>
      </c>
      <c r="B70" s="47" t="s">
        <v>10315</v>
      </c>
      <c r="C70" s="48">
        <v>46108</v>
      </c>
      <c r="D70" s="48">
        <v>46153</v>
      </c>
      <c r="E70" s="47" t="s">
        <v>16</v>
      </c>
      <c r="F70" s="47" t="s">
        <v>64</v>
      </c>
      <c r="G70" s="47"/>
      <c r="H70" s="47" t="s">
        <v>10316</v>
      </c>
      <c r="I70" s="47" t="s">
        <v>49</v>
      </c>
      <c r="J70" s="47">
        <v>13244.95</v>
      </c>
      <c r="K70" s="47">
        <v>13244.95</v>
      </c>
      <c r="L70" s="47"/>
      <c r="M70" s="47">
        <v>13244.95</v>
      </c>
      <c r="N70" s="47" t="s">
        <v>10317</v>
      </c>
      <c r="O70" s="47" t="s">
        <v>75</v>
      </c>
    </row>
    <row r="71" spans="1:15" ht="24" x14ac:dyDescent="0.2">
      <c r="A71" s="47" t="s">
        <v>10318</v>
      </c>
      <c r="B71" s="47" t="s">
        <v>10319</v>
      </c>
      <c r="C71" s="48">
        <v>46108</v>
      </c>
      <c r="D71" s="48">
        <v>46146</v>
      </c>
      <c r="E71" s="47" t="s">
        <v>16</v>
      </c>
      <c r="F71" s="47" t="s">
        <v>64</v>
      </c>
      <c r="G71" s="47"/>
      <c r="H71" s="47" t="s">
        <v>10320</v>
      </c>
      <c r="I71" s="47" t="s">
        <v>49</v>
      </c>
      <c r="J71" s="47">
        <v>13244.95</v>
      </c>
      <c r="K71" s="47">
        <v>13244.95</v>
      </c>
      <c r="L71" s="47"/>
      <c r="M71" s="47">
        <v>13244.95</v>
      </c>
      <c r="N71" s="47" t="s">
        <v>10321</v>
      </c>
      <c r="O71" s="47" t="s">
        <v>75</v>
      </c>
    </row>
    <row r="72" spans="1:15" ht="24" x14ac:dyDescent="0.2">
      <c r="A72" s="47" t="s">
        <v>10322</v>
      </c>
      <c r="B72" s="47" t="s">
        <v>10323</v>
      </c>
      <c r="C72" s="48">
        <v>46108</v>
      </c>
      <c r="D72" s="48">
        <v>46170</v>
      </c>
      <c r="E72" s="47" t="s">
        <v>16</v>
      </c>
      <c r="F72" s="47" t="s">
        <v>64</v>
      </c>
      <c r="G72" s="47"/>
      <c r="H72" s="47" t="s">
        <v>10324</v>
      </c>
      <c r="I72" s="47" t="s">
        <v>49</v>
      </c>
      <c r="J72" s="47">
        <v>10185.9</v>
      </c>
      <c r="K72" s="47">
        <v>10185.9</v>
      </c>
      <c r="L72" s="47"/>
      <c r="M72" s="47">
        <v>10185.9</v>
      </c>
      <c r="N72" s="47" t="s">
        <v>10325</v>
      </c>
      <c r="O72" s="47" t="s">
        <v>75</v>
      </c>
    </row>
    <row r="73" spans="1:15" ht="24" x14ac:dyDescent="0.2">
      <c r="A73" s="47" t="s">
        <v>10326</v>
      </c>
      <c r="B73" s="47" t="s">
        <v>10327</v>
      </c>
      <c r="C73" s="48">
        <v>46108</v>
      </c>
      <c r="D73" s="48">
        <v>46160</v>
      </c>
      <c r="E73" s="47" t="s">
        <v>16</v>
      </c>
      <c r="F73" s="47" t="s">
        <v>64</v>
      </c>
      <c r="G73" s="47"/>
      <c r="H73" s="47" t="s">
        <v>10328</v>
      </c>
      <c r="I73" s="47" t="s">
        <v>49</v>
      </c>
      <c r="J73" s="47">
        <v>10185.9</v>
      </c>
      <c r="K73" s="47">
        <v>10185.9</v>
      </c>
      <c r="L73" s="47"/>
      <c r="M73" s="47">
        <v>10185.9</v>
      </c>
      <c r="N73" s="47" t="s">
        <v>10329</v>
      </c>
      <c r="O73" s="47" t="s">
        <v>75</v>
      </c>
    </row>
    <row r="74" spans="1:15" ht="24" x14ac:dyDescent="0.2">
      <c r="A74" s="47" t="s">
        <v>10330</v>
      </c>
      <c r="B74" s="47" t="s">
        <v>10331</v>
      </c>
      <c r="C74" s="48">
        <v>46108</v>
      </c>
      <c r="D74" s="48">
        <v>46153</v>
      </c>
      <c r="E74" s="47" t="s">
        <v>16</v>
      </c>
      <c r="F74" s="47" t="s">
        <v>64</v>
      </c>
      <c r="G74" s="47"/>
      <c r="H74" s="47" t="s">
        <v>10332</v>
      </c>
      <c r="I74" s="47" t="s">
        <v>49</v>
      </c>
      <c r="J74" s="47">
        <v>10185.9</v>
      </c>
      <c r="K74" s="47">
        <v>10185.9</v>
      </c>
      <c r="L74" s="47"/>
      <c r="M74" s="47">
        <v>10185.9</v>
      </c>
      <c r="N74" s="47" t="s">
        <v>10333</v>
      </c>
      <c r="O74" s="47" t="s">
        <v>75</v>
      </c>
    </row>
    <row r="75" spans="1:15" ht="24" x14ac:dyDescent="0.2">
      <c r="A75" s="47" t="s">
        <v>10334</v>
      </c>
      <c r="B75" s="47" t="s">
        <v>10335</v>
      </c>
      <c r="C75" s="48">
        <v>46108</v>
      </c>
      <c r="D75" s="48">
        <v>46146</v>
      </c>
      <c r="E75" s="47" t="s">
        <v>16</v>
      </c>
      <c r="F75" s="47" t="s">
        <v>64</v>
      </c>
      <c r="G75" s="47"/>
      <c r="H75" s="47" t="s">
        <v>10336</v>
      </c>
      <c r="I75" s="47" t="s">
        <v>49</v>
      </c>
      <c r="J75" s="47">
        <v>10185.9</v>
      </c>
      <c r="K75" s="47">
        <v>10185.9</v>
      </c>
      <c r="L75" s="47"/>
      <c r="M75" s="47">
        <v>10185.9</v>
      </c>
      <c r="N75" s="47" t="s">
        <v>10337</v>
      </c>
      <c r="O75" s="47" t="s">
        <v>75</v>
      </c>
    </row>
    <row r="76" spans="1:15" ht="24" x14ac:dyDescent="0.2">
      <c r="A76" s="47" t="s">
        <v>10338</v>
      </c>
      <c r="B76" s="47" t="s">
        <v>10339</v>
      </c>
      <c r="C76" s="48">
        <v>46108</v>
      </c>
      <c r="D76" s="48">
        <v>46139</v>
      </c>
      <c r="E76" s="47" t="s">
        <v>16</v>
      </c>
      <c r="F76" s="47" t="s">
        <v>64</v>
      </c>
      <c r="G76" s="47"/>
      <c r="H76" s="47" t="s">
        <v>10340</v>
      </c>
      <c r="I76" s="47" t="s">
        <v>49</v>
      </c>
      <c r="J76" s="47">
        <v>10185.9</v>
      </c>
      <c r="K76" s="47">
        <v>10185.9</v>
      </c>
      <c r="L76" s="47"/>
      <c r="M76" s="47">
        <v>10185.9</v>
      </c>
      <c r="N76" s="47" t="s">
        <v>10341</v>
      </c>
      <c r="O76" s="47" t="s">
        <v>75</v>
      </c>
    </row>
    <row r="77" spans="1:15" ht="24" x14ac:dyDescent="0.2">
      <c r="A77" s="47" t="s">
        <v>10342</v>
      </c>
      <c r="B77" s="47" t="s">
        <v>10343</v>
      </c>
      <c r="C77" s="48">
        <v>46108</v>
      </c>
      <c r="D77" s="48">
        <v>46132</v>
      </c>
      <c r="E77" s="47" t="s">
        <v>16</v>
      </c>
      <c r="F77" s="47" t="s">
        <v>64</v>
      </c>
      <c r="G77" s="47"/>
      <c r="H77" s="47" t="s">
        <v>10344</v>
      </c>
      <c r="I77" s="47" t="s">
        <v>49</v>
      </c>
      <c r="J77" s="47">
        <v>10185.9</v>
      </c>
      <c r="K77" s="47">
        <v>10185.9</v>
      </c>
      <c r="L77" s="47"/>
      <c r="M77" s="47">
        <v>10185.9</v>
      </c>
      <c r="N77" s="47" t="s">
        <v>10345</v>
      </c>
      <c r="O77" s="47" t="s">
        <v>75</v>
      </c>
    </row>
    <row r="78" spans="1:15" ht="24" x14ac:dyDescent="0.2">
      <c r="A78" s="47" t="s">
        <v>10346</v>
      </c>
      <c r="B78" s="47" t="s">
        <v>10347</v>
      </c>
      <c r="C78" s="48">
        <v>46108</v>
      </c>
      <c r="D78" s="48">
        <v>46125</v>
      </c>
      <c r="E78" s="47" t="s">
        <v>16</v>
      </c>
      <c r="F78" s="47" t="s">
        <v>64</v>
      </c>
      <c r="G78" s="47"/>
      <c r="H78" s="47" t="s">
        <v>10348</v>
      </c>
      <c r="I78" s="47" t="s">
        <v>49</v>
      </c>
      <c r="J78" s="47">
        <v>10185.9</v>
      </c>
      <c r="K78" s="47">
        <v>10185.9</v>
      </c>
      <c r="L78" s="47"/>
      <c r="M78" s="47">
        <v>10185.9</v>
      </c>
      <c r="N78" s="47" t="s">
        <v>10349</v>
      </c>
      <c r="O78" s="47" t="s">
        <v>75</v>
      </c>
    </row>
    <row r="79" spans="1:15" ht="24" x14ac:dyDescent="0.2">
      <c r="A79" s="47" t="s">
        <v>10350</v>
      </c>
      <c r="B79" s="47" t="s">
        <v>10351</v>
      </c>
      <c r="C79" s="48">
        <v>46108</v>
      </c>
      <c r="D79" s="48">
        <v>46181</v>
      </c>
      <c r="E79" s="47" t="s">
        <v>16</v>
      </c>
      <c r="F79" s="47" t="s">
        <v>64</v>
      </c>
      <c r="G79" s="47"/>
      <c r="H79" s="47" t="s">
        <v>10352</v>
      </c>
      <c r="I79" s="47" t="s">
        <v>49</v>
      </c>
      <c r="J79" s="47">
        <v>7854.98</v>
      </c>
      <c r="K79" s="47">
        <v>7854.98</v>
      </c>
      <c r="L79" s="47"/>
      <c r="M79" s="47">
        <v>7854.98</v>
      </c>
      <c r="N79" s="47" t="s">
        <v>10353</v>
      </c>
      <c r="O79" s="47" t="s">
        <v>75</v>
      </c>
    </row>
    <row r="80" spans="1:15" ht="24" x14ac:dyDescent="0.2">
      <c r="A80" s="47" t="s">
        <v>10354</v>
      </c>
      <c r="B80" s="47" t="s">
        <v>10355</v>
      </c>
      <c r="C80" s="48">
        <v>46108</v>
      </c>
      <c r="D80" s="48">
        <v>46171</v>
      </c>
      <c r="E80" s="47" t="s">
        <v>16</v>
      </c>
      <c r="F80" s="47" t="s">
        <v>64</v>
      </c>
      <c r="G80" s="47"/>
      <c r="H80" s="47" t="s">
        <v>10356</v>
      </c>
      <c r="I80" s="47" t="s">
        <v>49</v>
      </c>
      <c r="J80" s="47">
        <v>7854.95</v>
      </c>
      <c r="K80" s="47">
        <v>7854.95</v>
      </c>
      <c r="L80" s="47"/>
      <c r="M80" s="47">
        <v>7854.95</v>
      </c>
      <c r="N80" s="47" t="s">
        <v>10357</v>
      </c>
      <c r="O80" s="47" t="s">
        <v>75</v>
      </c>
    </row>
    <row r="81" spans="1:15" ht="24" x14ac:dyDescent="0.2">
      <c r="A81" s="47" t="s">
        <v>10358</v>
      </c>
      <c r="B81" s="47" t="s">
        <v>10359</v>
      </c>
      <c r="C81" s="48">
        <v>46108</v>
      </c>
      <c r="D81" s="48">
        <v>46164</v>
      </c>
      <c r="E81" s="47" t="s">
        <v>16</v>
      </c>
      <c r="F81" s="47" t="s">
        <v>64</v>
      </c>
      <c r="G81" s="47"/>
      <c r="H81" s="47" t="s">
        <v>10360</v>
      </c>
      <c r="I81" s="47" t="s">
        <v>49</v>
      </c>
      <c r="J81" s="47">
        <v>7854.95</v>
      </c>
      <c r="K81" s="47">
        <v>7854.95</v>
      </c>
      <c r="L81" s="47"/>
      <c r="M81" s="47">
        <v>7854.95</v>
      </c>
      <c r="N81" s="47" t="s">
        <v>10361</v>
      </c>
      <c r="O81" s="47" t="s">
        <v>75</v>
      </c>
    </row>
    <row r="82" spans="1:15" ht="24" x14ac:dyDescent="0.2">
      <c r="A82" s="47" t="s">
        <v>10362</v>
      </c>
      <c r="B82" s="47" t="s">
        <v>10363</v>
      </c>
      <c r="C82" s="48">
        <v>46108</v>
      </c>
      <c r="D82" s="48">
        <v>46157</v>
      </c>
      <c r="E82" s="47" t="s">
        <v>16</v>
      </c>
      <c r="F82" s="47" t="s">
        <v>64</v>
      </c>
      <c r="G82" s="47"/>
      <c r="H82" s="47" t="s">
        <v>10364</v>
      </c>
      <c r="I82" s="47" t="s">
        <v>49</v>
      </c>
      <c r="J82" s="47">
        <v>7854.95</v>
      </c>
      <c r="K82" s="47">
        <v>7854.95</v>
      </c>
      <c r="L82" s="47"/>
      <c r="M82" s="47">
        <v>7854.95</v>
      </c>
      <c r="N82" s="47" t="s">
        <v>10365</v>
      </c>
      <c r="O82" s="47" t="s">
        <v>75</v>
      </c>
    </row>
    <row r="83" spans="1:15" ht="24" x14ac:dyDescent="0.2">
      <c r="A83" s="47" t="s">
        <v>10366</v>
      </c>
      <c r="B83" s="47" t="s">
        <v>10367</v>
      </c>
      <c r="C83" s="48">
        <v>46108</v>
      </c>
      <c r="D83" s="48">
        <v>46150</v>
      </c>
      <c r="E83" s="47" t="s">
        <v>16</v>
      </c>
      <c r="F83" s="47" t="s">
        <v>64</v>
      </c>
      <c r="G83" s="47"/>
      <c r="H83" s="47" t="s">
        <v>10368</v>
      </c>
      <c r="I83" s="47" t="s">
        <v>49</v>
      </c>
      <c r="J83" s="47">
        <v>7854.95</v>
      </c>
      <c r="K83" s="47">
        <v>7854.95</v>
      </c>
      <c r="L83" s="47"/>
      <c r="M83" s="47">
        <v>7854.95</v>
      </c>
      <c r="N83" s="47" t="s">
        <v>10369</v>
      </c>
      <c r="O83" s="47" t="s">
        <v>75</v>
      </c>
    </row>
    <row r="84" spans="1:15" ht="24" x14ac:dyDescent="0.2">
      <c r="A84" s="47" t="s">
        <v>10370</v>
      </c>
      <c r="B84" s="47" t="s">
        <v>10371</v>
      </c>
      <c r="C84" s="48">
        <v>46108</v>
      </c>
      <c r="D84" s="48">
        <v>46143</v>
      </c>
      <c r="E84" s="47" t="s">
        <v>16</v>
      </c>
      <c r="F84" s="47" t="s">
        <v>64</v>
      </c>
      <c r="G84" s="47"/>
      <c r="H84" s="47" t="s">
        <v>10372</v>
      </c>
      <c r="I84" s="47" t="s">
        <v>49</v>
      </c>
      <c r="J84" s="47">
        <v>7854.95</v>
      </c>
      <c r="K84" s="47">
        <v>7854.95</v>
      </c>
      <c r="L84" s="47"/>
      <c r="M84" s="47">
        <v>7854.95</v>
      </c>
      <c r="N84" s="47" t="s">
        <v>10373</v>
      </c>
      <c r="O84" s="47" t="s">
        <v>75</v>
      </c>
    </row>
    <row r="85" spans="1:15" ht="24" x14ac:dyDescent="0.2">
      <c r="A85" s="47" t="s">
        <v>10374</v>
      </c>
      <c r="B85" s="47" t="s">
        <v>10375</v>
      </c>
      <c r="C85" s="48">
        <v>46108</v>
      </c>
      <c r="D85" s="48">
        <v>46136</v>
      </c>
      <c r="E85" s="47" t="s">
        <v>16</v>
      </c>
      <c r="F85" s="47" t="s">
        <v>64</v>
      </c>
      <c r="G85" s="47"/>
      <c r="H85" s="47" t="s">
        <v>10376</v>
      </c>
      <c r="I85" s="47" t="s">
        <v>49</v>
      </c>
      <c r="J85" s="47">
        <v>7854.95</v>
      </c>
      <c r="K85" s="47">
        <v>7854.95</v>
      </c>
      <c r="L85" s="47"/>
      <c r="M85" s="47">
        <v>7854.95</v>
      </c>
      <c r="N85" s="47" t="s">
        <v>10377</v>
      </c>
      <c r="O85" s="47" t="s">
        <v>75</v>
      </c>
    </row>
    <row r="86" spans="1:15" ht="24" x14ac:dyDescent="0.2">
      <c r="A86" s="47" t="s">
        <v>10378</v>
      </c>
      <c r="B86" s="47" t="s">
        <v>10379</v>
      </c>
      <c r="C86" s="48">
        <v>46108</v>
      </c>
      <c r="D86" s="48">
        <v>46216</v>
      </c>
      <c r="E86" s="47" t="s">
        <v>16</v>
      </c>
      <c r="F86" s="47" t="s">
        <v>64</v>
      </c>
      <c r="G86" s="47"/>
      <c r="H86" s="47" t="s">
        <v>10380</v>
      </c>
      <c r="I86" s="47" t="s">
        <v>49</v>
      </c>
      <c r="J86" s="47">
        <v>13295.65</v>
      </c>
      <c r="K86" s="47">
        <v>13295.65</v>
      </c>
      <c r="L86" s="47"/>
      <c r="M86" s="47">
        <v>13295.65</v>
      </c>
      <c r="N86" s="47" t="s">
        <v>10381</v>
      </c>
      <c r="O86" s="47" t="s">
        <v>75</v>
      </c>
    </row>
    <row r="87" spans="1:15" ht="24" x14ac:dyDescent="0.2">
      <c r="A87" s="47" t="s">
        <v>10382</v>
      </c>
      <c r="B87" s="47" t="s">
        <v>10383</v>
      </c>
      <c r="C87" s="48">
        <v>46108</v>
      </c>
      <c r="D87" s="48">
        <v>46202</v>
      </c>
      <c r="E87" s="47" t="s">
        <v>16</v>
      </c>
      <c r="F87" s="47" t="s">
        <v>64</v>
      </c>
      <c r="G87" s="47"/>
      <c r="H87" s="47" t="s">
        <v>10384</v>
      </c>
      <c r="I87" s="47" t="s">
        <v>49</v>
      </c>
      <c r="J87" s="47">
        <v>13295.63</v>
      </c>
      <c r="K87" s="47">
        <v>13295.63</v>
      </c>
      <c r="L87" s="47"/>
      <c r="M87" s="47">
        <v>13295.63</v>
      </c>
      <c r="N87" s="47" t="s">
        <v>10385</v>
      </c>
      <c r="O87" s="47" t="s">
        <v>75</v>
      </c>
    </row>
    <row r="88" spans="1:15" ht="24" x14ac:dyDescent="0.2">
      <c r="A88" s="47" t="s">
        <v>10386</v>
      </c>
      <c r="B88" s="47" t="s">
        <v>10387</v>
      </c>
      <c r="C88" s="48">
        <v>46108</v>
      </c>
      <c r="D88" s="48">
        <v>46188</v>
      </c>
      <c r="E88" s="47" t="s">
        <v>16</v>
      </c>
      <c r="F88" s="47" t="s">
        <v>64</v>
      </c>
      <c r="G88" s="47"/>
      <c r="H88" s="47" t="s">
        <v>10388</v>
      </c>
      <c r="I88" s="47" t="s">
        <v>49</v>
      </c>
      <c r="J88" s="47">
        <v>13295.63</v>
      </c>
      <c r="K88" s="47">
        <v>13295.63</v>
      </c>
      <c r="L88" s="47"/>
      <c r="M88" s="47">
        <v>13295.63</v>
      </c>
      <c r="N88" s="47" t="s">
        <v>10389</v>
      </c>
      <c r="O88" s="47" t="s">
        <v>75</v>
      </c>
    </row>
    <row r="89" spans="1:15" ht="24" x14ac:dyDescent="0.2">
      <c r="A89" s="47" t="s">
        <v>10390</v>
      </c>
      <c r="B89" s="47" t="s">
        <v>10391</v>
      </c>
      <c r="C89" s="48">
        <v>46108</v>
      </c>
      <c r="D89" s="48">
        <v>46175</v>
      </c>
      <c r="E89" s="47" t="s">
        <v>16</v>
      </c>
      <c r="F89" s="47" t="s">
        <v>64</v>
      </c>
      <c r="G89" s="47"/>
      <c r="H89" s="47" t="s">
        <v>10392</v>
      </c>
      <c r="I89" s="47" t="s">
        <v>49</v>
      </c>
      <c r="J89" s="47">
        <v>13295.63</v>
      </c>
      <c r="K89" s="47">
        <v>13295.63</v>
      </c>
      <c r="L89" s="47"/>
      <c r="M89" s="47">
        <v>13295.63</v>
      </c>
      <c r="N89" s="47" t="s">
        <v>10393</v>
      </c>
      <c r="O89" s="47" t="s">
        <v>75</v>
      </c>
    </row>
    <row r="90" spans="1:15" ht="24" x14ac:dyDescent="0.2">
      <c r="A90" s="47" t="s">
        <v>10394</v>
      </c>
      <c r="B90" s="47" t="s">
        <v>10395</v>
      </c>
      <c r="C90" s="48">
        <v>46108</v>
      </c>
      <c r="D90" s="48">
        <v>46162</v>
      </c>
      <c r="E90" s="47" t="s">
        <v>16</v>
      </c>
      <c r="F90" s="47" t="s">
        <v>64</v>
      </c>
      <c r="G90" s="47"/>
      <c r="H90" s="47" t="s">
        <v>10396</v>
      </c>
      <c r="I90" s="47" t="s">
        <v>49</v>
      </c>
      <c r="J90" s="47">
        <v>13295.63</v>
      </c>
      <c r="K90" s="47">
        <v>13295.63</v>
      </c>
      <c r="L90" s="47"/>
      <c r="M90" s="47">
        <v>13295.63</v>
      </c>
      <c r="N90" s="47" t="s">
        <v>10397</v>
      </c>
      <c r="O90" s="47" t="s">
        <v>75</v>
      </c>
    </row>
    <row r="91" spans="1:15" ht="24" x14ac:dyDescent="0.2">
      <c r="A91" s="47" t="s">
        <v>10398</v>
      </c>
      <c r="B91" s="47" t="s">
        <v>10399</v>
      </c>
      <c r="C91" s="48">
        <v>46108</v>
      </c>
      <c r="D91" s="48">
        <v>46149</v>
      </c>
      <c r="E91" s="47" t="s">
        <v>16</v>
      </c>
      <c r="F91" s="47" t="s">
        <v>64</v>
      </c>
      <c r="G91" s="47"/>
      <c r="H91" s="47" t="s">
        <v>10400</v>
      </c>
      <c r="I91" s="47" t="s">
        <v>49</v>
      </c>
      <c r="J91" s="47">
        <v>13295.63</v>
      </c>
      <c r="K91" s="47">
        <v>13295.63</v>
      </c>
      <c r="L91" s="47"/>
      <c r="M91" s="47">
        <v>13295.63</v>
      </c>
      <c r="N91" s="47" t="s">
        <v>10401</v>
      </c>
      <c r="O91" s="47" t="s">
        <v>75</v>
      </c>
    </row>
    <row r="92" spans="1:15" ht="24" x14ac:dyDescent="0.2">
      <c r="A92" s="47" t="s">
        <v>10402</v>
      </c>
      <c r="B92" s="47" t="s">
        <v>10403</v>
      </c>
      <c r="C92" s="48">
        <v>46108</v>
      </c>
      <c r="D92" s="48">
        <v>46136</v>
      </c>
      <c r="E92" s="47" t="s">
        <v>16</v>
      </c>
      <c r="F92" s="47" t="s">
        <v>64</v>
      </c>
      <c r="G92" s="47"/>
      <c r="H92" s="47" t="s">
        <v>10404</v>
      </c>
      <c r="I92" s="47" t="s">
        <v>49</v>
      </c>
      <c r="J92" s="47">
        <v>13295.63</v>
      </c>
      <c r="K92" s="47">
        <v>13295.63</v>
      </c>
      <c r="L92" s="47"/>
      <c r="M92" s="47">
        <v>13295.63</v>
      </c>
      <c r="N92" s="47" t="s">
        <v>10405</v>
      </c>
      <c r="O92" s="47" t="s">
        <v>75</v>
      </c>
    </row>
    <row r="93" spans="1:15" ht="24" x14ac:dyDescent="0.2">
      <c r="A93" s="47" t="s">
        <v>10406</v>
      </c>
      <c r="B93" s="47" t="s">
        <v>10407</v>
      </c>
      <c r="C93" s="48">
        <v>46108</v>
      </c>
      <c r="D93" s="48">
        <v>46184</v>
      </c>
      <c r="E93" s="47" t="s">
        <v>16</v>
      </c>
      <c r="F93" s="47" t="s">
        <v>64</v>
      </c>
      <c r="G93" s="47"/>
      <c r="H93" s="47" t="s">
        <v>10408</v>
      </c>
      <c r="I93" s="47" t="s">
        <v>49</v>
      </c>
      <c r="J93" s="47">
        <v>10555.88</v>
      </c>
      <c r="K93" s="47">
        <v>10555.88</v>
      </c>
      <c r="L93" s="47"/>
      <c r="M93" s="47">
        <v>10555.88</v>
      </c>
      <c r="N93" s="47" t="s">
        <v>10409</v>
      </c>
      <c r="O93" s="47" t="s">
        <v>75</v>
      </c>
    </row>
    <row r="94" spans="1:15" ht="24" x14ac:dyDescent="0.2">
      <c r="A94" s="47" t="s">
        <v>10410</v>
      </c>
      <c r="B94" s="47" t="s">
        <v>10411</v>
      </c>
      <c r="C94" s="48">
        <v>46108</v>
      </c>
      <c r="D94" s="48">
        <v>46167</v>
      </c>
      <c r="E94" s="47" t="s">
        <v>16</v>
      </c>
      <c r="F94" s="47" t="s">
        <v>588</v>
      </c>
      <c r="G94" s="47"/>
      <c r="H94" s="47" t="s">
        <v>10412</v>
      </c>
      <c r="I94" s="47" t="s">
        <v>49</v>
      </c>
      <c r="J94" s="47">
        <v>1932.56</v>
      </c>
      <c r="K94" s="47">
        <v>1932.56</v>
      </c>
      <c r="L94" s="47"/>
      <c r="M94" s="47">
        <v>1932.56</v>
      </c>
      <c r="N94" s="47" t="s">
        <v>10413</v>
      </c>
      <c r="O94" s="47" t="s">
        <v>75</v>
      </c>
    </row>
    <row r="95" spans="1:15" ht="24" x14ac:dyDescent="0.2">
      <c r="A95" s="47" t="s">
        <v>10414</v>
      </c>
      <c r="B95" s="47" t="s">
        <v>10415</v>
      </c>
      <c r="C95" s="48">
        <v>46108</v>
      </c>
      <c r="D95" s="48">
        <v>46155</v>
      </c>
      <c r="E95" s="47" t="s">
        <v>16</v>
      </c>
      <c r="F95" s="47" t="s">
        <v>588</v>
      </c>
      <c r="G95" s="47"/>
      <c r="H95" s="47" t="s">
        <v>10416</v>
      </c>
      <c r="I95" s="47" t="s">
        <v>49</v>
      </c>
      <c r="J95" s="47">
        <v>1932.56</v>
      </c>
      <c r="K95" s="47">
        <v>1932.56</v>
      </c>
      <c r="L95" s="47"/>
      <c r="M95" s="47">
        <v>1932.56</v>
      </c>
      <c r="N95" s="47" t="s">
        <v>10417</v>
      </c>
      <c r="O95" s="47" t="s">
        <v>75</v>
      </c>
    </row>
    <row r="96" spans="1:15" ht="24" x14ac:dyDescent="0.2">
      <c r="A96" s="47" t="s">
        <v>10418</v>
      </c>
      <c r="B96" s="47" t="s">
        <v>10419</v>
      </c>
      <c r="C96" s="48">
        <v>46108</v>
      </c>
      <c r="D96" s="48">
        <v>46146</v>
      </c>
      <c r="E96" s="47" t="s">
        <v>16</v>
      </c>
      <c r="F96" s="47" t="s">
        <v>588</v>
      </c>
      <c r="G96" s="47"/>
      <c r="H96" s="47" t="s">
        <v>10420</v>
      </c>
      <c r="I96" s="47" t="s">
        <v>49</v>
      </c>
      <c r="J96" s="47">
        <v>1932.56</v>
      </c>
      <c r="K96" s="47">
        <v>1932.56</v>
      </c>
      <c r="L96" s="47"/>
      <c r="M96" s="47">
        <v>1932.56</v>
      </c>
      <c r="N96" s="47" t="s">
        <v>10421</v>
      </c>
      <c r="O96" s="47" t="s">
        <v>75</v>
      </c>
    </row>
    <row r="97" spans="1:15" ht="24" x14ac:dyDescent="0.2">
      <c r="A97" s="47" t="s">
        <v>10422</v>
      </c>
      <c r="B97" s="47" t="s">
        <v>10423</v>
      </c>
      <c r="C97" s="48">
        <v>46108</v>
      </c>
      <c r="D97" s="48">
        <v>46135</v>
      </c>
      <c r="E97" s="47" t="s">
        <v>16</v>
      </c>
      <c r="F97" s="47" t="s">
        <v>588</v>
      </c>
      <c r="G97" s="47"/>
      <c r="H97" s="47" t="s">
        <v>10424</v>
      </c>
      <c r="I97" s="47" t="s">
        <v>49</v>
      </c>
      <c r="J97" s="47">
        <v>1932.56</v>
      </c>
      <c r="K97" s="47">
        <v>1932.56</v>
      </c>
      <c r="L97" s="47"/>
      <c r="M97" s="47">
        <v>1932.56</v>
      </c>
      <c r="N97" s="47" t="s">
        <v>10425</v>
      </c>
      <c r="O97" s="47" t="s">
        <v>75</v>
      </c>
    </row>
    <row r="98" spans="1:15" ht="36" x14ac:dyDescent="0.2">
      <c r="A98" s="47" t="s">
        <v>10426</v>
      </c>
      <c r="B98" s="47" t="s">
        <v>10427</v>
      </c>
      <c r="C98" s="48">
        <v>46104</v>
      </c>
      <c r="D98" s="48">
        <v>46174</v>
      </c>
      <c r="E98" s="47" t="s">
        <v>16</v>
      </c>
      <c r="F98" s="47" t="s">
        <v>119</v>
      </c>
      <c r="G98" s="47"/>
      <c r="H98" s="47" t="s">
        <v>10428</v>
      </c>
      <c r="I98" s="47" t="s">
        <v>49</v>
      </c>
      <c r="J98" s="47">
        <v>60614.74</v>
      </c>
      <c r="K98" s="47">
        <v>60614.74</v>
      </c>
      <c r="L98" s="47"/>
      <c r="M98" s="47">
        <v>60614.74</v>
      </c>
      <c r="N98" s="47" t="s">
        <v>10429</v>
      </c>
      <c r="O98" s="47" t="s">
        <v>75</v>
      </c>
    </row>
    <row r="99" spans="1:15" ht="36" x14ac:dyDescent="0.2">
      <c r="A99" s="47" t="s">
        <v>10430</v>
      </c>
      <c r="B99" s="47" t="s">
        <v>10431</v>
      </c>
      <c r="C99" s="48">
        <v>46104</v>
      </c>
      <c r="D99" s="48">
        <v>46157</v>
      </c>
      <c r="E99" s="47" t="s">
        <v>16</v>
      </c>
      <c r="F99" s="47" t="s">
        <v>119</v>
      </c>
      <c r="G99" s="47"/>
      <c r="H99" s="47" t="s">
        <v>10432</v>
      </c>
      <c r="I99" s="47" t="s">
        <v>49</v>
      </c>
      <c r="J99" s="47">
        <v>60614.77</v>
      </c>
      <c r="K99" s="47">
        <v>60614.77</v>
      </c>
      <c r="L99" s="47"/>
      <c r="M99" s="47">
        <v>60614.77</v>
      </c>
      <c r="N99" s="47"/>
      <c r="O99" s="47" t="s">
        <v>75</v>
      </c>
    </row>
    <row r="100" spans="1:15" ht="36" x14ac:dyDescent="0.2">
      <c r="A100" s="47" t="s">
        <v>10433</v>
      </c>
      <c r="B100" s="47" t="s">
        <v>10434</v>
      </c>
      <c r="C100" s="48">
        <v>46104</v>
      </c>
      <c r="D100" s="48">
        <v>46142</v>
      </c>
      <c r="E100" s="47" t="s">
        <v>16</v>
      </c>
      <c r="F100" s="47" t="s">
        <v>119</v>
      </c>
      <c r="G100" s="47"/>
      <c r="H100" s="47" t="s">
        <v>10435</v>
      </c>
      <c r="I100" s="47" t="s">
        <v>49</v>
      </c>
      <c r="J100" s="47">
        <v>60614.77</v>
      </c>
      <c r="K100" s="47">
        <v>60614.77</v>
      </c>
      <c r="L100" s="47"/>
      <c r="M100" s="47">
        <v>60614.77</v>
      </c>
      <c r="N100" s="47" t="s">
        <v>10436</v>
      </c>
      <c r="O100" s="47" t="s">
        <v>75</v>
      </c>
    </row>
    <row r="101" spans="1:15" ht="36" x14ac:dyDescent="0.2">
      <c r="A101" s="47" t="s">
        <v>10437</v>
      </c>
      <c r="B101" s="47" t="s">
        <v>10438</v>
      </c>
      <c r="C101" s="48">
        <v>46104</v>
      </c>
      <c r="D101" s="48">
        <v>46127</v>
      </c>
      <c r="E101" s="47" t="s">
        <v>16</v>
      </c>
      <c r="F101" s="47" t="s">
        <v>119</v>
      </c>
      <c r="G101" s="47"/>
      <c r="H101" s="47" t="s">
        <v>10439</v>
      </c>
      <c r="I101" s="47" t="s">
        <v>49</v>
      </c>
      <c r="J101" s="47">
        <v>60614.77</v>
      </c>
      <c r="K101" s="47">
        <v>60614.77</v>
      </c>
      <c r="L101" s="47"/>
      <c r="M101" s="47">
        <v>60614.77</v>
      </c>
      <c r="N101" s="47" t="s">
        <v>10440</v>
      </c>
      <c r="O101" s="47" t="s">
        <v>75</v>
      </c>
    </row>
    <row r="102" spans="1:15" ht="36" x14ac:dyDescent="0.2">
      <c r="A102" s="47" t="s">
        <v>10441</v>
      </c>
      <c r="B102" s="47" t="s">
        <v>10442</v>
      </c>
      <c r="C102" s="48">
        <v>46104</v>
      </c>
      <c r="D102" s="48">
        <v>46112</v>
      </c>
      <c r="E102" s="47" t="s">
        <v>16</v>
      </c>
      <c r="F102" s="47" t="s">
        <v>119</v>
      </c>
      <c r="G102" s="47"/>
      <c r="H102" s="47" t="s">
        <v>10443</v>
      </c>
      <c r="I102" s="47" t="s">
        <v>49</v>
      </c>
      <c r="J102" s="47">
        <v>60614.77</v>
      </c>
      <c r="K102" s="47">
        <v>60614.77</v>
      </c>
      <c r="L102" s="47"/>
      <c r="M102" s="47">
        <v>60614.77</v>
      </c>
      <c r="N102" s="47" t="s">
        <v>10444</v>
      </c>
      <c r="O102" s="47" t="s">
        <v>75</v>
      </c>
    </row>
    <row r="103" spans="1:15" ht="24" x14ac:dyDescent="0.2">
      <c r="A103" s="47" t="s">
        <v>10445</v>
      </c>
      <c r="B103" s="47" t="s">
        <v>10446</v>
      </c>
      <c r="C103" s="48">
        <v>46104</v>
      </c>
      <c r="D103" s="48">
        <v>46181</v>
      </c>
      <c r="E103" s="47" t="s">
        <v>16</v>
      </c>
      <c r="F103" s="47" t="s">
        <v>1521</v>
      </c>
      <c r="G103" s="47"/>
      <c r="H103" s="47" t="s">
        <v>10447</v>
      </c>
      <c r="I103" s="47" t="s">
        <v>49</v>
      </c>
      <c r="J103" s="47">
        <v>3474.56</v>
      </c>
      <c r="K103" s="47">
        <v>3474.56</v>
      </c>
      <c r="L103" s="47"/>
      <c r="M103" s="47">
        <v>3474.56</v>
      </c>
      <c r="N103" s="47" t="s">
        <v>10448</v>
      </c>
      <c r="O103" s="47" t="s">
        <v>75</v>
      </c>
    </row>
    <row r="104" spans="1:15" ht="24" x14ac:dyDescent="0.2">
      <c r="A104" s="47" t="s">
        <v>10449</v>
      </c>
      <c r="B104" s="47" t="s">
        <v>10450</v>
      </c>
      <c r="C104" s="48">
        <v>46104</v>
      </c>
      <c r="D104" s="48">
        <v>46164</v>
      </c>
      <c r="E104" s="47" t="s">
        <v>16</v>
      </c>
      <c r="F104" s="47" t="s">
        <v>1521</v>
      </c>
      <c r="G104" s="47"/>
      <c r="H104" s="47" t="s">
        <v>10451</v>
      </c>
      <c r="I104" s="47" t="s">
        <v>49</v>
      </c>
      <c r="J104" s="47">
        <v>3474.57</v>
      </c>
      <c r="K104" s="47">
        <v>3474.57</v>
      </c>
      <c r="L104" s="47"/>
      <c r="M104" s="47">
        <v>3474.57</v>
      </c>
      <c r="N104" s="47" t="s">
        <v>10452</v>
      </c>
      <c r="O104" s="47" t="s">
        <v>75</v>
      </c>
    </row>
    <row r="105" spans="1:15" ht="24" x14ac:dyDescent="0.2">
      <c r="A105" s="47" t="s">
        <v>10453</v>
      </c>
      <c r="B105" s="47" t="s">
        <v>10454</v>
      </c>
      <c r="C105" s="48">
        <v>46104</v>
      </c>
      <c r="D105" s="48">
        <v>46157</v>
      </c>
      <c r="E105" s="47" t="s">
        <v>16</v>
      </c>
      <c r="F105" s="47" t="s">
        <v>1521</v>
      </c>
      <c r="G105" s="47"/>
      <c r="H105" s="47" t="s">
        <v>10455</v>
      </c>
      <c r="I105" s="47" t="s">
        <v>49</v>
      </c>
      <c r="J105" s="47">
        <v>3474.57</v>
      </c>
      <c r="K105" s="47">
        <v>3474.57</v>
      </c>
      <c r="L105" s="47"/>
      <c r="M105" s="47">
        <v>3474.57</v>
      </c>
      <c r="N105" s="47" t="s">
        <v>10456</v>
      </c>
      <c r="O105" s="47" t="s">
        <v>75</v>
      </c>
    </row>
    <row r="106" spans="1:15" ht="24" x14ac:dyDescent="0.2">
      <c r="A106" s="47" t="s">
        <v>10457</v>
      </c>
      <c r="B106" s="47" t="s">
        <v>10458</v>
      </c>
      <c r="C106" s="48">
        <v>46104</v>
      </c>
      <c r="D106" s="48">
        <v>46150</v>
      </c>
      <c r="E106" s="47" t="s">
        <v>16</v>
      </c>
      <c r="F106" s="47" t="s">
        <v>1521</v>
      </c>
      <c r="G106" s="47"/>
      <c r="H106" s="47" t="s">
        <v>10459</v>
      </c>
      <c r="I106" s="47" t="s">
        <v>49</v>
      </c>
      <c r="J106" s="47">
        <v>3474.57</v>
      </c>
      <c r="K106" s="47">
        <v>3474.57</v>
      </c>
      <c r="L106" s="47"/>
      <c r="M106" s="47">
        <v>3474.57</v>
      </c>
      <c r="N106" s="47" t="s">
        <v>10460</v>
      </c>
      <c r="O106" s="47" t="s">
        <v>75</v>
      </c>
    </row>
    <row r="107" spans="1:15" ht="24" x14ac:dyDescent="0.2">
      <c r="A107" s="47" t="s">
        <v>10461</v>
      </c>
      <c r="B107" s="47" t="s">
        <v>10462</v>
      </c>
      <c r="C107" s="48">
        <v>46104</v>
      </c>
      <c r="D107" s="48">
        <v>46143</v>
      </c>
      <c r="E107" s="47" t="s">
        <v>16</v>
      </c>
      <c r="F107" s="47" t="s">
        <v>1521</v>
      </c>
      <c r="G107" s="47"/>
      <c r="H107" s="47" t="s">
        <v>10463</v>
      </c>
      <c r="I107" s="47" t="s">
        <v>49</v>
      </c>
      <c r="J107" s="47">
        <v>3474.57</v>
      </c>
      <c r="K107" s="47">
        <v>3474.57</v>
      </c>
      <c r="L107" s="47"/>
      <c r="M107" s="47">
        <v>3474.57</v>
      </c>
      <c r="N107" s="47" t="s">
        <v>10464</v>
      </c>
      <c r="O107" s="47" t="s">
        <v>75</v>
      </c>
    </row>
    <row r="108" spans="1:15" ht="24" x14ac:dyDescent="0.2">
      <c r="A108" s="47" t="s">
        <v>10465</v>
      </c>
      <c r="B108" s="47" t="s">
        <v>10466</v>
      </c>
      <c r="C108" s="48">
        <v>46104</v>
      </c>
      <c r="D108" s="48">
        <v>46136</v>
      </c>
      <c r="E108" s="47" t="s">
        <v>16</v>
      </c>
      <c r="F108" s="47" t="s">
        <v>1521</v>
      </c>
      <c r="G108" s="47"/>
      <c r="H108" s="47" t="s">
        <v>10467</v>
      </c>
      <c r="I108" s="47" t="s">
        <v>49</v>
      </c>
      <c r="J108" s="47">
        <v>3474.57</v>
      </c>
      <c r="K108" s="47">
        <v>3474.57</v>
      </c>
      <c r="L108" s="47"/>
      <c r="M108" s="47">
        <v>3474.57</v>
      </c>
      <c r="N108" s="47" t="s">
        <v>10468</v>
      </c>
      <c r="O108" s="47" t="s">
        <v>75</v>
      </c>
    </row>
    <row r="109" spans="1:15" ht="36" x14ac:dyDescent="0.2">
      <c r="A109" s="47" t="s">
        <v>10469</v>
      </c>
      <c r="B109" s="47" t="s">
        <v>10470</v>
      </c>
      <c r="C109" s="48">
        <v>46104</v>
      </c>
      <c r="D109" s="48">
        <v>46154</v>
      </c>
      <c r="E109" s="47" t="s">
        <v>16</v>
      </c>
      <c r="F109" s="47" t="s">
        <v>2955</v>
      </c>
      <c r="G109" s="47"/>
      <c r="H109" s="47" t="s">
        <v>10471</v>
      </c>
      <c r="I109" s="47" t="s">
        <v>49</v>
      </c>
      <c r="J109" s="47">
        <v>6116.54</v>
      </c>
      <c r="K109" s="47">
        <v>6116.54</v>
      </c>
      <c r="L109" s="47"/>
      <c r="M109" s="47">
        <v>6116.54</v>
      </c>
      <c r="N109" s="47" t="s">
        <v>10472</v>
      </c>
      <c r="O109" s="47" t="s">
        <v>75</v>
      </c>
    </row>
    <row r="110" spans="1:15" ht="36" x14ac:dyDescent="0.2">
      <c r="A110" s="47" t="s">
        <v>10473</v>
      </c>
      <c r="B110" s="47" t="s">
        <v>10474</v>
      </c>
      <c r="C110" s="48">
        <v>46104</v>
      </c>
      <c r="D110" s="48">
        <v>46149</v>
      </c>
      <c r="E110" s="47" t="s">
        <v>16</v>
      </c>
      <c r="F110" s="47" t="s">
        <v>2955</v>
      </c>
      <c r="G110" s="47"/>
      <c r="H110" s="47" t="s">
        <v>10475</v>
      </c>
      <c r="I110" s="47" t="s">
        <v>49</v>
      </c>
      <c r="J110" s="47">
        <v>6116.57</v>
      </c>
      <c r="K110" s="47">
        <v>6116.57</v>
      </c>
      <c r="L110" s="47"/>
      <c r="M110" s="47">
        <v>6116.57</v>
      </c>
      <c r="N110" s="47" t="s">
        <v>10476</v>
      </c>
      <c r="O110" s="47" t="s">
        <v>75</v>
      </c>
    </row>
    <row r="111" spans="1:15" ht="36" x14ac:dyDescent="0.2">
      <c r="A111" s="47" t="s">
        <v>10477</v>
      </c>
      <c r="B111" s="47" t="s">
        <v>10478</v>
      </c>
      <c r="C111" s="48">
        <v>46104</v>
      </c>
      <c r="D111" s="48">
        <v>46146</v>
      </c>
      <c r="E111" s="47" t="s">
        <v>16</v>
      </c>
      <c r="F111" s="47" t="s">
        <v>2955</v>
      </c>
      <c r="G111" s="47"/>
      <c r="H111" s="47" t="s">
        <v>10479</v>
      </c>
      <c r="I111" s="47" t="s">
        <v>49</v>
      </c>
      <c r="J111" s="47">
        <v>6116.57</v>
      </c>
      <c r="K111" s="47">
        <v>6116.57</v>
      </c>
      <c r="L111" s="47"/>
      <c r="M111" s="47">
        <v>6116.57</v>
      </c>
      <c r="N111" s="47" t="s">
        <v>10480</v>
      </c>
      <c r="O111" s="47" t="s">
        <v>75</v>
      </c>
    </row>
    <row r="112" spans="1:15" ht="36" x14ac:dyDescent="0.2">
      <c r="A112" s="47" t="s">
        <v>10481</v>
      </c>
      <c r="B112" s="47" t="s">
        <v>10482</v>
      </c>
      <c r="C112" s="48">
        <v>46104</v>
      </c>
      <c r="D112" s="48">
        <v>46139</v>
      </c>
      <c r="E112" s="47" t="s">
        <v>16</v>
      </c>
      <c r="F112" s="47" t="s">
        <v>2955</v>
      </c>
      <c r="G112" s="47"/>
      <c r="H112" s="47" t="s">
        <v>10483</v>
      </c>
      <c r="I112" s="47" t="s">
        <v>49</v>
      </c>
      <c r="J112" s="47">
        <v>6116.57</v>
      </c>
      <c r="K112" s="47">
        <v>6116.57</v>
      </c>
      <c r="L112" s="47"/>
      <c r="M112" s="47">
        <v>6116.57</v>
      </c>
      <c r="N112" s="47" t="s">
        <v>10484</v>
      </c>
      <c r="O112" s="47" t="s">
        <v>75</v>
      </c>
    </row>
    <row r="113" spans="1:15" ht="36" x14ac:dyDescent="0.2">
      <c r="A113" s="47" t="s">
        <v>10485</v>
      </c>
      <c r="B113" s="47" t="s">
        <v>10486</v>
      </c>
      <c r="C113" s="48">
        <v>46104</v>
      </c>
      <c r="D113" s="48">
        <v>46134</v>
      </c>
      <c r="E113" s="47" t="s">
        <v>16</v>
      </c>
      <c r="F113" s="47" t="s">
        <v>2955</v>
      </c>
      <c r="G113" s="47"/>
      <c r="H113" s="47" t="s">
        <v>10487</v>
      </c>
      <c r="I113" s="47" t="s">
        <v>49</v>
      </c>
      <c r="J113" s="47">
        <v>6116.57</v>
      </c>
      <c r="K113" s="47">
        <v>6116.57</v>
      </c>
      <c r="L113" s="47"/>
      <c r="M113" s="47">
        <v>6116.57</v>
      </c>
      <c r="N113" s="47" t="s">
        <v>10488</v>
      </c>
      <c r="O113" s="47" t="s">
        <v>75</v>
      </c>
    </row>
    <row r="114" spans="1:15" ht="24" x14ac:dyDescent="0.2">
      <c r="A114" s="47" t="s">
        <v>10489</v>
      </c>
      <c r="B114" s="47" t="s">
        <v>10490</v>
      </c>
      <c r="C114" s="48">
        <v>46104</v>
      </c>
      <c r="D114" s="48">
        <v>46167</v>
      </c>
      <c r="E114" s="47" t="s">
        <v>16</v>
      </c>
      <c r="F114" s="47" t="s">
        <v>101</v>
      </c>
      <c r="G114" s="47"/>
      <c r="H114" s="47" t="s">
        <v>10491</v>
      </c>
      <c r="I114" s="47" t="s">
        <v>49</v>
      </c>
      <c r="J114" s="47">
        <v>2050.69</v>
      </c>
      <c r="K114" s="47">
        <v>2050.69</v>
      </c>
      <c r="L114" s="47"/>
      <c r="M114" s="47">
        <v>2050.69</v>
      </c>
      <c r="N114" s="47" t="s">
        <v>10492</v>
      </c>
      <c r="O114" s="47" t="s">
        <v>75</v>
      </c>
    </row>
    <row r="115" spans="1:15" ht="24" x14ac:dyDescent="0.2">
      <c r="A115" s="47" t="s">
        <v>10493</v>
      </c>
      <c r="B115" s="47" t="s">
        <v>10494</v>
      </c>
      <c r="C115" s="48">
        <v>46104</v>
      </c>
      <c r="D115" s="48">
        <v>46149</v>
      </c>
      <c r="E115" s="47" t="s">
        <v>16</v>
      </c>
      <c r="F115" s="47" t="s">
        <v>101</v>
      </c>
      <c r="G115" s="47"/>
      <c r="H115" s="47" t="s">
        <v>10495</v>
      </c>
      <c r="I115" s="47" t="s">
        <v>49</v>
      </c>
      <c r="J115" s="47">
        <v>2050.69</v>
      </c>
      <c r="K115" s="47">
        <v>2050.69</v>
      </c>
      <c r="L115" s="47"/>
      <c r="M115" s="47">
        <v>2050.69</v>
      </c>
      <c r="N115" s="47" t="s">
        <v>10496</v>
      </c>
      <c r="O115" s="47" t="s">
        <v>75</v>
      </c>
    </row>
    <row r="116" spans="1:15" ht="24" x14ac:dyDescent="0.2">
      <c r="A116" s="47" t="s">
        <v>10497</v>
      </c>
      <c r="B116" s="47" t="s">
        <v>10498</v>
      </c>
      <c r="C116" s="48">
        <v>46104</v>
      </c>
      <c r="D116" s="48">
        <v>46142</v>
      </c>
      <c r="E116" s="47" t="s">
        <v>16</v>
      </c>
      <c r="F116" s="47" t="s">
        <v>101</v>
      </c>
      <c r="G116" s="47"/>
      <c r="H116" s="47" t="s">
        <v>10499</v>
      </c>
      <c r="I116" s="47" t="s">
        <v>49</v>
      </c>
      <c r="J116" s="47">
        <v>2050.69</v>
      </c>
      <c r="K116" s="47">
        <v>2050.69</v>
      </c>
      <c r="L116" s="47"/>
      <c r="M116" s="47">
        <v>2050.69</v>
      </c>
      <c r="N116" s="47" t="s">
        <v>10500</v>
      </c>
      <c r="O116" s="47" t="s">
        <v>75</v>
      </c>
    </row>
    <row r="117" spans="1:15" ht="24" x14ac:dyDescent="0.2">
      <c r="A117" s="47" t="s">
        <v>10501</v>
      </c>
      <c r="B117" s="47" t="s">
        <v>10502</v>
      </c>
      <c r="C117" s="48">
        <v>46104</v>
      </c>
      <c r="D117" s="48">
        <v>46135</v>
      </c>
      <c r="E117" s="47" t="s">
        <v>16</v>
      </c>
      <c r="F117" s="47" t="s">
        <v>101</v>
      </c>
      <c r="G117" s="47"/>
      <c r="H117" s="47" t="s">
        <v>10503</v>
      </c>
      <c r="I117" s="47" t="s">
        <v>49</v>
      </c>
      <c r="J117" s="47">
        <v>2050.69</v>
      </c>
      <c r="K117" s="47">
        <v>2050.69</v>
      </c>
      <c r="L117" s="47"/>
      <c r="M117" s="47">
        <v>2050.69</v>
      </c>
      <c r="N117" s="47" t="s">
        <v>10504</v>
      </c>
      <c r="O117" s="47" t="s">
        <v>75</v>
      </c>
    </row>
    <row r="118" spans="1:15" ht="24" x14ac:dyDescent="0.2">
      <c r="A118" s="47" t="s">
        <v>10505</v>
      </c>
      <c r="B118" s="47" t="s">
        <v>10506</v>
      </c>
      <c r="C118" s="48">
        <v>46104</v>
      </c>
      <c r="D118" s="48">
        <v>46128</v>
      </c>
      <c r="E118" s="47" t="s">
        <v>16</v>
      </c>
      <c r="F118" s="47" t="s">
        <v>101</v>
      </c>
      <c r="G118" s="47"/>
      <c r="H118" s="47" t="s">
        <v>10507</v>
      </c>
      <c r="I118" s="47" t="s">
        <v>49</v>
      </c>
      <c r="J118" s="47">
        <v>2050.69</v>
      </c>
      <c r="K118" s="47">
        <v>2050.69</v>
      </c>
      <c r="L118" s="47"/>
      <c r="M118" s="47">
        <v>2050.69</v>
      </c>
      <c r="N118" s="47" t="s">
        <v>10508</v>
      </c>
      <c r="O118" s="47" t="s">
        <v>75</v>
      </c>
    </row>
    <row r="119" spans="1:15" ht="24" x14ac:dyDescent="0.2">
      <c r="A119" s="47" t="s">
        <v>10509</v>
      </c>
      <c r="B119" s="47" t="s">
        <v>10510</v>
      </c>
      <c r="C119" s="48">
        <v>46104</v>
      </c>
      <c r="D119" s="48">
        <v>46121</v>
      </c>
      <c r="E119" s="47" t="s">
        <v>16</v>
      </c>
      <c r="F119" s="47" t="s">
        <v>101</v>
      </c>
      <c r="G119" s="47"/>
      <c r="H119" s="47" t="s">
        <v>10511</v>
      </c>
      <c r="I119" s="47" t="s">
        <v>49</v>
      </c>
      <c r="J119" s="47">
        <v>2050.69</v>
      </c>
      <c r="K119" s="47">
        <v>2050.69</v>
      </c>
      <c r="L119" s="47"/>
      <c r="M119" s="47">
        <v>2050.69</v>
      </c>
      <c r="N119" s="47" t="s">
        <v>10512</v>
      </c>
      <c r="O119" s="47" t="s">
        <v>75</v>
      </c>
    </row>
    <row r="120" spans="1:15" ht="24" x14ac:dyDescent="0.2">
      <c r="A120" s="47" t="s">
        <v>10513</v>
      </c>
      <c r="B120" s="47" t="s">
        <v>10514</v>
      </c>
      <c r="C120" s="48">
        <v>46104</v>
      </c>
      <c r="D120" s="48">
        <v>46167</v>
      </c>
      <c r="E120" s="47" t="s">
        <v>16</v>
      </c>
      <c r="F120" s="47" t="s">
        <v>101</v>
      </c>
      <c r="G120" s="47"/>
      <c r="H120" s="47" t="s">
        <v>10515</v>
      </c>
      <c r="I120" s="47" t="s">
        <v>49</v>
      </c>
      <c r="J120" s="47">
        <v>4906.5</v>
      </c>
      <c r="K120" s="47">
        <v>4906.5</v>
      </c>
      <c r="L120" s="47"/>
      <c r="M120" s="47">
        <v>4906.5</v>
      </c>
      <c r="N120" s="47" t="s">
        <v>10516</v>
      </c>
      <c r="O120" s="47" t="s">
        <v>75</v>
      </c>
    </row>
    <row r="121" spans="1:15" ht="24" x14ac:dyDescent="0.2">
      <c r="A121" s="47" t="s">
        <v>10517</v>
      </c>
      <c r="B121" s="47" t="s">
        <v>10518</v>
      </c>
      <c r="C121" s="48">
        <v>46104</v>
      </c>
      <c r="D121" s="48">
        <v>46155</v>
      </c>
      <c r="E121" s="47" t="s">
        <v>16</v>
      </c>
      <c r="F121" s="47" t="s">
        <v>101</v>
      </c>
      <c r="G121" s="47"/>
      <c r="H121" s="47" t="s">
        <v>10519</v>
      </c>
      <c r="I121" s="47" t="s">
        <v>49</v>
      </c>
      <c r="J121" s="47">
        <v>4906.5200000000004</v>
      </c>
      <c r="K121" s="47">
        <v>4906.5200000000004</v>
      </c>
      <c r="L121" s="47"/>
      <c r="M121" s="47">
        <v>4906.5200000000004</v>
      </c>
      <c r="N121" s="47" t="s">
        <v>10520</v>
      </c>
      <c r="O121" s="47" t="s">
        <v>75</v>
      </c>
    </row>
    <row r="122" spans="1:15" ht="24" x14ac:dyDescent="0.2">
      <c r="A122" s="47" t="s">
        <v>10521</v>
      </c>
      <c r="B122" s="47" t="s">
        <v>10522</v>
      </c>
      <c r="C122" s="48">
        <v>46104</v>
      </c>
      <c r="D122" s="48">
        <v>46150</v>
      </c>
      <c r="E122" s="47" t="s">
        <v>16</v>
      </c>
      <c r="F122" s="47" t="s">
        <v>101</v>
      </c>
      <c r="G122" s="47"/>
      <c r="H122" s="47" t="s">
        <v>10523</v>
      </c>
      <c r="I122" s="47" t="s">
        <v>49</v>
      </c>
      <c r="J122" s="47">
        <v>4906.5200000000004</v>
      </c>
      <c r="K122" s="47">
        <v>4906.5200000000004</v>
      </c>
      <c r="L122" s="47"/>
      <c r="M122" s="47">
        <v>4906.5200000000004</v>
      </c>
      <c r="N122" s="47" t="s">
        <v>10524</v>
      </c>
      <c r="O122" s="47" t="s">
        <v>75</v>
      </c>
    </row>
    <row r="123" spans="1:15" ht="24" x14ac:dyDescent="0.2">
      <c r="A123" s="47" t="s">
        <v>10525</v>
      </c>
      <c r="B123" s="47" t="s">
        <v>10526</v>
      </c>
      <c r="C123" s="48">
        <v>46104</v>
      </c>
      <c r="D123" s="48">
        <v>46140</v>
      </c>
      <c r="E123" s="47" t="s">
        <v>16</v>
      </c>
      <c r="F123" s="47" t="s">
        <v>101</v>
      </c>
      <c r="G123" s="47"/>
      <c r="H123" s="47" t="s">
        <v>10527</v>
      </c>
      <c r="I123" s="47" t="s">
        <v>49</v>
      </c>
      <c r="J123" s="47">
        <v>4906.5200000000004</v>
      </c>
      <c r="K123" s="47">
        <v>4906.5200000000004</v>
      </c>
      <c r="L123" s="47"/>
      <c r="M123" s="47">
        <v>4906.5200000000004</v>
      </c>
      <c r="N123" s="47" t="s">
        <v>10528</v>
      </c>
      <c r="O123" s="47" t="s">
        <v>75</v>
      </c>
    </row>
    <row r="124" spans="1:15" ht="24" x14ac:dyDescent="0.2">
      <c r="A124" s="47" t="s">
        <v>10529</v>
      </c>
      <c r="B124" s="47" t="s">
        <v>10530</v>
      </c>
      <c r="C124" s="48">
        <v>46104</v>
      </c>
      <c r="D124" s="48">
        <v>46135</v>
      </c>
      <c r="E124" s="47" t="s">
        <v>16</v>
      </c>
      <c r="F124" s="47" t="s">
        <v>101</v>
      </c>
      <c r="G124" s="47"/>
      <c r="H124" s="47" t="s">
        <v>10531</v>
      </c>
      <c r="I124" s="47" t="s">
        <v>49</v>
      </c>
      <c r="J124" s="47">
        <v>4906.5200000000004</v>
      </c>
      <c r="K124" s="47">
        <v>4906.5200000000004</v>
      </c>
      <c r="L124" s="47"/>
      <c r="M124" s="47">
        <v>4906.5200000000004</v>
      </c>
      <c r="N124" s="47" t="s">
        <v>10532</v>
      </c>
      <c r="O124" s="47" t="s">
        <v>75</v>
      </c>
    </row>
    <row r="125" spans="1:15" ht="24" x14ac:dyDescent="0.2">
      <c r="A125" s="47" t="s">
        <v>10533</v>
      </c>
      <c r="B125" s="47" t="s">
        <v>10534</v>
      </c>
      <c r="C125" s="48">
        <v>46104</v>
      </c>
      <c r="D125" s="48">
        <v>46167</v>
      </c>
      <c r="E125" s="47" t="s">
        <v>16</v>
      </c>
      <c r="F125" s="47" t="s">
        <v>101</v>
      </c>
      <c r="G125" s="47"/>
      <c r="H125" s="47" t="s">
        <v>10535</v>
      </c>
      <c r="I125" s="47" t="s">
        <v>49</v>
      </c>
      <c r="J125" s="47">
        <v>3525.72</v>
      </c>
      <c r="K125" s="47">
        <v>3525.72</v>
      </c>
      <c r="L125" s="47"/>
      <c r="M125" s="47">
        <v>3525.72</v>
      </c>
      <c r="N125" s="47" t="s">
        <v>10536</v>
      </c>
      <c r="O125" s="47" t="s">
        <v>75</v>
      </c>
    </row>
    <row r="126" spans="1:15" ht="24" x14ac:dyDescent="0.2">
      <c r="A126" s="47" t="s">
        <v>10537</v>
      </c>
      <c r="B126" s="47" t="s">
        <v>10538</v>
      </c>
      <c r="C126" s="48">
        <v>46104</v>
      </c>
      <c r="D126" s="48">
        <v>46160</v>
      </c>
      <c r="E126" s="47" t="s">
        <v>16</v>
      </c>
      <c r="F126" s="47" t="s">
        <v>101</v>
      </c>
      <c r="G126" s="47"/>
      <c r="H126" s="47" t="s">
        <v>10539</v>
      </c>
      <c r="I126" s="47" t="s">
        <v>49</v>
      </c>
      <c r="J126" s="47">
        <v>3525.74</v>
      </c>
      <c r="K126" s="47">
        <v>3525.74</v>
      </c>
      <c r="L126" s="47"/>
      <c r="M126" s="47">
        <v>3525.74</v>
      </c>
      <c r="N126" s="47" t="s">
        <v>10540</v>
      </c>
      <c r="O126" s="47" t="s">
        <v>75</v>
      </c>
    </row>
    <row r="127" spans="1:15" ht="24" x14ac:dyDescent="0.2">
      <c r="A127" s="47" t="s">
        <v>10541</v>
      </c>
      <c r="B127" s="47" t="s">
        <v>10542</v>
      </c>
      <c r="C127" s="48">
        <v>46104</v>
      </c>
      <c r="D127" s="48">
        <v>46155</v>
      </c>
      <c r="E127" s="47" t="s">
        <v>16</v>
      </c>
      <c r="F127" s="47" t="s">
        <v>101</v>
      </c>
      <c r="G127" s="47"/>
      <c r="H127" s="47" t="s">
        <v>10543</v>
      </c>
      <c r="I127" s="47" t="s">
        <v>49</v>
      </c>
      <c r="J127" s="47">
        <v>3525.74</v>
      </c>
      <c r="K127" s="47">
        <v>3525.74</v>
      </c>
      <c r="L127" s="47"/>
      <c r="M127" s="47">
        <v>3525.74</v>
      </c>
      <c r="N127" s="47" t="s">
        <v>10544</v>
      </c>
      <c r="O127" s="47" t="s">
        <v>75</v>
      </c>
    </row>
    <row r="128" spans="1:15" ht="24" x14ac:dyDescent="0.2">
      <c r="A128" s="47" t="s">
        <v>10545</v>
      </c>
      <c r="B128" s="47" t="s">
        <v>10546</v>
      </c>
      <c r="C128" s="48">
        <v>46104</v>
      </c>
      <c r="D128" s="48">
        <v>46150</v>
      </c>
      <c r="E128" s="47" t="s">
        <v>16</v>
      </c>
      <c r="F128" s="47" t="s">
        <v>101</v>
      </c>
      <c r="G128" s="47"/>
      <c r="H128" s="47" t="s">
        <v>10547</v>
      </c>
      <c r="I128" s="47" t="s">
        <v>49</v>
      </c>
      <c r="J128" s="47">
        <v>3525.74</v>
      </c>
      <c r="K128" s="47">
        <v>3525.74</v>
      </c>
      <c r="L128" s="47"/>
      <c r="M128" s="47">
        <v>3525.74</v>
      </c>
      <c r="N128" s="47" t="s">
        <v>10548</v>
      </c>
      <c r="O128" s="47" t="s">
        <v>75</v>
      </c>
    </row>
    <row r="129" spans="1:15" ht="24" x14ac:dyDescent="0.2">
      <c r="A129" s="47" t="s">
        <v>10549</v>
      </c>
      <c r="B129" s="47" t="s">
        <v>10550</v>
      </c>
      <c r="C129" s="48">
        <v>46104</v>
      </c>
      <c r="D129" s="48">
        <v>46140</v>
      </c>
      <c r="E129" s="47" t="s">
        <v>16</v>
      </c>
      <c r="F129" s="47" t="s">
        <v>101</v>
      </c>
      <c r="G129" s="47"/>
      <c r="H129" s="47" t="s">
        <v>10551</v>
      </c>
      <c r="I129" s="47" t="s">
        <v>49</v>
      </c>
      <c r="J129" s="47">
        <v>3525.74</v>
      </c>
      <c r="K129" s="47">
        <v>3525.74</v>
      </c>
      <c r="L129" s="47"/>
      <c r="M129" s="47">
        <v>3525.74</v>
      </c>
      <c r="N129" s="47" t="s">
        <v>10552</v>
      </c>
      <c r="O129" s="47" t="s">
        <v>75</v>
      </c>
    </row>
    <row r="130" spans="1:15" ht="24" x14ac:dyDescent="0.2">
      <c r="A130" s="47" t="s">
        <v>10553</v>
      </c>
      <c r="B130" s="47" t="s">
        <v>10554</v>
      </c>
      <c r="C130" s="48">
        <v>46104</v>
      </c>
      <c r="D130" s="48">
        <v>46135</v>
      </c>
      <c r="E130" s="47" t="s">
        <v>16</v>
      </c>
      <c r="F130" s="47" t="s">
        <v>101</v>
      </c>
      <c r="G130" s="47"/>
      <c r="H130" s="47" t="s">
        <v>10555</v>
      </c>
      <c r="I130" s="47" t="s">
        <v>49</v>
      </c>
      <c r="J130" s="47">
        <v>3525.74</v>
      </c>
      <c r="K130" s="47">
        <v>3525.74</v>
      </c>
      <c r="L130" s="47"/>
      <c r="M130" s="47">
        <v>3525.74</v>
      </c>
      <c r="N130" s="47" t="s">
        <v>10556</v>
      </c>
      <c r="O130" s="47" t="s">
        <v>75</v>
      </c>
    </row>
    <row r="131" spans="1:15" ht="24" x14ac:dyDescent="0.2">
      <c r="A131" s="47" t="s">
        <v>10557</v>
      </c>
      <c r="B131" s="47" t="s">
        <v>10558</v>
      </c>
      <c r="C131" s="48">
        <v>46090</v>
      </c>
      <c r="D131" s="48">
        <v>46087</v>
      </c>
      <c r="E131" s="47" t="s">
        <v>16</v>
      </c>
      <c r="F131" s="47" t="s">
        <v>101</v>
      </c>
      <c r="G131" s="47"/>
      <c r="H131" s="47" t="s">
        <v>10559</v>
      </c>
      <c r="I131" s="47" t="s">
        <v>49</v>
      </c>
      <c r="J131" s="47">
        <v>2726.74</v>
      </c>
      <c r="K131" s="47">
        <v>2726.74</v>
      </c>
      <c r="L131" s="47"/>
      <c r="M131" s="47">
        <v>2726.74</v>
      </c>
      <c r="N131" s="47" t="s">
        <v>10560</v>
      </c>
      <c r="O131" s="47" t="s">
        <v>75</v>
      </c>
    </row>
    <row r="132" spans="1:15" ht="24" x14ac:dyDescent="0.2">
      <c r="A132" s="47" t="s">
        <v>10561</v>
      </c>
      <c r="B132" s="47" t="s">
        <v>10562</v>
      </c>
      <c r="C132" s="48">
        <v>46090</v>
      </c>
      <c r="D132" s="48">
        <v>46083</v>
      </c>
      <c r="E132" s="47" t="s">
        <v>16</v>
      </c>
      <c r="F132" s="47" t="s">
        <v>101</v>
      </c>
      <c r="G132" s="47"/>
      <c r="H132" s="47" t="s">
        <v>10563</v>
      </c>
      <c r="I132" s="47" t="s">
        <v>49</v>
      </c>
      <c r="J132" s="47">
        <v>2726.74</v>
      </c>
      <c r="K132" s="47">
        <v>2726.74</v>
      </c>
      <c r="L132" s="47"/>
      <c r="M132" s="47">
        <v>2726.74</v>
      </c>
      <c r="N132" s="47" t="s">
        <v>10564</v>
      </c>
      <c r="O132" s="47" t="s">
        <v>75</v>
      </c>
    </row>
    <row r="133" spans="1:15" ht="24" x14ac:dyDescent="0.2">
      <c r="A133" s="47" t="s">
        <v>10565</v>
      </c>
      <c r="B133" s="47" t="s">
        <v>10566</v>
      </c>
      <c r="C133" s="48">
        <v>46090</v>
      </c>
      <c r="D133" s="48">
        <v>46090</v>
      </c>
      <c r="E133" s="47" t="s">
        <v>16</v>
      </c>
      <c r="F133" s="47" t="s">
        <v>101</v>
      </c>
      <c r="G133" s="47"/>
      <c r="H133" s="47" t="s">
        <v>10567</v>
      </c>
      <c r="I133" s="47" t="s">
        <v>49</v>
      </c>
      <c r="J133" s="47">
        <v>5424.44</v>
      </c>
      <c r="K133" s="47">
        <v>5424.44</v>
      </c>
      <c r="L133" s="47"/>
      <c r="M133" s="47">
        <v>5424.44</v>
      </c>
      <c r="N133" s="47" t="s">
        <v>10568</v>
      </c>
      <c r="O133" s="47" t="s">
        <v>75</v>
      </c>
    </row>
    <row r="134" spans="1:15" ht="24" x14ac:dyDescent="0.2">
      <c r="A134" s="47" t="s">
        <v>10569</v>
      </c>
      <c r="B134" s="47" t="s">
        <v>10570</v>
      </c>
      <c r="C134" s="48">
        <v>46090</v>
      </c>
      <c r="D134" s="48">
        <v>46083</v>
      </c>
      <c r="E134" s="47" t="s">
        <v>16</v>
      </c>
      <c r="F134" s="47" t="s">
        <v>101</v>
      </c>
      <c r="G134" s="47"/>
      <c r="H134" s="47" t="s">
        <v>10571</v>
      </c>
      <c r="I134" s="47" t="s">
        <v>49</v>
      </c>
      <c r="J134" s="47">
        <v>5424.44</v>
      </c>
      <c r="K134" s="47">
        <v>5424.44</v>
      </c>
      <c r="L134" s="47"/>
      <c r="M134" s="47">
        <v>5424.44</v>
      </c>
      <c r="N134" s="47" t="s">
        <v>10572</v>
      </c>
      <c r="O134" s="47" t="s">
        <v>75</v>
      </c>
    </row>
    <row r="136" spans="1:15" x14ac:dyDescent="0.2">
      <c r="M136" s="33">
        <f>SUM(M3:M135)</f>
        <v>1255034.2800000003</v>
      </c>
    </row>
  </sheetData>
  <conditionalFormatting sqref="N2:N1048576">
    <cfRule type="duplicateValues" dxfId="41" priority="2"/>
  </conditionalFormatting>
  <conditionalFormatting sqref="N1">
    <cfRule type="duplicateValues" dxfId="6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C649-44E0-4D2F-8983-2BD09571D70F}">
  <dimension ref="A1:O98"/>
  <sheetViews>
    <sheetView showGridLines="0" workbookViewId="0">
      <selection sqref="A1:XFD1"/>
    </sheetView>
  </sheetViews>
  <sheetFormatPr baseColWidth="10" defaultColWidth="11.85546875" defaultRowHeight="11.25" x14ac:dyDescent="0.2"/>
  <cols>
    <col min="1" max="12" width="11.85546875" style="8"/>
    <col min="13" max="13" width="11.85546875" style="9"/>
    <col min="14" max="16384" width="11.85546875" style="8"/>
  </cols>
  <sheetData>
    <row r="1" spans="1:15" s="18" customFormat="1" ht="25.5" customHeight="1" x14ac:dyDescent="0.25">
      <c r="A1" s="104" t="s">
        <v>33</v>
      </c>
      <c r="B1" s="104" t="s">
        <v>34</v>
      </c>
      <c r="C1" s="104" t="s">
        <v>35</v>
      </c>
      <c r="D1" s="104" t="s">
        <v>36</v>
      </c>
      <c r="E1" s="104" t="s">
        <v>37</v>
      </c>
      <c r="F1" s="104" t="s">
        <v>38</v>
      </c>
      <c r="G1" s="104" t="s">
        <v>39</v>
      </c>
      <c r="H1" s="104" t="s">
        <v>40</v>
      </c>
      <c r="I1" s="104" t="s">
        <v>41</v>
      </c>
      <c r="J1" s="104" t="s">
        <v>42</v>
      </c>
      <c r="K1" s="104" t="s">
        <v>3</v>
      </c>
      <c r="L1" s="104" t="s">
        <v>4</v>
      </c>
      <c r="M1" s="104" t="s">
        <v>43</v>
      </c>
      <c r="N1" s="104" t="s">
        <v>44</v>
      </c>
      <c r="O1" s="104" t="s">
        <v>45</v>
      </c>
    </row>
    <row r="2" spans="1:15" ht="33.75" customHeight="1" x14ac:dyDescent="0.2">
      <c r="A2" s="95" t="s">
        <v>9706</v>
      </c>
      <c r="B2" s="96"/>
      <c r="C2" s="96"/>
      <c r="D2" s="97"/>
      <c r="E2" s="38"/>
      <c r="F2" s="38"/>
      <c r="G2" s="38"/>
      <c r="H2" s="38"/>
      <c r="I2" s="38"/>
      <c r="J2" s="38"/>
      <c r="K2" s="38"/>
      <c r="L2" s="38"/>
      <c r="M2" s="39"/>
      <c r="N2" s="38"/>
      <c r="O2" s="38"/>
    </row>
    <row r="3" spans="1:15" ht="33.75" x14ac:dyDescent="0.2">
      <c r="A3" s="40" t="s">
        <v>9707</v>
      </c>
      <c r="B3" s="40" t="s">
        <v>9707</v>
      </c>
      <c r="C3" s="41">
        <v>46099</v>
      </c>
      <c r="D3" s="41">
        <v>46181</v>
      </c>
      <c r="E3" s="40" t="s">
        <v>18</v>
      </c>
      <c r="F3" s="40" t="s">
        <v>593</v>
      </c>
      <c r="G3" s="40"/>
      <c r="H3" s="40"/>
      <c r="I3" s="40" t="s">
        <v>49</v>
      </c>
      <c r="J3" s="40">
        <v>2045.58</v>
      </c>
      <c r="K3" s="40">
        <v>2045.58</v>
      </c>
      <c r="L3" s="40"/>
      <c r="M3" s="40">
        <v>2045.58</v>
      </c>
      <c r="N3" s="40"/>
      <c r="O3" s="40" t="s">
        <v>234</v>
      </c>
    </row>
    <row r="4" spans="1:15" ht="33.75" x14ac:dyDescent="0.2">
      <c r="A4" s="40" t="s">
        <v>9708</v>
      </c>
      <c r="B4" s="40" t="s">
        <v>9708</v>
      </c>
      <c r="C4" s="41">
        <v>46099</v>
      </c>
      <c r="D4" s="41">
        <v>46164</v>
      </c>
      <c r="E4" s="40" t="s">
        <v>18</v>
      </c>
      <c r="F4" s="40" t="s">
        <v>593</v>
      </c>
      <c r="G4" s="40"/>
      <c r="H4" s="40"/>
      <c r="I4" s="40" t="s">
        <v>49</v>
      </c>
      <c r="J4" s="40">
        <v>2045.56</v>
      </c>
      <c r="K4" s="40">
        <v>2045.56</v>
      </c>
      <c r="L4" s="40"/>
      <c r="M4" s="40">
        <v>2045.56</v>
      </c>
      <c r="N4" s="40" t="s">
        <v>9709</v>
      </c>
      <c r="O4" s="40" t="s">
        <v>234</v>
      </c>
    </row>
    <row r="5" spans="1:15" ht="33.75" x14ac:dyDescent="0.2">
      <c r="A5" s="40" t="s">
        <v>9710</v>
      </c>
      <c r="B5" s="40" t="s">
        <v>9710</v>
      </c>
      <c r="C5" s="41">
        <v>46099</v>
      </c>
      <c r="D5" s="41">
        <v>46157</v>
      </c>
      <c r="E5" s="40" t="s">
        <v>18</v>
      </c>
      <c r="F5" s="40" t="s">
        <v>593</v>
      </c>
      <c r="G5" s="40"/>
      <c r="H5" s="40"/>
      <c r="I5" s="40" t="s">
        <v>49</v>
      </c>
      <c r="J5" s="40">
        <v>2045.56</v>
      </c>
      <c r="K5" s="40">
        <v>2045.56</v>
      </c>
      <c r="L5" s="40"/>
      <c r="M5" s="40">
        <v>2045.56</v>
      </c>
      <c r="N5" s="40" t="s">
        <v>9711</v>
      </c>
      <c r="O5" s="40" t="s">
        <v>234</v>
      </c>
    </row>
    <row r="6" spans="1:15" ht="33.75" x14ac:dyDescent="0.2">
      <c r="A6" s="40" t="s">
        <v>9712</v>
      </c>
      <c r="B6" s="40" t="s">
        <v>9712</v>
      </c>
      <c r="C6" s="41">
        <v>46099</v>
      </c>
      <c r="D6" s="41">
        <v>46150</v>
      </c>
      <c r="E6" s="40" t="s">
        <v>18</v>
      </c>
      <c r="F6" s="40" t="s">
        <v>593</v>
      </c>
      <c r="G6" s="40"/>
      <c r="H6" s="40"/>
      <c r="I6" s="40" t="s">
        <v>49</v>
      </c>
      <c r="J6" s="40">
        <v>2045.56</v>
      </c>
      <c r="K6" s="40">
        <v>2045.56</v>
      </c>
      <c r="L6" s="40"/>
      <c r="M6" s="40">
        <v>2045.56</v>
      </c>
      <c r="N6" s="40" t="s">
        <v>9713</v>
      </c>
      <c r="O6" s="40" t="s">
        <v>234</v>
      </c>
    </row>
    <row r="7" spans="1:15" ht="33.75" x14ac:dyDescent="0.2">
      <c r="A7" s="40" t="s">
        <v>9714</v>
      </c>
      <c r="B7" s="40" t="s">
        <v>9714</v>
      </c>
      <c r="C7" s="41">
        <v>46099</v>
      </c>
      <c r="D7" s="41">
        <v>46143</v>
      </c>
      <c r="E7" s="40" t="s">
        <v>18</v>
      </c>
      <c r="F7" s="40" t="s">
        <v>593</v>
      </c>
      <c r="G7" s="40"/>
      <c r="H7" s="40"/>
      <c r="I7" s="40" t="s">
        <v>49</v>
      </c>
      <c r="J7" s="40">
        <v>2045.56</v>
      </c>
      <c r="K7" s="40">
        <v>2045.56</v>
      </c>
      <c r="L7" s="40"/>
      <c r="M7" s="40">
        <v>2045.56</v>
      </c>
      <c r="N7" s="40" t="s">
        <v>9715</v>
      </c>
      <c r="O7" s="40" t="s">
        <v>234</v>
      </c>
    </row>
    <row r="8" spans="1:15" ht="33.75" x14ac:dyDescent="0.2">
      <c r="A8" s="40" t="s">
        <v>9716</v>
      </c>
      <c r="B8" s="40" t="s">
        <v>9716</v>
      </c>
      <c r="C8" s="41">
        <v>46099</v>
      </c>
      <c r="D8" s="41">
        <v>46136</v>
      </c>
      <c r="E8" s="40" t="s">
        <v>18</v>
      </c>
      <c r="F8" s="40" t="s">
        <v>593</v>
      </c>
      <c r="G8" s="40"/>
      <c r="H8" s="40"/>
      <c r="I8" s="40" t="s">
        <v>49</v>
      </c>
      <c r="J8" s="40">
        <v>2045.56</v>
      </c>
      <c r="K8" s="40">
        <v>2045.56</v>
      </c>
      <c r="L8" s="40"/>
      <c r="M8" s="40">
        <v>2045.56</v>
      </c>
      <c r="N8" s="40" t="s">
        <v>9717</v>
      </c>
      <c r="O8" s="40" t="s">
        <v>234</v>
      </c>
    </row>
    <row r="9" spans="1:15" ht="33.75" x14ac:dyDescent="0.2">
      <c r="A9" s="40" t="s">
        <v>9718</v>
      </c>
      <c r="B9" s="40" t="s">
        <v>9718</v>
      </c>
      <c r="C9" s="41">
        <v>46099</v>
      </c>
      <c r="D9" s="41">
        <v>46167</v>
      </c>
      <c r="E9" s="40" t="s">
        <v>18</v>
      </c>
      <c r="F9" s="40" t="s">
        <v>593</v>
      </c>
      <c r="G9" s="40"/>
      <c r="H9" s="40"/>
      <c r="I9" s="40" t="s">
        <v>49</v>
      </c>
      <c r="J9" s="40">
        <v>2768.71</v>
      </c>
      <c r="K9" s="40">
        <v>2768.71</v>
      </c>
      <c r="L9" s="40"/>
      <c r="M9" s="40">
        <v>2768.71</v>
      </c>
      <c r="N9" s="40" t="s">
        <v>9719</v>
      </c>
      <c r="O9" s="40" t="s">
        <v>234</v>
      </c>
    </row>
    <row r="10" spans="1:15" ht="33.75" x14ac:dyDescent="0.2">
      <c r="A10" s="40" t="s">
        <v>9720</v>
      </c>
      <c r="B10" s="40" t="s">
        <v>9720</v>
      </c>
      <c r="C10" s="41">
        <v>46099</v>
      </c>
      <c r="D10" s="41">
        <v>46149</v>
      </c>
      <c r="E10" s="40" t="s">
        <v>18</v>
      </c>
      <c r="F10" s="40" t="s">
        <v>593</v>
      </c>
      <c r="G10" s="40"/>
      <c r="H10" s="40"/>
      <c r="I10" s="40" t="s">
        <v>49</v>
      </c>
      <c r="J10" s="40">
        <v>2768.71</v>
      </c>
      <c r="K10" s="40">
        <v>2768.71</v>
      </c>
      <c r="L10" s="40"/>
      <c r="M10" s="40">
        <v>2768.71</v>
      </c>
      <c r="N10" s="40" t="s">
        <v>9721</v>
      </c>
      <c r="O10" s="40" t="s">
        <v>234</v>
      </c>
    </row>
    <row r="11" spans="1:15" ht="33.75" x14ac:dyDescent="0.2">
      <c r="A11" s="40" t="s">
        <v>9722</v>
      </c>
      <c r="B11" s="40" t="s">
        <v>9722</v>
      </c>
      <c r="C11" s="41">
        <v>46099</v>
      </c>
      <c r="D11" s="41">
        <v>46142</v>
      </c>
      <c r="E11" s="40" t="s">
        <v>18</v>
      </c>
      <c r="F11" s="40" t="s">
        <v>593</v>
      </c>
      <c r="G11" s="40"/>
      <c r="H11" s="40"/>
      <c r="I11" s="40" t="s">
        <v>49</v>
      </c>
      <c r="J11" s="40">
        <v>2768.71</v>
      </c>
      <c r="K11" s="40">
        <v>2768.71</v>
      </c>
      <c r="L11" s="40"/>
      <c r="M11" s="40">
        <v>2768.71</v>
      </c>
      <c r="N11" s="40" t="s">
        <v>9723</v>
      </c>
      <c r="O11" s="40" t="s">
        <v>234</v>
      </c>
    </row>
    <row r="12" spans="1:15" ht="33.75" x14ac:dyDescent="0.2">
      <c r="A12" s="40" t="s">
        <v>9724</v>
      </c>
      <c r="B12" s="40" t="s">
        <v>9724</v>
      </c>
      <c r="C12" s="41">
        <v>46099</v>
      </c>
      <c r="D12" s="41">
        <v>46135</v>
      </c>
      <c r="E12" s="40" t="s">
        <v>18</v>
      </c>
      <c r="F12" s="40" t="s">
        <v>593</v>
      </c>
      <c r="G12" s="40"/>
      <c r="H12" s="40"/>
      <c r="I12" s="40" t="s">
        <v>49</v>
      </c>
      <c r="J12" s="40">
        <v>2768.71</v>
      </c>
      <c r="K12" s="40">
        <v>2768.71</v>
      </c>
      <c r="L12" s="40"/>
      <c r="M12" s="40">
        <v>2768.71</v>
      </c>
      <c r="N12" s="40" t="s">
        <v>9725</v>
      </c>
      <c r="O12" s="40" t="s">
        <v>234</v>
      </c>
    </row>
    <row r="13" spans="1:15" ht="33.75" x14ac:dyDescent="0.2">
      <c r="A13" s="40" t="s">
        <v>9726</v>
      </c>
      <c r="B13" s="40" t="s">
        <v>9726</v>
      </c>
      <c r="C13" s="41">
        <v>46099</v>
      </c>
      <c r="D13" s="41">
        <v>46128</v>
      </c>
      <c r="E13" s="40" t="s">
        <v>18</v>
      </c>
      <c r="F13" s="40" t="s">
        <v>593</v>
      </c>
      <c r="G13" s="40"/>
      <c r="H13" s="40"/>
      <c r="I13" s="40" t="s">
        <v>49</v>
      </c>
      <c r="J13" s="40">
        <v>2768.71</v>
      </c>
      <c r="K13" s="40">
        <v>2768.71</v>
      </c>
      <c r="L13" s="40"/>
      <c r="M13" s="40">
        <v>2768.71</v>
      </c>
      <c r="N13" s="40" t="s">
        <v>9727</v>
      </c>
      <c r="O13" s="40" t="s">
        <v>234</v>
      </c>
    </row>
    <row r="14" spans="1:15" ht="33.75" x14ac:dyDescent="0.2">
      <c r="A14" s="40" t="s">
        <v>9728</v>
      </c>
      <c r="B14" s="40" t="s">
        <v>9728</v>
      </c>
      <c r="C14" s="41">
        <v>46099</v>
      </c>
      <c r="D14" s="41">
        <v>46160</v>
      </c>
      <c r="E14" s="40" t="s">
        <v>18</v>
      </c>
      <c r="F14" s="40" t="s">
        <v>593</v>
      </c>
      <c r="G14" s="40"/>
      <c r="H14" s="40"/>
      <c r="I14" s="40" t="s">
        <v>49</v>
      </c>
      <c r="J14" s="40">
        <v>2316.25</v>
      </c>
      <c r="K14" s="40">
        <v>2316.25</v>
      </c>
      <c r="L14" s="40"/>
      <c r="M14" s="40">
        <v>2316.25</v>
      </c>
      <c r="N14" s="40" t="s">
        <v>9729</v>
      </c>
      <c r="O14" s="40" t="s">
        <v>234</v>
      </c>
    </row>
    <row r="15" spans="1:15" ht="33.75" x14ac:dyDescent="0.2">
      <c r="A15" s="40" t="s">
        <v>9730</v>
      </c>
      <c r="B15" s="40" t="s">
        <v>9730</v>
      </c>
      <c r="C15" s="41">
        <v>46099</v>
      </c>
      <c r="D15" s="41">
        <v>46150</v>
      </c>
      <c r="E15" s="40" t="s">
        <v>18</v>
      </c>
      <c r="F15" s="40" t="s">
        <v>593</v>
      </c>
      <c r="G15" s="40"/>
      <c r="H15" s="40"/>
      <c r="I15" s="40" t="s">
        <v>49</v>
      </c>
      <c r="J15" s="40">
        <v>2316.2600000000002</v>
      </c>
      <c r="K15" s="40">
        <v>2316.2600000000002</v>
      </c>
      <c r="L15" s="40"/>
      <c r="M15" s="40">
        <v>2316.2600000000002</v>
      </c>
      <c r="N15" s="40" t="s">
        <v>9731</v>
      </c>
      <c r="O15" s="40" t="s">
        <v>234</v>
      </c>
    </row>
    <row r="16" spans="1:15" ht="33.75" x14ac:dyDescent="0.2">
      <c r="A16" s="40" t="s">
        <v>9732</v>
      </c>
      <c r="B16" s="40" t="s">
        <v>9732</v>
      </c>
      <c r="C16" s="41">
        <v>46099</v>
      </c>
      <c r="D16" s="41">
        <v>46140</v>
      </c>
      <c r="E16" s="40" t="s">
        <v>18</v>
      </c>
      <c r="F16" s="40" t="s">
        <v>593</v>
      </c>
      <c r="G16" s="40"/>
      <c r="H16" s="40"/>
      <c r="I16" s="40" t="s">
        <v>49</v>
      </c>
      <c r="J16" s="40">
        <v>2316.2600000000002</v>
      </c>
      <c r="K16" s="40">
        <v>2316.2600000000002</v>
      </c>
      <c r="L16" s="40"/>
      <c r="M16" s="40">
        <v>2316.2600000000002</v>
      </c>
      <c r="N16" s="40" t="s">
        <v>9733</v>
      </c>
      <c r="O16" s="40" t="s">
        <v>234</v>
      </c>
    </row>
    <row r="17" spans="1:15" ht="33.75" x14ac:dyDescent="0.2">
      <c r="A17" s="40" t="s">
        <v>9734</v>
      </c>
      <c r="B17" s="40" t="s">
        <v>9734</v>
      </c>
      <c r="C17" s="41">
        <v>46099</v>
      </c>
      <c r="D17" s="41">
        <v>46132</v>
      </c>
      <c r="E17" s="40" t="s">
        <v>18</v>
      </c>
      <c r="F17" s="40" t="s">
        <v>593</v>
      </c>
      <c r="G17" s="40"/>
      <c r="H17" s="40"/>
      <c r="I17" s="40" t="s">
        <v>49</v>
      </c>
      <c r="J17" s="40">
        <v>2316.2600000000002</v>
      </c>
      <c r="K17" s="40">
        <v>2316.2600000000002</v>
      </c>
      <c r="L17" s="40"/>
      <c r="M17" s="40">
        <v>2316.2600000000002</v>
      </c>
      <c r="N17" s="40" t="s">
        <v>9735</v>
      </c>
      <c r="O17" s="40" t="s">
        <v>234</v>
      </c>
    </row>
    <row r="18" spans="1:15" ht="33.75" x14ac:dyDescent="0.2">
      <c r="A18" s="40" t="s">
        <v>9736</v>
      </c>
      <c r="B18" s="40" t="s">
        <v>9736</v>
      </c>
      <c r="C18" s="41">
        <v>46099</v>
      </c>
      <c r="D18" s="41">
        <v>46177</v>
      </c>
      <c r="E18" s="40" t="s">
        <v>18</v>
      </c>
      <c r="F18" s="40" t="s">
        <v>863</v>
      </c>
      <c r="G18" s="40"/>
      <c r="H18" s="40"/>
      <c r="I18" s="40" t="s">
        <v>49</v>
      </c>
      <c r="J18" s="40">
        <v>6764</v>
      </c>
      <c r="K18" s="40">
        <v>6764</v>
      </c>
      <c r="L18" s="40"/>
      <c r="M18" s="40">
        <v>6764</v>
      </c>
      <c r="N18" s="40"/>
      <c r="O18" s="40" t="s">
        <v>234</v>
      </c>
    </row>
    <row r="19" spans="1:15" ht="33.75" x14ac:dyDescent="0.2">
      <c r="A19" s="40" t="s">
        <v>9737</v>
      </c>
      <c r="B19" s="40" t="s">
        <v>9737</v>
      </c>
      <c r="C19" s="41">
        <v>46099</v>
      </c>
      <c r="D19" s="41">
        <v>46157</v>
      </c>
      <c r="E19" s="40" t="s">
        <v>18</v>
      </c>
      <c r="F19" s="40" t="s">
        <v>863</v>
      </c>
      <c r="G19" s="40"/>
      <c r="H19" s="40"/>
      <c r="I19" s="40" t="s">
        <v>49</v>
      </c>
      <c r="J19" s="40">
        <v>6764</v>
      </c>
      <c r="K19" s="40">
        <v>6764</v>
      </c>
      <c r="L19" s="40"/>
      <c r="M19" s="40">
        <v>6764</v>
      </c>
      <c r="N19" s="40" t="s">
        <v>9738</v>
      </c>
      <c r="O19" s="40" t="s">
        <v>234</v>
      </c>
    </row>
    <row r="20" spans="1:15" ht="33.75" x14ac:dyDescent="0.2">
      <c r="A20" s="40" t="s">
        <v>9739</v>
      </c>
      <c r="B20" s="40" t="s">
        <v>9739</v>
      </c>
      <c r="C20" s="41">
        <v>46099</v>
      </c>
      <c r="D20" s="41">
        <v>46153</v>
      </c>
      <c r="E20" s="40" t="s">
        <v>18</v>
      </c>
      <c r="F20" s="40" t="s">
        <v>863</v>
      </c>
      <c r="G20" s="40"/>
      <c r="H20" s="40"/>
      <c r="I20" s="40" t="s">
        <v>49</v>
      </c>
      <c r="J20" s="40">
        <v>6764</v>
      </c>
      <c r="K20" s="40">
        <v>6764</v>
      </c>
      <c r="L20" s="40"/>
      <c r="M20" s="40">
        <v>6764</v>
      </c>
      <c r="N20" s="40" t="s">
        <v>9740</v>
      </c>
      <c r="O20" s="40" t="s">
        <v>234</v>
      </c>
    </row>
    <row r="21" spans="1:15" ht="33.75" x14ac:dyDescent="0.2">
      <c r="A21" s="40" t="s">
        <v>9741</v>
      </c>
      <c r="B21" s="40" t="s">
        <v>9741</v>
      </c>
      <c r="C21" s="41">
        <v>46099</v>
      </c>
      <c r="D21" s="41">
        <v>46147</v>
      </c>
      <c r="E21" s="40" t="s">
        <v>18</v>
      </c>
      <c r="F21" s="40" t="s">
        <v>863</v>
      </c>
      <c r="G21" s="40"/>
      <c r="H21" s="40"/>
      <c r="I21" s="40" t="s">
        <v>49</v>
      </c>
      <c r="J21" s="40">
        <v>6764</v>
      </c>
      <c r="K21" s="40">
        <v>6764</v>
      </c>
      <c r="L21" s="40"/>
      <c r="M21" s="40">
        <v>6764</v>
      </c>
      <c r="N21" s="40" t="s">
        <v>9742</v>
      </c>
      <c r="O21" s="40" t="s">
        <v>234</v>
      </c>
    </row>
    <row r="22" spans="1:15" ht="33.75" x14ac:dyDescent="0.2">
      <c r="A22" s="40" t="s">
        <v>9743</v>
      </c>
      <c r="B22" s="40" t="s">
        <v>9743</v>
      </c>
      <c r="C22" s="41">
        <v>46099</v>
      </c>
      <c r="D22" s="41">
        <v>46142</v>
      </c>
      <c r="E22" s="40" t="s">
        <v>18</v>
      </c>
      <c r="F22" s="40" t="s">
        <v>863</v>
      </c>
      <c r="G22" s="40"/>
      <c r="H22" s="40"/>
      <c r="I22" s="40" t="s">
        <v>49</v>
      </c>
      <c r="J22" s="40">
        <v>6764</v>
      </c>
      <c r="K22" s="40">
        <v>6764</v>
      </c>
      <c r="L22" s="40"/>
      <c r="M22" s="40">
        <v>6764</v>
      </c>
      <c r="N22" s="40" t="s">
        <v>9744</v>
      </c>
      <c r="O22" s="40" t="s">
        <v>234</v>
      </c>
    </row>
    <row r="23" spans="1:15" ht="33.75" x14ac:dyDescent="0.2">
      <c r="A23" s="40" t="s">
        <v>9745</v>
      </c>
      <c r="B23" s="40" t="s">
        <v>9745</v>
      </c>
      <c r="C23" s="41">
        <v>46099</v>
      </c>
      <c r="D23" s="41">
        <v>46139</v>
      </c>
      <c r="E23" s="40" t="s">
        <v>18</v>
      </c>
      <c r="F23" s="40" t="s">
        <v>863</v>
      </c>
      <c r="G23" s="40"/>
      <c r="H23" s="40"/>
      <c r="I23" s="40" t="s">
        <v>49</v>
      </c>
      <c r="J23" s="40">
        <v>6764</v>
      </c>
      <c r="K23" s="40">
        <v>6764</v>
      </c>
      <c r="L23" s="40"/>
      <c r="M23" s="40">
        <v>6764</v>
      </c>
      <c r="N23" s="40" t="s">
        <v>9746</v>
      </c>
      <c r="O23" s="40" t="s">
        <v>234</v>
      </c>
    </row>
    <row r="24" spans="1:15" ht="33.75" x14ac:dyDescent="0.2">
      <c r="A24" s="40" t="s">
        <v>9747</v>
      </c>
      <c r="B24" s="40" t="s">
        <v>9747</v>
      </c>
      <c r="C24" s="41">
        <v>46099</v>
      </c>
      <c r="D24" s="41">
        <v>46132</v>
      </c>
      <c r="E24" s="40" t="s">
        <v>18</v>
      </c>
      <c r="F24" s="40" t="s">
        <v>863</v>
      </c>
      <c r="G24" s="40"/>
      <c r="H24" s="40"/>
      <c r="I24" s="40" t="s">
        <v>49</v>
      </c>
      <c r="J24" s="40">
        <v>6764</v>
      </c>
      <c r="K24" s="40">
        <v>6764</v>
      </c>
      <c r="L24" s="40"/>
      <c r="M24" s="40">
        <v>6764</v>
      </c>
      <c r="N24" s="40" t="s">
        <v>9748</v>
      </c>
      <c r="O24" s="40" t="s">
        <v>234</v>
      </c>
    </row>
    <row r="25" spans="1:15" ht="90" x14ac:dyDescent="0.2">
      <c r="A25" s="40" t="s">
        <v>9749</v>
      </c>
      <c r="B25" s="40" t="s">
        <v>9749</v>
      </c>
      <c r="C25" s="41">
        <v>46099</v>
      </c>
      <c r="D25" s="41">
        <v>46154</v>
      </c>
      <c r="E25" s="40" t="s">
        <v>18</v>
      </c>
      <c r="F25" s="40" t="s">
        <v>598</v>
      </c>
      <c r="G25" s="40"/>
      <c r="H25" s="40"/>
      <c r="I25" s="40" t="s">
        <v>49</v>
      </c>
      <c r="J25" s="40">
        <v>7526.9</v>
      </c>
      <c r="K25" s="40">
        <v>7526.9</v>
      </c>
      <c r="L25" s="40"/>
      <c r="M25" s="40">
        <v>7526.9</v>
      </c>
      <c r="N25" s="40" t="s">
        <v>9750</v>
      </c>
      <c r="O25" s="40" t="s">
        <v>234</v>
      </c>
    </row>
    <row r="26" spans="1:15" ht="90" x14ac:dyDescent="0.2">
      <c r="A26" s="40" t="s">
        <v>9751</v>
      </c>
      <c r="B26" s="40" t="s">
        <v>9751</v>
      </c>
      <c r="C26" s="41">
        <v>46099</v>
      </c>
      <c r="D26" s="41">
        <v>46146</v>
      </c>
      <c r="E26" s="40" t="s">
        <v>18</v>
      </c>
      <c r="F26" s="40" t="s">
        <v>598</v>
      </c>
      <c r="G26" s="40"/>
      <c r="H26" s="40"/>
      <c r="I26" s="40" t="s">
        <v>49</v>
      </c>
      <c r="J26" s="40">
        <v>7526.9</v>
      </c>
      <c r="K26" s="40">
        <v>7526.9</v>
      </c>
      <c r="L26" s="40"/>
      <c r="M26" s="40">
        <v>7526.9</v>
      </c>
      <c r="N26" s="40" t="s">
        <v>9752</v>
      </c>
      <c r="O26" s="40" t="s">
        <v>234</v>
      </c>
    </row>
    <row r="27" spans="1:15" ht="90" x14ac:dyDescent="0.2">
      <c r="A27" s="40" t="s">
        <v>9753</v>
      </c>
      <c r="B27" s="40" t="s">
        <v>9753</v>
      </c>
      <c r="C27" s="41">
        <v>46099</v>
      </c>
      <c r="D27" s="41">
        <v>46134</v>
      </c>
      <c r="E27" s="40" t="s">
        <v>18</v>
      </c>
      <c r="F27" s="40" t="s">
        <v>598</v>
      </c>
      <c r="G27" s="40"/>
      <c r="H27" s="40"/>
      <c r="I27" s="40" t="s">
        <v>49</v>
      </c>
      <c r="J27" s="40">
        <v>7526.9</v>
      </c>
      <c r="K27" s="40">
        <v>7526.9</v>
      </c>
      <c r="L27" s="40"/>
      <c r="M27" s="40">
        <v>7526.9</v>
      </c>
      <c r="N27" s="40" t="s">
        <v>9754</v>
      </c>
      <c r="O27" s="40" t="s">
        <v>234</v>
      </c>
    </row>
    <row r="28" spans="1:15" ht="90" x14ac:dyDescent="0.2">
      <c r="A28" s="40" t="s">
        <v>9755</v>
      </c>
      <c r="B28" s="40" t="s">
        <v>9755</v>
      </c>
      <c r="C28" s="41">
        <v>46099</v>
      </c>
      <c r="D28" s="41">
        <v>46125</v>
      </c>
      <c r="E28" s="40" t="s">
        <v>18</v>
      </c>
      <c r="F28" s="40" t="s">
        <v>598</v>
      </c>
      <c r="G28" s="40"/>
      <c r="H28" s="40"/>
      <c r="I28" s="40" t="s">
        <v>49</v>
      </c>
      <c r="J28" s="40">
        <v>7526.9</v>
      </c>
      <c r="K28" s="40">
        <v>7526.9</v>
      </c>
      <c r="L28" s="40"/>
      <c r="M28" s="40">
        <v>7526.9</v>
      </c>
      <c r="N28" s="40" t="s">
        <v>9756</v>
      </c>
      <c r="O28" s="40" t="s">
        <v>234</v>
      </c>
    </row>
    <row r="29" spans="1:15" ht="90" x14ac:dyDescent="0.2">
      <c r="A29" s="40" t="s">
        <v>9757</v>
      </c>
      <c r="B29" s="40" t="s">
        <v>9757</v>
      </c>
      <c r="C29" s="41">
        <v>46099</v>
      </c>
      <c r="D29" s="41">
        <v>46146</v>
      </c>
      <c r="E29" s="40" t="s">
        <v>18</v>
      </c>
      <c r="F29" s="40" t="s">
        <v>598</v>
      </c>
      <c r="G29" s="40"/>
      <c r="H29" s="40"/>
      <c r="I29" s="40" t="s">
        <v>49</v>
      </c>
      <c r="J29" s="40">
        <v>5400.22</v>
      </c>
      <c r="K29" s="40">
        <v>5400.22</v>
      </c>
      <c r="L29" s="40"/>
      <c r="M29" s="40">
        <v>5400.22</v>
      </c>
      <c r="N29" s="40" t="s">
        <v>9758</v>
      </c>
      <c r="O29" s="40" t="s">
        <v>234</v>
      </c>
    </row>
    <row r="30" spans="1:15" ht="90" x14ac:dyDescent="0.2">
      <c r="A30" s="40" t="s">
        <v>9759</v>
      </c>
      <c r="B30" s="40" t="s">
        <v>9759</v>
      </c>
      <c r="C30" s="41">
        <v>46099</v>
      </c>
      <c r="D30" s="41">
        <v>46134</v>
      </c>
      <c r="E30" s="40" t="s">
        <v>18</v>
      </c>
      <c r="F30" s="40" t="s">
        <v>598</v>
      </c>
      <c r="G30" s="40"/>
      <c r="H30" s="40"/>
      <c r="I30" s="40" t="s">
        <v>49</v>
      </c>
      <c r="J30" s="40">
        <v>5400.22</v>
      </c>
      <c r="K30" s="40">
        <v>5400.22</v>
      </c>
      <c r="L30" s="40"/>
      <c r="M30" s="40">
        <v>5400.22</v>
      </c>
      <c r="N30" s="40" t="s">
        <v>9760</v>
      </c>
      <c r="O30" s="40" t="s">
        <v>234</v>
      </c>
    </row>
    <row r="31" spans="1:15" ht="90" x14ac:dyDescent="0.2">
      <c r="A31" s="40" t="s">
        <v>9761</v>
      </c>
      <c r="B31" s="40" t="s">
        <v>9761</v>
      </c>
      <c r="C31" s="41">
        <v>46099</v>
      </c>
      <c r="D31" s="41">
        <v>46125</v>
      </c>
      <c r="E31" s="40" t="s">
        <v>18</v>
      </c>
      <c r="F31" s="40" t="s">
        <v>598</v>
      </c>
      <c r="G31" s="40"/>
      <c r="H31" s="40"/>
      <c r="I31" s="40" t="s">
        <v>49</v>
      </c>
      <c r="J31" s="40">
        <v>5400.22</v>
      </c>
      <c r="K31" s="40">
        <v>5400.22</v>
      </c>
      <c r="L31" s="40"/>
      <c r="M31" s="40">
        <v>5400.22</v>
      </c>
      <c r="N31" s="40" t="s">
        <v>9762</v>
      </c>
      <c r="O31" s="40" t="s">
        <v>234</v>
      </c>
    </row>
    <row r="32" spans="1:15" ht="90" x14ac:dyDescent="0.2">
      <c r="A32" s="40" t="s">
        <v>9763</v>
      </c>
      <c r="B32" s="40" t="s">
        <v>9763</v>
      </c>
      <c r="C32" s="41">
        <v>46099</v>
      </c>
      <c r="D32" s="41">
        <v>46114</v>
      </c>
      <c r="E32" s="40" t="s">
        <v>18</v>
      </c>
      <c r="F32" s="40" t="s">
        <v>598</v>
      </c>
      <c r="G32" s="40"/>
      <c r="H32" s="40"/>
      <c r="I32" s="40" t="s">
        <v>49</v>
      </c>
      <c r="J32" s="40">
        <v>5400.22</v>
      </c>
      <c r="K32" s="40">
        <v>5400.22</v>
      </c>
      <c r="L32" s="40"/>
      <c r="M32" s="40">
        <v>5400.22</v>
      </c>
      <c r="N32" s="40" t="s">
        <v>9764</v>
      </c>
      <c r="O32" s="40" t="s">
        <v>234</v>
      </c>
    </row>
    <row r="33" spans="1:15" ht="45" x14ac:dyDescent="0.2">
      <c r="A33" s="40" t="s">
        <v>9765</v>
      </c>
      <c r="B33" s="40" t="s">
        <v>9765</v>
      </c>
      <c r="C33" s="41">
        <v>46097</v>
      </c>
      <c r="D33" s="41">
        <v>46174</v>
      </c>
      <c r="E33" s="40" t="s">
        <v>18</v>
      </c>
      <c r="F33" s="40" t="s">
        <v>4656</v>
      </c>
      <c r="G33" s="40"/>
      <c r="H33" s="40"/>
      <c r="I33" s="40" t="s">
        <v>49</v>
      </c>
      <c r="J33" s="40">
        <v>9382.68</v>
      </c>
      <c r="K33" s="40">
        <v>9382.68</v>
      </c>
      <c r="L33" s="40"/>
      <c r="M33" s="40">
        <v>9382.68</v>
      </c>
      <c r="N33" s="40"/>
      <c r="O33" s="40" t="s">
        <v>234</v>
      </c>
    </row>
    <row r="34" spans="1:15" ht="45" x14ac:dyDescent="0.2">
      <c r="A34" s="40" t="s">
        <v>9766</v>
      </c>
      <c r="B34" s="40" t="s">
        <v>9766</v>
      </c>
      <c r="C34" s="41">
        <v>46097</v>
      </c>
      <c r="D34" s="41">
        <v>46167</v>
      </c>
      <c r="E34" s="40" t="s">
        <v>18</v>
      </c>
      <c r="F34" s="40" t="s">
        <v>4656</v>
      </c>
      <c r="G34" s="40"/>
      <c r="H34" s="40"/>
      <c r="I34" s="40" t="s">
        <v>49</v>
      </c>
      <c r="J34" s="40">
        <v>9382.7099999999991</v>
      </c>
      <c r="K34" s="40">
        <v>9382.7099999999991</v>
      </c>
      <c r="L34" s="40"/>
      <c r="M34" s="40">
        <v>9382.7099999999991</v>
      </c>
      <c r="N34" s="40" t="s">
        <v>9767</v>
      </c>
      <c r="O34" s="40" t="s">
        <v>234</v>
      </c>
    </row>
    <row r="35" spans="1:15" ht="45" x14ac:dyDescent="0.2">
      <c r="A35" s="40" t="s">
        <v>9768</v>
      </c>
      <c r="B35" s="40" t="s">
        <v>9768</v>
      </c>
      <c r="C35" s="41">
        <v>46097</v>
      </c>
      <c r="D35" s="41">
        <v>46157</v>
      </c>
      <c r="E35" s="40" t="s">
        <v>18</v>
      </c>
      <c r="F35" s="40" t="s">
        <v>4656</v>
      </c>
      <c r="G35" s="40"/>
      <c r="H35" s="40"/>
      <c r="I35" s="40" t="s">
        <v>49</v>
      </c>
      <c r="J35" s="40">
        <v>9382.7099999999991</v>
      </c>
      <c r="K35" s="40">
        <v>9382.7099999999991</v>
      </c>
      <c r="L35" s="40"/>
      <c r="M35" s="40">
        <v>9382.7099999999991</v>
      </c>
      <c r="N35" s="40" t="s">
        <v>9769</v>
      </c>
      <c r="O35" s="40" t="s">
        <v>234</v>
      </c>
    </row>
    <row r="36" spans="1:15" ht="45" x14ac:dyDescent="0.2">
      <c r="A36" s="40" t="s">
        <v>9770</v>
      </c>
      <c r="B36" s="40" t="s">
        <v>9770</v>
      </c>
      <c r="C36" s="41">
        <v>46097</v>
      </c>
      <c r="D36" s="41">
        <v>46149</v>
      </c>
      <c r="E36" s="40" t="s">
        <v>18</v>
      </c>
      <c r="F36" s="40" t="s">
        <v>4656</v>
      </c>
      <c r="G36" s="40"/>
      <c r="H36" s="40"/>
      <c r="I36" s="40" t="s">
        <v>49</v>
      </c>
      <c r="J36" s="40">
        <v>9382.7099999999991</v>
      </c>
      <c r="K36" s="40">
        <v>9382.7099999999991</v>
      </c>
      <c r="L36" s="40"/>
      <c r="M36" s="40">
        <v>9382.7099999999991</v>
      </c>
      <c r="N36" s="40" t="s">
        <v>9771</v>
      </c>
      <c r="O36" s="40" t="s">
        <v>234</v>
      </c>
    </row>
    <row r="37" spans="1:15" ht="45" x14ac:dyDescent="0.2">
      <c r="A37" s="40" t="s">
        <v>9772</v>
      </c>
      <c r="B37" s="40" t="s">
        <v>9772</v>
      </c>
      <c r="C37" s="41">
        <v>46097</v>
      </c>
      <c r="D37" s="41">
        <v>46141</v>
      </c>
      <c r="E37" s="40" t="s">
        <v>18</v>
      </c>
      <c r="F37" s="40" t="s">
        <v>4656</v>
      </c>
      <c r="G37" s="40"/>
      <c r="H37" s="40"/>
      <c r="I37" s="40" t="s">
        <v>49</v>
      </c>
      <c r="J37" s="40">
        <v>9382.7099999999991</v>
      </c>
      <c r="K37" s="40">
        <v>9382.7099999999991</v>
      </c>
      <c r="L37" s="40"/>
      <c r="M37" s="40">
        <v>9382.7099999999991</v>
      </c>
      <c r="N37" s="40" t="s">
        <v>9773</v>
      </c>
      <c r="O37" s="40" t="s">
        <v>234</v>
      </c>
    </row>
    <row r="38" spans="1:15" ht="45" x14ac:dyDescent="0.2">
      <c r="A38" s="40" t="s">
        <v>9774</v>
      </c>
      <c r="B38" s="40" t="s">
        <v>9774</v>
      </c>
      <c r="C38" s="41">
        <v>46097</v>
      </c>
      <c r="D38" s="41">
        <v>46133</v>
      </c>
      <c r="E38" s="40" t="s">
        <v>18</v>
      </c>
      <c r="F38" s="40" t="s">
        <v>4656</v>
      </c>
      <c r="G38" s="40"/>
      <c r="H38" s="40"/>
      <c r="I38" s="40" t="s">
        <v>49</v>
      </c>
      <c r="J38" s="40">
        <v>9382.7099999999991</v>
      </c>
      <c r="K38" s="40">
        <v>9382.7099999999991</v>
      </c>
      <c r="L38" s="40"/>
      <c r="M38" s="40">
        <v>9382.7099999999991</v>
      </c>
      <c r="N38" s="40" t="s">
        <v>9775</v>
      </c>
      <c r="O38" s="40" t="s">
        <v>234</v>
      </c>
    </row>
    <row r="39" spans="1:15" ht="45" x14ac:dyDescent="0.2">
      <c r="A39" s="40" t="s">
        <v>9776</v>
      </c>
      <c r="B39" s="40" t="s">
        <v>9776</v>
      </c>
      <c r="C39" s="41">
        <v>46097</v>
      </c>
      <c r="D39" s="41">
        <v>46125</v>
      </c>
      <c r="E39" s="40" t="s">
        <v>18</v>
      </c>
      <c r="F39" s="40" t="s">
        <v>4656</v>
      </c>
      <c r="G39" s="40"/>
      <c r="H39" s="40"/>
      <c r="I39" s="40" t="s">
        <v>49</v>
      </c>
      <c r="J39" s="40">
        <v>9382.7099999999991</v>
      </c>
      <c r="K39" s="40">
        <v>9382.7099999999991</v>
      </c>
      <c r="L39" s="40"/>
      <c r="M39" s="40">
        <v>9382.7099999999991</v>
      </c>
      <c r="N39" s="40" t="s">
        <v>9777</v>
      </c>
      <c r="O39" s="40" t="s">
        <v>234</v>
      </c>
    </row>
    <row r="40" spans="1:15" ht="45" x14ac:dyDescent="0.2">
      <c r="A40" s="40" t="s">
        <v>9778</v>
      </c>
      <c r="B40" s="40" t="s">
        <v>9778</v>
      </c>
      <c r="C40" s="41">
        <v>46097</v>
      </c>
      <c r="D40" s="41">
        <v>46174</v>
      </c>
      <c r="E40" s="40" t="s">
        <v>18</v>
      </c>
      <c r="F40" s="40" t="s">
        <v>4656</v>
      </c>
      <c r="G40" s="40"/>
      <c r="H40" s="40"/>
      <c r="I40" s="40" t="s">
        <v>49</v>
      </c>
      <c r="J40" s="40">
        <v>3028.54</v>
      </c>
      <c r="K40" s="40">
        <v>3028.54</v>
      </c>
      <c r="L40" s="40"/>
      <c r="M40" s="40">
        <v>3028.54</v>
      </c>
      <c r="N40" s="40"/>
      <c r="O40" s="40" t="s">
        <v>234</v>
      </c>
    </row>
    <row r="41" spans="1:15" ht="45" x14ac:dyDescent="0.2">
      <c r="A41" s="40" t="s">
        <v>9779</v>
      </c>
      <c r="B41" s="40" t="s">
        <v>9779</v>
      </c>
      <c r="C41" s="41">
        <v>46097</v>
      </c>
      <c r="D41" s="41">
        <v>46157</v>
      </c>
      <c r="E41" s="40" t="s">
        <v>18</v>
      </c>
      <c r="F41" s="40" t="s">
        <v>4656</v>
      </c>
      <c r="G41" s="40"/>
      <c r="H41" s="40"/>
      <c r="I41" s="40" t="s">
        <v>49</v>
      </c>
      <c r="J41" s="40">
        <v>3028.56</v>
      </c>
      <c r="K41" s="40">
        <v>3028.56</v>
      </c>
      <c r="L41" s="40"/>
      <c r="M41" s="40">
        <v>3028.56</v>
      </c>
      <c r="N41" s="40" t="s">
        <v>9780</v>
      </c>
      <c r="O41" s="40" t="s">
        <v>234</v>
      </c>
    </row>
    <row r="42" spans="1:15" ht="45" x14ac:dyDescent="0.2">
      <c r="A42" s="40" t="s">
        <v>9781</v>
      </c>
      <c r="B42" s="40" t="s">
        <v>9781</v>
      </c>
      <c r="C42" s="41">
        <v>46097</v>
      </c>
      <c r="D42" s="41">
        <v>46150</v>
      </c>
      <c r="E42" s="40" t="s">
        <v>18</v>
      </c>
      <c r="F42" s="40" t="s">
        <v>4656</v>
      </c>
      <c r="G42" s="40"/>
      <c r="H42" s="40"/>
      <c r="I42" s="40" t="s">
        <v>49</v>
      </c>
      <c r="J42" s="40">
        <v>3028.56</v>
      </c>
      <c r="K42" s="40">
        <v>3028.56</v>
      </c>
      <c r="L42" s="40"/>
      <c r="M42" s="40">
        <v>3028.56</v>
      </c>
      <c r="N42" s="40" t="s">
        <v>9782</v>
      </c>
      <c r="O42" s="40" t="s">
        <v>234</v>
      </c>
    </row>
    <row r="43" spans="1:15" ht="45" x14ac:dyDescent="0.2">
      <c r="A43" s="40" t="s">
        <v>9783</v>
      </c>
      <c r="B43" s="40" t="s">
        <v>9783</v>
      </c>
      <c r="C43" s="41">
        <v>46097</v>
      </c>
      <c r="D43" s="41">
        <v>46143</v>
      </c>
      <c r="E43" s="40" t="s">
        <v>18</v>
      </c>
      <c r="F43" s="40" t="s">
        <v>4656</v>
      </c>
      <c r="G43" s="40"/>
      <c r="H43" s="40"/>
      <c r="I43" s="40" t="s">
        <v>49</v>
      </c>
      <c r="J43" s="40">
        <v>3028.56</v>
      </c>
      <c r="K43" s="40">
        <v>3028.56</v>
      </c>
      <c r="L43" s="40"/>
      <c r="M43" s="40">
        <v>3028.56</v>
      </c>
      <c r="N43" s="40" t="s">
        <v>9784</v>
      </c>
      <c r="O43" s="40" t="s">
        <v>234</v>
      </c>
    </row>
    <row r="44" spans="1:15" ht="45" x14ac:dyDescent="0.2">
      <c r="A44" s="40" t="s">
        <v>9785</v>
      </c>
      <c r="B44" s="40" t="s">
        <v>9785</v>
      </c>
      <c r="C44" s="41">
        <v>46097</v>
      </c>
      <c r="D44" s="41">
        <v>46136</v>
      </c>
      <c r="E44" s="40" t="s">
        <v>18</v>
      </c>
      <c r="F44" s="40" t="s">
        <v>4656</v>
      </c>
      <c r="G44" s="40"/>
      <c r="H44" s="40"/>
      <c r="I44" s="40" t="s">
        <v>49</v>
      </c>
      <c r="J44" s="40">
        <v>3028.56</v>
      </c>
      <c r="K44" s="40">
        <v>3028.56</v>
      </c>
      <c r="L44" s="40"/>
      <c r="M44" s="40">
        <v>3028.56</v>
      </c>
      <c r="N44" s="40" t="s">
        <v>9786</v>
      </c>
      <c r="O44" s="40" t="s">
        <v>234</v>
      </c>
    </row>
    <row r="45" spans="1:15" ht="45" x14ac:dyDescent="0.2">
      <c r="A45" s="40" t="s">
        <v>9787</v>
      </c>
      <c r="B45" s="40" t="s">
        <v>9787</v>
      </c>
      <c r="C45" s="41">
        <v>46097</v>
      </c>
      <c r="D45" s="41">
        <v>46129</v>
      </c>
      <c r="E45" s="40" t="s">
        <v>18</v>
      </c>
      <c r="F45" s="40" t="s">
        <v>4656</v>
      </c>
      <c r="G45" s="40"/>
      <c r="H45" s="40"/>
      <c r="I45" s="40" t="s">
        <v>49</v>
      </c>
      <c r="J45" s="40">
        <v>3028.56</v>
      </c>
      <c r="K45" s="40">
        <v>3028.56</v>
      </c>
      <c r="L45" s="40"/>
      <c r="M45" s="40">
        <v>3028.56</v>
      </c>
      <c r="N45" s="40" t="s">
        <v>9788</v>
      </c>
      <c r="O45" s="40" t="s">
        <v>234</v>
      </c>
    </row>
    <row r="46" spans="1:15" ht="45" x14ac:dyDescent="0.2">
      <c r="A46" s="40" t="s">
        <v>9789</v>
      </c>
      <c r="B46" s="40" t="s">
        <v>9789</v>
      </c>
      <c r="C46" s="41">
        <v>46097</v>
      </c>
      <c r="D46" s="41">
        <v>46160</v>
      </c>
      <c r="E46" s="40" t="s">
        <v>18</v>
      </c>
      <c r="F46" s="40" t="s">
        <v>4656</v>
      </c>
      <c r="G46" s="40"/>
      <c r="H46" s="40"/>
      <c r="I46" s="40" t="s">
        <v>49</v>
      </c>
      <c r="J46" s="40">
        <v>6376.72</v>
      </c>
      <c r="K46" s="40">
        <v>6376.72</v>
      </c>
      <c r="L46" s="40"/>
      <c r="M46" s="40">
        <v>6376.72</v>
      </c>
      <c r="N46" s="40" t="s">
        <v>9790</v>
      </c>
      <c r="O46" s="40" t="s">
        <v>234</v>
      </c>
    </row>
    <row r="47" spans="1:15" ht="33.75" x14ac:dyDescent="0.2">
      <c r="A47" s="40" t="s">
        <v>9791</v>
      </c>
      <c r="B47" s="40" t="s">
        <v>9791</v>
      </c>
      <c r="C47" s="41">
        <v>46090</v>
      </c>
      <c r="D47" s="41">
        <v>46149</v>
      </c>
      <c r="E47" s="40" t="s">
        <v>18</v>
      </c>
      <c r="F47" s="40" t="s">
        <v>863</v>
      </c>
      <c r="G47" s="40"/>
      <c r="H47" s="40"/>
      <c r="I47" s="40" t="s">
        <v>49</v>
      </c>
      <c r="J47" s="40">
        <v>8533.5</v>
      </c>
      <c r="K47" s="40">
        <v>8533.5</v>
      </c>
      <c r="L47" s="40"/>
      <c r="M47" s="40">
        <v>8533.5</v>
      </c>
      <c r="N47" s="40" t="s">
        <v>9792</v>
      </c>
      <c r="O47" s="40" t="s">
        <v>234</v>
      </c>
    </row>
    <row r="48" spans="1:15" ht="33.75" x14ac:dyDescent="0.2">
      <c r="A48" s="40" t="s">
        <v>9793</v>
      </c>
      <c r="B48" s="40" t="s">
        <v>9793</v>
      </c>
      <c r="C48" s="41">
        <v>46090</v>
      </c>
      <c r="D48" s="41">
        <v>46139</v>
      </c>
      <c r="E48" s="40" t="s">
        <v>18</v>
      </c>
      <c r="F48" s="40" t="s">
        <v>863</v>
      </c>
      <c r="G48" s="40"/>
      <c r="H48" s="40"/>
      <c r="I48" s="40" t="s">
        <v>49</v>
      </c>
      <c r="J48" s="40">
        <v>8533.5</v>
      </c>
      <c r="K48" s="40">
        <v>8533.5</v>
      </c>
      <c r="L48" s="40"/>
      <c r="M48" s="40">
        <v>8533.5</v>
      </c>
      <c r="N48" s="40" t="s">
        <v>9794</v>
      </c>
      <c r="O48" s="40" t="s">
        <v>234</v>
      </c>
    </row>
    <row r="49" spans="1:15" ht="33.75" x14ac:dyDescent="0.2">
      <c r="A49" s="40" t="s">
        <v>9795</v>
      </c>
      <c r="B49" s="40" t="s">
        <v>9795</v>
      </c>
      <c r="C49" s="41">
        <v>46090</v>
      </c>
      <c r="D49" s="41">
        <v>46132</v>
      </c>
      <c r="E49" s="40" t="s">
        <v>18</v>
      </c>
      <c r="F49" s="40" t="s">
        <v>863</v>
      </c>
      <c r="G49" s="40"/>
      <c r="H49" s="40"/>
      <c r="I49" s="40" t="s">
        <v>49</v>
      </c>
      <c r="J49" s="40">
        <v>8533.5</v>
      </c>
      <c r="K49" s="40">
        <v>8533.5</v>
      </c>
      <c r="L49" s="40"/>
      <c r="M49" s="40">
        <v>8533.5</v>
      </c>
      <c r="N49" s="40" t="s">
        <v>9796</v>
      </c>
      <c r="O49" s="40" t="s">
        <v>234</v>
      </c>
    </row>
    <row r="50" spans="1:15" ht="33.75" x14ac:dyDescent="0.2">
      <c r="A50" s="40" t="s">
        <v>9797</v>
      </c>
      <c r="B50" s="40" t="s">
        <v>9797</v>
      </c>
      <c r="C50" s="41">
        <v>46090</v>
      </c>
      <c r="D50" s="41">
        <v>46125</v>
      </c>
      <c r="E50" s="40" t="s">
        <v>18</v>
      </c>
      <c r="F50" s="40" t="s">
        <v>863</v>
      </c>
      <c r="G50" s="40"/>
      <c r="H50" s="40"/>
      <c r="I50" s="40" t="s">
        <v>49</v>
      </c>
      <c r="J50" s="40">
        <v>8533.5</v>
      </c>
      <c r="K50" s="40">
        <v>8533.5</v>
      </c>
      <c r="L50" s="40"/>
      <c r="M50" s="40">
        <v>8533.5</v>
      </c>
      <c r="N50" s="40" t="s">
        <v>9798</v>
      </c>
      <c r="O50" s="40" t="s">
        <v>234</v>
      </c>
    </row>
    <row r="51" spans="1:15" ht="33.75" x14ac:dyDescent="0.2">
      <c r="A51" s="40" t="s">
        <v>9799</v>
      </c>
      <c r="B51" s="40" t="s">
        <v>9799</v>
      </c>
      <c r="C51" s="41">
        <v>46090</v>
      </c>
      <c r="D51" s="41">
        <v>46118</v>
      </c>
      <c r="E51" s="40" t="s">
        <v>18</v>
      </c>
      <c r="F51" s="40" t="s">
        <v>863</v>
      </c>
      <c r="G51" s="40"/>
      <c r="H51" s="40"/>
      <c r="I51" s="40" t="s">
        <v>49</v>
      </c>
      <c r="J51" s="40">
        <v>8533.5</v>
      </c>
      <c r="K51" s="40">
        <v>8533.5</v>
      </c>
      <c r="L51" s="40"/>
      <c r="M51" s="40">
        <v>8533.5</v>
      </c>
      <c r="N51" s="40" t="s">
        <v>9800</v>
      </c>
      <c r="O51" s="40" t="s">
        <v>234</v>
      </c>
    </row>
    <row r="52" spans="1:15" ht="33.75" x14ac:dyDescent="0.2">
      <c r="A52" s="40" t="s">
        <v>9801</v>
      </c>
      <c r="B52" s="40" t="s">
        <v>9801</v>
      </c>
      <c r="C52" s="41">
        <v>46090</v>
      </c>
      <c r="D52" s="41">
        <v>46111</v>
      </c>
      <c r="E52" s="40" t="s">
        <v>18</v>
      </c>
      <c r="F52" s="40" t="s">
        <v>863</v>
      </c>
      <c r="G52" s="40"/>
      <c r="H52" s="40"/>
      <c r="I52" s="40" t="s">
        <v>49</v>
      </c>
      <c r="J52" s="40">
        <v>8533.5</v>
      </c>
      <c r="K52" s="40">
        <v>8533.5</v>
      </c>
      <c r="L52" s="40"/>
      <c r="M52" s="40">
        <v>8533.5</v>
      </c>
      <c r="N52" s="40" t="s">
        <v>9802</v>
      </c>
      <c r="O52" s="40" t="s">
        <v>234</v>
      </c>
    </row>
    <row r="53" spans="1:15" ht="33.75" x14ac:dyDescent="0.2">
      <c r="A53" s="40" t="s">
        <v>9803</v>
      </c>
      <c r="B53" s="40" t="s">
        <v>9803</v>
      </c>
      <c r="C53" s="41">
        <v>46090</v>
      </c>
      <c r="D53" s="41">
        <v>46104</v>
      </c>
      <c r="E53" s="40" t="s">
        <v>18</v>
      </c>
      <c r="F53" s="40" t="s">
        <v>863</v>
      </c>
      <c r="G53" s="40"/>
      <c r="H53" s="40"/>
      <c r="I53" s="40" t="s">
        <v>49</v>
      </c>
      <c r="J53" s="40">
        <v>8533.5</v>
      </c>
      <c r="K53" s="40">
        <v>8533.5</v>
      </c>
      <c r="L53" s="40"/>
      <c r="M53" s="40">
        <v>8533.5</v>
      </c>
      <c r="N53" s="40" t="s">
        <v>9804</v>
      </c>
      <c r="O53" s="40" t="s">
        <v>234</v>
      </c>
    </row>
    <row r="54" spans="1:15" ht="45" x14ac:dyDescent="0.2">
      <c r="A54" s="40" t="s">
        <v>9805</v>
      </c>
      <c r="B54" s="40" t="s">
        <v>9805</v>
      </c>
      <c r="C54" s="41">
        <v>46064</v>
      </c>
      <c r="D54" s="41">
        <v>46134</v>
      </c>
      <c r="E54" s="40" t="s">
        <v>18</v>
      </c>
      <c r="F54" s="40" t="s">
        <v>74</v>
      </c>
      <c r="G54" s="40"/>
      <c r="H54" s="40"/>
      <c r="I54" s="40" t="s">
        <v>49</v>
      </c>
      <c r="J54" s="40">
        <v>2118.33</v>
      </c>
      <c r="K54" s="40">
        <v>2118.33</v>
      </c>
      <c r="L54" s="40"/>
      <c r="M54" s="40">
        <v>2118.33</v>
      </c>
      <c r="N54" s="40" t="s">
        <v>9806</v>
      </c>
      <c r="O54" s="40" t="s">
        <v>234</v>
      </c>
    </row>
    <row r="55" spans="1:15" ht="45" x14ac:dyDescent="0.2">
      <c r="A55" s="40" t="s">
        <v>9807</v>
      </c>
      <c r="B55" s="40" t="s">
        <v>9807</v>
      </c>
      <c r="C55" s="41">
        <v>46064</v>
      </c>
      <c r="D55" s="41">
        <v>46118</v>
      </c>
      <c r="E55" s="40" t="s">
        <v>18</v>
      </c>
      <c r="F55" s="40" t="s">
        <v>74</v>
      </c>
      <c r="G55" s="40"/>
      <c r="H55" s="40"/>
      <c r="I55" s="40" t="s">
        <v>49</v>
      </c>
      <c r="J55" s="40">
        <v>2118.33</v>
      </c>
      <c r="K55" s="40">
        <v>2118.33</v>
      </c>
      <c r="L55" s="40"/>
      <c r="M55" s="40">
        <v>2118.33</v>
      </c>
      <c r="N55" s="40" t="s">
        <v>9808</v>
      </c>
      <c r="O55" s="40" t="s">
        <v>234</v>
      </c>
    </row>
    <row r="56" spans="1:15" ht="45" x14ac:dyDescent="0.2">
      <c r="A56" s="40" t="s">
        <v>9809</v>
      </c>
      <c r="B56" s="40" t="s">
        <v>9809</v>
      </c>
      <c r="C56" s="41">
        <v>46064</v>
      </c>
      <c r="D56" s="41">
        <v>46111</v>
      </c>
      <c r="E56" s="40" t="s">
        <v>18</v>
      </c>
      <c r="F56" s="40" t="s">
        <v>74</v>
      </c>
      <c r="G56" s="40"/>
      <c r="H56" s="40"/>
      <c r="I56" s="40" t="s">
        <v>49</v>
      </c>
      <c r="J56" s="40">
        <v>2118.33</v>
      </c>
      <c r="K56" s="40">
        <v>2118.33</v>
      </c>
      <c r="L56" s="40"/>
      <c r="M56" s="40">
        <v>2118.33</v>
      </c>
      <c r="N56" s="40" t="s">
        <v>9810</v>
      </c>
      <c r="O56" s="40" t="s">
        <v>234</v>
      </c>
    </row>
    <row r="57" spans="1:15" ht="45" x14ac:dyDescent="0.2">
      <c r="A57" s="40" t="s">
        <v>9811</v>
      </c>
      <c r="B57" s="40" t="s">
        <v>9811</v>
      </c>
      <c r="C57" s="41">
        <v>46064</v>
      </c>
      <c r="D57" s="41">
        <v>46104</v>
      </c>
      <c r="E57" s="40" t="s">
        <v>18</v>
      </c>
      <c r="F57" s="40" t="s">
        <v>74</v>
      </c>
      <c r="G57" s="40"/>
      <c r="H57" s="40"/>
      <c r="I57" s="40" t="s">
        <v>49</v>
      </c>
      <c r="J57" s="40">
        <v>2118.33</v>
      </c>
      <c r="K57" s="40">
        <v>2118.33</v>
      </c>
      <c r="L57" s="40"/>
      <c r="M57" s="40">
        <v>2118.33</v>
      </c>
      <c r="N57" s="40" t="s">
        <v>9812</v>
      </c>
      <c r="O57" s="40" t="s">
        <v>234</v>
      </c>
    </row>
    <row r="58" spans="1:15" ht="45" x14ac:dyDescent="0.2">
      <c r="A58" s="40" t="s">
        <v>9813</v>
      </c>
      <c r="B58" s="40" t="s">
        <v>9813</v>
      </c>
      <c r="C58" s="41">
        <v>46064</v>
      </c>
      <c r="D58" s="41">
        <v>46146</v>
      </c>
      <c r="E58" s="40" t="s">
        <v>18</v>
      </c>
      <c r="F58" s="40" t="s">
        <v>1826</v>
      </c>
      <c r="G58" s="40"/>
      <c r="H58" s="40"/>
      <c r="I58" s="40" t="s">
        <v>49</v>
      </c>
      <c r="J58" s="40">
        <v>9188.2099999999991</v>
      </c>
      <c r="K58" s="40">
        <v>9188.2099999999991</v>
      </c>
      <c r="L58" s="40"/>
      <c r="M58" s="40">
        <v>9188.2099999999991</v>
      </c>
      <c r="N58" s="40" t="s">
        <v>9814</v>
      </c>
      <c r="O58" s="40" t="s">
        <v>234</v>
      </c>
    </row>
    <row r="59" spans="1:15" ht="45" x14ac:dyDescent="0.2">
      <c r="A59" s="40" t="s">
        <v>9815</v>
      </c>
      <c r="B59" s="40" t="s">
        <v>9815</v>
      </c>
      <c r="C59" s="41">
        <v>46064</v>
      </c>
      <c r="D59" s="41">
        <v>46139</v>
      </c>
      <c r="E59" s="40" t="s">
        <v>18</v>
      </c>
      <c r="F59" s="40" t="s">
        <v>1826</v>
      </c>
      <c r="G59" s="40"/>
      <c r="H59" s="40"/>
      <c r="I59" s="40" t="s">
        <v>49</v>
      </c>
      <c r="J59" s="40">
        <v>9188.2099999999991</v>
      </c>
      <c r="K59" s="40">
        <v>9188.2099999999991</v>
      </c>
      <c r="L59" s="40"/>
      <c r="M59" s="40">
        <v>9188.2099999999991</v>
      </c>
      <c r="N59" s="40" t="s">
        <v>9816</v>
      </c>
      <c r="O59" s="40" t="s">
        <v>234</v>
      </c>
    </row>
    <row r="60" spans="1:15" ht="45" x14ac:dyDescent="0.2">
      <c r="A60" s="40" t="s">
        <v>9817</v>
      </c>
      <c r="B60" s="40" t="s">
        <v>9817</v>
      </c>
      <c r="C60" s="41">
        <v>46064</v>
      </c>
      <c r="D60" s="41">
        <v>46129</v>
      </c>
      <c r="E60" s="40" t="s">
        <v>18</v>
      </c>
      <c r="F60" s="40" t="s">
        <v>1826</v>
      </c>
      <c r="G60" s="40"/>
      <c r="H60" s="40"/>
      <c r="I60" s="40" t="s">
        <v>49</v>
      </c>
      <c r="J60" s="40">
        <v>9188.2099999999991</v>
      </c>
      <c r="K60" s="40">
        <v>9188.2099999999991</v>
      </c>
      <c r="L60" s="40"/>
      <c r="M60" s="40">
        <v>9188.2099999999991</v>
      </c>
      <c r="N60" s="40" t="s">
        <v>9818</v>
      </c>
      <c r="O60" s="40" t="s">
        <v>234</v>
      </c>
    </row>
    <row r="61" spans="1:15" ht="45" x14ac:dyDescent="0.2">
      <c r="A61" s="40" t="s">
        <v>9819</v>
      </c>
      <c r="B61" s="40" t="s">
        <v>9819</v>
      </c>
      <c r="C61" s="41">
        <v>46064</v>
      </c>
      <c r="D61" s="41">
        <v>46121</v>
      </c>
      <c r="E61" s="40" t="s">
        <v>18</v>
      </c>
      <c r="F61" s="40" t="s">
        <v>1826</v>
      </c>
      <c r="G61" s="40"/>
      <c r="H61" s="40"/>
      <c r="I61" s="40" t="s">
        <v>49</v>
      </c>
      <c r="J61" s="40">
        <v>9188.2099999999991</v>
      </c>
      <c r="K61" s="40">
        <v>9188.2099999999991</v>
      </c>
      <c r="L61" s="40"/>
      <c r="M61" s="40">
        <v>9188.2099999999991</v>
      </c>
      <c r="N61" s="40" t="s">
        <v>9820</v>
      </c>
      <c r="O61" s="40" t="s">
        <v>234</v>
      </c>
    </row>
    <row r="62" spans="1:15" ht="45" x14ac:dyDescent="0.2">
      <c r="A62" s="40" t="s">
        <v>9821</v>
      </c>
      <c r="B62" s="40" t="s">
        <v>9821</v>
      </c>
      <c r="C62" s="41">
        <v>46064</v>
      </c>
      <c r="D62" s="41">
        <v>46113</v>
      </c>
      <c r="E62" s="40" t="s">
        <v>18</v>
      </c>
      <c r="F62" s="40" t="s">
        <v>1826</v>
      </c>
      <c r="G62" s="40"/>
      <c r="H62" s="40"/>
      <c r="I62" s="40" t="s">
        <v>49</v>
      </c>
      <c r="J62" s="40">
        <v>9188.2099999999991</v>
      </c>
      <c r="K62" s="40">
        <v>9188.2099999999991</v>
      </c>
      <c r="L62" s="40"/>
      <c r="M62" s="40">
        <v>9188.2099999999991</v>
      </c>
      <c r="N62" s="40" t="s">
        <v>9822</v>
      </c>
      <c r="O62" s="40" t="s">
        <v>234</v>
      </c>
    </row>
    <row r="63" spans="1:15" ht="45" x14ac:dyDescent="0.2">
      <c r="A63" s="40" t="s">
        <v>9823</v>
      </c>
      <c r="B63" s="40" t="s">
        <v>9823</v>
      </c>
      <c r="C63" s="41">
        <v>46064</v>
      </c>
      <c r="D63" s="41">
        <v>46149</v>
      </c>
      <c r="E63" s="40" t="s">
        <v>18</v>
      </c>
      <c r="F63" s="40" t="s">
        <v>1826</v>
      </c>
      <c r="G63" s="40"/>
      <c r="H63" s="40"/>
      <c r="I63" s="40" t="s">
        <v>49</v>
      </c>
      <c r="J63" s="40">
        <v>8618.68</v>
      </c>
      <c r="K63" s="40">
        <v>8618.68</v>
      </c>
      <c r="L63" s="40"/>
      <c r="M63" s="40">
        <v>8618.68</v>
      </c>
      <c r="N63" s="40" t="s">
        <v>9824</v>
      </c>
      <c r="O63" s="40" t="s">
        <v>234</v>
      </c>
    </row>
    <row r="64" spans="1:15" ht="45" x14ac:dyDescent="0.2">
      <c r="A64" s="40" t="s">
        <v>9825</v>
      </c>
      <c r="B64" s="40" t="s">
        <v>9825</v>
      </c>
      <c r="C64" s="41">
        <v>46064</v>
      </c>
      <c r="D64" s="41">
        <v>46141</v>
      </c>
      <c r="E64" s="40" t="s">
        <v>18</v>
      </c>
      <c r="F64" s="40" t="s">
        <v>1826</v>
      </c>
      <c r="G64" s="40"/>
      <c r="H64" s="40"/>
      <c r="I64" s="40" t="s">
        <v>49</v>
      </c>
      <c r="J64" s="40">
        <v>8618.68</v>
      </c>
      <c r="K64" s="40">
        <v>8618.68</v>
      </c>
      <c r="L64" s="40"/>
      <c r="M64" s="40">
        <v>8618.68</v>
      </c>
      <c r="N64" s="40" t="s">
        <v>9826</v>
      </c>
      <c r="O64" s="40" t="s">
        <v>234</v>
      </c>
    </row>
    <row r="65" spans="1:15" ht="45" x14ac:dyDescent="0.2">
      <c r="A65" s="40" t="s">
        <v>9827</v>
      </c>
      <c r="B65" s="40" t="s">
        <v>9827</v>
      </c>
      <c r="C65" s="41">
        <v>46064</v>
      </c>
      <c r="D65" s="41">
        <v>46133</v>
      </c>
      <c r="E65" s="40" t="s">
        <v>18</v>
      </c>
      <c r="F65" s="40" t="s">
        <v>1826</v>
      </c>
      <c r="G65" s="40"/>
      <c r="H65" s="40"/>
      <c r="I65" s="40" t="s">
        <v>49</v>
      </c>
      <c r="J65" s="40">
        <v>8618.68</v>
      </c>
      <c r="K65" s="40">
        <v>8618.68</v>
      </c>
      <c r="L65" s="40"/>
      <c r="M65" s="40">
        <v>8618.68</v>
      </c>
      <c r="N65" s="40" t="s">
        <v>9828</v>
      </c>
      <c r="O65" s="40" t="s">
        <v>234</v>
      </c>
    </row>
    <row r="66" spans="1:15" ht="45" x14ac:dyDescent="0.2">
      <c r="A66" s="40" t="s">
        <v>9829</v>
      </c>
      <c r="B66" s="40" t="s">
        <v>9829</v>
      </c>
      <c r="C66" s="41">
        <v>46064</v>
      </c>
      <c r="D66" s="41">
        <v>46125</v>
      </c>
      <c r="E66" s="40" t="s">
        <v>18</v>
      </c>
      <c r="F66" s="40" t="s">
        <v>1826</v>
      </c>
      <c r="G66" s="40"/>
      <c r="H66" s="40"/>
      <c r="I66" s="40" t="s">
        <v>49</v>
      </c>
      <c r="J66" s="40">
        <v>8618.68</v>
      </c>
      <c r="K66" s="40">
        <v>8618.68</v>
      </c>
      <c r="L66" s="40"/>
      <c r="M66" s="40">
        <v>8618.68</v>
      </c>
      <c r="N66" s="40" t="s">
        <v>9830</v>
      </c>
      <c r="O66" s="40" t="s">
        <v>234</v>
      </c>
    </row>
    <row r="67" spans="1:15" ht="45" x14ac:dyDescent="0.2">
      <c r="A67" s="40" t="s">
        <v>9831</v>
      </c>
      <c r="B67" s="40" t="s">
        <v>9831</v>
      </c>
      <c r="C67" s="41">
        <v>46064</v>
      </c>
      <c r="D67" s="41">
        <v>46118</v>
      </c>
      <c r="E67" s="40" t="s">
        <v>18</v>
      </c>
      <c r="F67" s="40" t="s">
        <v>1826</v>
      </c>
      <c r="G67" s="40"/>
      <c r="H67" s="40"/>
      <c r="I67" s="40" t="s">
        <v>49</v>
      </c>
      <c r="J67" s="40">
        <v>8618.68</v>
      </c>
      <c r="K67" s="40">
        <v>8618.68</v>
      </c>
      <c r="L67" s="40"/>
      <c r="M67" s="40">
        <v>8618.68</v>
      </c>
      <c r="N67" s="40" t="s">
        <v>9832</v>
      </c>
      <c r="O67" s="40" t="s">
        <v>234</v>
      </c>
    </row>
    <row r="68" spans="1:15" ht="90" x14ac:dyDescent="0.2">
      <c r="A68" s="40" t="s">
        <v>9833</v>
      </c>
      <c r="B68" s="40" t="s">
        <v>9833</v>
      </c>
      <c r="C68" s="41">
        <v>46064</v>
      </c>
      <c r="D68" s="41">
        <v>46111</v>
      </c>
      <c r="E68" s="40" t="s">
        <v>18</v>
      </c>
      <c r="F68" s="40" t="s">
        <v>598</v>
      </c>
      <c r="G68" s="40"/>
      <c r="H68" s="40"/>
      <c r="I68" s="40" t="s">
        <v>49</v>
      </c>
      <c r="J68" s="40">
        <v>4971.87</v>
      </c>
      <c r="K68" s="40">
        <v>4971.87</v>
      </c>
      <c r="L68" s="40"/>
      <c r="M68" s="40">
        <v>4971.87</v>
      </c>
      <c r="N68" s="40" t="s">
        <v>9834</v>
      </c>
      <c r="O68" s="40" t="s">
        <v>234</v>
      </c>
    </row>
    <row r="69" spans="1:15" ht="90" x14ac:dyDescent="0.2">
      <c r="A69" s="40" t="s">
        <v>9835</v>
      </c>
      <c r="B69" s="40" t="s">
        <v>9835</v>
      </c>
      <c r="C69" s="41">
        <v>46064</v>
      </c>
      <c r="D69" s="41">
        <v>46125</v>
      </c>
      <c r="E69" s="40" t="s">
        <v>18</v>
      </c>
      <c r="F69" s="40" t="s">
        <v>598</v>
      </c>
      <c r="G69" s="40"/>
      <c r="H69" s="40"/>
      <c r="I69" s="40" t="s">
        <v>49</v>
      </c>
      <c r="J69" s="40">
        <v>7385.8</v>
      </c>
      <c r="K69" s="40">
        <v>7385.8</v>
      </c>
      <c r="L69" s="40"/>
      <c r="M69" s="40">
        <v>7385.8</v>
      </c>
      <c r="N69" s="40" t="s">
        <v>9836</v>
      </c>
      <c r="O69" s="40" t="s">
        <v>234</v>
      </c>
    </row>
    <row r="70" spans="1:15" ht="45" x14ac:dyDescent="0.2">
      <c r="A70" s="40" t="s">
        <v>9837</v>
      </c>
      <c r="B70" s="40" t="s">
        <v>9837</v>
      </c>
      <c r="C70" s="41">
        <v>46064</v>
      </c>
      <c r="D70" s="41">
        <v>46125</v>
      </c>
      <c r="E70" s="40" t="s">
        <v>18</v>
      </c>
      <c r="F70" s="40" t="s">
        <v>74</v>
      </c>
      <c r="G70" s="40"/>
      <c r="H70" s="40"/>
      <c r="I70" s="40" t="s">
        <v>49</v>
      </c>
      <c r="J70" s="40">
        <v>2042.12</v>
      </c>
      <c r="K70" s="40">
        <v>2042.12</v>
      </c>
      <c r="L70" s="40"/>
      <c r="M70" s="40">
        <v>2042.12</v>
      </c>
      <c r="N70" s="40" t="s">
        <v>9838</v>
      </c>
      <c r="O70" s="40" t="s">
        <v>234</v>
      </c>
    </row>
    <row r="71" spans="1:15" ht="45" x14ac:dyDescent="0.2">
      <c r="A71" s="40" t="s">
        <v>9839</v>
      </c>
      <c r="B71" s="40" t="s">
        <v>9839</v>
      </c>
      <c r="C71" s="41">
        <v>46064</v>
      </c>
      <c r="D71" s="41">
        <v>46107</v>
      </c>
      <c r="E71" s="40" t="s">
        <v>18</v>
      </c>
      <c r="F71" s="40" t="s">
        <v>74</v>
      </c>
      <c r="G71" s="40"/>
      <c r="H71" s="40"/>
      <c r="I71" s="40" t="s">
        <v>49</v>
      </c>
      <c r="J71" s="40">
        <v>2042.15</v>
      </c>
      <c r="K71" s="40">
        <v>2042.15</v>
      </c>
      <c r="L71" s="40"/>
      <c r="M71" s="40">
        <v>2042.15</v>
      </c>
      <c r="N71" s="40" t="s">
        <v>9840</v>
      </c>
      <c r="O71" s="40" t="s">
        <v>234</v>
      </c>
    </row>
    <row r="72" spans="1:15" ht="33.75" x14ac:dyDescent="0.2">
      <c r="A72" s="40" t="s">
        <v>9841</v>
      </c>
      <c r="B72" s="40" t="s">
        <v>9841</v>
      </c>
      <c r="C72" s="41">
        <v>46051</v>
      </c>
      <c r="D72" s="41">
        <v>46135</v>
      </c>
      <c r="E72" s="40" t="s">
        <v>18</v>
      </c>
      <c r="F72" s="40" t="s">
        <v>593</v>
      </c>
      <c r="G72" s="40"/>
      <c r="H72" s="40"/>
      <c r="I72" s="40" t="s">
        <v>49</v>
      </c>
      <c r="J72" s="40">
        <v>2568.98</v>
      </c>
      <c r="K72" s="40">
        <v>2568.98</v>
      </c>
      <c r="L72" s="40"/>
      <c r="M72" s="40">
        <v>2568.98</v>
      </c>
      <c r="N72" s="40" t="s">
        <v>9842</v>
      </c>
      <c r="O72" s="40" t="s">
        <v>234</v>
      </c>
    </row>
    <row r="73" spans="1:15" ht="45" x14ac:dyDescent="0.2">
      <c r="A73" s="40" t="s">
        <v>9843</v>
      </c>
      <c r="B73" s="40" t="s">
        <v>9843</v>
      </c>
      <c r="C73" s="41">
        <v>46048</v>
      </c>
      <c r="D73" s="41">
        <v>46107</v>
      </c>
      <c r="E73" s="40" t="s">
        <v>18</v>
      </c>
      <c r="F73" s="40" t="s">
        <v>74</v>
      </c>
      <c r="G73" s="40"/>
      <c r="H73" s="40"/>
      <c r="I73" s="40" t="s">
        <v>49</v>
      </c>
      <c r="J73" s="40">
        <v>2049.52</v>
      </c>
      <c r="K73" s="40">
        <v>2049.52</v>
      </c>
      <c r="L73" s="40"/>
      <c r="M73" s="40">
        <v>2049.52</v>
      </c>
      <c r="N73" s="40" t="s">
        <v>9844</v>
      </c>
      <c r="O73" s="40" t="s">
        <v>234</v>
      </c>
    </row>
    <row r="74" spans="1:15" ht="45" x14ac:dyDescent="0.2">
      <c r="A74" s="40" t="s">
        <v>9845</v>
      </c>
      <c r="B74" s="40" t="s">
        <v>9845</v>
      </c>
      <c r="C74" s="41">
        <v>46048</v>
      </c>
      <c r="D74" s="41">
        <v>46190</v>
      </c>
      <c r="E74" s="40" t="s">
        <v>18</v>
      </c>
      <c r="F74" s="40" t="s">
        <v>4656</v>
      </c>
      <c r="G74" s="40"/>
      <c r="H74" s="40"/>
      <c r="I74" s="40" t="s">
        <v>49</v>
      </c>
      <c r="J74" s="40">
        <v>39373.14</v>
      </c>
      <c r="K74" s="40">
        <v>39373.14</v>
      </c>
      <c r="L74" s="40"/>
      <c r="M74" s="40">
        <v>39373.14</v>
      </c>
      <c r="N74" s="40"/>
      <c r="O74" s="40" t="s">
        <v>234</v>
      </c>
    </row>
    <row r="75" spans="1:15" ht="45" x14ac:dyDescent="0.2">
      <c r="A75" s="40" t="s">
        <v>9846</v>
      </c>
      <c r="B75" s="40" t="s">
        <v>9846</v>
      </c>
      <c r="C75" s="41">
        <v>46048</v>
      </c>
      <c r="D75" s="41">
        <v>46183</v>
      </c>
      <c r="E75" s="40" t="s">
        <v>18</v>
      </c>
      <c r="F75" s="40" t="s">
        <v>4656</v>
      </c>
      <c r="G75" s="40"/>
      <c r="H75" s="40"/>
      <c r="I75" s="40" t="s">
        <v>49</v>
      </c>
      <c r="J75" s="40">
        <v>39373.19</v>
      </c>
      <c r="K75" s="40">
        <v>39373.19</v>
      </c>
      <c r="L75" s="40"/>
      <c r="M75" s="40">
        <v>39373.19</v>
      </c>
      <c r="N75" s="40"/>
      <c r="O75" s="40" t="s">
        <v>234</v>
      </c>
    </row>
    <row r="76" spans="1:15" ht="45" x14ac:dyDescent="0.2">
      <c r="A76" s="40" t="s">
        <v>9847</v>
      </c>
      <c r="B76" s="40" t="s">
        <v>9847</v>
      </c>
      <c r="C76" s="41">
        <v>46048</v>
      </c>
      <c r="D76" s="41">
        <v>46176</v>
      </c>
      <c r="E76" s="40" t="s">
        <v>18</v>
      </c>
      <c r="F76" s="40" t="s">
        <v>4656</v>
      </c>
      <c r="G76" s="40"/>
      <c r="H76" s="40"/>
      <c r="I76" s="40" t="s">
        <v>49</v>
      </c>
      <c r="J76" s="40">
        <v>39373.19</v>
      </c>
      <c r="K76" s="40">
        <v>39373.19</v>
      </c>
      <c r="L76" s="40"/>
      <c r="M76" s="40">
        <v>39373.19</v>
      </c>
      <c r="N76" s="40"/>
      <c r="O76" s="40" t="s">
        <v>234</v>
      </c>
    </row>
    <row r="77" spans="1:15" ht="45" x14ac:dyDescent="0.2">
      <c r="A77" s="40" t="s">
        <v>9848</v>
      </c>
      <c r="B77" s="40" t="s">
        <v>9848</v>
      </c>
      <c r="C77" s="41">
        <v>46048</v>
      </c>
      <c r="D77" s="41">
        <v>46169</v>
      </c>
      <c r="E77" s="40" t="s">
        <v>18</v>
      </c>
      <c r="F77" s="40" t="s">
        <v>4656</v>
      </c>
      <c r="G77" s="40"/>
      <c r="H77" s="40"/>
      <c r="I77" s="40" t="s">
        <v>49</v>
      </c>
      <c r="J77" s="40">
        <v>39373.19</v>
      </c>
      <c r="K77" s="40">
        <v>39373.19</v>
      </c>
      <c r="L77" s="40"/>
      <c r="M77" s="40">
        <v>39373.19</v>
      </c>
      <c r="N77" s="40" t="s">
        <v>9849</v>
      </c>
      <c r="O77" s="40" t="s">
        <v>234</v>
      </c>
    </row>
    <row r="78" spans="1:15" ht="45" x14ac:dyDescent="0.2">
      <c r="A78" s="40" t="s">
        <v>9850</v>
      </c>
      <c r="B78" s="40" t="s">
        <v>9850</v>
      </c>
      <c r="C78" s="41">
        <v>46048</v>
      </c>
      <c r="D78" s="41">
        <v>46162</v>
      </c>
      <c r="E78" s="40" t="s">
        <v>18</v>
      </c>
      <c r="F78" s="40" t="s">
        <v>4656</v>
      </c>
      <c r="G78" s="40"/>
      <c r="H78" s="40"/>
      <c r="I78" s="40" t="s">
        <v>49</v>
      </c>
      <c r="J78" s="40">
        <v>39373.19</v>
      </c>
      <c r="K78" s="40">
        <v>39373.19</v>
      </c>
      <c r="L78" s="40"/>
      <c r="M78" s="40">
        <v>39373.19</v>
      </c>
      <c r="N78" s="40" t="s">
        <v>9851</v>
      </c>
      <c r="O78" s="40" t="s">
        <v>234</v>
      </c>
    </row>
    <row r="79" spans="1:15" ht="45" x14ac:dyDescent="0.2">
      <c r="A79" s="40" t="s">
        <v>9852</v>
      </c>
      <c r="B79" s="40" t="s">
        <v>9852</v>
      </c>
      <c r="C79" s="41">
        <v>46048</v>
      </c>
      <c r="D79" s="41">
        <v>46155</v>
      </c>
      <c r="E79" s="40" t="s">
        <v>18</v>
      </c>
      <c r="F79" s="40" t="s">
        <v>4656</v>
      </c>
      <c r="G79" s="40"/>
      <c r="H79" s="40"/>
      <c r="I79" s="40" t="s">
        <v>49</v>
      </c>
      <c r="J79" s="40">
        <v>39373.19</v>
      </c>
      <c r="K79" s="40">
        <v>39373.19</v>
      </c>
      <c r="L79" s="40"/>
      <c r="M79" s="40">
        <v>39373.19</v>
      </c>
      <c r="N79" s="40" t="s">
        <v>9853</v>
      </c>
      <c r="O79" s="40" t="s">
        <v>234</v>
      </c>
    </row>
    <row r="80" spans="1:15" ht="45" x14ac:dyDescent="0.2">
      <c r="A80" s="40" t="s">
        <v>9854</v>
      </c>
      <c r="B80" s="40" t="s">
        <v>9854</v>
      </c>
      <c r="C80" s="41">
        <v>46048</v>
      </c>
      <c r="D80" s="41">
        <v>46148</v>
      </c>
      <c r="E80" s="40" t="s">
        <v>18</v>
      </c>
      <c r="F80" s="40" t="s">
        <v>4656</v>
      </c>
      <c r="G80" s="40"/>
      <c r="H80" s="40"/>
      <c r="I80" s="40" t="s">
        <v>49</v>
      </c>
      <c r="J80" s="40">
        <v>39373.19</v>
      </c>
      <c r="K80" s="40">
        <v>39373.19</v>
      </c>
      <c r="L80" s="40"/>
      <c r="M80" s="40">
        <v>39373.19</v>
      </c>
      <c r="N80" s="40" t="s">
        <v>9855</v>
      </c>
      <c r="O80" s="40" t="s">
        <v>234</v>
      </c>
    </row>
    <row r="81" spans="1:15" ht="45" x14ac:dyDescent="0.2">
      <c r="A81" s="40" t="s">
        <v>9856</v>
      </c>
      <c r="B81" s="40" t="s">
        <v>9856</v>
      </c>
      <c r="C81" s="41">
        <v>46048</v>
      </c>
      <c r="D81" s="41">
        <v>46141</v>
      </c>
      <c r="E81" s="40" t="s">
        <v>18</v>
      </c>
      <c r="F81" s="40" t="s">
        <v>4656</v>
      </c>
      <c r="G81" s="40"/>
      <c r="H81" s="40"/>
      <c r="I81" s="40" t="s">
        <v>49</v>
      </c>
      <c r="J81" s="40">
        <v>39373.19</v>
      </c>
      <c r="K81" s="40">
        <v>39373.19</v>
      </c>
      <c r="L81" s="40"/>
      <c r="M81" s="40">
        <v>39373.19</v>
      </c>
      <c r="N81" s="40" t="s">
        <v>9857</v>
      </c>
      <c r="O81" s="40" t="s">
        <v>234</v>
      </c>
    </row>
    <row r="82" spans="1:15" ht="45" x14ac:dyDescent="0.2">
      <c r="A82" s="40" t="s">
        <v>9858</v>
      </c>
      <c r="B82" s="40" t="s">
        <v>9858</v>
      </c>
      <c r="C82" s="41">
        <v>46048</v>
      </c>
      <c r="D82" s="41">
        <v>46134</v>
      </c>
      <c r="E82" s="40" t="s">
        <v>18</v>
      </c>
      <c r="F82" s="40" t="s">
        <v>4656</v>
      </c>
      <c r="G82" s="40"/>
      <c r="H82" s="40"/>
      <c r="I82" s="40" t="s">
        <v>49</v>
      </c>
      <c r="J82" s="40">
        <v>39373.19</v>
      </c>
      <c r="K82" s="40">
        <v>39373.19</v>
      </c>
      <c r="L82" s="40"/>
      <c r="M82" s="40">
        <v>39373.19</v>
      </c>
      <c r="N82" s="40" t="s">
        <v>9859</v>
      </c>
      <c r="O82" s="40" t="s">
        <v>234</v>
      </c>
    </row>
    <row r="83" spans="1:15" ht="45" x14ac:dyDescent="0.2">
      <c r="A83" s="40" t="s">
        <v>9860</v>
      </c>
      <c r="B83" s="40" t="s">
        <v>9860</v>
      </c>
      <c r="C83" s="41">
        <v>46048</v>
      </c>
      <c r="D83" s="41">
        <v>46127</v>
      </c>
      <c r="E83" s="40" t="s">
        <v>18</v>
      </c>
      <c r="F83" s="40" t="s">
        <v>4656</v>
      </c>
      <c r="G83" s="40"/>
      <c r="H83" s="40"/>
      <c r="I83" s="40" t="s">
        <v>49</v>
      </c>
      <c r="J83" s="40">
        <v>39373.19</v>
      </c>
      <c r="K83" s="40">
        <v>39373.19</v>
      </c>
      <c r="L83" s="40"/>
      <c r="M83" s="40">
        <v>39373.19</v>
      </c>
      <c r="N83" s="40" t="s">
        <v>9861</v>
      </c>
      <c r="O83" s="40" t="s">
        <v>234</v>
      </c>
    </row>
    <row r="84" spans="1:15" ht="45" x14ac:dyDescent="0.2">
      <c r="A84" s="40" t="s">
        <v>9862</v>
      </c>
      <c r="B84" s="40" t="s">
        <v>9862</v>
      </c>
      <c r="C84" s="41">
        <v>46048</v>
      </c>
      <c r="D84" s="41">
        <v>46120</v>
      </c>
      <c r="E84" s="40" t="s">
        <v>18</v>
      </c>
      <c r="F84" s="40" t="s">
        <v>4656</v>
      </c>
      <c r="G84" s="40"/>
      <c r="H84" s="40"/>
      <c r="I84" s="40" t="s">
        <v>49</v>
      </c>
      <c r="J84" s="40">
        <v>39373.19</v>
      </c>
      <c r="K84" s="40">
        <v>39373.19</v>
      </c>
      <c r="L84" s="40"/>
      <c r="M84" s="40">
        <v>39373.19</v>
      </c>
      <c r="N84" s="40" t="s">
        <v>9863</v>
      </c>
      <c r="O84" s="40" t="s">
        <v>234</v>
      </c>
    </row>
    <row r="85" spans="1:15" ht="45" x14ac:dyDescent="0.2">
      <c r="A85" s="40" t="s">
        <v>9864</v>
      </c>
      <c r="B85" s="40" t="s">
        <v>9864</v>
      </c>
      <c r="C85" s="41">
        <v>46048</v>
      </c>
      <c r="D85" s="41">
        <v>46113</v>
      </c>
      <c r="E85" s="40" t="s">
        <v>18</v>
      </c>
      <c r="F85" s="40" t="s">
        <v>4656</v>
      </c>
      <c r="G85" s="40"/>
      <c r="H85" s="40"/>
      <c r="I85" s="40" t="s">
        <v>49</v>
      </c>
      <c r="J85" s="40">
        <v>39373.19</v>
      </c>
      <c r="K85" s="40">
        <v>39373.19</v>
      </c>
      <c r="L85" s="40"/>
      <c r="M85" s="40">
        <v>39373.19</v>
      </c>
      <c r="N85" s="40" t="s">
        <v>9865</v>
      </c>
      <c r="O85" s="40" t="s">
        <v>234</v>
      </c>
    </row>
    <row r="86" spans="1:15" ht="45" x14ac:dyDescent="0.2">
      <c r="A86" s="40" t="s">
        <v>9866</v>
      </c>
      <c r="B86" s="40" t="s">
        <v>9866</v>
      </c>
      <c r="C86" s="41">
        <v>46036</v>
      </c>
      <c r="D86" s="41">
        <v>46188</v>
      </c>
      <c r="E86" s="40" t="s">
        <v>18</v>
      </c>
      <c r="F86" s="40" t="s">
        <v>1826</v>
      </c>
      <c r="G86" s="40"/>
      <c r="H86" s="40"/>
      <c r="I86" s="40" t="s">
        <v>49</v>
      </c>
      <c r="J86" s="40">
        <v>47257.11</v>
      </c>
      <c r="K86" s="40">
        <v>47257.11</v>
      </c>
      <c r="L86" s="40"/>
      <c r="M86" s="40">
        <v>47257.11</v>
      </c>
      <c r="N86" s="40"/>
      <c r="O86" s="40" t="s">
        <v>234</v>
      </c>
    </row>
    <row r="87" spans="1:15" ht="45" x14ac:dyDescent="0.2">
      <c r="A87" s="40" t="s">
        <v>9867</v>
      </c>
      <c r="B87" s="40" t="s">
        <v>9867</v>
      </c>
      <c r="C87" s="41">
        <v>46036</v>
      </c>
      <c r="D87" s="41">
        <v>46181</v>
      </c>
      <c r="E87" s="40" t="s">
        <v>18</v>
      </c>
      <c r="F87" s="40" t="s">
        <v>1826</v>
      </c>
      <c r="G87" s="40"/>
      <c r="H87" s="40"/>
      <c r="I87" s="40" t="s">
        <v>49</v>
      </c>
      <c r="J87" s="40">
        <v>47257.07</v>
      </c>
      <c r="K87" s="40">
        <v>47257.07</v>
      </c>
      <c r="L87" s="40"/>
      <c r="M87" s="40">
        <v>47257.07</v>
      </c>
      <c r="N87" s="40"/>
      <c r="O87" s="40" t="s">
        <v>234</v>
      </c>
    </row>
    <row r="88" spans="1:15" ht="45" x14ac:dyDescent="0.2">
      <c r="A88" s="40" t="s">
        <v>9868</v>
      </c>
      <c r="B88" s="40" t="s">
        <v>9868</v>
      </c>
      <c r="C88" s="41">
        <v>46036</v>
      </c>
      <c r="D88" s="41">
        <v>46174</v>
      </c>
      <c r="E88" s="40" t="s">
        <v>18</v>
      </c>
      <c r="F88" s="40" t="s">
        <v>1826</v>
      </c>
      <c r="G88" s="40"/>
      <c r="H88" s="40"/>
      <c r="I88" s="40" t="s">
        <v>49</v>
      </c>
      <c r="J88" s="40">
        <v>47257.07</v>
      </c>
      <c r="K88" s="40">
        <v>47257.07</v>
      </c>
      <c r="L88" s="40"/>
      <c r="M88" s="40">
        <v>47257.07</v>
      </c>
      <c r="N88" s="40"/>
      <c r="O88" s="40" t="s">
        <v>234</v>
      </c>
    </row>
    <row r="89" spans="1:15" ht="45" x14ac:dyDescent="0.2">
      <c r="A89" s="40" t="s">
        <v>9869</v>
      </c>
      <c r="B89" s="40" t="s">
        <v>9869</v>
      </c>
      <c r="C89" s="41">
        <v>46036</v>
      </c>
      <c r="D89" s="41">
        <v>46167</v>
      </c>
      <c r="E89" s="40" t="s">
        <v>18</v>
      </c>
      <c r="F89" s="40" t="s">
        <v>1826</v>
      </c>
      <c r="G89" s="40"/>
      <c r="H89" s="40"/>
      <c r="I89" s="40" t="s">
        <v>49</v>
      </c>
      <c r="J89" s="40">
        <v>47257.07</v>
      </c>
      <c r="K89" s="40">
        <v>47257.07</v>
      </c>
      <c r="L89" s="40"/>
      <c r="M89" s="40">
        <v>47257.07</v>
      </c>
      <c r="N89" s="40" t="s">
        <v>9870</v>
      </c>
      <c r="O89" s="40" t="s">
        <v>234</v>
      </c>
    </row>
    <row r="90" spans="1:15" ht="45" x14ac:dyDescent="0.2">
      <c r="A90" s="40" t="s">
        <v>9871</v>
      </c>
      <c r="B90" s="40" t="s">
        <v>9871</v>
      </c>
      <c r="C90" s="41">
        <v>46036</v>
      </c>
      <c r="D90" s="41">
        <v>46160</v>
      </c>
      <c r="E90" s="40" t="s">
        <v>18</v>
      </c>
      <c r="F90" s="40" t="s">
        <v>1826</v>
      </c>
      <c r="G90" s="40"/>
      <c r="H90" s="40"/>
      <c r="I90" s="40" t="s">
        <v>49</v>
      </c>
      <c r="J90" s="40">
        <v>47257.07</v>
      </c>
      <c r="K90" s="40">
        <v>47257.07</v>
      </c>
      <c r="L90" s="40"/>
      <c r="M90" s="40">
        <v>47257.07</v>
      </c>
      <c r="N90" s="40" t="s">
        <v>9872</v>
      </c>
      <c r="O90" s="40" t="s">
        <v>234</v>
      </c>
    </row>
    <row r="91" spans="1:15" ht="45" x14ac:dyDescent="0.2">
      <c r="A91" s="40" t="s">
        <v>9873</v>
      </c>
      <c r="B91" s="40" t="s">
        <v>9873</v>
      </c>
      <c r="C91" s="41">
        <v>46036</v>
      </c>
      <c r="D91" s="41">
        <v>46153</v>
      </c>
      <c r="E91" s="40" t="s">
        <v>18</v>
      </c>
      <c r="F91" s="40" t="s">
        <v>1826</v>
      </c>
      <c r="G91" s="40"/>
      <c r="H91" s="40"/>
      <c r="I91" s="40" t="s">
        <v>49</v>
      </c>
      <c r="J91" s="40">
        <v>47257.07</v>
      </c>
      <c r="K91" s="40">
        <v>47257.07</v>
      </c>
      <c r="L91" s="40"/>
      <c r="M91" s="40">
        <v>47257.07</v>
      </c>
      <c r="N91" s="40" t="s">
        <v>9874</v>
      </c>
      <c r="O91" s="40" t="s">
        <v>234</v>
      </c>
    </row>
    <row r="92" spans="1:15" ht="45" x14ac:dyDescent="0.2">
      <c r="A92" s="40" t="s">
        <v>9875</v>
      </c>
      <c r="B92" s="40" t="s">
        <v>9875</v>
      </c>
      <c r="C92" s="41">
        <v>46036</v>
      </c>
      <c r="D92" s="41">
        <v>46146</v>
      </c>
      <c r="E92" s="40" t="s">
        <v>18</v>
      </c>
      <c r="F92" s="40" t="s">
        <v>1826</v>
      </c>
      <c r="G92" s="40"/>
      <c r="H92" s="40"/>
      <c r="I92" s="40" t="s">
        <v>49</v>
      </c>
      <c r="J92" s="40">
        <v>47257.07</v>
      </c>
      <c r="K92" s="40">
        <v>47257.07</v>
      </c>
      <c r="L92" s="40"/>
      <c r="M92" s="40">
        <v>47257.07</v>
      </c>
      <c r="N92" s="40" t="s">
        <v>9876</v>
      </c>
      <c r="O92" s="40" t="s">
        <v>234</v>
      </c>
    </row>
    <row r="93" spans="1:15" ht="45" x14ac:dyDescent="0.2">
      <c r="A93" s="40" t="s">
        <v>9877</v>
      </c>
      <c r="B93" s="40" t="s">
        <v>9877</v>
      </c>
      <c r="C93" s="41">
        <v>46036</v>
      </c>
      <c r="D93" s="41">
        <v>46139</v>
      </c>
      <c r="E93" s="40" t="s">
        <v>18</v>
      </c>
      <c r="F93" s="40" t="s">
        <v>1826</v>
      </c>
      <c r="G93" s="40"/>
      <c r="H93" s="40"/>
      <c r="I93" s="40" t="s">
        <v>49</v>
      </c>
      <c r="J93" s="40">
        <v>47257.07</v>
      </c>
      <c r="K93" s="40">
        <v>47257.07</v>
      </c>
      <c r="L93" s="40"/>
      <c r="M93" s="40">
        <v>47257.07</v>
      </c>
      <c r="N93" s="40" t="s">
        <v>9878</v>
      </c>
      <c r="O93" s="40" t="s">
        <v>234</v>
      </c>
    </row>
    <row r="94" spans="1:15" ht="45" x14ac:dyDescent="0.2">
      <c r="A94" s="40" t="s">
        <v>9879</v>
      </c>
      <c r="B94" s="40" t="s">
        <v>9879</v>
      </c>
      <c r="C94" s="41">
        <v>46036</v>
      </c>
      <c r="D94" s="41">
        <v>46132</v>
      </c>
      <c r="E94" s="40" t="s">
        <v>18</v>
      </c>
      <c r="F94" s="40" t="s">
        <v>1826</v>
      </c>
      <c r="G94" s="40"/>
      <c r="H94" s="40"/>
      <c r="I94" s="40" t="s">
        <v>49</v>
      </c>
      <c r="J94" s="40">
        <v>47257.07</v>
      </c>
      <c r="K94" s="40">
        <v>47257.07</v>
      </c>
      <c r="L94" s="40"/>
      <c r="M94" s="40">
        <v>47257.07</v>
      </c>
      <c r="N94" s="40" t="s">
        <v>9880</v>
      </c>
      <c r="O94" s="40" t="s">
        <v>234</v>
      </c>
    </row>
    <row r="95" spans="1:15" ht="45" x14ac:dyDescent="0.2">
      <c r="A95" s="40" t="s">
        <v>9881</v>
      </c>
      <c r="B95" s="40" t="s">
        <v>9881</v>
      </c>
      <c r="C95" s="41">
        <v>46036</v>
      </c>
      <c r="D95" s="41">
        <v>46125</v>
      </c>
      <c r="E95" s="40" t="s">
        <v>18</v>
      </c>
      <c r="F95" s="40" t="s">
        <v>1826</v>
      </c>
      <c r="G95" s="40"/>
      <c r="H95" s="40"/>
      <c r="I95" s="40" t="s">
        <v>49</v>
      </c>
      <c r="J95" s="40">
        <v>47257.07</v>
      </c>
      <c r="K95" s="40">
        <v>47257.07</v>
      </c>
      <c r="L95" s="40"/>
      <c r="M95" s="40">
        <v>47257.07</v>
      </c>
      <c r="N95" s="40" t="s">
        <v>9882</v>
      </c>
      <c r="O95" s="40" t="s">
        <v>234</v>
      </c>
    </row>
    <row r="96" spans="1:15" ht="45" x14ac:dyDescent="0.2">
      <c r="A96" s="40" t="s">
        <v>9883</v>
      </c>
      <c r="B96" s="40" t="s">
        <v>9883</v>
      </c>
      <c r="C96" s="41">
        <v>46036</v>
      </c>
      <c r="D96" s="41">
        <v>46118</v>
      </c>
      <c r="E96" s="40" t="s">
        <v>18</v>
      </c>
      <c r="F96" s="40" t="s">
        <v>1826</v>
      </c>
      <c r="G96" s="40"/>
      <c r="H96" s="40"/>
      <c r="I96" s="40" t="s">
        <v>49</v>
      </c>
      <c r="J96" s="40">
        <v>47257.07</v>
      </c>
      <c r="K96" s="40">
        <v>47257.07</v>
      </c>
      <c r="L96" s="40"/>
      <c r="M96" s="40">
        <v>47257.07</v>
      </c>
      <c r="N96" s="40" t="s">
        <v>9884</v>
      </c>
      <c r="O96" s="40" t="s">
        <v>234</v>
      </c>
    </row>
    <row r="98" spans="13:13" x14ac:dyDescent="0.2">
      <c r="M98" s="51">
        <f>SUM(M3:M97)</f>
        <v>1395274.19</v>
      </c>
    </row>
  </sheetData>
  <mergeCells count="1">
    <mergeCell ref="A2:D2"/>
  </mergeCells>
  <conditionalFormatting sqref="N2:N1048576">
    <cfRule type="duplicateValues" dxfId="40" priority="2"/>
  </conditionalFormatting>
  <conditionalFormatting sqref="N1">
    <cfRule type="duplicateValues" dxfId="5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BF91-155F-4AE7-BB44-B966DD2E77C4}">
  <dimension ref="A1:O586"/>
  <sheetViews>
    <sheetView showGridLines="0" workbookViewId="0">
      <selection sqref="A1:XFD1"/>
    </sheetView>
  </sheetViews>
  <sheetFormatPr baseColWidth="10" defaultColWidth="10.7109375" defaultRowHeight="29.25" customHeight="1" x14ac:dyDescent="0.2"/>
  <cols>
    <col min="1" max="3" width="10.7109375" style="8"/>
    <col min="4" max="4" width="12.5703125" style="8" customWidth="1"/>
    <col min="5" max="5" width="23.5703125" style="8" customWidth="1"/>
    <col min="6" max="6" width="14.28515625" style="8" customWidth="1"/>
    <col min="7" max="12" width="10.7109375" style="8"/>
    <col min="13" max="13" width="10.7109375" style="9"/>
    <col min="14" max="14" width="10.7109375" style="8"/>
    <col min="15" max="15" width="15.42578125" style="8" customWidth="1"/>
    <col min="16" max="16384" width="10.7109375" style="8"/>
  </cols>
  <sheetData>
    <row r="1" spans="1:15" s="18" customFormat="1" ht="36" customHeight="1" x14ac:dyDescent="0.25">
      <c r="A1" s="104" t="s">
        <v>33</v>
      </c>
      <c r="B1" s="104" t="s">
        <v>34</v>
      </c>
      <c r="C1" s="104" t="s">
        <v>35</v>
      </c>
      <c r="D1" s="104" t="s">
        <v>36</v>
      </c>
      <c r="E1" s="104" t="s">
        <v>37</v>
      </c>
      <c r="F1" s="104" t="s">
        <v>38</v>
      </c>
      <c r="G1" s="104" t="s">
        <v>39</v>
      </c>
      <c r="H1" s="104" t="s">
        <v>40</v>
      </c>
      <c r="I1" s="104" t="s">
        <v>41</v>
      </c>
      <c r="J1" s="104" t="s">
        <v>42</v>
      </c>
      <c r="K1" s="104" t="s">
        <v>3</v>
      </c>
      <c r="L1" s="104" t="s">
        <v>4</v>
      </c>
      <c r="M1" s="104" t="s">
        <v>43</v>
      </c>
      <c r="N1" s="104" t="s">
        <v>44</v>
      </c>
      <c r="O1" s="104" t="s">
        <v>45</v>
      </c>
    </row>
    <row r="2" spans="1:15" ht="29.25" customHeight="1" x14ac:dyDescent="0.2">
      <c r="A2" s="92" t="s">
        <v>10573</v>
      </c>
      <c r="B2" s="93"/>
      <c r="C2" s="94"/>
      <c r="D2" s="38"/>
      <c r="E2" s="38"/>
      <c r="F2" s="38"/>
      <c r="G2" s="38"/>
      <c r="H2" s="38"/>
      <c r="I2" s="38"/>
      <c r="J2" s="38"/>
      <c r="K2" s="38"/>
      <c r="L2" s="38"/>
      <c r="M2" s="39"/>
      <c r="N2" s="38"/>
      <c r="O2" s="38"/>
    </row>
    <row r="3" spans="1:15" ht="29.25" customHeight="1" x14ac:dyDescent="0.2">
      <c r="A3" s="40" t="s">
        <v>10574</v>
      </c>
      <c r="B3" s="40" t="s">
        <v>10575</v>
      </c>
      <c r="C3" s="41">
        <v>45925</v>
      </c>
      <c r="D3" s="41">
        <v>45925</v>
      </c>
      <c r="E3" s="40" t="s">
        <v>19</v>
      </c>
      <c r="F3" s="40" t="s">
        <v>101</v>
      </c>
      <c r="G3" s="40" t="s">
        <v>10576</v>
      </c>
      <c r="H3" s="40" t="s">
        <v>10577</v>
      </c>
      <c r="I3" s="40" t="s">
        <v>49</v>
      </c>
      <c r="J3" s="40">
        <v>-2081.7600000000002</v>
      </c>
      <c r="K3" s="40"/>
      <c r="L3" s="40">
        <v>2081.7600000000002</v>
      </c>
      <c r="M3" s="40">
        <v>-2081.7600000000002</v>
      </c>
      <c r="N3" s="40"/>
      <c r="O3" s="40" t="s">
        <v>75</v>
      </c>
    </row>
    <row r="4" spans="1:15" ht="29.25" customHeight="1" x14ac:dyDescent="0.2">
      <c r="A4" s="40" t="s">
        <v>10578</v>
      </c>
      <c r="B4" s="40" t="s">
        <v>10579</v>
      </c>
      <c r="C4" s="41">
        <v>45926</v>
      </c>
      <c r="D4" s="41">
        <v>45926</v>
      </c>
      <c r="E4" s="40" t="s">
        <v>19</v>
      </c>
      <c r="F4" s="40" t="s">
        <v>1920</v>
      </c>
      <c r="G4" s="40" t="s">
        <v>10580</v>
      </c>
      <c r="H4" s="40" t="s">
        <v>10581</v>
      </c>
      <c r="I4" s="40" t="s">
        <v>49</v>
      </c>
      <c r="J4" s="40">
        <v>-3099.95</v>
      </c>
      <c r="K4" s="40"/>
      <c r="L4" s="40">
        <v>3099.95</v>
      </c>
      <c r="M4" s="40">
        <v>-3099.95</v>
      </c>
      <c r="N4" s="40"/>
      <c r="O4" s="40" t="s">
        <v>75</v>
      </c>
    </row>
    <row r="5" spans="1:15" ht="29.25" customHeight="1" x14ac:dyDescent="0.2">
      <c r="A5" s="40" t="s">
        <v>10582</v>
      </c>
      <c r="B5" s="40" t="s">
        <v>10582</v>
      </c>
      <c r="C5" s="41">
        <v>46020</v>
      </c>
      <c r="D5" s="41">
        <v>46132</v>
      </c>
      <c r="E5" s="40" t="s">
        <v>19</v>
      </c>
      <c r="F5" s="40" t="s">
        <v>101</v>
      </c>
      <c r="G5" s="40"/>
      <c r="H5" s="40"/>
      <c r="I5" s="40" t="s">
        <v>49</v>
      </c>
      <c r="J5" s="40">
        <v>15759.73</v>
      </c>
      <c r="K5" s="40">
        <v>15759.73</v>
      </c>
      <c r="L5" s="40"/>
      <c r="M5" s="40">
        <v>15759.73</v>
      </c>
      <c r="N5" s="40" t="s">
        <v>10583</v>
      </c>
      <c r="O5" s="40" t="s">
        <v>234</v>
      </c>
    </row>
    <row r="6" spans="1:15" ht="29.25" customHeight="1" x14ac:dyDescent="0.2">
      <c r="A6" s="40" t="s">
        <v>10584</v>
      </c>
      <c r="B6" s="40" t="s">
        <v>10584</v>
      </c>
      <c r="C6" s="41">
        <v>46020</v>
      </c>
      <c r="D6" s="41">
        <v>46121</v>
      </c>
      <c r="E6" s="40" t="s">
        <v>19</v>
      </c>
      <c r="F6" s="40" t="s">
        <v>101</v>
      </c>
      <c r="G6" s="40"/>
      <c r="H6" s="40"/>
      <c r="I6" s="40" t="s">
        <v>49</v>
      </c>
      <c r="J6" s="40">
        <v>15759.77</v>
      </c>
      <c r="K6" s="40">
        <v>15759.77</v>
      </c>
      <c r="L6" s="40"/>
      <c r="M6" s="40">
        <v>15759.77</v>
      </c>
      <c r="N6" s="40" t="s">
        <v>10585</v>
      </c>
      <c r="O6" s="40" t="s">
        <v>234</v>
      </c>
    </row>
    <row r="7" spans="1:15" ht="29.25" customHeight="1" x14ac:dyDescent="0.2">
      <c r="A7" s="40" t="s">
        <v>10586</v>
      </c>
      <c r="B7" s="40" t="s">
        <v>10586</v>
      </c>
      <c r="C7" s="41">
        <v>46027</v>
      </c>
      <c r="D7" s="41">
        <v>46142</v>
      </c>
      <c r="E7" s="40" t="s">
        <v>19</v>
      </c>
      <c r="F7" s="40" t="s">
        <v>843</v>
      </c>
      <c r="G7" s="40"/>
      <c r="H7" s="40"/>
      <c r="I7" s="40" t="s">
        <v>49</v>
      </c>
      <c r="J7" s="40">
        <v>17351.97</v>
      </c>
      <c r="K7" s="40">
        <v>17351.97</v>
      </c>
      <c r="L7" s="40"/>
      <c r="M7" s="40">
        <v>17351.97</v>
      </c>
      <c r="N7" s="40" t="s">
        <v>10587</v>
      </c>
      <c r="O7" s="40" t="s">
        <v>234</v>
      </c>
    </row>
    <row r="8" spans="1:15" ht="29.25" customHeight="1" x14ac:dyDescent="0.2">
      <c r="A8" s="40" t="s">
        <v>10588</v>
      </c>
      <c r="B8" s="40" t="s">
        <v>10588</v>
      </c>
      <c r="C8" s="41">
        <v>46027</v>
      </c>
      <c r="D8" s="41">
        <v>46132</v>
      </c>
      <c r="E8" s="40" t="s">
        <v>19</v>
      </c>
      <c r="F8" s="40" t="s">
        <v>843</v>
      </c>
      <c r="G8" s="40"/>
      <c r="H8" s="40"/>
      <c r="I8" s="40" t="s">
        <v>49</v>
      </c>
      <c r="J8" s="40">
        <v>17351.96</v>
      </c>
      <c r="K8" s="40">
        <v>17351.96</v>
      </c>
      <c r="L8" s="40"/>
      <c r="M8" s="40">
        <v>17351.96</v>
      </c>
      <c r="N8" s="40" t="s">
        <v>10589</v>
      </c>
      <c r="O8" s="40" t="s">
        <v>234</v>
      </c>
    </row>
    <row r="9" spans="1:15" ht="29.25" customHeight="1" x14ac:dyDescent="0.2">
      <c r="A9" s="40" t="s">
        <v>10590</v>
      </c>
      <c r="B9" s="40" t="s">
        <v>10590</v>
      </c>
      <c r="C9" s="41">
        <v>46027</v>
      </c>
      <c r="D9" s="41">
        <v>46122</v>
      </c>
      <c r="E9" s="40" t="s">
        <v>19</v>
      </c>
      <c r="F9" s="40" t="s">
        <v>843</v>
      </c>
      <c r="G9" s="40"/>
      <c r="H9" s="40"/>
      <c r="I9" s="40" t="s">
        <v>49</v>
      </c>
      <c r="J9" s="40">
        <v>17351.96</v>
      </c>
      <c r="K9" s="40">
        <v>17351.96</v>
      </c>
      <c r="L9" s="40"/>
      <c r="M9" s="40">
        <v>17351.96</v>
      </c>
      <c r="N9" s="40" t="s">
        <v>10591</v>
      </c>
      <c r="O9" s="40" t="s">
        <v>234</v>
      </c>
    </row>
    <row r="10" spans="1:15" ht="29.25" customHeight="1" x14ac:dyDescent="0.2">
      <c r="A10" s="40" t="s">
        <v>10592</v>
      </c>
      <c r="B10" s="40" t="s">
        <v>10592</v>
      </c>
      <c r="C10" s="41">
        <v>46027</v>
      </c>
      <c r="D10" s="41">
        <v>46139</v>
      </c>
      <c r="E10" s="40" t="s">
        <v>19</v>
      </c>
      <c r="F10" s="40" t="s">
        <v>1920</v>
      </c>
      <c r="G10" s="40"/>
      <c r="H10" s="40"/>
      <c r="I10" s="40" t="s">
        <v>49</v>
      </c>
      <c r="J10" s="40">
        <v>16638.18</v>
      </c>
      <c r="K10" s="40">
        <v>16638.18</v>
      </c>
      <c r="L10" s="40"/>
      <c r="M10" s="40">
        <v>16638.18</v>
      </c>
      <c r="N10" s="40" t="s">
        <v>10593</v>
      </c>
      <c r="O10" s="40" t="s">
        <v>234</v>
      </c>
    </row>
    <row r="11" spans="1:15" ht="29.25" customHeight="1" x14ac:dyDescent="0.2">
      <c r="A11" s="40" t="s">
        <v>10594</v>
      </c>
      <c r="B11" s="40" t="s">
        <v>10594</v>
      </c>
      <c r="C11" s="41">
        <v>46027</v>
      </c>
      <c r="D11" s="41">
        <v>46128</v>
      </c>
      <c r="E11" s="40" t="s">
        <v>19</v>
      </c>
      <c r="F11" s="40" t="s">
        <v>1920</v>
      </c>
      <c r="G11" s="40"/>
      <c r="H11" s="40"/>
      <c r="I11" s="40" t="s">
        <v>49</v>
      </c>
      <c r="J11" s="40">
        <v>16638.169999999998</v>
      </c>
      <c r="K11" s="40">
        <v>16638.169999999998</v>
      </c>
      <c r="L11" s="40"/>
      <c r="M11" s="40">
        <v>16638.169999999998</v>
      </c>
      <c r="N11" s="40" t="s">
        <v>10595</v>
      </c>
      <c r="O11" s="40" t="s">
        <v>234</v>
      </c>
    </row>
    <row r="12" spans="1:15" ht="29.25" customHeight="1" x14ac:dyDescent="0.2">
      <c r="A12" s="40" t="s">
        <v>10596</v>
      </c>
      <c r="B12" s="40" t="s">
        <v>10596</v>
      </c>
      <c r="C12" s="41">
        <v>46027</v>
      </c>
      <c r="D12" s="41">
        <v>46118</v>
      </c>
      <c r="E12" s="40" t="s">
        <v>19</v>
      </c>
      <c r="F12" s="40" t="s">
        <v>1920</v>
      </c>
      <c r="G12" s="40"/>
      <c r="H12" s="40"/>
      <c r="I12" s="40" t="s">
        <v>49</v>
      </c>
      <c r="J12" s="40">
        <v>16638.169999999998</v>
      </c>
      <c r="K12" s="40">
        <v>16638.169999999998</v>
      </c>
      <c r="L12" s="40"/>
      <c r="M12" s="40">
        <v>16638.169999999998</v>
      </c>
      <c r="N12" s="40" t="s">
        <v>10597</v>
      </c>
      <c r="O12" s="40" t="s">
        <v>234</v>
      </c>
    </row>
    <row r="13" spans="1:15" ht="29.25" customHeight="1" x14ac:dyDescent="0.2">
      <c r="A13" s="40" t="s">
        <v>10598</v>
      </c>
      <c r="B13" s="40" t="s">
        <v>10598</v>
      </c>
      <c r="C13" s="41">
        <v>46029</v>
      </c>
      <c r="D13" s="41">
        <v>46126</v>
      </c>
      <c r="E13" s="40" t="s">
        <v>19</v>
      </c>
      <c r="F13" s="40" t="s">
        <v>834</v>
      </c>
      <c r="G13" s="40"/>
      <c r="H13" s="40"/>
      <c r="I13" s="40" t="s">
        <v>49</v>
      </c>
      <c r="J13" s="40">
        <v>10622.04</v>
      </c>
      <c r="K13" s="40">
        <v>10622.04</v>
      </c>
      <c r="L13" s="40"/>
      <c r="M13" s="40">
        <v>10622.04</v>
      </c>
      <c r="N13" s="40" t="s">
        <v>10599</v>
      </c>
      <c r="O13" s="40" t="s">
        <v>234</v>
      </c>
    </row>
    <row r="14" spans="1:15" ht="29.25" customHeight="1" x14ac:dyDescent="0.2">
      <c r="A14" s="40" t="s">
        <v>10600</v>
      </c>
      <c r="B14" s="40" t="s">
        <v>10600</v>
      </c>
      <c r="C14" s="41">
        <v>46029</v>
      </c>
      <c r="D14" s="41">
        <v>46115</v>
      </c>
      <c r="E14" s="40" t="s">
        <v>19</v>
      </c>
      <c r="F14" s="40" t="s">
        <v>834</v>
      </c>
      <c r="G14" s="40"/>
      <c r="H14" s="40"/>
      <c r="I14" s="40" t="s">
        <v>49</v>
      </c>
      <c r="J14" s="40">
        <v>10622.06</v>
      </c>
      <c r="K14" s="40">
        <v>10622.06</v>
      </c>
      <c r="L14" s="40"/>
      <c r="M14" s="40">
        <v>10622.06</v>
      </c>
      <c r="N14" s="40" t="s">
        <v>10601</v>
      </c>
      <c r="O14" s="40" t="s">
        <v>234</v>
      </c>
    </row>
    <row r="15" spans="1:15" ht="29.25" customHeight="1" x14ac:dyDescent="0.2">
      <c r="A15" s="40" t="s">
        <v>10602</v>
      </c>
      <c r="B15" s="40" t="s">
        <v>10602</v>
      </c>
      <c r="C15" s="41">
        <v>46029</v>
      </c>
      <c r="D15" s="41">
        <v>46108</v>
      </c>
      <c r="E15" s="40" t="s">
        <v>19</v>
      </c>
      <c r="F15" s="40" t="s">
        <v>1929</v>
      </c>
      <c r="G15" s="40"/>
      <c r="H15" s="40"/>
      <c r="I15" s="40" t="s">
        <v>49</v>
      </c>
      <c r="J15" s="40">
        <v>2001.95</v>
      </c>
      <c r="K15" s="40">
        <v>2001.95</v>
      </c>
      <c r="L15" s="40"/>
      <c r="M15" s="40">
        <v>2001.95</v>
      </c>
      <c r="N15" s="40" t="s">
        <v>10603</v>
      </c>
      <c r="O15" s="40" t="s">
        <v>234</v>
      </c>
    </row>
    <row r="16" spans="1:15" ht="29.25" customHeight="1" x14ac:dyDescent="0.2">
      <c r="A16" s="40" t="s">
        <v>10604</v>
      </c>
      <c r="B16" s="40" t="s">
        <v>10604</v>
      </c>
      <c r="C16" s="41">
        <v>46035</v>
      </c>
      <c r="D16" s="41">
        <v>46148</v>
      </c>
      <c r="E16" s="40" t="s">
        <v>19</v>
      </c>
      <c r="F16" s="40" t="s">
        <v>101</v>
      </c>
      <c r="G16" s="40"/>
      <c r="H16" s="40"/>
      <c r="I16" s="40" t="s">
        <v>49</v>
      </c>
      <c r="J16" s="40">
        <v>29899.72</v>
      </c>
      <c r="K16" s="40">
        <v>29899.72</v>
      </c>
      <c r="L16" s="40"/>
      <c r="M16" s="40">
        <v>29899.72</v>
      </c>
      <c r="N16" s="40" t="s">
        <v>10605</v>
      </c>
      <c r="O16" s="40" t="s">
        <v>234</v>
      </c>
    </row>
    <row r="17" spans="1:15" ht="29.25" customHeight="1" x14ac:dyDescent="0.2">
      <c r="A17" s="40" t="s">
        <v>10606</v>
      </c>
      <c r="B17" s="40" t="s">
        <v>10606</v>
      </c>
      <c r="C17" s="41">
        <v>46035</v>
      </c>
      <c r="D17" s="41">
        <v>46141</v>
      </c>
      <c r="E17" s="40" t="s">
        <v>19</v>
      </c>
      <c r="F17" s="40" t="s">
        <v>101</v>
      </c>
      <c r="G17" s="40"/>
      <c r="H17" s="40"/>
      <c r="I17" s="40" t="s">
        <v>49</v>
      </c>
      <c r="J17" s="40">
        <v>29899.77</v>
      </c>
      <c r="K17" s="40">
        <v>29899.77</v>
      </c>
      <c r="L17" s="40"/>
      <c r="M17" s="40">
        <v>29899.77</v>
      </c>
      <c r="N17" s="40" t="s">
        <v>10607</v>
      </c>
      <c r="O17" s="40" t="s">
        <v>234</v>
      </c>
    </row>
    <row r="18" spans="1:15" ht="29.25" customHeight="1" x14ac:dyDescent="0.2">
      <c r="A18" s="40" t="s">
        <v>10608</v>
      </c>
      <c r="B18" s="40" t="s">
        <v>10608</v>
      </c>
      <c r="C18" s="41">
        <v>46035</v>
      </c>
      <c r="D18" s="41">
        <v>46134</v>
      </c>
      <c r="E18" s="40" t="s">
        <v>19</v>
      </c>
      <c r="F18" s="40" t="s">
        <v>101</v>
      </c>
      <c r="G18" s="40"/>
      <c r="H18" s="40"/>
      <c r="I18" s="40" t="s">
        <v>49</v>
      </c>
      <c r="J18" s="40">
        <v>29899.77</v>
      </c>
      <c r="K18" s="40">
        <v>29899.77</v>
      </c>
      <c r="L18" s="40"/>
      <c r="M18" s="40">
        <v>29899.77</v>
      </c>
      <c r="N18" s="40" t="s">
        <v>10609</v>
      </c>
      <c r="O18" s="40" t="s">
        <v>234</v>
      </c>
    </row>
    <row r="19" spans="1:15" ht="29.25" customHeight="1" x14ac:dyDescent="0.2">
      <c r="A19" s="40" t="s">
        <v>10610</v>
      </c>
      <c r="B19" s="40" t="s">
        <v>10610</v>
      </c>
      <c r="C19" s="41">
        <v>46035</v>
      </c>
      <c r="D19" s="41">
        <v>46127</v>
      </c>
      <c r="E19" s="40" t="s">
        <v>19</v>
      </c>
      <c r="F19" s="40" t="s">
        <v>101</v>
      </c>
      <c r="G19" s="40"/>
      <c r="H19" s="40"/>
      <c r="I19" s="40" t="s">
        <v>49</v>
      </c>
      <c r="J19" s="40">
        <v>29899.77</v>
      </c>
      <c r="K19" s="40">
        <v>29899.77</v>
      </c>
      <c r="L19" s="40"/>
      <c r="M19" s="40">
        <v>29899.77</v>
      </c>
      <c r="N19" s="40" t="s">
        <v>10611</v>
      </c>
      <c r="O19" s="40" t="s">
        <v>234</v>
      </c>
    </row>
    <row r="20" spans="1:15" ht="29.25" customHeight="1" x14ac:dyDescent="0.2">
      <c r="A20" s="40" t="s">
        <v>10612</v>
      </c>
      <c r="B20" s="40" t="s">
        <v>10612</v>
      </c>
      <c r="C20" s="41">
        <v>46035</v>
      </c>
      <c r="D20" s="41">
        <v>46120</v>
      </c>
      <c r="E20" s="40" t="s">
        <v>19</v>
      </c>
      <c r="F20" s="40" t="s">
        <v>101</v>
      </c>
      <c r="G20" s="40"/>
      <c r="H20" s="40"/>
      <c r="I20" s="40" t="s">
        <v>49</v>
      </c>
      <c r="J20" s="40">
        <v>29899.77</v>
      </c>
      <c r="K20" s="40">
        <v>29899.77</v>
      </c>
      <c r="L20" s="40"/>
      <c r="M20" s="40">
        <v>29899.77</v>
      </c>
      <c r="N20" s="40" t="s">
        <v>10613</v>
      </c>
      <c r="O20" s="40" t="s">
        <v>234</v>
      </c>
    </row>
    <row r="21" spans="1:15" ht="29.25" customHeight="1" x14ac:dyDescent="0.2">
      <c r="A21" s="40" t="s">
        <v>10614</v>
      </c>
      <c r="B21" s="40" t="s">
        <v>10614</v>
      </c>
      <c r="C21" s="41">
        <v>46035</v>
      </c>
      <c r="D21" s="41">
        <v>46113</v>
      </c>
      <c r="E21" s="40" t="s">
        <v>19</v>
      </c>
      <c r="F21" s="40" t="s">
        <v>101</v>
      </c>
      <c r="G21" s="40"/>
      <c r="H21" s="40"/>
      <c r="I21" s="40" t="s">
        <v>49</v>
      </c>
      <c r="J21" s="40">
        <v>29899.77</v>
      </c>
      <c r="K21" s="40">
        <v>29899.77</v>
      </c>
      <c r="L21" s="40"/>
      <c r="M21" s="40">
        <v>29899.77</v>
      </c>
      <c r="N21" s="40" t="s">
        <v>10615</v>
      </c>
      <c r="O21" s="40" t="s">
        <v>234</v>
      </c>
    </row>
    <row r="22" spans="1:15" ht="29.25" customHeight="1" x14ac:dyDescent="0.2">
      <c r="A22" s="40" t="s">
        <v>10616</v>
      </c>
      <c r="B22" s="40" t="s">
        <v>10616</v>
      </c>
      <c r="C22" s="41">
        <v>46036</v>
      </c>
      <c r="D22" s="41">
        <v>46129</v>
      </c>
      <c r="E22" s="40" t="s">
        <v>19</v>
      </c>
      <c r="F22" s="40" t="s">
        <v>524</v>
      </c>
      <c r="G22" s="40"/>
      <c r="H22" s="40"/>
      <c r="I22" s="40" t="s">
        <v>49</v>
      </c>
      <c r="J22" s="40">
        <v>11995.08</v>
      </c>
      <c r="K22" s="40">
        <v>11995.08</v>
      </c>
      <c r="L22" s="40"/>
      <c r="M22" s="40">
        <v>11995.08</v>
      </c>
      <c r="N22" s="40" t="s">
        <v>10617</v>
      </c>
      <c r="O22" s="40" t="s">
        <v>234</v>
      </c>
    </row>
    <row r="23" spans="1:15" ht="29.25" customHeight="1" x14ac:dyDescent="0.2">
      <c r="A23" s="40" t="s">
        <v>10618</v>
      </c>
      <c r="B23" s="40" t="s">
        <v>10618</v>
      </c>
      <c r="C23" s="41">
        <v>46036</v>
      </c>
      <c r="D23" s="41">
        <v>46115</v>
      </c>
      <c r="E23" s="40" t="s">
        <v>19</v>
      </c>
      <c r="F23" s="40" t="s">
        <v>524</v>
      </c>
      <c r="G23" s="40"/>
      <c r="H23" s="40"/>
      <c r="I23" s="40" t="s">
        <v>49</v>
      </c>
      <c r="J23" s="40">
        <v>11995.05</v>
      </c>
      <c r="K23" s="40">
        <v>11995.05</v>
      </c>
      <c r="L23" s="40"/>
      <c r="M23" s="40">
        <v>11995.05</v>
      </c>
      <c r="N23" s="40" t="s">
        <v>10619</v>
      </c>
      <c r="O23" s="40" t="s">
        <v>234</v>
      </c>
    </row>
    <row r="24" spans="1:15" ht="29.25" customHeight="1" x14ac:dyDescent="0.2">
      <c r="A24" s="40" t="s">
        <v>10620</v>
      </c>
      <c r="B24" s="40" t="s">
        <v>10620</v>
      </c>
      <c r="C24" s="41">
        <v>46036</v>
      </c>
      <c r="D24" s="41">
        <v>46122</v>
      </c>
      <c r="E24" s="40" t="s">
        <v>19</v>
      </c>
      <c r="F24" s="40" t="s">
        <v>843</v>
      </c>
      <c r="G24" s="40"/>
      <c r="H24" s="40"/>
      <c r="I24" s="40" t="s">
        <v>49</v>
      </c>
      <c r="J24" s="40">
        <v>23045.72</v>
      </c>
      <c r="K24" s="40">
        <v>23045.72</v>
      </c>
      <c r="L24" s="40"/>
      <c r="M24" s="40">
        <v>23045.72</v>
      </c>
      <c r="N24" s="40" t="s">
        <v>10621</v>
      </c>
      <c r="O24" s="40" t="s">
        <v>234</v>
      </c>
    </row>
    <row r="25" spans="1:15" ht="29.25" customHeight="1" x14ac:dyDescent="0.2">
      <c r="A25" s="40" t="s">
        <v>10622</v>
      </c>
      <c r="B25" s="40" t="s">
        <v>10622</v>
      </c>
      <c r="C25" s="41">
        <v>46048</v>
      </c>
      <c r="D25" s="41">
        <v>46128</v>
      </c>
      <c r="E25" s="40" t="s">
        <v>19</v>
      </c>
      <c r="F25" s="40" t="s">
        <v>10623</v>
      </c>
      <c r="G25" s="40"/>
      <c r="H25" s="40"/>
      <c r="I25" s="40" t="s">
        <v>49</v>
      </c>
      <c r="J25" s="40">
        <v>2308.23</v>
      </c>
      <c r="K25" s="40">
        <v>2308.23</v>
      </c>
      <c r="L25" s="40"/>
      <c r="M25" s="40">
        <v>2308.23</v>
      </c>
      <c r="N25" s="40" t="s">
        <v>10624</v>
      </c>
      <c r="O25" s="40" t="s">
        <v>234</v>
      </c>
    </row>
    <row r="26" spans="1:15" ht="29.25" customHeight="1" x14ac:dyDescent="0.2">
      <c r="A26" s="40" t="s">
        <v>10625</v>
      </c>
      <c r="B26" s="40" t="s">
        <v>10625</v>
      </c>
      <c r="C26" s="41">
        <v>46048</v>
      </c>
      <c r="D26" s="41">
        <v>46125</v>
      </c>
      <c r="E26" s="40" t="s">
        <v>19</v>
      </c>
      <c r="F26" s="40" t="s">
        <v>108</v>
      </c>
      <c r="G26" s="40"/>
      <c r="H26" s="40"/>
      <c r="I26" s="40" t="s">
        <v>49</v>
      </c>
      <c r="J26" s="40">
        <v>13799.83</v>
      </c>
      <c r="K26" s="40">
        <v>13799.83</v>
      </c>
      <c r="L26" s="40"/>
      <c r="M26" s="40">
        <v>13799.83</v>
      </c>
      <c r="N26" s="40" t="s">
        <v>10626</v>
      </c>
      <c r="O26" s="40" t="s">
        <v>234</v>
      </c>
    </row>
    <row r="27" spans="1:15" ht="29.25" customHeight="1" x14ac:dyDescent="0.2">
      <c r="A27" s="40" t="s">
        <v>10627</v>
      </c>
      <c r="B27" s="40" t="s">
        <v>10627</v>
      </c>
      <c r="C27" s="41">
        <v>46048</v>
      </c>
      <c r="D27" s="41">
        <v>46115</v>
      </c>
      <c r="E27" s="40" t="s">
        <v>19</v>
      </c>
      <c r="F27" s="40" t="s">
        <v>108</v>
      </c>
      <c r="G27" s="40"/>
      <c r="H27" s="40"/>
      <c r="I27" s="40" t="s">
        <v>49</v>
      </c>
      <c r="J27" s="40">
        <v>13799.83</v>
      </c>
      <c r="K27" s="40">
        <v>13799.83</v>
      </c>
      <c r="L27" s="40"/>
      <c r="M27" s="40">
        <v>13799.83</v>
      </c>
      <c r="N27" s="40" t="s">
        <v>10628</v>
      </c>
      <c r="O27" s="40" t="s">
        <v>234</v>
      </c>
    </row>
    <row r="28" spans="1:15" ht="29.25" customHeight="1" x14ac:dyDescent="0.2">
      <c r="A28" s="40" t="s">
        <v>10629</v>
      </c>
      <c r="B28" s="40" t="s">
        <v>10629</v>
      </c>
      <c r="C28" s="41">
        <v>46051</v>
      </c>
      <c r="D28" s="41">
        <v>46132</v>
      </c>
      <c r="E28" s="40" t="s">
        <v>19</v>
      </c>
      <c r="F28" s="40" t="s">
        <v>104</v>
      </c>
      <c r="G28" s="40"/>
      <c r="H28" s="40"/>
      <c r="I28" s="40" t="s">
        <v>49</v>
      </c>
      <c r="J28" s="40">
        <v>33297.54</v>
      </c>
      <c r="K28" s="40">
        <v>33297.54</v>
      </c>
      <c r="L28" s="40"/>
      <c r="M28" s="40">
        <v>33297.54</v>
      </c>
      <c r="N28" s="40" t="s">
        <v>10630</v>
      </c>
      <c r="O28" s="40" t="s">
        <v>234</v>
      </c>
    </row>
    <row r="29" spans="1:15" ht="29.25" customHeight="1" x14ac:dyDescent="0.2">
      <c r="A29" s="40" t="s">
        <v>10631</v>
      </c>
      <c r="B29" s="40" t="s">
        <v>10631</v>
      </c>
      <c r="C29" s="41">
        <v>46051</v>
      </c>
      <c r="D29" s="41">
        <v>46134</v>
      </c>
      <c r="E29" s="40" t="s">
        <v>19</v>
      </c>
      <c r="F29" s="40" t="s">
        <v>843</v>
      </c>
      <c r="G29" s="40"/>
      <c r="H29" s="40"/>
      <c r="I29" s="40" t="s">
        <v>49</v>
      </c>
      <c r="J29" s="40">
        <v>4090.67</v>
      </c>
      <c r="K29" s="40">
        <v>4090.67</v>
      </c>
      <c r="L29" s="40"/>
      <c r="M29" s="40">
        <v>4090.67</v>
      </c>
      <c r="N29" s="40" t="s">
        <v>10632</v>
      </c>
      <c r="O29" s="40" t="s">
        <v>234</v>
      </c>
    </row>
    <row r="30" spans="1:15" ht="29.25" customHeight="1" x14ac:dyDescent="0.2">
      <c r="A30" s="40" t="s">
        <v>10633</v>
      </c>
      <c r="B30" s="40" t="s">
        <v>10633</v>
      </c>
      <c r="C30" s="41">
        <v>46051</v>
      </c>
      <c r="D30" s="41">
        <v>46118</v>
      </c>
      <c r="E30" s="40" t="s">
        <v>19</v>
      </c>
      <c r="F30" s="40" t="s">
        <v>843</v>
      </c>
      <c r="G30" s="40"/>
      <c r="H30" s="40"/>
      <c r="I30" s="40" t="s">
        <v>49</v>
      </c>
      <c r="J30" s="40">
        <v>4090.67</v>
      </c>
      <c r="K30" s="40">
        <v>4090.67</v>
      </c>
      <c r="L30" s="40"/>
      <c r="M30" s="40">
        <v>4090.67</v>
      </c>
      <c r="N30" s="40" t="s">
        <v>10634</v>
      </c>
      <c r="O30" s="40" t="s">
        <v>234</v>
      </c>
    </row>
    <row r="31" spans="1:15" ht="29.25" customHeight="1" x14ac:dyDescent="0.2">
      <c r="A31" s="40" t="s">
        <v>10635</v>
      </c>
      <c r="B31" s="40" t="s">
        <v>10635</v>
      </c>
      <c r="C31" s="41">
        <v>46051</v>
      </c>
      <c r="D31" s="41">
        <v>46133</v>
      </c>
      <c r="E31" s="40" t="s">
        <v>19</v>
      </c>
      <c r="F31" s="40" t="s">
        <v>843</v>
      </c>
      <c r="G31" s="40"/>
      <c r="H31" s="40"/>
      <c r="I31" s="40" t="s">
        <v>49</v>
      </c>
      <c r="J31" s="40">
        <v>2293.92</v>
      </c>
      <c r="K31" s="40">
        <v>2293.92</v>
      </c>
      <c r="L31" s="40"/>
      <c r="M31" s="40">
        <v>2293.92</v>
      </c>
      <c r="N31" s="40" t="s">
        <v>10636</v>
      </c>
      <c r="O31" s="40" t="s">
        <v>234</v>
      </c>
    </row>
    <row r="32" spans="1:15" ht="29.25" customHeight="1" x14ac:dyDescent="0.2">
      <c r="A32" s="40" t="s">
        <v>10637</v>
      </c>
      <c r="B32" s="40" t="s">
        <v>10637</v>
      </c>
      <c r="C32" s="41">
        <v>46051</v>
      </c>
      <c r="D32" s="41">
        <v>46125</v>
      </c>
      <c r="E32" s="40" t="s">
        <v>19</v>
      </c>
      <c r="F32" s="40" t="s">
        <v>843</v>
      </c>
      <c r="G32" s="40"/>
      <c r="H32" s="40"/>
      <c r="I32" s="40" t="s">
        <v>49</v>
      </c>
      <c r="J32" s="40">
        <v>2293.92</v>
      </c>
      <c r="K32" s="40">
        <v>2293.92</v>
      </c>
      <c r="L32" s="40"/>
      <c r="M32" s="40">
        <v>2293.92</v>
      </c>
      <c r="N32" s="40" t="s">
        <v>10638</v>
      </c>
      <c r="O32" s="40" t="s">
        <v>234</v>
      </c>
    </row>
    <row r="33" spans="1:15" ht="29.25" customHeight="1" x14ac:dyDescent="0.2">
      <c r="A33" s="40" t="s">
        <v>10639</v>
      </c>
      <c r="B33" s="40" t="s">
        <v>10639</v>
      </c>
      <c r="C33" s="41">
        <v>46051</v>
      </c>
      <c r="D33" s="41">
        <v>46118</v>
      </c>
      <c r="E33" s="40" t="s">
        <v>19</v>
      </c>
      <c r="F33" s="40" t="s">
        <v>843</v>
      </c>
      <c r="G33" s="40"/>
      <c r="H33" s="40"/>
      <c r="I33" s="40" t="s">
        <v>49</v>
      </c>
      <c r="J33" s="40">
        <v>2293.92</v>
      </c>
      <c r="K33" s="40">
        <v>2293.92</v>
      </c>
      <c r="L33" s="40"/>
      <c r="M33" s="40">
        <v>2293.92</v>
      </c>
      <c r="N33" s="40" t="s">
        <v>10640</v>
      </c>
      <c r="O33" s="40" t="s">
        <v>234</v>
      </c>
    </row>
    <row r="34" spans="1:15" ht="29.25" customHeight="1" x14ac:dyDescent="0.2">
      <c r="A34" s="40" t="s">
        <v>10641</v>
      </c>
      <c r="B34" s="40" t="s">
        <v>10641</v>
      </c>
      <c r="C34" s="41">
        <v>46051</v>
      </c>
      <c r="D34" s="41">
        <v>46164</v>
      </c>
      <c r="E34" s="40" t="s">
        <v>19</v>
      </c>
      <c r="F34" s="40" t="s">
        <v>843</v>
      </c>
      <c r="G34" s="40"/>
      <c r="H34" s="40"/>
      <c r="I34" s="40" t="s">
        <v>49</v>
      </c>
      <c r="J34" s="40">
        <v>13437.37</v>
      </c>
      <c r="K34" s="40">
        <v>13437.37</v>
      </c>
      <c r="L34" s="40"/>
      <c r="M34" s="40">
        <v>13437.37</v>
      </c>
      <c r="N34" s="40" t="s">
        <v>10642</v>
      </c>
      <c r="O34" s="40" t="s">
        <v>234</v>
      </c>
    </row>
    <row r="35" spans="1:15" ht="29.25" customHeight="1" x14ac:dyDescent="0.2">
      <c r="A35" s="40" t="s">
        <v>10643</v>
      </c>
      <c r="B35" s="40" t="s">
        <v>10643</v>
      </c>
      <c r="C35" s="41">
        <v>46051</v>
      </c>
      <c r="D35" s="41">
        <v>46153</v>
      </c>
      <c r="E35" s="40" t="s">
        <v>19</v>
      </c>
      <c r="F35" s="40" t="s">
        <v>843</v>
      </c>
      <c r="G35" s="40"/>
      <c r="H35" s="40"/>
      <c r="I35" s="40" t="s">
        <v>49</v>
      </c>
      <c r="J35" s="40">
        <v>13437.37</v>
      </c>
      <c r="K35" s="40">
        <v>13437.37</v>
      </c>
      <c r="L35" s="40"/>
      <c r="M35" s="40">
        <v>13437.37</v>
      </c>
      <c r="N35" s="40" t="s">
        <v>10644</v>
      </c>
      <c r="O35" s="40" t="s">
        <v>234</v>
      </c>
    </row>
    <row r="36" spans="1:15" ht="29.25" customHeight="1" x14ac:dyDescent="0.2">
      <c r="A36" s="40" t="s">
        <v>10645</v>
      </c>
      <c r="B36" s="40" t="s">
        <v>10645</v>
      </c>
      <c r="C36" s="41">
        <v>46051</v>
      </c>
      <c r="D36" s="41">
        <v>46142</v>
      </c>
      <c r="E36" s="40" t="s">
        <v>19</v>
      </c>
      <c r="F36" s="40" t="s">
        <v>843</v>
      </c>
      <c r="G36" s="40"/>
      <c r="H36" s="40"/>
      <c r="I36" s="40" t="s">
        <v>49</v>
      </c>
      <c r="J36" s="40">
        <v>13437.37</v>
      </c>
      <c r="K36" s="40">
        <v>13437.37</v>
      </c>
      <c r="L36" s="40"/>
      <c r="M36" s="40">
        <v>13437.37</v>
      </c>
      <c r="N36" s="40" t="s">
        <v>10646</v>
      </c>
      <c r="O36" s="40" t="s">
        <v>234</v>
      </c>
    </row>
    <row r="37" spans="1:15" ht="29.25" customHeight="1" x14ac:dyDescent="0.2">
      <c r="A37" s="40" t="s">
        <v>10647</v>
      </c>
      <c r="B37" s="40" t="s">
        <v>10647</v>
      </c>
      <c r="C37" s="41">
        <v>46051</v>
      </c>
      <c r="D37" s="41">
        <v>46132</v>
      </c>
      <c r="E37" s="40" t="s">
        <v>19</v>
      </c>
      <c r="F37" s="40" t="s">
        <v>843</v>
      </c>
      <c r="G37" s="40"/>
      <c r="H37" s="40"/>
      <c r="I37" s="40" t="s">
        <v>49</v>
      </c>
      <c r="J37" s="40">
        <v>13437.37</v>
      </c>
      <c r="K37" s="40">
        <v>13437.37</v>
      </c>
      <c r="L37" s="40"/>
      <c r="M37" s="40">
        <v>13437.37</v>
      </c>
      <c r="N37" s="40" t="s">
        <v>10648</v>
      </c>
      <c r="O37" s="40" t="s">
        <v>234</v>
      </c>
    </row>
    <row r="38" spans="1:15" ht="29.25" customHeight="1" x14ac:dyDescent="0.2">
      <c r="A38" s="40" t="s">
        <v>10649</v>
      </c>
      <c r="B38" s="40" t="s">
        <v>10649</v>
      </c>
      <c r="C38" s="41">
        <v>46051</v>
      </c>
      <c r="D38" s="41">
        <v>46120</v>
      </c>
      <c r="E38" s="40" t="s">
        <v>19</v>
      </c>
      <c r="F38" s="40" t="s">
        <v>843</v>
      </c>
      <c r="G38" s="40"/>
      <c r="H38" s="40"/>
      <c r="I38" s="40" t="s">
        <v>49</v>
      </c>
      <c r="J38" s="40">
        <v>13437.37</v>
      </c>
      <c r="K38" s="40">
        <v>13437.37</v>
      </c>
      <c r="L38" s="40"/>
      <c r="M38" s="40">
        <v>13437.37</v>
      </c>
      <c r="N38" s="40" t="s">
        <v>10650</v>
      </c>
      <c r="O38" s="40" t="s">
        <v>234</v>
      </c>
    </row>
    <row r="39" spans="1:15" ht="29.25" customHeight="1" x14ac:dyDescent="0.2">
      <c r="A39" s="40" t="s">
        <v>10651</v>
      </c>
      <c r="B39" s="40" t="s">
        <v>10651</v>
      </c>
      <c r="C39" s="41">
        <v>46051</v>
      </c>
      <c r="D39" s="41">
        <v>46132</v>
      </c>
      <c r="E39" s="40" t="s">
        <v>19</v>
      </c>
      <c r="F39" s="40" t="s">
        <v>843</v>
      </c>
      <c r="G39" s="40"/>
      <c r="H39" s="40"/>
      <c r="I39" s="40" t="s">
        <v>49</v>
      </c>
      <c r="J39" s="40">
        <v>6212.04</v>
      </c>
      <c r="K39" s="40">
        <v>6212.04</v>
      </c>
      <c r="L39" s="40"/>
      <c r="M39" s="40">
        <v>6212.04</v>
      </c>
      <c r="N39" s="40" t="s">
        <v>10652</v>
      </c>
      <c r="O39" s="40" t="s">
        <v>234</v>
      </c>
    </row>
    <row r="40" spans="1:15" ht="29.25" customHeight="1" x14ac:dyDescent="0.2">
      <c r="A40" s="40" t="s">
        <v>10653</v>
      </c>
      <c r="B40" s="40" t="s">
        <v>10653</v>
      </c>
      <c r="C40" s="41">
        <v>46051</v>
      </c>
      <c r="D40" s="41">
        <v>46125</v>
      </c>
      <c r="E40" s="40" t="s">
        <v>19</v>
      </c>
      <c r="F40" s="40" t="s">
        <v>843</v>
      </c>
      <c r="G40" s="40"/>
      <c r="H40" s="40"/>
      <c r="I40" s="40" t="s">
        <v>49</v>
      </c>
      <c r="J40" s="40">
        <v>6212.04</v>
      </c>
      <c r="K40" s="40">
        <v>6212.04</v>
      </c>
      <c r="L40" s="40"/>
      <c r="M40" s="40">
        <v>6212.04</v>
      </c>
      <c r="N40" s="40" t="s">
        <v>10654</v>
      </c>
      <c r="O40" s="40" t="s">
        <v>234</v>
      </c>
    </row>
    <row r="41" spans="1:15" ht="29.25" customHeight="1" x14ac:dyDescent="0.2">
      <c r="A41" s="40" t="s">
        <v>10655</v>
      </c>
      <c r="B41" s="40" t="s">
        <v>10655</v>
      </c>
      <c r="C41" s="41">
        <v>46051</v>
      </c>
      <c r="D41" s="41">
        <v>46114</v>
      </c>
      <c r="E41" s="40" t="s">
        <v>19</v>
      </c>
      <c r="F41" s="40" t="s">
        <v>843</v>
      </c>
      <c r="G41" s="40"/>
      <c r="H41" s="40"/>
      <c r="I41" s="40" t="s">
        <v>49</v>
      </c>
      <c r="J41" s="40">
        <v>6212.04</v>
      </c>
      <c r="K41" s="40">
        <v>6212.04</v>
      </c>
      <c r="L41" s="40"/>
      <c r="M41" s="40">
        <v>6212.04</v>
      </c>
      <c r="N41" s="40" t="s">
        <v>10656</v>
      </c>
      <c r="O41" s="40" t="s">
        <v>234</v>
      </c>
    </row>
    <row r="42" spans="1:15" ht="29.25" customHeight="1" x14ac:dyDescent="0.2">
      <c r="A42" s="40" t="s">
        <v>10657</v>
      </c>
      <c r="B42" s="40" t="s">
        <v>10657</v>
      </c>
      <c r="C42" s="41">
        <v>46051</v>
      </c>
      <c r="D42" s="41">
        <v>46128</v>
      </c>
      <c r="E42" s="40" t="s">
        <v>19</v>
      </c>
      <c r="F42" s="40" t="s">
        <v>843</v>
      </c>
      <c r="G42" s="40"/>
      <c r="H42" s="40"/>
      <c r="I42" s="40" t="s">
        <v>49</v>
      </c>
      <c r="J42" s="40">
        <v>1675.6</v>
      </c>
      <c r="K42" s="40">
        <v>1675.6</v>
      </c>
      <c r="L42" s="40"/>
      <c r="M42" s="40">
        <v>1675.6</v>
      </c>
      <c r="N42" s="40" t="s">
        <v>10658</v>
      </c>
      <c r="O42" s="40" t="s">
        <v>234</v>
      </c>
    </row>
    <row r="43" spans="1:15" ht="29.25" customHeight="1" x14ac:dyDescent="0.2">
      <c r="A43" s="40" t="s">
        <v>10659</v>
      </c>
      <c r="B43" s="40" t="s">
        <v>10659</v>
      </c>
      <c r="C43" s="41">
        <v>46051</v>
      </c>
      <c r="D43" s="41">
        <v>46125</v>
      </c>
      <c r="E43" s="40" t="s">
        <v>19</v>
      </c>
      <c r="F43" s="40" t="s">
        <v>64</v>
      </c>
      <c r="G43" s="40"/>
      <c r="H43" s="40"/>
      <c r="I43" s="40" t="s">
        <v>49</v>
      </c>
      <c r="J43" s="40">
        <v>2107.4699999999998</v>
      </c>
      <c r="K43" s="40">
        <v>2107.4699999999998</v>
      </c>
      <c r="L43" s="40"/>
      <c r="M43" s="40">
        <v>2107.4699999999998</v>
      </c>
      <c r="N43" s="40" t="s">
        <v>10660</v>
      </c>
      <c r="O43" s="40" t="s">
        <v>234</v>
      </c>
    </row>
    <row r="44" spans="1:15" ht="29.25" customHeight="1" x14ac:dyDescent="0.2">
      <c r="A44" s="40" t="s">
        <v>10661</v>
      </c>
      <c r="B44" s="40" t="s">
        <v>10661</v>
      </c>
      <c r="C44" s="41">
        <v>46051</v>
      </c>
      <c r="D44" s="41">
        <v>46254</v>
      </c>
      <c r="E44" s="40" t="s">
        <v>19</v>
      </c>
      <c r="F44" s="40" t="s">
        <v>64</v>
      </c>
      <c r="G44" s="40"/>
      <c r="H44" s="40"/>
      <c r="I44" s="40" t="s">
        <v>49</v>
      </c>
      <c r="J44" s="40">
        <v>3137.31</v>
      </c>
      <c r="K44" s="40">
        <v>3137.31</v>
      </c>
      <c r="L44" s="40"/>
      <c r="M44" s="40">
        <v>3137.31</v>
      </c>
      <c r="N44" s="40"/>
      <c r="O44" s="40" t="s">
        <v>234</v>
      </c>
    </row>
    <row r="45" spans="1:15" ht="29.25" customHeight="1" x14ac:dyDescent="0.2">
      <c r="A45" s="40" t="s">
        <v>10662</v>
      </c>
      <c r="B45" s="40" t="s">
        <v>10662</v>
      </c>
      <c r="C45" s="41">
        <v>46051</v>
      </c>
      <c r="D45" s="41">
        <v>46247</v>
      </c>
      <c r="E45" s="40" t="s">
        <v>19</v>
      </c>
      <c r="F45" s="40" t="s">
        <v>64</v>
      </c>
      <c r="G45" s="40"/>
      <c r="H45" s="40"/>
      <c r="I45" s="40" t="s">
        <v>49</v>
      </c>
      <c r="J45" s="40">
        <v>3137.27</v>
      </c>
      <c r="K45" s="40">
        <v>3137.27</v>
      </c>
      <c r="L45" s="40"/>
      <c r="M45" s="40">
        <v>3137.27</v>
      </c>
      <c r="N45" s="40"/>
      <c r="O45" s="40" t="s">
        <v>234</v>
      </c>
    </row>
    <row r="46" spans="1:15" ht="29.25" customHeight="1" x14ac:dyDescent="0.2">
      <c r="A46" s="40" t="s">
        <v>10663</v>
      </c>
      <c r="B46" s="40" t="s">
        <v>10663</v>
      </c>
      <c r="C46" s="41">
        <v>46051</v>
      </c>
      <c r="D46" s="41">
        <v>46240</v>
      </c>
      <c r="E46" s="40" t="s">
        <v>19</v>
      </c>
      <c r="F46" s="40" t="s">
        <v>64</v>
      </c>
      <c r="G46" s="40"/>
      <c r="H46" s="40"/>
      <c r="I46" s="40" t="s">
        <v>49</v>
      </c>
      <c r="J46" s="40">
        <v>3137.27</v>
      </c>
      <c r="K46" s="40">
        <v>3137.27</v>
      </c>
      <c r="L46" s="40"/>
      <c r="M46" s="40">
        <v>3137.27</v>
      </c>
      <c r="N46" s="40"/>
      <c r="O46" s="40" t="s">
        <v>234</v>
      </c>
    </row>
    <row r="47" spans="1:15" ht="29.25" customHeight="1" x14ac:dyDescent="0.2">
      <c r="A47" s="40" t="s">
        <v>10664</v>
      </c>
      <c r="B47" s="40" t="s">
        <v>10664</v>
      </c>
      <c r="C47" s="41">
        <v>46051</v>
      </c>
      <c r="D47" s="41">
        <v>46233</v>
      </c>
      <c r="E47" s="40" t="s">
        <v>19</v>
      </c>
      <c r="F47" s="40" t="s">
        <v>64</v>
      </c>
      <c r="G47" s="40"/>
      <c r="H47" s="40"/>
      <c r="I47" s="40" t="s">
        <v>49</v>
      </c>
      <c r="J47" s="40">
        <v>3137.27</v>
      </c>
      <c r="K47" s="40">
        <v>3137.27</v>
      </c>
      <c r="L47" s="40"/>
      <c r="M47" s="40">
        <v>3137.27</v>
      </c>
      <c r="N47" s="40"/>
      <c r="O47" s="40" t="s">
        <v>234</v>
      </c>
    </row>
    <row r="48" spans="1:15" ht="29.25" customHeight="1" x14ac:dyDescent="0.2">
      <c r="A48" s="40" t="s">
        <v>10665</v>
      </c>
      <c r="B48" s="40" t="s">
        <v>10665</v>
      </c>
      <c r="C48" s="41">
        <v>46051</v>
      </c>
      <c r="D48" s="41">
        <v>46226</v>
      </c>
      <c r="E48" s="40" t="s">
        <v>19</v>
      </c>
      <c r="F48" s="40" t="s">
        <v>64</v>
      </c>
      <c r="G48" s="40"/>
      <c r="H48" s="40"/>
      <c r="I48" s="40" t="s">
        <v>49</v>
      </c>
      <c r="J48" s="40">
        <v>3137.27</v>
      </c>
      <c r="K48" s="40">
        <v>3137.27</v>
      </c>
      <c r="L48" s="40"/>
      <c r="M48" s="40">
        <v>3137.27</v>
      </c>
      <c r="N48" s="40"/>
      <c r="O48" s="40" t="s">
        <v>234</v>
      </c>
    </row>
    <row r="49" spans="1:15" ht="29.25" customHeight="1" x14ac:dyDescent="0.2">
      <c r="A49" s="40" t="s">
        <v>10666</v>
      </c>
      <c r="B49" s="40" t="s">
        <v>10666</v>
      </c>
      <c r="C49" s="41">
        <v>46051</v>
      </c>
      <c r="D49" s="41">
        <v>46219</v>
      </c>
      <c r="E49" s="40" t="s">
        <v>19</v>
      </c>
      <c r="F49" s="40" t="s">
        <v>64</v>
      </c>
      <c r="G49" s="40"/>
      <c r="H49" s="40"/>
      <c r="I49" s="40" t="s">
        <v>49</v>
      </c>
      <c r="J49" s="40">
        <v>3137.27</v>
      </c>
      <c r="K49" s="40">
        <v>3137.27</v>
      </c>
      <c r="L49" s="40"/>
      <c r="M49" s="40">
        <v>3137.27</v>
      </c>
      <c r="N49" s="40"/>
      <c r="O49" s="40" t="s">
        <v>234</v>
      </c>
    </row>
    <row r="50" spans="1:15" ht="29.25" customHeight="1" x14ac:dyDescent="0.2">
      <c r="A50" s="40" t="s">
        <v>10667</v>
      </c>
      <c r="B50" s="40" t="s">
        <v>10667</v>
      </c>
      <c r="C50" s="41">
        <v>46051</v>
      </c>
      <c r="D50" s="41">
        <v>46212</v>
      </c>
      <c r="E50" s="40" t="s">
        <v>19</v>
      </c>
      <c r="F50" s="40" t="s">
        <v>64</v>
      </c>
      <c r="G50" s="40"/>
      <c r="H50" s="40"/>
      <c r="I50" s="40" t="s">
        <v>49</v>
      </c>
      <c r="J50" s="40">
        <v>3137.27</v>
      </c>
      <c r="K50" s="40">
        <v>3137.27</v>
      </c>
      <c r="L50" s="40"/>
      <c r="M50" s="40">
        <v>3137.27</v>
      </c>
      <c r="N50" s="40"/>
      <c r="O50" s="40" t="s">
        <v>234</v>
      </c>
    </row>
    <row r="51" spans="1:15" ht="29.25" customHeight="1" x14ac:dyDescent="0.2">
      <c r="A51" s="40" t="s">
        <v>10668</v>
      </c>
      <c r="B51" s="40" t="s">
        <v>10668</v>
      </c>
      <c r="C51" s="41">
        <v>46051</v>
      </c>
      <c r="D51" s="41">
        <v>46205</v>
      </c>
      <c r="E51" s="40" t="s">
        <v>19</v>
      </c>
      <c r="F51" s="40" t="s">
        <v>64</v>
      </c>
      <c r="G51" s="40"/>
      <c r="H51" s="40"/>
      <c r="I51" s="40" t="s">
        <v>49</v>
      </c>
      <c r="J51" s="40">
        <v>3137.27</v>
      </c>
      <c r="K51" s="40">
        <v>3137.27</v>
      </c>
      <c r="L51" s="40"/>
      <c r="M51" s="40">
        <v>3137.27</v>
      </c>
      <c r="N51" s="40"/>
      <c r="O51" s="40" t="s">
        <v>234</v>
      </c>
    </row>
    <row r="52" spans="1:15" ht="29.25" customHeight="1" x14ac:dyDescent="0.2">
      <c r="A52" s="40" t="s">
        <v>10669</v>
      </c>
      <c r="B52" s="40" t="s">
        <v>10669</v>
      </c>
      <c r="C52" s="41">
        <v>46051</v>
      </c>
      <c r="D52" s="41">
        <v>46198</v>
      </c>
      <c r="E52" s="40" t="s">
        <v>19</v>
      </c>
      <c r="F52" s="40" t="s">
        <v>64</v>
      </c>
      <c r="G52" s="40"/>
      <c r="H52" s="40"/>
      <c r="I52" s="40" t="s">
        <v>49</v>
      </c>
      <c r="J52" s="40">
        <v>3137.27</v>
      </c>
      <c r="K52" s="40">
        <v>3137.27</v>
      </c>
      <c r="L52" s="40"/>
      <c r="M52" s="40">
        <v>3137.27</v>
      </c>
      <c r="N52" s="40"/>
      <c r="O52" s="40" t="s">
        <v>234</v>
      </c>
    </row>
    <row r="53" spans="1:15" ht="29.25" customHeight="1" x14ac:dyDescent="0.2">
      <c r="A53" s="40" t="s">
        <v>10670</v>
      </c>
      <c r="B53" s="40" t="s">
        <v>10670</v>
      </c>
      <c r="C53" s="41">
        <v>46051</v>
      </c>
      <c r="D53" s="41">
        <v>46191</v>
      </c>
      <c r="E53" s="40" t="s">
        <v>19</v>
      </c>
      <c r="F53" s="40" t="s">
        <v>64</v>
      </c>
      <c r="G53" s="40"/>
      <c r="H53" s="40"/>
      <c r="I53" s="40" t="s">
        <v>49</v>
      </c>
      <c r="J53" s="40">
        <v>3137.27</v>
      </c>
      <c r="K53" s="40">
        <v>3137.27</v>
      </c>
      <c r="L53" s="40"/>
      <c r="M53" s="40">
        <v>3137.27</v>
      </c>
      <c r="N53" s="40"/>
      <c r="O53" s="40" t="s">
        <v>234</v>
      </c>
    </row>
    <row r="54" spans="1:15" ht="29.25" customHeight="1" x14ac:dyDescent="0.2">
      <c r="A54" s="40" t="s">
        <v>10671</v>
      </c>
      <c r="B54" s="40" t="s">
        <v>10671</v>
      </c>
      <c r="C54" s="41">
        <v>46051</v>
      </c>
      <c r="D54" s="41">
        <v>46234</v>
      </c>
      <c r="E54" s="40" t="s">
        <v>19</v>
      </c>
      <c r="F54" s="40" t="s">
        <v>64</v>
      </c>
      <c r="G54" s="40"/>
      <c r="H54" s="40"/>
      <c r="I54" s="40" t="s">
        <v>49</v>
      </c>
      <c r="J54" s="40">
        <v>88501.52</v>
      </c>
      <c r="K54" s="40">
        <v>88501.52</v>
      </c>
      <c r="L54" s="40"/>
      <c r="M54" s="40">
        <v>88501.52</v>
      </c>
      <c r="N54" s="40"/>
      <c r="O54" s="40" t="s">
        <v>234</v>
      </c>
    </row>
    <row r="55" spans="1:15" ht="29.25" customHeight="1" x14ac:dyDescent="0.2">
      <c r="A55" s="40" t="s">
        <v>10672</v>
      </c>
      <c r="B55" s="40" t="s">
        <v>10672</v>
      </c>
      <c r="C55" s="41">
        <v>46051</v>
      </c>
      <c r="D55" s="41">
        <v>46227</v>
      </c>
      <c r="E55" s="40" t="s">
        <v>19</v>
      </c>
      <c r="F55" s="40" t="s">
        <v>64</v>
      </c>
      <c r="G55" s="40"/>
      <c r="H55" s="40"/>
      <c r="I55" s="40" t="s">
        <v>49</v>
      </c>
      <c r="J55" s="40">
        <v>88501.53</v>
      </c>
      <c r="K55" s="40">
        <v>88501.53</v>
      </c>
      <c r="L55" s="40"/>
      <c r="M55" s="40">
        <v>88501.53</v>
      </c>
      <c r="N55" s="40"/>
      <c r="O55" s="40" t="s">
        <v>234</v>
      </c>
    </row>
    <row r="56" spans="1:15" ht="29.25" customHeight="1" x14ac:dyDescent="0.2">
      <c r="A56" s="40" t="s">
        <v>10673</v>
      </c>
      <c r="B56" s="40" t="s">
        <v>10673</v>
      </c>
      <c r="C56" s="41">
        <v>46051</v>
      </c>
      <c r="D56" s="41">
        <v>46220</v>
      </c>
      <c r="E56" s="40" t="s">
        <v>19</v>
      </c>
      <c r="F56" s="40" t="s">
        <v>64</v>
      </c>
      <c r="G56" s="40"/>
      <c r="H56" s="40"/>
      <c r="I56" s="40" t="s">
        <v>49</v>
      </c>
      <c r="J56" s="40">
        <v>88501.53</v>
      </c>
      <c r="K56" s="40">
        <v>88501.53</v>
      </c>
      <c r="L56" s="40"/>
      <c r="M56" s="40">
        <v>88501.53</v>
      </c>
      <c r="N56" s="40"/>
      <c r="O56" s="40" t="s">
        <v>234</v>
      </c>
    </row>
    <row r="57" spans="1:15" ht="29.25" customHeight="1" x14ac:dyDescent="0.2">
      <c r="A57" s="40" t="s">
        <v>10674</v>
      </c>
      <c r="B57" s="40" t="s">
        <v>10674</v>
      </c>
      <c r="C57" s="41">
        <v>46051</v>
      </c>
      <c r="D57" s="41">
        <v>46213</v>
      </c>
      <c r="E57" s="40" t="s">
        <v>19</v>
      </c>
      <c r="F57" s="40" t="s">
        <v>64</v>
      </c>
      <c r="G57" s="40"/>
      <c r="H57" s="40"/>
      <c r="I57" s="40" t="s">
        <v>49</v>
      </c>
      <c r="J57" s="40">
        <v>88501.53</v>
      </c>
      <c r="K57" s="40">
        <v>88501.53</v>
      </c>
      <c r="L57" s="40"/>
      <c r="M57" s="40">
        <v>88501.53</v>
      </c>
      <c r="N57" s="40"/>
      <c r="O57" s="40" t="s">
        <v>234</v>
      </c>
    </row>
    <row r="58" spans="1:15" ht="29.25" customHeight="1" x14ac:dyDescent="0.2">
      <c r="A58" s="40" t="s">
        <v>10675</v>
      </c>
      <c r="B58" s="40" t="s">
        <v>10675</v>
      </c>
      <c r="C58" s="41">
        <v>46051</v>
      </c>
      <c r="D58" s="41">
        <v>46206</v>
      </c>
      <c r="E58" s="40" t="s">
        <v>19</v>
      </c>
      <c r="F58" s="40" t="s">
        <v>64</v>
      </c>
      <c r="G58" s="40"/>
      <c r="H58" s="40"/>
      <c r="I58" s="40" t="s">
        <v>49</v>
      </c>
      <c r="J58" s="40">
        <v>88501.53</v>
      </c>
      <c r="K58" s="40">
        <v>88501.53</v>
      </c>
      <c r="L58" s="40"/>
      <c r="M58" s="40">
        <v>88501.53</v>
      </c>
      <c r="N58" s="40"/>
      <c r="O58" s="40" t="s">
        <v>234</v>
      </c>
    </row>
    <row r="59" spans="1:15" ht="29.25" customHeight="1" x14ac:dyDescent="0.2">
      <c r="A59" s="40" t="s">
        <v>10676</v>
      </c>
      <c r="B59" s="40" t="s">
        <v>10676</v>
      </c>
      <c r="C59" s="41">
        <v>46051</v>
      </c>
      <c r="D59" s="41">
        <v>46199</v>
      </c>
      <c r="E59" s="40" t="s">
        <v>19</v>
      </c>
      <c r="F59" s="40" t="s">
        <v>64</v>
      </c>
      <c r="G59" s="40"/>
      <c r="H59" s="40"/>
      <c r="I59" s="40" t="s">
        <v>49</v>
      </c>
      <c r="J59" s="40">
        <v>88501.53</v>
      </c>
      <c r="K59" s="40">
        <v>88501.53</v>
      </c>
      <c r="L59" s="40"/>
      <c r="M59" s="40">
        <v>88501.53</v>
      </c>
      <c r="N59" s="40"/>
      <c r="O59" s="40" t="s">
        <v>234</v>
      </c>
    </row>
    <row r="60" spans="1:15" ht="29.25" customHeight="1" x14ac:dyDescent="0.2">
      <c r="A60" s="40" t="s">
        <v>10677</v>
      </c>
      <c r="B60" s="40" t="s">
        <v>10677</v>
      </c>
      <c r="C60" s="41">
        <v>46051</v>
      </c>
      <c r="D60" s="41">
        <v>46192</v>
      </c>
      <c r="E60" s="40" t="s">
        <v>19</v>
      </c>
      <c r="F60" s="40" t="s">
        <v>64</v>
      </c>
      <c r="G60" s="40"/>
      <c r="H60" s="40"/>
      <c r="I60" s="40" t="s">
        <v>49</v>
      </c>
      <c r="J60" s="40">
        <v>88501.53</v>
      </c>
      <c r="K60" s="40">
        <v>88501.53</v>
      </c>
      <c r="L60" s="40"/>
      <c r="M60" s="40">
        <v>88501.53</v>
      </c>
      <c r="N60" s="40"/>
      <c r="O60" s="40" t="s">
        <v>234</v>
      </c>
    </row>
    <row r="61" spans="1:15" ht="29.25" customHeight="1" x14ac:dyDescent="0.2">
      <c r="A61" s="40" t="s">
        <v>10678</v>
      </c>
      <c r="B61" s="40" t="s">
        <v>10678</v>
      </c>
      <c r="C61" s="41">
        <v>46051</v>
      </c>
      <c r="D61" s="41">
        <v>46185</v>
      </c>
      <c r="E61" s="40" t="s">
        <v>19</v>
      </c>
      <c r="F61" s="40" t="s">
        <v>64</v>
      </c>
      <c r="G61" s="40"/>
      <c r="H61" s="40"/>
      <c r="I61" s="40" t="s">
        <v>49</v>
      </c>
      <c r="J61" s="40">
        <v>88501.53</v>
      </c>
      <c r="K61" s="40">
        <v>88501.53</v>
      </c>
      <c r="L61" s="40"/>
      <c r="M61" s="40">
        <v>88501.53</v>
      </c>
      <c r="N61" s="40"/>
      <c r="O61" s="40" t="s">
        <v>234</v>
      </c>
    </row>
    <row r="62" spans="1:15" ht="29.25" customHeight="1" x14ac:dyDescent="0.2">
      <c r="A62" s="40" t="s">
        <v>10679</v>
      </c>
      <c r="B62" s="40" t="s">
        <v>10679</v>
      </c>
      <c r="C62" s="41">
        <v>46051</v>
      </c>
      <c r="D62" s="41">
        <v>46178</v>
      </c>
      <c r="E62" s="40" t="s">
        <v>19</v>
      </c>
      <c r="F62" s="40" t="s">
        <v>64</v>
      </c>
      <c r="G62" s="40"/>
      <c r="H62" s="40"/>
      <c r="I62" s="40" t="s">
        <v>49</v>
      </c>
      <c r="J62" s="40">
        <v>88501.53</v>
      </c>
      <c r="K62" s="40">
        <v>88501.53</v>
      </c>
      <c r="L62" s="40"/>
      <c r="M62" s="40">
        <v>88501.53</v>
      </c>
      <c r="N62" s="40"/>
      <c r="O62" s="40" t="s">
        <v>234</v>
      </c>
    </row>
    <row r="63" spans="1:15" ht="29.25" customHeight="1" x14ac:dyDescent="0.2">
      <c r="A63" s="40" t="s">
        <v>10680</v>
      </c>
      <c r="B63" s="40" t="s">
        <v>10680</v>
      </c>
      <c r="C63" s="41">
        <v>46051</v>
      </c>
      <c r="D63" s="41">
        <v>46171</v>
      </c>
      <c r="E63" s="40" t="s">
        <v>19</v>
      </c>
      <c r="F63" s="40" t="s">
        <v>64</v>
      </c>
      <c r="G63" s="40"/>
      <c r="H63" s="40"/>
      <c r="I63" s="40" t="s">
        <v>49</v>
      </c>
      <c r="J63" s="40">
        <v>88501.53</v>
      </c>
      <c r="K63" s="40">
        <v>88501.53</v>
      </c>
      <c r="L63" s="40"/>
      <c r="M63" s="40">
        <v>88501.53</v>
      </c>
      <c r="N63" s="40" t="s">
        <v>10681</v>
      </c>
      <c r="O63" s="40" t="s">
        <v>234</v>
      </c>
    </row>
    <row r="64" spans="1:15" ht="29.25" customHeight="1" x14ac:dyDescent="0.2">
      <c r="A64" s="40" t="s">
        <v>10682</v>
      </c>
      <c r="B64" s="40" t="s">
        <v>10682</v>
      </c>
      <c r="C64" s="41">
        <v>46058</v>
      </c>
      <c r="D64" s="41">
        <v>46132</v>
      </c>
      <c r="E64" s="40" t="s">
        <v>19</v>
      </c>
      <c r="F64" s="40" t="s">
        <v>588</v>
      </c>
      <c r="G64" s="40"/>
      <c r="H64" s="40"/>
      <c r="I64" s="40" t="s">
        <v>49</v>
      </c>
      <c r="J64" s="40">
        <v>2186.9699999999998</v>
      </c>
      <c r="K64" s="40">
        <v>2186.9699999999998</v>
      </c>
      <c r="L64" s="40"/>
      <c r="M64" s="40">
        <v>2186.9699999999998</v>
      </c>
      <c r="N64" s="40" t="s">
        <v>10683</v>
      </c>
      <c r="O64" s="40" t="s">
        <v>234</v>
      </c>
    </row>
    <row r="65" spans="1:15" ht="29.25" customHeight="1" x14ac:dyDescent="0.2">
      <c r="A65" s="40" t="s">
        <v>10684</v>
      </c>
      <c r="B65" s="40" t="s">
        <v>10684</v>
      </c>
      <c r="C65" s="41">
        <v>46058</v>
      </c>
      <c r="D65" s="41">
        <v>46114</v>
      </c>
      <c r="E65" s="40" t="s">
        <v>19</v>
      </c>
      <c r="F65" s="40" t="s">
        <v>588</v>
      </c>
      <c r="G65" s="40"/>
      <c r="H65" s="40"/>
      <c r="I65" s="40" t="s">
        <v>49</v>
      </c>
      <c r="J65" s="40">
        <v>2186.9699999999998</v>
      </c>
      <c r="K65" s="40">
        <v>2186.9699999999998</v>
      </c>
      <c r="L65" s="40"/>
      <c r="M65" s="40">
        <v>2186.9699999999998</v>
      </c>
      <c r="N65" s="40" t="s">
        <v>10685</v>
      </c>
      <c r="O65" s="40" t="s">
        <v>234</v>
      </c>
    </row>
    <row r="66" spans="1:15" ht="29.25" customHeight="1" x14ac:dyDescent="0.2">
      <c r="A66" s="40" t="s">
        <v>10686</v>
      </c>
      <c r="B66" s="40" t="s">
        <v>10686</v>
      </c>
      <c r="C66" s="41">
        <v>46058</v>
      </c>
      <c r="D66" s="41">
        <v>46132</v>
      </c>
      <c r="E66" s="40" t="s">
        <v>19</v>
      </c>
      <c r="F66" s="40" t="s">
        <v>588</v>
      </c>
      <c r="G66" s="40"/>
      <c r="H66" s="40"/>
      <c r="I66" s="40" t="s">
        <v>49</v>
      </c>
      <c r="J66" s="40">
        <v>1984.33</v>
      </c>
      <c r="K66" s="40">
        <v>1984.33</v>
      </c>
      <c r="L66" s="40"/>
      <c r="M66" s="40">
        <v>1984.33</v>
      </c>
      <c r="N66" s="40" t="s">
        <v>10687</v>
      </c>
      <c r="O66" s="40" t="s">
        <v>234</v>
      </c>
    </row>
    <row r="67" spans="1:15" ht="29.25" customHeight="1" x14ac:dyDescent="0.2">
      <c r="A67" s="40" t="s">
        <v>10688</v>
      </c>
      <c r="B67" s="40" t="s">
        <v>10688</v>
      </c>
      <c r="C67" s="41">
        <v>46058</v>
      </c>
      <c r="D67" s="41">
        <v>46114</v>
      </c>
      <c r="E67" s="40" t="s">
        <v>19</v>
      </c>
      <c r="F67" s="40" t="s">
        <v>588</v>
      </c>
      <c r="G67" s="40"/>
      <c r="H67" s="40"/>
      <c r="I67" s="40" t="s">
        <v>49</v>
      </c>
      <c r="J67" s="40">
        <v>1984.35</v>
      </c>
      <c r="K67" s="40">
        <v>1984.35</v>
      </c>
      <c r="L67" s="40"/>
      <c r="M67" s="40">
        <v>1984.35</v>
      </c>
      <c r="N67" s="40" t="s">
        <v>10689</v>
      </c>
      <c r="O67" s="40" t="s">
        <v>234</v>
      </c>
    </row>
    <row r="68" spans="1:15" ht="29.25" customHeight="1" x14ac:dyDescent="0.2">
      <c r="A68" s="40" t="s">
        <v>10690</v>
      </c>
      <c r="B68" s="40" t="s">
        <v>10690</v>
      </c>
      <c r="C68" s="41">
        <v>46058</v>
      </c>
      <c r="D68" s="41">
        <v>46132</v>
      </c>
      <c r="E68" s="40" t="s">
        <v>19</v>
      </c>
      <c r="F68" s="40" t="s">
        <v>588</v>
      </c>
      <c r="G68" s="40"/>
      <c r="H68" s="40"/>
      <c r="I68" s="40" t="s">
        <v>49</v>
      </c>
      <c r="J68" s="40">
        <v>1984.33</v>
      </c>
      <c r="K68" s="40">
        <v>1984.33</v>
      </c>
      <c r="L68" s="40"/>
      <c r="M68" s="40">
        <v>1984.33</v>
      </c>
      <c r="N68" s="40" t="s">
        <v>10691</v>
      </c>
      <c r="O68" s="40" t="s">
        <v>234</v>
      </c>
    </row>
    <row r="69" spans="1:15" ht="29.25" customHeight="1" x14ac:dyDescent="0.2">
      <c r="A69" s="40" t="s">
        <v>10692</v>
      </c>
      <c r="B69" s="40" t="s">
        <v>10692</v>
      </c>
      <c r="C69" s="41">
        <v>46058</v>
      </c>
      <c r="D69" s="41">
        <v>46114</v>
      </c>
      <c r="E69" s="40" t="s">
        <v>19</v>
      </c>
      <c r="F69" s="40" t="s">
        <v>588</v>
      </c>
      <c r="G69" s="40"/>
      <c r="H69" s="40"/>
      <c r="I69" s="40" t="s">
        <v>49</v>
      </c>
      <c r="J69" s="40">
        <v>1984.35</v>
      </c>
      <c r="K69" s="40">
        <v>1984.35</v>
      </c>
      <c r="L69" s="40"/>
      <c r="M69" s="40">
        <v>1984.35</v>
      </c>
      <c r="N69" s="40" t="s">
        <v>10693</v>
      </c>
      <c r="O69" s="40" t="s">
        <v>234</v>
      </c>
    </row>
    <row r="70" spans="1:15" ht="29.25" customHeight="1" x14ac:dyDescent="0.2">
      <c r="A70" s="40" t="s">
        <v>10694</v>
      </c>
      <c r="B70" s="40" t="s">
        <v>10694</v>
      </c>
      <c r="C70" s="41">
        <v>46058</v>
      </c>
      <c r="D70" s="41">
        <v>46115</v>
      </c>
      <c r="E70" s="40" t="s">
        <v>19</v>
      </c>
      <c r="F70" s="40" t="s">
        <v>1654</v>
      </c>
      <c r="G70" s="40"/>
      <c r="H70" s="40"/>
      <c r="I70" s="40" t="s">
        <v>49</v>
      </c>
      <c r="J70" s="40">
        <v>2563.0100000000002</v>
      </c>
      <c r="K70" s="40">
        <v>2563.0100000000002</v>
      </c>
      <c r="L70" s="40"/>
      <c r="M70" s="40">
        <v>2563.0100000000002</v>
      </c>
      <c r="N70" s="40" t="s">
        <v>10695</v>
      </c>
      <c r="O70" s="40" t="s">
        <v>234</v>
      </c>
    </row>
    <row r="71" spans="1:15" ht="29.25" customHeight="1" x14ac:dyDescent="0.2">
      <c r="A71" s="40" t="s">
        <v>10696</v>
      </c>
      <c r="B71" s="40" t="s">
        <v>10696</v>
      </c>
      <c r="C71" s="41">
        <v>46058</v>
      </c>
      <c r="D71" s="41">
        <v>46128</v>
      </c>
      <c r="E71" s="40" t="s">
        <v>19</v>
      </c>
      <c r="F71" s="40" t="s">
        <v>2944</v>
      </c>
      <c r="G71" s="40"/>
      <c r="H71" s="40"/>
      <c r="I71" s="40" t="s">
        <v>49</v>
      </c>
      <c r="J71" s="40">
        <v>1992.91</v>
      </c>
      <c r="K71" s="40">
        <v>1992.91</v>
      </c>
      <c r="L71" s="40"/>
      <c r="M71" s="40">
        <v>1992.91</v>
      </c>
      <c r="N71" s="40" t="s">
        <v>10697</v>
      </c>
      <c r="O71" s="40" t="s">
        <v>234</v>
      </c>
    </row>
    <row r="72" spans="1:15" ht="29.25" customHeight="1" x14ac:dyDescent="0.2">
      <c r="A72" s="40" t="s">
        <v>10698</v>
      </c>
      <c r="B72" s="40" t="s">
        <v>10698</v>
      </c>
      <c r="C72" s="41">
        <v>46058</v>
      </c>
      <c r="D72" s="41">
        <v>46121</v>
      </c>
      <c r="E72" s="40" t="s">
        <v>19</v>
      </c>
      <c r="F72" s="40" t="s">
        <v>2684</v>
      </c>
      <c r="G72" s="40"/>
      <c r="H72" s="40"/>
      <c r="I72" s="40" t="s">
        <v>49</v>
      </c>
      <c r="J72" s="40">
        <v>2469.19</v>
      </c>
      <c r="K72" s="40">
        <v>2469.19</v>
      </c>
      <c r="L72" s="40"/>
      <c r="M72" s="40">
        <v>2469.19</v>
      </c>
      <c r="N72" s="40" t="s">
        <v>10699</v>
      </c>
      <c r="O72" s="40" t="s">
        <v>234</v>
      </c>
    </row>
    <row r="73" spans="1:15" ht="29.25" customHeight="1" x14ac:dyDescent="0.2">
      <c r="A73" s="40" t="s">
        <v>10700</v>
      </c>
      <c r="B73" s="40" t="s">
        <v>10700</v>
      </c>
      <c r="C73" s="41">
        <v>46058</v>
      </c>
      <c r="D73" s="41">
        <v>46125</v>
      </c>
      <c r="E73" s="40" t="s">
        <v>19</v>
      </c>
      <c r="F73" s="40" t="s">
        <v>101</v>
      </c>
      <c r="G73" s="40"/>
      <c r="H73" s="40"/>
      <c r="I73" s="40" t="s">
        <v>49</v>
      </c>
      <c r="J73" s="40">
        <v>3016.08</v>
      </c>
      <c r="K73" s="40">
        <v>3016.08</v>
      </c>
      <c r="L73" s="40"/>
      <c r="M73" s="40">
        <v>3016.08</v>
      </c>
      <c r="N73" s="40" t="s">
        <v>10701</v>
      </c>
      <c r="O73" s="40" t="s">
        <v>234</v>
      </c>
    </row>
    <row r="74" spans="1:15" ht="29.25" customHeight="1" x14ac:dyDescent="0.2">
      <c r="A74" s="40" t="s">
        <v>10702</v>
      </c>
      <c r="B74" s="40" t="s">
        <v>10702</v>
      </c>
      <c r="C74" s="41">
        <v>46058</v>
      </c>
      <c r="D74" s="41">
        <v>46118</v>
      </c>
      <c r="E74" s="40" t="s">
        <v>19</v>
      </c>
      <c r="F74" s="40" t="s">
        <v>101</v>
      </c>
      <c r="G74" s="40"/>
      <c r="H74" s="40"/>
      <c r="I74" s="40" t="s">
        <v>49</v>
      </c>
      <c r="J74" s="40">
        <v>3955.6</v>
      </c>
      <c r="K74" s="40">
        <v>3955.6</v>
      </c>
      <c r="L74" s="40"/>
      <c r="M74" s="40">
        <v>3955.6</v>
      </c>
      <c r="N74" s="40" t="s">
        <v>10703</v>
      </c>
      <c r="O74" s="40" t="s">
        <v>234</v>
      </c>
    </row>
    <row r="75" spans="1:15" ht="29.25" customHeight="1" x14ac:dyDescent="0.2">
      <c r="A75" s="40" t="s">
        <v>10704</v>
      </c>
      <c r="B75" s="40" t="s">
        <v>10704</v>
      </c>
      <c r="C75" s="41">
        <v>46058</v>
      </c>
      <c r="D75" s="41">
        <v>46168</v>
      </c>
      <c r="E75" s="40" t="s">
        <v>19</v>
      </c>
      <c r="F75" s="40" t="s">
        <v>1405</v>
      </c>
      <c r="G75" s="40"/>
      <c r="H75" s="40"/>
      <c r="I75" s="40" t="s">
        <v>49</v>
      </c>
      <c r="J75" s="40">
        <v>9895.81</v>
      </c>
      <c r="K75" s="40">
        <v>9895.81</v>
      </c>
      <c r="L75" s="40"/>
      <c r="M75" s="40">
        <v>9895.81</v>
      </c>
      <c r="N75" s="40"/>
      <c r="O75" s="40" t="s">
        <v>234</v>
      </c>
    </row>
    <row r="76" spans="1:15" ht="29.25" customHeight="1" x14ac:dyDescent="0.2">
      <c r="A76" s="40" t="s">
        <v>10705</v>
      </c>
      <c r="B76" s="40" t="s">
        <v>10705</v>
      </c>
      <c r="C76" s="41">
        <v>46058</v>
      </c>
      <c r="D76" s="41">
        <v>46155</v>
      </c>
      <c r="E76" s="40" t="s">
        <v>19</v>
      </c>
      <c r="F76" s="40" t="s">
        <v>1405</v>
      </c>
      <c r="G76" s="40"/>
      <c r="H76" s="40"/>
      <c r="I76" s="40" t="s">
        <v>49</v>
      </c>
      <c r="J76" s="40">
        <v>9895.81</v>
      </c>
      <c r="K76" s="40">
        <v>9895.81</v>
      </c>
      <c r="L76" s="40"/>
      <c r="M76" s="40">
        <v>9895.81</v>
      </c>
      <c r="N76" s="40" t="s">
        <v>10706</v>
      </c>
      <c r="O76" s="40" t="s">
        <v>234</v>
      </c>
    </row>
    <row r="77" spans="1:15" ht="29.25" customHeight="1" x14ac:dyDescent="0.2">
      <c r="A77" s="40" t="s">
        <v>10707</v>
      </c>
      <c r="B77" s="40" t="s">
        <v>10707</v>
      </c>
      <c r="C77" s="41">
        <v>46058</v>
      </c>
      <c r="D77" s="41">
        <v>46142</v>
      </c>
      <c r="E77" s="40" t="s">
        <v>19</v>
      </c>
      <c r="F77" s="40" t="s">
        <v>1405</v>
      </c>
      <c r="G77" s="40"/>
      <c r="H77" s="40"/>
      <c r="I77" s="40" t="s">
        <v>49</v>
      </c>
      <c r="J77" s="40">
        <v>9895.81</v>
      </c>
      <c r="K77" s="40">
        <v>9895.81</v>
      </c>
      <c r="L77" s="40"/>
      <c r="M77" s="40">
        <v>9895.81</v>
      </c>
      <c r="N77" s="40" t="s">
        <v>10708</v>
      </c>
      <c r="O77" s="40" t="s">
        <v>234</v>
      </c>
    </row>
    <row r="78" spans="1:15" ht="29.25" customHeight="1" x14ac:dyDescent="0.2">
      <c r="A78" s="40" t="s">
        <v>10709</v>
      </c>
      <c r="B78" s="40" t="s">
        <v>10709</v>
      </c>
      <c r="C78" s="41">
        <v>46058</v>
      </c>
      <c r="D78" s="41">
        <v>46129</v>
      </c>
      <c r="E78" s="40" t="s">
        <v>19</v>
      </c>
      <c r="F78" s="40" t="s">
        <v>1405</v>
      </c>
      <c r="G78" s="40"/>
      <c r="H78" s="40"/>
      <c r="I78" s="40" t="s">
        <v>49</v>
      </c>
      <c r="J78" s="40">
        <v>9895.81</v>
      </c>
      <c r="K78" s="40">
        <v>9895.81</v>
      </c>
      <c r="L78" s="40"/>
      <c r="M78" s="40">
        <v>9895.81</v>
      </c>
      <c r="N78" s="40" t="s">
        <v>10710</v>
      </c>
      <c r="O78" s="40" t="s">
        <v>234</v>
      </c>
    </row>
    <row r="79" spans="1:15" ht="29.25" customHeight="1" x14ac:dyDescent="0.2">
      <c r="A79" s="40" t="s">
        <v>10711</v>
      </c>
      <c r="B79" s="40" t="s">
        <v>10711</v>
      </c>
      <c r="C79" s="41">
        <v>46058</v>
      </c>
      <c r="D79" s="41">
        <v>46118</v>
      </c>
      <c r="E79" s="40" t="s">
        <v>19</v>
      </c>
      <c r="F79" s="40" t="s">
        <v>1405</v>
      </c>
      <c r="G79" s="40"/>
      <c r="H79" s="40"/>
      <c r="I79" s="40" t="s">
        <v>49</v>
      </c>
      <c r="J79" s="40">
        <v>9895.81</v>
      </c>
      <c r="K79" s="40">
        <v>9895.81</v>
      </c>
      <c r="L79" s="40"/>
      <c r="M79" s="40">
        <v>9895.81</v>
      </c>
      <c r="N79" s="40" t="s">
        <v>10712</v>
      </c>
      <c r="O79" s="40" t="s">
        <v>234</v>
      </c>
    </row>
    <row r="80" spans="1:15" ht="29.25" customHeight="1" x14ac:dyDescent="0.2">
      <c r="A80" s="40" t="s">
        <v>10713</v>
      </c>
      <c r="B80" s="40" t="s">
        <v>10713</v>
      </c>
      <c r="C80" s="41">
        <v>46058</v>
      </c>
      <c r="D80" s="41">
        <v>46139</v>
      </c>
      <c r="E80" s="40" t="s">
        <v>19</v>
      </c>
      <c r="F80" s="40" t="s">
        <v>834</v>
      </c>
      <c r="G80" s="40"/>
      <c r="H80" s="40"/>
      <c r="I80" s="40" t="s">
        <v>49</v>
      </c>
      <c r="J80" s="40">
        <v>2006.47</v>
      </c>
      <c r="K80" s="40">
        <v>2006.47</v>
      </c>
      <c r="L80" s="40"/>
      <c r="M80" s="40">
        <v>2006.47</v>
      </c>
      <c r="N80" s="40" t="s">
        <v>10714</v>
      </c>
      <c r="O80" s="40" t="s">
        <v>234</v>
      </c>
    </row>
    <row r="81" spans="1:15" ht="29.25" customHeight="1" x14ac:dyDescent="0.2">
      <c r="A81" s="40" t="s">
        <v>10715</v>
      </c>
      <c r="B81" s="40" t="s">
        <v>10715</v>
      </c>
      <c r="C81" s="41">
        <v>46058</v>
      </c>
      <c r="D81" s="41">
        <v>46121</v>
      </c>
      <c r="E81" s="40" t="s">
        <v>19</v>
      </c>
      <c r="F81" s="40" t="s">
        <v>834</v>
      </c>
      <c r="G81" s="40"/>
      <c r="H81" s="40"/>
      <c r="I81" s="40" t="s">
        <v>49</v>
      </c>
      <c r="J81" s="40">
        <v>2006.47</v>
      </c>
      <c r="K81" s="40">
        <v>2006.47</v>
      </c>
      <c r="L81" s="40"/>
      <c r="M81" s="40">
        <v>2006.47</v>
      </c>
      <c r="N81" s="40" t="s">
        <v>10716</v>
      </c>
      <c r="O81" s="40" t="s">
        <v>234</v>
      </c>
    </row>
    <row r="82" spans="1:15" ht="29.25" customHeight="1" x14ac:dyDescent="0.2">
      <c r="A82" s="40" t="s">
        <v>10717</v>
      </c>
      <c r="B82" s="40" t="s">
        <v>10717</v>
      </c>
      <c r="C82" s="41">
        <v>46058</v>
      </c>
      <c r="D82" s="41">
        <v>46114</v>
      </c>
      <c r="E82" s="40" t="s">
        <v>19</v>
      </c>
      <c r="F82" s="40" t="s">
        <v>834</v>
      </c>
      <c r="G82" s="40"/>
      <c r="H82" s="40"/>
      <c r="I82" s="40" t="s">
        <v>49</v>
      </c>
      <c r="J82" s="40">
        <v>2006.47</v>
      </c>
      <c r="K82" s="40">
        <v>2006.47</v>
      </c>
      <c r="L82" s="40"/>
      <c r="M82" s="40">
        <v>2006.47</v>
      </c>
      <c r="N82" s="40" t="s">
        <v>10718</v>
      </c>
      <c r="O82" s="40" t="s">
        <v>234</v>
      </c>
    </row>
    <row r="83" spans="1:15" ht="29.25" customHeight="1" x14ac:dyDescent="0.2">
      <c r="A83" s="40" t="s">
        <v>10719</v>
      </c>
      <c r="B83" s="40" t="s">
        <v>10719</v>
      </c>
      <c r="C83" s="41">
        <v>46058</v>
      </c>
      <c r="D83" s="41">
        <v>46171</v>
      </c>
      <c r="E83" s="40" t="s">
        <v>19</v>
      </c>
      <c r="F83" s="40" t="s">
        <v>834</v>
      </c>
      <c r="G83" s="40"/>
      <c r="H83" s="40"/>
      <c r="I83" s="40" t="s">
        <v>49</v>
      </c>
      <c r="J83" s="40">
        <v>11941.17</v>
      </c>
      <c r="K83" s="40">
        <v>11941.17</v>
      </c>
      <c r="L83" s="40"/>
      <c r="M83" s="40">
        <v>11941.17</v>
      </c>
      <c r="N83" s="40"/>
      <c r="O83" s="40" t="s">
        <v>234</v>
      </c>
    </row>
    <row r="84" spans="1:15" ht="29.25" customHeight="1" x14ac:dyDescent="0.2">
      <c r="A84" s="40" t="s">
        <v>10720</v>
      </c>
      <c r="B84" s="40" t="s">
        <v>10720</v>
      </c>
      <c r="C84" s="41">
        <v>46058</v>
      </c>
      <c r="D84" s="41">
        <v>46160</v>
      </c>
      <c r="E84" s="40" t="s">
        <v>19</v>
      </c>
      <c r="F84" s="40" t="s">
        <v>834</v>
      </c>
      <c r="G84" s="40"/>
      <c r="H84" s="40"/>
      <c r="I84" s="40" t="s">
        <v>49</v>
      </c>
      <c r="J84" s="40">
        <v>11941.17</v>
      </c>
      <c r="K84" s="40">
        <v>11941.17</v>
      </c>
      <c r="L84" s="40"/>
      <c r="M84" s="40">
        <v>11941.17</v>
      </c>
      <c r="N84" s="40" t="s">
        <v>10721</v>
      </c>
      <c r="O84" s="40" t="s">
        <v>234</v>
      </c>
    </row>
    <row r="85" spans="1:15" ht="29.25" customHeight="1" x14ac:dyDescent="0.2">
      <c r="A85" s="40" t="s">
        <v>10722</v>
      </c>
      <c r="B85" s="40" t="s">
        <v>10722</v>
      </c>
      <c r="C85" s="41">
        <v>46058</v>
      </c>
      <c r="D85" s="41">
        <v>46146</v>
      </c>
      <c r="E85" s="40" t="s">
        <v>19</v>
      </c>
      <c r="F85" s="40" t="s">
        <v>834</v>
      </c>
      <c r="G85" s="40"/>
      <c r="H85" s="40"/>
      <c r="I85" s="40" t="s">
        <v>49</v>
      </c>
      <c r="J85" s="40">
        <v>11941.17</v>
      </c>
      <c r="K85" s="40">
        <v>11941.17</v>
      </c>
      <c r="L85" s="40"/>
      <c r="M85" s="40">
        <v>11941.17</v>
      </c>
      <c r="N85" s="40" t="s">
        <v>10723</v>
      </c>
      <c r="O85" s="40" t="s">
        <v>234</v>
      </c>
    </row>
    <row r="86" spans="1:15" ht="29.25" customHeight="1" x14ac:dyDescent="0.2">
      <c r="A86" s="40" t="s">
        <v>10724</v>
      </c>
      <c r="B86" s="40" t="s">
        <v>10724</v>
      </c>
      <c r="C86" s="41">
        <v>46058</v>
      </c>
      <c r="D86" s="41">
        <v>46132</v>
      </c>
      <c r="E86" s="40" t="s">
        <v>19</v>
      </c>
      <c r="F86" s="40" t="s">
        <v>834</v>
      </c>
      <c r="G86" s="40"/>
      <c r="H86" s="40"/>
      <c r="I86" s="40" t="s">
        <v>49</v>
      </c>
      <c r="J86" s="40">
        <v>11941.17</v>
      </c>
      <c r="K86" s="40">
        <v>11941.17</v>
      </c>
      <c r="L86" s="40"/>
      <c r="M86" s="40">
        <v>11941.17</v>
      </c>
      <c r="N86" s="40" t="s">
        <v>10725</v>
      </c>
      <c r="O86" s="40" t="s">
        <v>234</v>
      </c>
    </row>
    <row r="87" spans="1:15" ht="29.25" customHeight="1" x14ac:dyDescent="0.2">
      <c r="A87" s="40" t="s">
        <v>10726</v>
      </c>
      <c r="B87" s="40" t="s">
        <v>10726</v>
      </c>
      <c r="C87" s="41">
        <v>46058</v>
      </c>
      <c r="D87" s="41">
        <v>46119</v>
      </c>
      <c r="E87" s="40" t="s">
        <v>19</v>
      </c>
      <c r="F87" s="40" t="s">
        <v>834</v>
      </c>
      <c r="G87" s="40"/>
      <c r="H87" s="40"/>
      <c r="I87" s="40" t="s">
        <v>49</v>
      </c>
      <c r="J87" s="40">
        <v>11941.17</v>
      </c>
      <c r="K87" s="40">
        <v>11941.17</v>
      </c>
      <c r="L87" s="40"/>
      <c r="M87" s="40">
        <v>11941.17</v>
      </c>
      <c r="N87" s="40" t="s">
        <v>10727</v>
      </c>
      <c r="O87" s="40" t="s">
        <v>234</v>
      </c>
    </row>
    <row r="88" spans="1:15" ht="29.25" customHeight="1" x14ac:dyDescent="0.2">
      <c r="A88" s="40" t="s">
        <v>10728</v>
      </c>
      <c r="B88" s="40" t="s">
        <v>10728</v>
      </c>
      <c r="C88" s="41">
        <v>46058</v>
      </c>
      <c r="D88" s="41">
        <v>46135</v>
      </c>
      <c r="E88" s="40" t="s">
        <v>19</v>
      </c>
      <c r="F88" s="40" t="s">
        <v>834</v>
      </c>
      <c r="G88" s="40"/>
      <c r="H88" s="40"/>
      <c r="I88" s="40" t="s">
        <v>49</v>
      </c>
      <c r="J88" s="40">
        <v>2540.94</v>
      </c>
      <c r="K88" s="40">
        <v>2540.94</v>
      </c>
      <c r="L88" s="40"/>
      <c r="M88" s="40">
        <v>2540.94</v>
      </c>
      <c r="N88" s="40" t="s">
        <v>10729</v>
      </c>
      <c r="O88" s="40" t="s">
        <v>234</v>
      </c>
    </row>
    <row r="89" spans="1:15" ht="29.25" customHeight="1" x14ac:dyDescent="0.2">
      <c r="A89" s="40" t="s">
        <v>10730</v>
      </c>
      <c r="B89" s="40" t="s">
        <v>10730</v>
      </c>
      <c r="C89" s="41">
        <v>46058</v>
      </c>
      <c r="D89" s="41">
        <v>46118</v>
      </c>
      <c r="E89" s="40" t="s">
        <v>19</v>
      </c>
      <c r="F89" s="40" t="s">
        <v>834</v>
      </c>
      <c r="G89" s="40"/>
      <c r="H89" s="40"/>
      <c r="I89" s="40" t="s">
        <v>49</v>
      </c>
      <c r="J89" s="40">
        <v>2540.94</v>
      </c>
      <c r="K89" s="40">
        <v>2540.94</v>
      </c>
      <c r="L89" s="40"/>
      <c r="M89" s="40">
        <v>2540.94</v>
      </c>
      <c r="N89" s="40" t="s">
        <v>10731</v>
      </c>
      <c r="O89" s="40" t="s">
        <v>234</v>
      </c>
    </row>
    <row r="90" spans="1:15" ht="29.25" customHeight="1" x14ac:dyDescent="0.2">
      <c r="A90" s="40" t="s">
        <v>10732</v>
      </c>
      <c r="B90" s="40" t="s">
        <v>10732</v>
      </c>
      <c r="C90" s="41">
        <v>46058</v>
      </c>
      <c r="D90" s="41">
        <v>46118</v>
      </c>
      <c r="E90" s="40" t="s">
        <v>19</v>
      </c>
      <c r="F90" s="40" t="s">
        <v>834</v>
      </c>
      <c r="G90" s="40"/>
      <c r="H90" s="40"/>
      <c r="I90" s="40" t="s">
        <v>49</v>
      </c>
      <c r="J90" s="40">
        <v>3955.58</v>
      </c>
      <c r="K90" s="40">
        <v>3955.58</v>
      </c>
      <c r="L90" s="40"/>
      <c r="M90" s="40">
        <v>3955.58</v>
      </c>
      <c r="N90" s="40" t="s">
        <v>10733</v>
      </c>
      <c r="O90" s="40" t="s">
        <v>234</v>
      </c>
    </row>
    <row r="91" spans="1:15" ht="29.25" customHeight="1" x14ac:dyDescent="0.2">
      <c r="A91" s="40" t="s">
        <v>10734</v>
      </c>
      <c r="B91" s="40" t="s">
        <v>10734</v>
      </c>
      <c r="C91" s="41">
        <v>46062</v>
      </c>
      <c r="D91" s="41">
        <v>46138</v>
      </c>
      <c r="E91" s="40" t="s">
        <v>19</v>
      </c>
      <c r="F91" s="40" t="s">
        <v>1920</v>
      </c>
      <c r="G91" s="40"/>
      <c r="H91" s="40"/>
      <c r="I91" s="40" t="s">
        <v>49</v>
      </c>
      <c r="J91" s="40">
        <v>2837.63</v>
      </c>
      <c r="K91" s="40">
        <v>2837.63</v>
      </c>
      <c r="L91" s="40"/>
      <c r="M91" s="40">
        <v>2837.63</v>
      </c>
      <c r="N91" s="40" t="s">
        <v>10735</v>
      </c>
      <c r="O91" s="40" t="s">
        <v>234</v>
      </c>
    </row>
    <row r="92" spans="1:15" ht="29.25" customHeight="1" x14ac:dyDescent="0.2">
      <c r="A92" s="40" t="s">
        <v>10736</v>
      </c>
      <c r="B92" s="40" t="s">
        <v>10736</v>
      </c>
      <c r="C92" s="41">
        <v>46062</v>
      </c>
      <c r="D92" s="41">
        <v>46121</v>
      </c>
      <c r="E92" s="40" t="s">
        <v>19</v>
      </c>
      <c r="F92" s="40" t="s">
        <v>1920</v>
      </c>
      <c r="G92" s="40"/>
      <c r="H92" s="40"/>
      <c r="I92" s="40" t="s">
        <v>49</v>
      </c>
      <c r="J92" s="40">
        <v>2837.63</v>
      </c>
      <c r="K92" s="40">
        <v>2837.63</v>
      </c>
      <c r="L92" s="40"/>
      <c r="M92" s="40">
        <v>2837.63</v>
      </c>
      <c r="N92" s="40" t="s">
        <v>10737</v>
      </c>
      <c r="O92" s="40" t="s">
        <v>234</v>
      </c>
    </row>
    <row r="93" spans="1:15" ht="29.25" customHeight="1" x14ac:dyDescent="0.2">
      <c r="A93" s="40" t="s">
        <v>10738</v>
      </c>
      <c r="B93" s="40" t="s">
        <v>10738</v>
      </c>
      <c r="C93" s="41">
        <v>46062</v>
      </c>
      <c r="D93" s="41">
        <v>46114</v>
      </c>
      <c r="E93" s="40" t="s">
        <v>19</v>
      </c>
      <c r="F93" s="40" t="s">
        <v>1920</v>
      </c>
      <c r="G93" s="40"/>
      <c r="H93" s="40"/>
      <c r="I93" s="40" t="s">
        <v>49</v>
      </c>
      <c r="J93" s="40">
        <v>2837.63</v>
      </c>
      <c r="K93" s="40">
        <v>2837.63</v>
      </c>
      <c r="L93" s="40"/>
      <c r="M93" s="40">
        <v>2837.63</v>
      </c>
      <c r="N93" s="40" t="s">
        <v>10739</v>
      </c>
      <c r="O93" s="40" t="s">
        <v>234</v>
      </c>
    </row>
    <row r="94" spans="1:15" ht="29.25" customHeight="1" x14ac:dyDescent="0.2">
      <c r="A94" s="40" t="s">
        <v>10740</v>
      </c>
      <c r="B94" s="40" t="s">
        <v>10740</v>
      </c>
      <c r="C94" s="41">
        <v>46062</v>
      </c>
      <c r="D94" s="41">
        <v>46140</v>
      </c>
      <c r="E94" s="40" t="s">
        <v>19</v>
      </c>
      <c r="F94" s="40" t="s">
        <v>1920</v>
      </c>
      <c r="G94" s="40"/>
      <c r="H94" s="40"/>
      <c r="I94" s="40" t="s">
        <v>49</v>
      </c>
      <c r="J94" s="40">
        <v>1987.09</v>
      </c>
      <c r="K94" s="40">
        <v>1987.09</v>
      </c>
      <c r="L94" s="40"/>
      <c r="M94" s="40">
        <v>1987.09</v>
      </c>
      <c r="N94" s="40" t="s">
        <v>10741</v>
      </c>
      <c r="O94" s="40" t="s">
        <v>234</v>
      </c>
    </row>
    <row r="95" spans="1:15" ht="29.25" customHeight="1" x14ac:dyDescent="0.2">
      <c r="A95" s="40" t="s">
        <v>10742</v>
      </c>
      <c r="B95" s="40" t="s">
        <v>10742</v>
      </c>
      <c r="C95" s="41">
        <v>46062</v>
      </c>
      <c r="D95" s="41">
        <v>46125</v>
      </c>
      <c r="E95" s="40" t="s">
        <v>19</v>
      </c>
      <c r="F95" s="40" t="s">
        <v>1920</v>
      </c>
      <c r="G95" s="40"/>
      <c r="H95" s="40"/>
      <c r="I95" s="40" t="s">
        <v>49</v>
      </c>
      <c r="J95" s="40">
        <v>1987.09</v>
      </c>
      <c r="K95" s="40">
        <v>1987.09</v>
      </c>
      <c r="L95" s="40"/>
      <c r="M95" s="40">
        <v>1987.09</v>
      </c>
      <c r="N95" s="40" t="s">
        <v>10743</v>
      </c>
      <c r="O95" s="40" t="s">
        <v>234</v>
      </c>
    </row>
    <row r="96" spans="1:15" ht="29.25" customHeight="1" x14ac:dyDescent="0.2">
      <c r="A96" s="40" t="s">
        <v>10744</v>
      </c>
      <c r="B96" s="40" t="s">
        <v>10744</v>
      </c>
      <c r="C96" s="41">
        <v>46062</v>
      </c>
      <c r="D96" s="41">
        <v>46118</v>
      </c>
      <c r="E96" s="40" t="s">
        <v>19</v>
      </c>
      <c r="F96" s="40" t="s">
        <v>1920</v>
      </c>
      <c r="G96" s="40"/>
      <c r="H96" s="40"/>
      <c r="I96" s="40" t="s">
        <v>49</v>
      </c>
      <c r="J96" s="40">
        <v>1987.09</v>
      </c>
      <c r="K96" s="40">
        <v>1987.09</v>
      </c>
      <c r="L96" s="40"/>
      <c r="M96" s="40">
        <v>1987.09</v>
      </c>
      <c r="N96" s="40" t="s">
        <v>10745</v>
      </c>
      <c r="O96" s="40" t="s">
        <v>234</v>
      </c>
    </row>
    <row r="97" spans="1:15" ht="29.25" customHeight="1" x14ac:dyDescent="0.2">
      <c r="A97" s="40" t="s">
        <v>10746</v>
      </c>
      <c r="B97" s="40" t="s">
        <v>10746</v>
      </c>
      <c r="C97" s="41">
        <v>46062</v>
      </c>
      <c r="D97" s="41">
        <v>46139</v>
      </c>
      <c r="E97" s="40" t="s">
        <v>19</v>
      </c>
      <c r="F97" s="40" t="s">
        <v>64</v>
      </c>
      <c r="G97" s="40"/>
      <c r="H97" s="40"/>
      <c r="I97" s="40" t="s">
        <v>49</v>
      </c>
      <c r="J97" s="40">
        <v>12452.65</v>
      </c>
      <c r="K97" s="40">
        <v>12452.65</v>
      </c>
      <c r="L97" s="40"/>
      <c r="M97" s="40">
        <v>12452.65</v>
      </c>
      <c r="N97" s="40" t="s">
        <v>10747</v>
      </c>
      <c r="O97" s="40" t="s">
        <v>234</v>
      </c>
    </row>
    <row r="98" spans="1:15" ht="29.25" customHeight="1" x14ac:dyDescent="0.2">
      <c r="A98" s="40" t="s">
        <v>10748</v>
      </c>
      <c r="B98" s="40" t="s">
        <v>10748</v>
      </c>
      <c r="C98" s="41">
        <v>46062</v>
      </c>
      <c r="D98" s="41">
        <v>46139</v>
      </c>
      <c r="E98" s="40" t="s">
        <v>19</v>
      </c>
      <c r="F98" s="40" t="s">
        <v>64</v>
      </c>
      <c r="G98" s="40"/>
      <c r="H98" s="40"/>
      <c r="I98" s="40" t="s">
        <v>49</v>
      </c>
      <c r="J98" s="40">
        <v>7726.26</v>
      </c>
      <c r="K98" s="40">
        <v>7726.26</v>
      </c>
      <c r="L98" s="40"/>
      <c r="M98" s="40">
        <v>7726.26</v>
      </c>
      <c r="N98" s="40" t="s">
        <v>10749</v>
      </c>
      <c r="O98" s="40" t="s">
        <v>234</v>
      </c>
    </row>
    <row r="99" spans="1:15" ht="29.25" customHeight="1" x14ac:dyDescent="0.2">
      <c r="A99" s="40" t="s">
        <v>10750</v>
      </c>
      <c r="B99" s="40" t="s">
        <v>10750</v>
      </c>
      <c r="C99" s="41">
        <v>46062</v>
      </c>
      <c r="D99" s="41">
        <v>46119</v>
      </c>
      <c r="E99" s="40" t="s">
        <v>19</v>
      </c>
      <c r="F99" s="40" t="s">
        <v>64</v>
      </c>
      <c r="G99" s="40"/>
      <c r="H99" s="40"/>
      <c r="I99" s="40" t="s">
        <v>49</v>
      </c>
      <c r="J99" s="40">
        <v>7726.26</v>
      </c>
      <c r="K99" s="40">
        <v>7726.26</v>
      </c>
      <c r="L99" s="40"/>
      <c r="M99" s="40">
        <v>7726.26</v>
      </c>
      <c r="N99" s="40" t="s">
        <v>10751</v>
      </c>
      <c r="O99" s="40" t="s">
        <v>234</v>
      </c>
    </row>
    <row r="100" spans="1:15" ht="29.25" customHeight="1" x14ac:dyDescent="0.2">
      <c r="A100" s="40" t="s">
        <v>10752</v>
      </c>
      <c r="B100" s="40" t="s">
        <v>10752</v>
      </c>
      <c r="C100" s="41">
        <v>46062</v>
      </c>
      <c r="D100" s="41">
        <v>46139</v>
      </c>
      <c r="E100" s="40" t="s">
        <v>19</v>
      </c>
      <c r="F100" s="40" t="s">
        <v>64</v>
      </c>
      <c r="G100" s="40"/>
      <c r="H100" s="40"/>
      <c r="I100" s="40" t="s">
        <v>49</v>
      </c>
      <c r="J100" s="40">
        <v>11079.58</v>
      </c>
      <c r="K100" s="40">
        <v>11079.58</v>
      </c>
      <c r="L100" s="40"/>
      <c r="M100" s="40">
        <v>11079.58</v>
      </c>
      <c r="N100" s="40" t="s">
        <v>10753</v>
      </c>
      <c r="O100" s="40" t="s">
        <v>234</v>
      </c>
    </row>
    <row r="101" spans="1:15" ht="29.25" customHeight="1" x14ac:dyDescent="0.2">
      <c r="A101" s="40" t="s">
        <v>10754</v>
      </c>
      <c r="B101" s="40" t="s">
        <v>10754</v>
      </c>
      <c r="C101" s="41">
        <v>46062</v>
      </c>
      <c r="D101" s="41">
        <v>46132</v>
      </c>
      <c r="E101" s="40" t="s">
        <v>19</v>
      </c>
      <c r="F101" s="40" t="s">
        <v>64</v>
      </c>
      <c r="G101" s="40"/>
      <c r="H101" s="40"/>
      <c r="I101" s="40" t="s">
        <v>49</v>
      </c>
      <c r="J101" s="40">
        <v>11079.58</v>
      </c>
      <c r="K101" s="40">
        <v>11079.58</v>
      </c>
      <c r="L101" s="40"/>
      <c r="M101" s="40">
        <v>11079.58</v>
      </c>
      <c r="N101" s="40" t="s">
        <v>10755</v>
      </c>
      <c r="O101" s="40" t="s">
        <v>234</v>
      </c>
    </row>
    <row r="102" spans="1:15" ht="29.25" customHeight="1" x14ac:dyDescent="0.2">
      <c r="A102" s="40" t="s">
        <v>10756</v>
      </c>
      <c r="B102" s="40" t="s">
        <v>10756</v>
      </c>
      <c r="C102" s="41">
        <v>46062</v>
      </c>
      <c r="D102" s="41">
        <v>46121</v>
      </c>
      <c r="E102" s="40" t="s">
        <v>19</v>
      </c>
      <c r="F102" s="40" t="s">
        <v>64</v>
      </c>
      <c r="G102" s="40"/>
      <c r="H102" s="40"/>
      <c r="I102" s="40" t="s">
        <v>49</v>
      </c>
      <c r="J102" s="40">
        <v>11079.58</v>
      </c>
      <c r="K102" s="40">
        <v>11079.58</v>
      </c>
      <c r="L102" s="40"/>
      <c r="M102" s="40">
        <v>11079.58</v>
      </c>
      <c r="N102" s="40" t="s">
        <v>10757</v>
      </c>
      <c r="O102" s="40" t="s">
        <v>234</v>
      </c>
    </row>
    <row r="103" spans="1:15" ht="29.25" customHeight="1" x14ac:dyDescent="0.2">
      <c r="A103" s="40" t="s">
        <v>10758</v>
      </c>
      <c r="B103" s="40" t="s">
        <v>10758</v>
      </c>
      <c r="C103" s="41">
        <v>46062</v>
      </c>
      <c r="D103" s="41">
        <v>46136</v>
      </c>
      <c r="E103" s="40" t="s">
        <v>19</v>
      </c>
      <c r="F103" s="40" t="s">
        <v>64</v>
      </c>
      <c r="G103" s="40"/>
      <c r="H103" s="40"/>
      <c r="I103" s="40" t="s">
        <v>49</v>
      </c>
      <c r="J103" s="40">
        <v>8061.31</v>
      </c>
      <c r="K103" s="40">
        <v>8061.31</v>
      </c>
      <c r="L103" s="40"/>
      <c r="M103" s="40">
        <v>8061.31</v>
      </c>
      <c r="N103" s="40" t="s">
        <v>10759</v>
      </c>
      <c r="O103" s="40" t="s">
        <v>234</v>
      </c>
    </row>
    <row r="104" spans="1:15" ht="29.25" customHeight="1" x14ac:dyDescent="0.2">
      <c r="A104" s="40" t="s">
        <v>10760</v>
      </c>
      <c r="B104" s="40" t="s">
        <v>10760</v>
      </c>
      <c r="C104" s="41">
        <v>46062</v>
      </c>
      <c r="D104" s="41">
        <v>46125</v>
      </c>
      <c r="E104" s="40" t="s">
        <v>19</v>
      </c>
      <c r="F104" s="40" t="s">
        <v>64</v>
      </c>
      <c r="G104" s="40"/>
      <c r="H104" s="40"/>
      <c r="I104" s="40" t="s">
        <v>49</v>
      </c>
      <c r="J104" s="40">
        <v>8061.31</v>
      </c>
      <c r="K104" s="40">
        <v>8061.31</v>
      </c>
      <c r="L104" s="40"/>
      <c r="M104" s="40">
        <v>8061.31</v>
      </c>
      <c r="N104" s="40" t="s">
        <v>10761</v>
      </c>
      <c r="O104" s="40" t="s">
        <v>234</v>
      </c>
    </row>
    <row r="105" spans="1:15" ht="29.25" customHeight="1" x14ac:dyDescent="0.2">
      <c r="A105" s="40" t="s">
        <v>10762</v>
      </c>
      <c r="B105" s="40" t="s">
        <v>10762</v>
      </c>
      <c r="C105" s="41">
        <v>46062</v>
      </c>
      <c r="D105" s="41">
        <v>46118</v>
      </c>
      <c r="E105" s="40" t="s">
        <v>19</v>
      </c>
      <c r="F105" s="40" t="s">
        <v>64</v>
      </c>
      <c r="G105" s="40"/>
      <c r="H105" s="40"/>
      <c r="I105" s="40" t="s">
        <v>49</v>
      </c>
      <c r="J105" s="40">
        <v>8061.31</v>
      </c>
      <c r="K105" s="40">
        <v>8061.31</v>
      </c>
      <c r="L105" s="40"/>
      <c r="M105" s="40">
        <v>8061.31</v>
      </c>
      <c r="N105" s="40" t="s">
        <v>10763</v>
      </c>
      <c r="O105" s="40" t="s">
        <v>234</v>
      </c>
    </row>
    <row r="106" spans="1:15" ht="29.25" customHeight="1" x14ac:dyDescent="0.2">
      <c r="A106" s="40" t="s">
        <v>10764</v>
      </c>
      <c r="B106" s="40" t="s">
        <v>10764</v>
      </c>
      <c r="C106" s="41">
        <v>46062</v>
      </c>
      <c r="D106" s="41">
        <v>46119</v>
      </c>
      <c r="E106" s="40" t="s">
        <v>19</v>
      </c>
      <c r="F106" s="40" t="s">
        <v>64</v>
      </c>
      <c r="G106" s="40"/>
      <c r="H106" s="40"/>
      <c r="I106" s="40" t="s">
        <v>49</v>
      </c>
      <c r="J106" s="40">
        <v>2918.38</v>
      </c>
      <c r="K106" s="40">
        <v>2918.38</v>
      </c>
      <c r="L106" s="40"/>
      <c r="M106" s="40">
        <v>2918.38</v>
      </c>
      <c r="N106" s="40" t="s">
        <v>10765</v>
      </c>
      <c r="O106" s="40" t="s">
        <v>234</v>
      </c>
    </row>
    <row r="107" spans="1:15" ht="29.25" customHeight="1" x14ac:dyDescent="0.2">
      <c r="A107" s="40" t="s">
        <v>10766</v>
      </c>
      <c r="B107" s="40" t="s">
        <v>10766</v>
      </c>
      <c r="C107" s="41">
        <v>46062</v>
      </c>
      <c r="D107" s="41">
        <v>46122</v>
      </c>
      <c r="E107" s="40" t="s">
        <v>19</v>
      </c>
      <c r="F107" s="40" t="s">
        <v>1929</v>
      </c>
      <c r="G107" s="40"/>
      <c r="H107" s="40"/>
      <c r="I107" s="40" t="s">
        <v>49</v>
      </c>
      <c r="J107" s="40">
        <v>2135.61</v>
      </c>
      <c r="K107" s="40">
        <v>2135.61</v>
      </c>
      <c r="L107" s="40"/>
      <c r="M107" s="40">
        <v>2135.61</v>
      </c>
      <c r="N107" s="40" t="s">
        <v>10767</v>
      </c>
      <c r="O107" s="40" t="s">
        <v>234</v>
      </c>
    </row>
    <row r="108" spans="1:15" ht="29.25" customHeight="1" x14ac:dyDescent="0.2">
      <c r="A108" s="40" t="s">
        <v>10768</v>
      </c>
      <c r="B108" s="40" t="s">
        <v>10768</v>
      </c>
      <c r="C108" s="41">
        <v>46062</v>
      </c>
      <c r="D108" s="41">
        <v>46111</v>
      </c>
      <c r="E108" s="40" t="s">
        <v>19</v>
      </c>
      <c r="F108" s="40" t="s">
        <v>1929</v>
      </c>
      <c r="G108" s="40"/>
      <c r="H108" s="40"/>
      <c r="I108" s="40" t="s">
        <v>49</v>
      </c>
      <c r="J108" s="40">
        <v>2135.61</v>
      </c>
      <c r="K108" s="40">
        <v>2135.61</v>
      </c>
      <c r="L108" s="40"/>
      <c r="M108" s="40">
        <v>2135.61</v>
      </c>
      <c r="N108" s="40" t="s">
        <v>10769</v>
      </c>
      <c r="O108" s="40" t="s">
        <v>234</v>
      </c>
    </row>
    <row r="109" spans="1:15" ht="29.25" customHeight="1" x14ac:dyDescent="0.2">
      <c r="A109" s="40" t="s">
        <v>10770</v>
      </c>
      <c r="B109" s="40" t="s">
        <v>10770</v>
      </c>
      <c r="C109" s="41">
        <v>46062</v>
      </c>
      <c r="D109" s="41">
        <v>46134</v>
      </c>
      <c r="E109" s="40" t="s">
        <v>19</v>
      </c>
      <c r="F109" s="40" t="s">
        <v>1929</v>
      </c>
      <c r="G109" s="40"/>
      <c r="H109" s="40"/>
      <c r="I109" s="40" t="s">
        <v>49</v>
      </c>
      <c r="J109" s="40">
        <v>2132.69</v>
      </c>
      <c r="K109" s="40">
        <v>2132.69</v>
      </c>
      <c r="L109" s="40"/>
      <c r="M109" s="40">
        <v>2132.69</v>
      </c>
      <c r="N109" s="40" t="s">
        <v>10771</v>
      </c>
      <c r="O109" s="40" t="s">
        <v>234</v>
      </c>
    </row>
    <row r="110" spans="1:15" ht="29.25" customHeight="1" x14ac:dyDescent="0.2">
      <c r="A110" s="40" t="s">
        <v>10772</v>
      </c>
      <c r="B110" s="40" t="s">
        <v>10772</v>
      </c>
      <c r="C110" s="41">
        <v>46062</v>
      </c>
      <c r="D110" s="41">
        <v>46118</v>
      </c>
      <c r="E110" s="40" t="s">
        <v>19</v>
      </c>
      <c r="F110" s="40" t="s">
        <v>1929</v>
      </c>
      <c r="G110" s="40"/>
      <c r="H110" s="40"/>
      <c r="I110" s="40" t="s">
        <v>49</v>
      </c>
      <c r="J110" s="40">
        <v>2132.69</v>
      </c>
      <c r="K110" s="40">
        <v>2132.69</v>
      </c>
      <c r="L110" s="40"/>
      <c r="M110" s="40">
        <v>2132.69</v>
      </c>
      <c r="N110" s="40" t="s">
        <v>10773</v>
      </c>
      <c r="O110" s="40" t="s">
        <v>234</v>
      </c>
    </row>
    <row r="111" spans="1:15" ht="29.25" customHeight="1" x14ac:dyDescent="0.2">
      <c r="A111" s="40" t="s">
        <v>10774</v>
      </c>
      <c r="B111" s="40" t="s">
        <v>10774</v>
      </c>
      <c r="C111" s="41">
        <v>46062</v>
      </c>
      <c r="D111" s="41">
        <v>46111</v>
      </c>
      <c r="E111" s="40" t="s">
        <v>19</v>
      </c>
      <c r="F111" s="40" t="s">
        <v>1929</v>
      </c>
      <c r="G111" s="40"/>
      <c r="H111" s="40"/>
      <c r="I111" s="40" t="s">
        <v>49</v>
      </c>
      <c r="J111" s="40">
        <v>2132.69</v>
      </c>
      <c r="K111" s="40">
        <v>2132.69</v>
      </c>
      <c r="L111" s="40"/>
      <c r="M111" s="40">
        <v>2132.69</v>
      </c>
      <c r="N111" s="40" t="s">
        <v>10775</v>
      </c>
      <c r="O111" s="40" t="s">
        <v>234</v>
      </c>
    </row>
    <row r="112" spans="1:15" ht="29.25" customHeight="1" x14ac:dyDescent="0.2">
      <c r="A112" s="40" t="s">
        <v>10776</v>
      </c>
      <c r="B112" s="40" t="s">
        <v>10776</v>
      </c>
      <c r="C112" s="41">
        <v>46062</v>
      </c>
      <c r="D112" s="41">
        <v>46126</v>
      </c>
      <c r="E112" s="40" t="s">
        <v>19</v>
      </c>
      <c r="F112" s="40" t="s">
        <v>1929</v>
      </c>
      <c r="G112" s="40"/>
      <c r="H112" s="40"/>
      <c r="I112" s="40" t="s">
        <v>49</v>
      </c>
      <c r="J112" s="40">
        <v>1823.41</v>
      </c>
      <c r="K112" s="40">
        <v>1823.41</v>
      </c>
      <c r="L112" s="40"/>
      <c r="M112" s="40">
        <v>1823.41</v>
      </c>
      <c r="N112" s="40" t="s">
        <v>10777</v>
      </c>
      <c r="O112" s="40" t="s">
        <v>234</v>
      </c>
    </row>
    <row r="113" spans="1:15" ht="29.25" customHeight="1" x14ac:dyDescent="0.2">
      <c r="A113" s="40" t="s">
        <v>10778</v>
      </c>
      <c r="B113" s="40" t="s">
        <v>10778</v>
      </c>
      <c r="C113" s="41">
        <v>46062</v>
      </c>
      <c r="D113" s="41">
        <v>46106</v>
      </c>
      <c r="E113" s="40" t="s">
        <v>19</v>
      </c>
      <c r="F113" s="40" t="s">
        <v>1929</v>
      </c>
      <c r="G113" s="40"/>
      <c r="H113" s="40"/>
      <c r="I113" s="40" t="s">
        <v>49</v>
      </c>
      <c r="J113" s="40">
        <v>1823.4</v>
      </c>
      <c r="K113" s="40">
        <v>1823.4</v>
      </c>
      <c r="L113" s="40"/>
      <c r="M113" s="40">
        <v>1823.4</v>
      </c>
      <c r="N113" s="40" t="s">
        <v>10779</v>
      </c>
      <c r="O113" s="40" t="s">
        <v>234</v>
      </c>
    </row>
    <row r="114" spans="1:15" ht="29.25" customHeight="1" x14ac:dyDescent="0.2">
      <c r="A114" s="40" t="s">
        <v>10780</v>
      </c>
      <c r="B114" s="40" t="s">
        <v>10780</v>
      </c>
      <c r="C114" s="41">
        <v>46062</v>
      </c>
      <c r="D114" s="41">
        <v>46119</v>
      </c>
      <c r="E114" s="40" t="s">
        <v>19</v>
      </c>
      <c r="F114" s="40" t="s">
        <v>834</v>
      </c>
      <c r="G114" s="40"/>
      <c r="H114" s="40"/>
      <c r="I114" s="40" t="s">
        <v>49</v>
      </c>
      <c r="J114" s="40">
        <v>2406.85</v>
      </c>
      <c r="K114" s="40">
        <v>2406.85</v>
      </c>
      <c r="L114" s="40"/>
      <c r="M114" s="40">
        <v>2406.85</v>
      </c>
      <c r="N114" s="40" t="s">
        <v>10781</v>
      </c>
      <c r="O114" s="40" t="s">
        <v>234</v>
      </c>
    </row>
    <row r="115" spans="1:15" ht="29.25" customHeight="1" x14ac:dyDescent="0.2">
      <c r="A115" s="40" t="s">
        <v>10782</v>
      </c>
      <c r="B115" s="40" t="s">
        <v>10782</v>
      </c>
      <c r="C115" s="41">
        <v>46064</v>
      </c>
      <c r="D115" s="41">
        <v>46125</v>
      </c>
      <c r="E115" s="40" t="s">
        <v>19</v>
      </c>
      <c r="F115" s="40" t="s">
        <v>104</v>
      </c>
      <c r="G115" s="40"/>
      <c r="H115" s="40"/>
      <c r="I115" s="40" t="s">
        <v>49</v>
      </c>
      <c r="J115" s="40">
        <v>7443.47</v>
      </c>
      <c r="K115" s="40">
        <v>7443.47</v>
      </c>
      <c r="L115" s="40"/>
      <c r="M115" s="40">
        <v>7443.47</v>
      </c>
      <c r="N115" s="40" t="s">
        <v>10783</v>
      </c>
      <c r="O115" s="40" t="s">
        <v>234</v>
      </c>
    </row>
    <row r="116" spans="1:15" ht="29.25" customHeight="1" x14ac:dyDescent="0.2">
      <c r="A116" s="40" t="s">
        <v>10784</v>
      </c>
      <c r="B116" s="40" t="s">
        <v>10784</v>
      </c>
      <c r="C116" s="41">
        <v>46064</v>
      </c>
      <c r="D116" s="41">
        <v>46125</v>
      </c>
      <c r="E116" s="40" t="s">
        <v>19</v>
      </c>
      <c r="F116" s="40" t="s">
        <v>843</v>
      </c>
      <c r="G116" s="40"/>
      <c r="H116" s="40"/>
      <c r="I116" s="40" t="s">
        <v>49</v>
      </c>
      <c r="J116" s="40">
        <v>1891.62</v>
      </c>
      <c r="K116" s="40">
        <v>1891.62</v>
      </c>
      <c r="L116" s="40"/>
      <c r="M116" s="40">
        <v>1891.62</v>
      </c>
      <c r="N116" s="40" t="s">
        <v>10785</v>
      </c>
      <c r="O116" s="40" t="s">
        <v>234</v>
      </c>
    </row>
    <row r="117" spans="1:15" ht="29.25" customHeight="1" x14ac:dyDescent="0.2">
      <c r="A117" s="40" t="s">
        <v>10786</v>
      </c>
      <c r="B117" s="40" t="s">
        <v>10786</v>
      </c>
      <c r="C117" s="41">
        <v>46064</v>
      </c>
      <c r="D117" s="41">
        <v>46113</v>
      </c>
      <c r="E117" s="40" t="s">
        <v>19</v>
      </c>
      <c r="F117" s="40" t="s">
        <v>843</v>
      </c>
      <c r="G117" s="40"/>
      <c r="H117" s="40"/>
      <c r="I117" s="40" t="s">
        <v>49</v>
      </c>
      <c r="J117" s="40">
        <v>1891.62</v>
      </c>
      <c r="K117" s="40">
        <v>1891.62</v>
      </c>
      <c r="L117" s="40"/>
      <c r="M117" s="40">
        <v>1891.62</v>
      </c>
      <c r="N117" s="40" t="s">
        <v>10787</v>
      </c>
      <c r="O117" s="40" t="s">
        <v>234</v>
      </c>
    </row>
    <row r="118" spans="1:15" ht="29.25" customHeight="1" x14ac:dyDescent="0.2">
      <c r="A118" s="40" t="s">
        <v>10788</v>
      </c>
      <c r="B118" s="40" t="s">
        <v>10788</v>
      </c>
      <c r="C118" s="41">
        <v>46064</v>
      </c>
      <c r="D118" s="41">
        <v>46141</v>
      </c>
      <c r="E118" s="40" t="s">
        <v>19</v>
      </c>
      <c r="F118" s="40" t="s">
        <v>843</v>
      </c>
      <c r="G118" s="40"/>
      <c r="H118" s="40"/>
      <c r="I118" s="40" t="s">
        <v>49</v>
      </c>
      <c r="J118" s="40">
        <v>6891.83</v>
      </c>
      <c r="K118" s="40">
        <v>6891.83</v>
      </c>
      <c r="L118" s="40"/>
      <c r="M118" s="40">
        <v>6891.83</v>
      </c>
      <c r="N118" s="40" t="s">
        <v>10789</v>
      </c>
      <c r="O118" s="40" t="s">
        <v>234</v>
      </c>
    </row>
    <row r="119" spans="1:15" ht="29.25" customHeight="1" x14ac:dyDescent="0.2">
      <c r="A119" s="40" t="s">
        <v>10790</v>
      </c>
      <c r="B119" s="40" t="s">
        <v>10790</v>
      </c>
      <c r="C119" s="41">
        <v>46064</v>
      </c>
      <c r="D119" s="41">
        <v>46132</v>
      </c>
      <c r="E119" s="40" t="s">
        <v>19</v>
      </c>
      <c r="F119" s="40" t="s">
        <v>843</v>
      </c>
      <c r="G119" s="40"/>
      <c r="H119" s="40"/>
      <c r="I119" s="40" t="s">
        <v>49</v>
      </c>
      <c r="J119" s="40">
        <v>6891.83</v>
      </c>
      <c r="K119" s="40">
        <v>6891.83</v>
      </c>
      <c r="L119" s="40"/>
      <c r="M119" s="40">
        <v>6891.83</v>
      </c>
      <c r="N119" s="40" t="s">
        <v>10791</v>
      </c>
      <c r="O119" s="40" t="s">
        <v>234</v>
      </c>
    </row>
    <row r="120" spans="1:15" ht="29.25" customHeight="1" x14ac:dyDescent="0.2">
      <c r="A120" s="40" t="s">
        <v>10792</v>
      </c>
      <c r="B120" s="40" t="s">
        <v>10792</v>
      </c>
      <c r="C120" s="41">
        <v>46064</v>
      </c>
      <c r="D120" s="41">
        <v>46125</v>
      </c>
      <c r="E120" s="40" t="s">
        <v>19</v>
      </c>
      <c r="F120" s="40" t="s">
        <v>843</v>
      </c>
      <c r="G120" s="40"/>
      <c r="H120" s="40"/>
      <c r="I120" s="40" t="s">
        <v>49</v>
      </c>
      <c r="J120" s="40">
        <v>6891.83</v>
      </c>
      <c r="K120" s="40">
        <v>6891.83</v>
      </c>
      <c r="L120" s="40"/>
      <c r="M120" s="40">
        <v>6891.83</v>
      </c>
      <c r="N120" s="40" t="s">
        <v>10793</v>
      </c>
      <c r="O120" s="40" t="s">
        <v>234</v>
      </c>
    </row>
    <row r="121" spans="1:15" ht="29.25" customHeight="1" x14ac:dyDescent="0.2">
      <c r="A121" s="40" t="s">
        <v>10794</v>
      </c>
      <c r="B121" s="40" t="s">
        <v>10794</v>
      </c>
      <c r="C121" s="41">
        <v>46064</v>
      </c>
      <c r="D121" s="41">
        <v>46114</v>
      </c>
      <c r="E121" s="40" t="s">
        <v>19</v>
      </c>
      <c r="F121" s="40" t="s">
        <v>843</v>
      </c>
      <c r="G121" s="40"/>
      <c r="H121" s="40"/>
      <c r="I121" s="40" t="s">
        <v>49</v>
      </c>
      <c r="J121" s="40">
        <v>6891.83</v>
      </c>
      <c r="K121" s="40">
        <v>6891.83</v>
      </c>
      <c r="L121" s="40"/>
      <c r="M121" s="40">
        <v>6891.83</v>
      </c>
      <c r="N121" s="40" t="s">
        <v>10795</v>
      </c>
      <c r="O121" s="40" t="s">
        <v>234</v>
      </c>
    </row>
    <row r="122" spans="1:15" ht="29.25" customHeight="1" x14ac:dyDescent="0.2">
      <c r="A122" s="40" t="s">
        <v>10796</v>
      </c>
      <c r="B122" s="40" t="s">
        <v>10796</v>
      </c>
      <c r="C122" s="41">
        <v>46064</v>
      </c>
      <c r="D122" s="41">
        <v>46139</v>
      </c>
      <c r="E122" s="40" t="s">
        <v>19</v>
      </c>
      <c r="F122" s="40" t="s">
        <v>843</v>
      </c>
      <c r="G122" s="40"/>
      <c r="H122" s="40"/>
      <c r="I122" s="40" t="s">
        <v>49</v>
      </c>
      <c r="J122" s="40">
        <v>5311.97</v>
      </c>
      <c r="K122" s="40">
        <v>5311.97</v>
      </c>
      <c r="L122" s="40"/>
      <c r="M122" s="40">
        <v>5311.97</v>
      </c>
      <c r="N122" s="40" t="s">
        <v>10797</v>
      </c>
      <c r="O122" s="40" t="s">
        <v>234</v>
      </c>
    </row>
    <row r="123" spans="1:15" ht="29.25" customHeight="1" x14ac:dyDescent="0.2">
      <c r="A123" s="40" t="s">
        <v>10798</v>
      </c>
      <c r="B123" s="40" t="s">
        <v>10798</v>
      </c>
      <c r="C123" s="41">
        <v>46064</v>
      </c>
      <c r="D123" s="41">
        <v>46121</v>
      </c>
      <c r="E123" s="40" t="s">
        <v>19</v>
      </c>
      <c r="F123" s="40" t="s">
        <v>843</v>
      </c>
      <c r="G123" s="40"/>
      <c r="H123" s="40"/>
      <c r="I123" s="40" t="s">
        <v>49</v>
      </c>
      <c r="J123" s="40">
        <v>5311.97</v>
      </c>
      <c r="K123" s="40">
        <v>5311.97</v>
      </c>
      <c r="L123" s="40"/>
      <c r="M123" s="40">
        <v>5311.97</v>
      </c>
      <c r="N123" s="40" t="s">
        <v>10799</v>
      </c>
      <c r="O123" s="40" t="s">
        <v>234</v>
      </c>
    </row>
    <row r="124" spans="1:15" ht="29.25" customHeight="1" x14ac:dyDescent="0.2">
      <c r="A124" s="40" t="s">
        <v>10800</v>
      </c>
      <c r="B124" s="40" t="s">
        <v>10800</v>
      </c>
      <c r="C124" s="41">
        <v>46064</v>
      </c>
      <c r="D124" s="41">
        <v>46114</v>
      </c>
      <c r="E124" s="40" t="s">
        <v>19</v>
      </c>
      <c r="F124" s="40" t="s">
        <v>843</v>
      </c>
      <c r="G124" s="40"/>
      <c r="H124" s="40"/>
      <c r="I124" s="40" t="s">
        <v>49</v>
      </c>
      <c r="J124" s="40">
        <v>5311.97</v>
      </c>
      <c r="K124" s="40">
        <v>5311.97</v>
      </c>
      <c r="L124" s="40"/>
      <c r="M124" s="40">
        <v>5311.97</v>
      </c>
      <c r="N124" s="40" t="s">
        <v>10801</v>
      </c>
      <c r="O124" s="40" t="s">
        <v>234</v>
      </c>
    </row>
    <row r="125" spans="1:15" ht="29.25" customHeight="1" x14ac:dyDescent="0.2">
      <c r="A125" s="40" t="s">
        <v>10802</v>
      </c>
      <c r="B125" s="40" t="s">
        <v>10802</v>
      </c>
      <c r="C125" s="41">
        <v>46064</v>
      </c>
      <c r="D125" s="41">
        <v>46126</v>
      </c>
      <c r="E125" s="40" t="s">
        <v>19</v>
      </c>
      <c r="F125" s="40" t="s">
        <v>101</v>
      </c>
      <c r="G125" s="40"/>
      <c r="H125" s="40"/>
      <c r="I125" s="40" t="s">
        <v>49</v>
      </c>
      <c r="J125" s="40">
        <v>2623.85</v>
      </c>
      <c r="K125" s="40">
        <v>2623.85</v>
      </c>
      <c r="L125" s="40"/>
      <c r="M125" s="40">
        <v>2623.85</v>
      </c>
      <c r="N125" s="40" t="s">
        <v>10803</v>
      </c>
      <c r="O125" s="40" t="s">
        <v>234</v>
      </c>
    </row>
    <row r="126" spans="1:15" ht="29.25" customHeight="1" x14ac:dyDescent="0.2">
      <c r="A126" s="40" t="s">
        <v>10804</v>
      </c>
      <c r="B126" s="40" t="s">
        <v>10804</v>
      </c>
      <c r="C126" s="41">
        <v>46064</v>
      </c>
      <c r="D126" s="41">
        <v>46118</v>
      </c>
      <c r="E126" s="40" t="s">
        <v>19</v>
      </c>
      <c r="F126" s="40" t="s">
        <v>101</v>
      </c>
      <c r="G126" s="40"/>
      <c r="H126" s="40"/>
      <c r="I126" s="40" t="s">
        <v>49</v>
      </c>
      <c r="J126" s="40">
        <v>2623.85</v>
      </c>
      <c r="K126" s="40">
        <v>2623.85</v>
      </c>
      <c r="L126" s="40"/>
      <c r="M126" s="40">
        <v>2623.85</v>
      </c>
      <c r="N126" s="40" t="s">
        <v>10805</v>
      </c>
      <c r="O126" s="40" t="s">
        <v>234</v>
      </c>
    </row>
    <row r="127" spans="1:15" ht="29.25" customHeight="1" x14ac:dyDescent="0.2">
      <c r="A127" s="40" t="s">
        <v>10806</v>
      </c>
      <c r="B127" s="40" t="s">
        <v>10806</v>
      </c>
      <c r="C127" s="41">
        <v>46071</v>
      </c>
      <c r="D127" s="41">
        <v>46139</v>
      </c>
      <c r="E127" s="40" t="s">
        <v>19</v>
      </c>
      <c r="F127" s="40" t="s">
        <v>843</v>
      </c>
      <c r="G127" s="40"/>
      <c r="H127" s="40"/>
      <c r="I127" s="40" t="s">
        <v>49</v>
      </c>
      <c r="J127" s="40">
        <v>1949.02</v>
      </c>
      <c r="K127" s="40">
        <v>1949.02</v>
      </c>
      <c r="L127" s="40"/>
      <c r="M127" s="40">
        <v>1949.02</v>
      </c>
      <c r="N127" s="40" t="s">
        <v>10807</v>
      </c>
      <c r="O127" s="40" t="s">
        <v>234</v>
      </c>
    </row>
    <row r="128" spans="1:15" ht="29.25" customHeight="1" x14ac:dyDescent="0.2">
      <c r="A128" s="40" t="s">
        <v>10808</v>
      </c>
      <c r="B128" s="40" t="s">
        <v>10808</v>
      </c>
      <c r="C128" s="41">
        <v>46071</v>
      </c>
      <c r="D128" s="41">
        <v>46128</v>
      </c>
      <c r="E128" s="40" t="s">
        <v>19</v>
      </c>
      <c r="F128" s="40" t="s">
        <v>843</v>
      </c>
      <c r="G128" s="40"/>
      <c r="H128" s="40"/>
      <c r="I128" s="40" t="s">
        <v>49</v>
      </c>
      <c r="J128" s="40">
        <v>1949.02</v>
      </c>
      <c r="K128" s="40">
        <v>1949.02</v>
      </c>
      <c r="L128" s="40"/>
      <c r="M128" s="40">
        <v>1949.02</v>
      </c>
      <c r="N128" s="40" t="s">
        <v>10809</v>
      </c>
      <c r="O128" s="40" t="s">
        <v>234</v>
      </c>
    </row>
    <row r="129" spans="1:15" ht="29.25" customHeight="1" x14ac:dyDescent="0.2">
      <c r="A129" s="40" t="s">
        <v>10810</v>
      </c>
      <c r="B129" s="40" t="s">
        <v>10810</v>
      </c>
      <c r="C129" s="41">
        <v>46071</v>
      </c>
      <c r="D129" s="41">
        <v>46118</v>
      </c>
      <c r="E129" s="40" t="s">
        <v>19</v>
      </c>
      <c r="F129" s="40" t="s">
        <v>843</v>
      </c>
      <c r="G129" s="40"/>
      <c r="H129" s="40"/>
      <c r="I129" s="40" t="s">
        <v>49</v>
      </c>
      <c r="J129" s="40">
        <v>1949.02</v>
      </c>
      <c r="K129" s="40">
        <v>1949.02</v>
      </c>
      <c r="L129" s="40"/>
      <c r="M129" s="40">
        <v>1949.02</v>
      </c>
      <c r="N129" s="40" t="s">
        <v>10811</v>
      </c>
      <c r="O129" s="40" t="s">
        <v>234</v>
      </c>
    </row>
    <row r="130" spans="1:15" ht="29.25" customHeight="1" x14ac:dyDescent="0.2">
      <c r="A130" s="40" t="s">
        <v>10812</v>
      </c>
      <c r="B130" s="40" t="s">
        <v>10812</v>
      </c>
      <c r="C130" s="41">
        <v>46071</v>
      </c>
      <c r="D130" s="41">
        <v>46139</v>
      </c>
      <c r="E130" s="40" t="s">
        <v>19</v>
      </c>
      <c r="F130" s="40" t="s">
        <v>843</v>
      </c>
      <c r="G130" s="40"/>
      <c r="H130" s="40"/>
      <c r="I130" s="40" t="s">
        <v>49</v>
      </c>
      <c r="J130" s="40">
        <v>1499.92</v>
      </c>
      <c r="K130" s="40">
        <v>1499.92</v>
      </c>
      <c r="L130" s="40"/>
      <c r="M130" s="40">
        <v>1499.92</v>
      </c>
      <c r="N130" s="40" t="s">
        <v>10813</v>
      </c>
      <c r="O130" s="40" t="s">
        <v>234</v>
      </c>
    </row>
    <row r="131" spans="1:15" ht="29.25" customHeight="1" x14ac:dyDescent="0.2">
      <c r="A131" s="40" t="s">
        <v>10814</v>
      </c>
      <c r="B131" s="40" t="s">
        <v>10814</v>
      </c>
      <c r="C131" s="41">
        <v>46071</v>
      </c>
      <c r="D131" s="41">
        <v>46127</v>
      </c>
      <c r="E131" s="40" t="s">
        <v>19</v>
      </c>
      <c r="F131" s="40" t="s">
        <v>843</v>
      </c>
      <c r="G131" s="40"/>
      <c r="H131" s="40"/>
      <c r="I131" s="40" t="s">
        <v>49</v>
      </c>
      <c r="J131" s="40">
        <v>1499.92</v>
      </c>
      <c r="K131" s="40">
        <v>1499.92</v>
      </c>
      <c r="L131" s="40"/>
      <c r="M131" s="40">
        <v>1499.92</v>
      </c>
      <c r="N131" s="40" t="s">
        <v>10815</v>
      </c>
      <c r="O131" s="40" t="s">
        <v>234</v>
      </c>
    </row>
    <row r="132" spans="1:15" ht="29.25" customHeight="1" x14ac:dyDescent="0.2">
      <c r="A132" s="40" t="s">
        <v>10816</v>
      </c>
      <c r="B132" s="40" t="s">
        <v>10816</v>
      </c>
      <c r="C132" s="41">
        <v>46071</v>
      </c>
      <c r="D132" s="41">
        <v>46118</v>
      </c>
      <c r="E132" s="40" t="s">
        <v>19</v>
      </c>
      <c r="F132" s="40" t="s">
        <v>843</v>
      </c>
      <c r="G132" s="40"/>
      <c r="H132" s="40"/>
      <c r="I132" s="40" t="s">
        <v>49</v>
      </c>
      <c r="J132" s="40">
        <v>1499.92</v>
      </c>
      <c r="K132" s="40">
        <v>1499.92</v>
      </c>
      <c r="L132" s="40"/>
      <c r="M132" s="40">
        <v>1499.92</v>
      </c>
      <c r="N132" s="40" t="s">
        <v>10817</v>
      </c>
      <c r="O132" s="40" t="s">
        <v>234</v>
      </c>
    </row>
    <row r="133" spans="1:15" ht="29.25" customHeight="1" x14ac:dyDescent="0.2">
      <c r="A133" s="40" t="s">
        <v>10818</v>
      </c>
      <c r="B133" s="40" t="s">
        <v>10818</v>
      </c>
      <c r="C133" s="41">
        <v>46071</v>
      </c>
      <c r="D133" s="41">
        <v>46153</v>
      </c>
      <c r="E133" s="40" t="s">
        <v>19</v>
      </c>
      <c r="F133" s="40" t="s">
        <v>843</v>
      </c>
      <c r="G133" s="40"/>
      <c r="H133" s="40"/>
      <c r="I133" s="40" t="s">
        <v>49</v>
      </c>
      <c r="J133" s="40">
        <v>4463.55</v>
      </c>
      <c r="K133" s="40">
        <v>4463.55</v>
      </c>
      <c r="L133" s="40"/>
      <c r="M133" s="40">
        <v>4463.55</v>
      </c>
      <c r="N133" s="40" t="s">
        <v>10819</v>
      </c>
      <c r="O133" s="40" t="s">
        <v>234</v>
      </c>
    </row>
    <row r="134" spans="1:15" ht="29.25" customHeight="1" x14ac:dyDescent="0.2">
      <c r="A134" s="40" t="s">
        <v>10820</v>
      </c>
      <c r="B134" s="40" t="s">
        <v>10820</v>
      </c>
      <c r="C134" s="41">
        <v>46071</v>
      </c>
      <c r="D134" s="41">
        <v>46135</v>
      </c>
      <c r="E134" s="40" t="s">
        <v>19</v>
      </c>
      <c r="F134" s="40" t="s">
        <v>843</v>
      </c>
      <c r="G134" s="40"/>
      <c r="H134" s="40"/>
      <c r="I134" s="40" t="s">
        <v>49</v>
      </c>
      <c r="J134" s="40">
        <v>4463.55</v>
      </c>
      <c r="K134" s="40">
        <v>4463.55</v>
      </c>
      <c r="L134" s="40"/>
      <c r="M134" s="40">
        <v>4463.55</v>
      </c>
      <c r="N134" s="40" t="s">
        <v>10821</v>
      </c>
      <c r="O134" s="40" t="s">
        <v>234</v>
      </c>
    </row>
    <row r="135" spans="1:15" ht="29.25" customHeight="1" x14ac:dyDescent="0.2">
      <c r="A135" s="40" t="s">
        <v>10822</v>
      </c>
      <c r="B135" s="40" t="s">
        <v>10822</v>
      </c>
      <c r="C135" s="41">
        <v>46071</v>
      </c>
      <c r="D135" s="41">
        <v>46128</v>
      </c>
      <c r="E135" s="40" t="s">
        <v>19</v>
      </c>
      <c r="F135" s="40" t="s">
        <v>843</v>
      </c>
      <c r="G135" s="40"/>
      <c r="H135" s="40"/>
      <c r="I135" s="40" t="s">
        <v>49</v>
      </c>
      <c r="J135" s="40">
        <v>4463.55</v>
      </c>
      <c r="K135" s="40">
        <v>4463.55</v>
      </c>
      <c r="L135" s="40"/>
      <c r="M135" s="40">
        <v>4463.55</v>
      </c>
      <c r="N135" s="40" t="s">
        <v>10823</v>
      </c>
      <c r="O135" s="40" t="s">
        <v>234</v>
      </c>
    </row>
    <row r="136" spans="1:15" ht="29.25" customHeight="1" x14ac:dyDescent="0.2">
      <c r="A136" s="40" t="s">
        <v>10824</v>
      </c>
      <c r="B136" s="40" t="s">
        <v>10824</v>
      </c>
      <c r="C136" s="41">
        <v>46071</v>
      </c>
      <c r="D136" s="41">
        <v>46121</v>
      </c>
      <c r="E136" s="40" t="s">
        <v>19</v>
      </c>
      <c r="F136" s="40" t="s">
        <v>843</v>
      </c>
      <c r="G136" s="40"/>
      <c r="H136" s="40"/>
      <c r="I136" s="40" t="s">
        <v>49</v>
      </c>
      <c r="J136" s="40">
        <v>4463.55</v>
      </c>
      <c r="K136" s="40">
        <v>4463.55</v>
      </c>
      <c r="L136" s="40"/>
      <c r="M136" s="40">
        <v>4463.55</v>
      </c>
      <c r="N136" s="40" t="s">
        <v>10825</v>
      </c>
      <c r="O136" s="40" t="s">
        <v>234</v>
      </c>
    </row>
    <row r="137" spans="1:15" ht="29.25" customHeight="1" x14ac:dyDescent="0.2">
      <c r="A137" s="40" t="s">
        <v>10826</v>
      </c>
      <c r="B137" s="40" t="s">
        <v>10826</v>
      </c>
      <c r="C137" s="41">
        <v>46071</v>
      </c>
      <c r="D137" s="41">
        <v>46114</v>
      </c>
      <c r="E137" s="40" t="s">
        <v>19</v>
      </c>
      <c r="F137" s="40" t="s">
        <v>843</v>
      </c>
      <c r="G137" s="40"/>
      <c r="H137" s="40"/>
      <c r="I137" s="40" t="s">
        <v>49</v>
      </c>
      <c r="J137" s="40">
        <v>4463.55</v>
      </c>
      <c r="K137" s="40">
        <v>4463.55</v>
      </c>
      <c r="L137" s="40"/>
      <c r="M137" s="40">
        <v>4463.55</v>
      </c>
      <c r="N137" s="40" t="s">
        <v>10827</v>
      </c>
      <c r="O137" s="40" t="s">
        <v>234</v>
      </c>
    </row>
    <row r="138" spans="1:15" ht="29.25" customHeight="1" x14ac:dyDescent="0.2">
      <c r="A138" s="40" t="s">
        <v>10828</v>
      </c>
      <c r="B138" s="40" t="s">
        <v>10828</v>
      </c>
      <c r="C138" s="41">
        <v>46071</v>
      </c>
      <c r="D138" s="41">
        <v>46118</v>
      </c>
      <c r="E138" s="40" t="s">
        <v>19</v>
      </c>
      <c r="F138" s="40" t="s">
        <v>843</v>
      </c>
      <c r="G138" s="40"/>
      <c r="H138" s="40"/>
      <c r="I138" s="40" t="s">
        <v>49</v>
      </c>
      <c r="J138" s="40">
        <v>1208.32</v>
      </c>
      <c r="K138" s="40">
        <v>1208.32</v>
      </c>
      <c r="L138" s="40"/>
      <c r="M138" s="40">
        <v>1208.32</v>
      </c>
      <c r="N138" s="40" t="s">
        <v>10829</v>
      </c>
      <c r="O138" s="40" t="s">
        <v>234</v>
      </c>
    </row>
    <row r="139" spans="1:15" ht="29.25" customHeight="1" x14ac:dyDescent="0.2">
      <c r="A139" s="40" t="s">
        <v>10830</v>
      </c>
      <c r="B139" s="40" t="s">
        <v>10830</v>
      </c>
      <c r="C139" s="41">
        <v>46071</v>
      </c>
      <c r="D139" s="41">
        <v>46146</v>
      </c>
      <c r="E139" s="40" t="s">
        <v>19</v>
      </c>
      <c r="F139" s="40" t="s">
        <v>843</v>
      </c>
      <c r="G139" s="40"/>
      <c r="H139" s="40"/>
      <c r="I139" s="40" t="s">
        <v>49</v>
      </c>
      <c r="J139" s="40">
        <v>7647.55</v>
      </c>
      <c r="K139" s="40">
        <v>7647.55</v>
      </c>
      <c r="L139" s="40"/>
      <c r="M139" s="40">
        <v>7647.55</v>
      </c>
      <c r="N139" s="40" t="s">
        <v>10831</v>
      </c>
      <c r="O139" s="40" t="s">
        <v>234</v>
      </c>
    </row>
    <row r="140" spans="1:15" ht="29.25" customHeight="1" x14ac:dyDescent="0.2">
      <c r="A140" s="40" t="s">
        <v>10832</v>
      </c>
      <c r="B140" s="40" t="s">
        <v>10832</v>
      </c>
      <c r="C140" s="41">
        <v>46071</v>
      </c>
      <c r="D140" s="41">
        <v>46136</v>
      </c>
      <c r="E140" s="40" t="s">
        <v>19</v>
      </c>
      <c r="F140" s="40" t="s">
        <v>843</v>
      </c>
      <c r="G140" s="40"/>
      <c r="H140" s="40"/>
      <c r="I140" s="40" t="s">
        <v>49</v>
      </c>
      <c r="J140" s="40">
        <v>7647.55</v>
      </c>
      <c r="K140" s="40">
        <v>7647.55</v>
      </c>
      <c r="L140" s="40"/>
      <c r="M140" s="40">
        <v>7647.55</v>
      </c>
      <c r="N140" s="40" t="s">
        <v>10833</v>
      </c>
      <c r="O140" s="40" t="s">
        <v>234</v>
      </c>
    </row>
    <row r="141" spans="1:15" ht="29.25" customHeight="1" x14ac:dyDescent="0.2">
      <c r="A141" s="40" t="s">
        <v>10834</v>
      </c>
      <c r="B141" s="40" t="s">
        <v>10834</v>
      </c>
      <c r="C141" s="41">
        <v>46071</v>
      </c>
      <c r="D141" s="41">
        <v>46129</v>
      </c>
      <c r="E141" s="40" t="s">
        <v>19</v>
      </c>
      <c r="F141" s="40" t="s">
        <v>843</v>
      </c>
      <c r="G141" s="40"/>
      <c r="H141" s="40"/>
      <c r="I141" s="40" t="s">
        <v>49</v>
      </c>
      <c r="J141" s="40">
        <v>7647.55</v>
      </c>
      <c r="K141" s="40">
        <v>7647.55</v>
      </c>
      <c r="L141" s="40"/>
      <c r="M141" s="40">
        <v>7647.55</v>
      </c>
      <c r="N141" s="40" t="s">
        <v>10835</v>
      </c>
      <c r="O141" s="40" t="s">
        <v>234</v>
      </c>
    </row>
    <row r="142" spans="1:15" ht="29.25" customHeight="1" x14ac:dyDescent="0.2">
      <c r="A142" s="40" t="s">
        <v>10836</v>
      </c>
      <c r="B142" s="40" t="s">
        <v>10836</v>
      </c>
      <c r="C142" s="41">
        <v>46071</v>
      </c>
      <c r="D142" s="41">
        <v>46122</v>
      </c>
      <c r="E142" s="40" t="s">
        <v>19</v>
      </c>
      <c r="F142" s="40" t="s">
        <v>843</v>
      </c>
      <c r="G142" s="40"/>
      <c r="H142" s="40"/>
      <c r="I142" s="40" t="s">
        <v>49</v>
      </c>
      <c r="J142" s="40">
        <v>7647.55</v>
      </c>
      <c r="K142" s="40">
        <v>7647.55</v>
      </c>
      <c r="L142" s="40"/>
      <c r="M142" s="40">
        <v>7647.55</v>
      </c>
      <c r="N142" s="40" t="s">
        <v>10837</v>
      </c>
      <c r="O142" s="40" t="s">
        <v>234</v>
      </c>
    </row>
    <row r="143" spans="1:15" ht="29.25" customHeight="1" x14ac:dyDescent="0.2">
      <c r="A143" s="40" t="s">
        <v>10838</v>
      </c>
      <c r="B143" s="40" t="s">
        <v>10838</v>
      </c>
      <c r="C143" s="41">
        <v>46071</v>
      </c>
      <c r="D143" s="41">
        <v>46115</v>
      </c>
      <c r="E143" s="40" t="s">
        <v>19</v>
      </c>
      <c r="F143" s="40" t="s">
        <v>843</v>
      </c>
      <c r="G143" s="40"/>
      <c r="H143" s="40"/>
      <c r="I143" s="40" t="s">
        <v>49</v>
      </c>
      <c r="J143" s="40">
        <v>7647.55</v>
      </c>
      <c r="K143" s="40">
        <v>7647.55</v>
      </c>
      <c r="L143" s="40"/>
      <c r="M143" s="40">
        <v>7647.55</v>
      </c>
      <c r="N143" s="40" t="s">
        <v>10839</v>
      </c>
      <c r="O143" s="40" t="s">
        <v>234</v>
      </c>
    </row>
    <row r="144" spans="1:15" ht="29.25" customHeight="1" x14ac:dyDescent="0.2">
      <c r="A144" s="40" t="s">
        <v>10840</v>
      </c>
      <c r="B144" s="40" t="s">
        <v>10840</v>
      </c>
      <c r="C144" s="41">
        <v>46071</v>
      </c>
      <c r="D144" s="41">
        <v>46146</v>
      </c>
      <c r="E144" s="40" t="s">
        <v>19</v>
      </c>
      <c r="F144" s="40" t="s">
        <v>834</v>
      </c>
      <c r="G144" s="40"/>
      <c r="H144" s="40"/>
      <c r="I144" s="40" t="s">
        <v>49</v>
      </c>
      <c r="J144" s="40">
        <v>2725.78</v>
      </c>
      <c r="K144" s="40">
        <v>2725.78</v>
      </c>
      <c r="L144" s="40"/>
      <c r="M144" s="40">
        <v>2725.78</v>
      </c>
      <c r="N144" s="40" t="s">
        <v>10841</v>
      </c>
      <c r="O144" s="40" t="s">
        <v>234</v>
      </c>
    </row>
    <row r="145" spans="1:15" ht="29.25" customHeight="1" x14ac:dyDescent="0.2">
      <c r="A145" s="40" t="s">
        <v>10842</v>
      </c>
      <c r="B145" s="40" t="s">
        <v>10842</v>
      </c>
      <c r="C145" s="41">
        <v>46071</v>
      </c>
      <c r="D145" s="41">
        <v>46132</v>
      </c>
      <c r="E145" s="40" t="s">
        <v>19</v>
      </c>
      <c r="F145" s="40" t="s">
        <v>834</v>
      </c>
      <c r="G145" s="40"/>
      <c r="H145" s="40"/>
      <c r="I145" s="40" t="s">
        <v>49</v>
      </c>
      <c r="J145" s="40">
        <v>2725.78</v>
      </c>
      <c r="K145" s="40">
        <v>2725.78</v>
      </c>
      <c r="L145" s="40"/>
      <c r="M145" s="40">
        <v>2725.78</v>
      </c>
      <c r="N145" s="40" t="s">
        <v>10843</v>
      </c>
      <c r="O145" s="40" t="s">
        <v>234</v>
      </c>
    </row>
    <row r="146" spans="1:15" ht="29.25" customHeight="1" x14ac:dyDescent="0.2">
      <c r="A146" s="40" t="s">
        <v>10844</v>
      </c>
      <c r="B146" s="40" t="s">
        <v>10844</v>
      </c>
      <c r="C146" s="41">
        <v>46071</v>
      </c>
      <c r="D146" s="41">
        <v>46125</v>
      </c>
      <c r="E146" s="40" t="s">
        <v>19</v>
      </c>
      <c r="F146" s="40" t="s">
        <v>834</v>
      </c>
      <c r="G146" s="40"/>
      <c r="H146" s="40"/>
      <c r="I146" s="40" t="s">
        <v>49</v>
      </c>
      <c r="J146" s="40">
        <v>2725.78</v>
      </c>
      <c r="K146" s="40">
        <v>2725.78</v>
      </c>
      <c r="L146" s="40"/>
      <c r="M146" s="40">
        <v>2725.78</v>
      </c>
      <c r="N146" s="40" t="s">
        <v>10845</v>
      </c>
      <c r="O146" s="40" t="s">
        <v>234</v>
      </c>
    </row>
    <row r="147" spans="1:15" ht="29.25" customHeight="1" x14ac:dyDescent="0.2">
      <c r="A147" s="40" t="s">
        <v>10846</v>
      </c>
      <c r="B147" s="40" t="s">
        <v>10846</v>
      </c>
      <c r="C147" s="41">
        <v>46071</v>
      </c>
      <c r="D147" s="41">
        <v>46118</v>
      </c>
      <c r="E147" s="40" t="s">
        <v>19</v>
      </c>
      <c r="F147" s="40" t="s">
        <v>834</v>
      </c>
      <c r="G147" s="40"/>
      <c r="H147" s="40"/>
      <c r="I147" s="40" t="s">
        <v>49</v>
      </c>
      <c r="J147" s="40">
        <v>2725.78</v>
      </c>
      <c r="K147" s="40">
        <v>2725.78</v>
      </c>
      <c r="L147" s="40"/>
      <c r="M147" s="40">
        <v>2725.78</v>
      </c>
      <c r="N147" s="40" t="s">
        <v>10847</v>
      </c>
      <c r="O147" s="40" t="s">
        <v>234</v>
      </c>
    </row>
    <row r="148" spans="1:15" ht="29.25" customHeight="1" x14ac:dyDescent="0.2">
      <c r="A148" s="40" t="s">
        <v>10848</v>
      </c>
      <c r="B148" s="40" t="s">
        <v>10848</v>
      </c>
      <c r="C148" s="41">
        <v>46071</v>
      </c>
      <c r="D148" s="41">
        <v>46132</v>
      </c>
      <c r="E148" s="40" t="s">
        <v>19</v>
      </c>
      <c r="F148" s="40" t="s">
        <v>834</v>
      </c>
      <c r="G148" s="40"/>
      <c r="H148" s="40"/>
      <c r="I148" s="40" t="s">
        <v>49</v>
      </c>
      <c r="J148" s="40">
        <v>2187</v>
      </c>
      <c r="K148" s="40">
        <v>2187</v>
      </c>
      <c r="L148" s="40"/>
      <c r="M148" s="40">
        <v>2187</v>
      </c>
      <c r="N148" s="40" t="s">
        <v>10849</v>
      </c>
      <c r="O148" s="40" t="s">
        <v>234</v>
      </c>
    </row>
    <row r="149" spans="1:15" ht="29.25" customHeight="1" x14ac:dyDescent="0.2">
      <c r="A149" s="40" t="s">
        <v>10850</v>
      </c>
      <c r="B149" s="40" t="s">
        <v>10850</v>
      </c>
      <c r="C149" s="41">
        <v>46071</v>
      </c>
      <c r="D149" s="41">
        <v>46120</v>
      </c>
      <c r="E149" s="40" t="s">
        <v>19</v>
      </c>
      <c r="F149" s="40" t="s">
        <v>834</v>
      </c>
      <c r="G149" s="40"/>
      <c r="H149" s="40"/>
      <c r="I149" s="40" t="s">
        <v>49</v>
      </c>
      <c r="J149" s="40">
        <v>2187</v>
      </c>
      <c r="K149" s="40">
        <v>2187</v>
      </c>
      <c r="L149" s="40"/>
      <c r="M149" s="40">
        <v>2187</v>
      </c>
      <c r="N149" s="40" t="s">
        <v>10851</v>
      </c>
      <c r="O149" s="40" t="s">
        <v>234</v>
      </c>
    </row>
    <row r="150" spans="1:15" ht="29.25" customHeight="1" x14ac:dyDescent="0.2">
      <c r="A150" s="40" t="s">
        <v>10852</v>
      </c>
      <c r="B150" s="40" t="s">
        <v>10852</v>
      </c>
      <c r="C150" s="41">
        <v>46071</v>
      </c>
      <c r="D150" s="41">
        <v>46142</v>
      </c>
      <c r="E150" s="40" t="s">
        <v>19</v>
      </c>
      <c r="F150" s="40" t="s">
        <v>834</v>
      </c>
      <c r="G150" s="40"/>
      <c r="H150" s="40"/>
      <c r="I150" s="40" t="s">
        <v>49</v>
      </c>
      <c r="J150" s="40">
        <v>8223.2800000000007</v>
      </c>
      <c r="K150" s="40">
        <v>8223.2800000000007</v>
      </c>
      <c r="L150" s="40"/>
      <c r="M150" s="40">
        <v>8223.2800000000007</v>
      </c>
      <c r="N150" s="40" t="s">
        <v>10853</v>
      </c>
      <c r="O150" s="40" t="s">
        <v>234</v>
      </c>
    </row>
    <row r="151" spans="1:15" ht="29.25" customHeight="1" x14ac:dyDescent="0.2">
      <c r="A151" s="40" t="s">
        <v>10854</v>
      </c>
      <c r="B151" s="40" t="s">
        <v>10854</v>
      </c>
      <c r="C151" s="41">
        <v>46071</v>
      </c>
      <c r="D151" s="41">
        <v>46133</v>
      </c>
      <c r="E151" s="40" t="s">
        <v>19</v>
      </c>
      <c r="F151" s="40" t="s">
        <v>834</v>
      </c>
      <c r="G151" s="40"/>
      <c r="H151" s="40"/>
      <c r="I151" s="40" t="s">
        <v>49</v>
      </c>
      <c r="J151" s="40">
        <v>8223.2800000000007</v>
      </c>
      <c r="K151" s="40">
        <v>8223.2800000000007</v>
      </c>
      <c r="L151" s="40"/>
      <c r="M151" s="40">
        <v>8223.2800000000007</v>
      </c>
      <c r="N151" s="40" t="s">
        <v>10855</v>
      </c>
      <c r="O151" s="40" t="s">
        <v>234</v>
      </c>
    </row>
    <row r="152" spans="1:15" ht="29.25" customHeight="1" x14ac:dyDescent="0.2">
      <c r="A152" s="40" t="s">
        <v>10856</v>
      </c>
      <c r="B152" s="40" t="s">
        <v>10856</v>
      </c>
      <c r="C152" s="41">
        <v>46071</v>
      </c>
      <c r="D152" s="41">
        <v>46125</v>
      </c>
      <c r="E152" s="40" t="s">
        <v>19</v>
      </c>
      <c r="F152" s="40" t="s">
        <v>834</v>
      </c>
      <c r="G152" s="40"/>
      <c r="H152" s="40"/>
      <c r="I152" s="40" t="s">
        <v>49</v>
      </c>
      <c r="J152" s="40">
        <v>8223.2800000000007</v>
      </c>
      <c r="K152" s="40">
        <v>8223.2800000000007</v>
      </c>
      <c r="L152" s="40"/>
      <c r="M152" s="40">
        <v>8223.2800000000007</v>
      </c>
      <c r="N152" s="40" t="s">
        <v>10857</v>
      </c>
      <c r="O152" s="40" t="s">
        <v>234</v>
      </c>
    </row>
    <row r="153" spans="1:15" ht="29.25" customHeight="1" x14ac:dyDescent="0.2">
      <c r="A153" s="40" t="s">
        <v>10858</v>
      </c>
      <c r="B153" s="40" t="s">
        <v>10858</v>
      </c>
      <c r="C153" s="41">
        <v>46071</v>
      </c>
      <c r="D153" s="41">
        <v>46115</v>
      </c>
      <c r="E153" s="40" t="s">
        <v>19</v>
      </c>
      <c r="F153" s="40" t="s">
        <v>834</v>
      </c>
      <c r="G153" s="40"/>
      <c r="H153" s="40"/>
      <c r="I153" s="40" t="s">
        <v>49</v>
      </c>
      <c r="J153" s="40">
        <v>8223.2800000000007</v>
      </c>
      <c r="K153" s="40">
        <v>8223.2800000000007</v>
      </c>
      <c r="L153" s="40"/>
      <c r="M153" s="40">
        <v>8223.2800000000007</v>
      </c>
      <c r="N153" s="40" t="s">
        <v>10859</v>
      </c>
      <c r="O153" s="40" t="s">
        <v>234</v>
      </c>
    </row>
    <row r="154" spans="1:15" ht="29.25" customHeight="1" x14ac:dyDescent="0.2">
      <c r="A154" s="40" t="s">
        <v>10860</v>
      </c>
      <c r="B154" s="40" t="s">
        <v>10860</v>
      </c>
      <c r="C154" s="41">
        <v>46071</v>
      </c>
      <c r="D154" s="41">
        <v>46142</v>
      </c>
      <c r="E154" s="40" t="s">
        <v>19</v>
      </c>
      <c r="F154" s="40" t="s">
        <v>834</v>
      </c>
      <c r="G154" s="40"/>
      <c r="H154" s="40"/>
      <c r="I154" s="40" t="s">
        <v>49</v>
      </c>
      <c r="J154" s="40">
        <v>5035.42</v>
      </c>
      <c r="K154" s="40">
        <v>5035.42</v>
      </c>
      <c r="L154" s="40"/>
      <c r="M154" s="40">
        <v>5035.42</v>
      </c>
      <c r="N154" s="40" t="s">
        <v>10861</v>
      </c>
      <c r="O154" s="40" t="s">
        <v>234</v>
      </c>
    </row>
    <row r="155" spans="1:15" ht="29.25" customHeight="1" x14ac:dyDescent="0.2">
      <c r="A155" s="40" t="s">
        <v>10862</v>
      </c>
      <c r="B155" s="40" t="s">
        <v>10862</v>
      </c>
      <c r="C155" s="41">
        <v>46071</v>
      </c>
      <c r="D155" s="41">
        <v>46125</v>
      </c>
      <c r="E155" s="40" t="s">
        <v>19</v>
      </c>
      <c r="F155" s="40" t="s">
        <v>834</v>
      </c>
      <c r="G155" s="40"/>
      <c r="H155" s="40"/>
      <c r="I155" s="40" t="s">
        <v>49</v>
      </c>
      <c r="J155" s="40">
        <v>5035.42</v>
      </c>
      <c r="K155" s="40">
        <v>5035.42</v>
      </c>
      <c r="L155" s="40"/>
      <c r="M155" s="40">
        <v>5035.42</v>
      </c>
      <c r="N155" s="40" t="s">
        <v>10863</v>
      </c>
      <c r="O155" s="40" t="s">
        <v>234</v>
      </c>
    </row>
    <row r="156" spans="1:15" ht="29.25" customHeight="1" x14ac:dyDescent="0.2">
      <c r="A156" s="40" t="s">
        <v>10864</v>
      </c>
      <c r="B156" s="40" t="s">
        <v>10864</v>
      </c>
      <c r="C156" s="41">
        <v>46071</v>
      </c>
      <c r="D156" s="41">
        <v>46118</v>
      </c>
      <c r="E156" s="40" t="s">
        <v>19</v>
      </c>
      <c r="F156" s="40" t="s">
        <v>834</v>
      </c>
      <c r="G156" s="40"/>
      <c r="H156" s="40"/>
      <c r="I156" s="40" t="s">
        <v>49</v>
      </c>
      <c r="J156" s="40">
        <v>5035.42</v>
      </c>
      <c r="K156" s="40">
        <v>5035.42</v>
      </c>
      <c r="L156" s="40"/>
      <c r="M156" s="40">
        <v>5035.42</v>
      </c>
      <c r="N156" s="40" t="s">
        <v>10865</v>
      </c>
      <c r="O156" s="40" t="s">
        <v>234</v>
      </c>
    </row>
    <row r="157" spans="1:15" ht="29.25" customHeight="1" x14ac:dyDescent="0.2">
      <c r="A157" s="40" t="s">
        <v>10866</v>
      </c>
      <c r="B157" s="40" t="s">
        <v>10866</v>
      </c>
      <c r="C157" s="41">
        <v>46071</v>
      </c>
      <c r="D157" s="41">
        <v>46120</v>
      </c>
      <c r="E157" s="40" t="s">
        <v>19</v>
      </c>
      <c r="F157" s="40" t="s">
        <v>64</v>
      </c>
      <c r="G157" s="40"/>
      <c r="H157" s="40"/>
      <c r="I157" s="40" t="s">
        <v>49</v>
      </c>
      <c r="J157" s="40">
        <v>4134.4799999999996</v>
      </c>
      <c r="K157" s="40">
        <v>4134.4799999999996</v>
      </c>
      <c r="L157" s="40"/>
      <c r="M157" s="40">
        <v>4134.4799999999996</v>
      </c>
      <c r="N157" s="40" t="s">
        <v>10867</v>
      </c>
      <c r="O157" s="40" t="s">
        <v>234</v>
      </c>
    </row>
    <row r="158" spans="1:15" ht="29.25" customHeight="1" x14ac:dyDescent="0.2">
      <c r="A158" s="40" t="s">
        <v>10868</v>
      </c>
      <c r="B158" s="40" t="s">
        <v>10868</v>
      </c>
      <c r="C158" s="41">
        <v>46071</v>
      </c>
      <c r="D158" s="41">
        <v>46141</v>
      </c>
      <c r="E158" s="40" t="s">
        <v>19</v>
      </c>
      <c r="F158" s="40" t="s">
        <v>64</v>
      </c>
      <c r="G158" s="40"/>
      <c r="H158" s="40"/>
      <c r="I158" s="40" t="s">
        <v>49</v>
      </c>
      <c r="J158" s="40">
        <v>13097.25</v>
      </c>
      <c r="K158" s="40">
        <v>13097.25</v>
      </c>
      <c r="L158" s="40"/>
      <c r="M158" s="40">
        <v>13097.25</v>
      </c>
      <c r="N158" s="40" t="s">
        <v>10869</v>
      </c>
      <c r="O158" s="40" t="s">
        <v>234</v>
      </c>
    </row>
    <row r="159" spans="1:15" ht="29.25" customHeight="1" x14ac:dyDescent="0.2">
      <c r="A159" s="40" t="s">
        <v>10870</v>
      </c>
      <c r="B159" s="40" t="s">
        <v>10870</v>
      </c>
      <c r="C159" s="41">
        <v>46071</v>
      </c>
      <c r="D159" s="41">
        <v>46132</v>
      </c>
      <c r="E159" s="40" t="s">
        <v>19</v>
      </c>
      <c r="F159" s="40" t="s">
        <v>64</v>
      </c>
      <c r="G159" s="40"/>
      <c r="H159" s="40"/>
      <c r="I159" s="40" t="s">
        <v>49</v>
      </c>
      <c r="J159" s="40">
        <v>13097.25</v>
      </c>
      <c r="K159" s="40">
        <v>13097.25</v>
      </c>
      <c r="L159" s="40"/>
      <c r="M159" s="40">
        <v>13097.25</v>
      </c>
      <c r="N159" s="40" t="s">
        <v>10871</v>
      </c>
      <c r="O159" s="40" t="s">
        <v>234</v>
      </c>
    </row>
    <row r="160" spans="1:15" ht="29.25" customHeight="1" x14ac:dyDescent="0.2">
      <c r="A160" s="40" t="s">
        <v>10872</v>
      </c>
      <c r="B160" s="40" t="s">
        <v>10872</v>
      </c>
      <c r="C160" s="41">
        <v>46071</v>
      </c>
      <c r="D160" s="41">
        <v>46125</v>
      </c>
      <c r="E160" s="40" t="s">
        <v>19</v>
      </c>
      <c r="F160" s="40" t="s">
        <v>64</v>
      </c>
      <c r="G160" s="40"/>
      <c r="H160" s="40"/>
      <c r="I160" s="40" t="s">
        <v>49</v>
      </c>
      <c r="J160" s="40">
        <v>13097.25</v>
      </c>
      <c r="K160" s="40">
        <v>13097.25</v>
      </c>
      <c r="L160" s="40"/>
      <c r="M160" s="40">
        <v>13097.25</v>
      </c>
      <c r="N160" s="40" t="s">
        <v>10873</v>
      </c>
      <c r="O160" s="40" t="s">
        <v>234</v>
      </c>
    </row>
    <row r="161" spans="1:15" ht="29.25" customHeight="1" x14ac:dyDescent="0.2">
      <c r="A161" s="40" t="s">
        <v>10874</v>
      </c>
      <c r="B161" s="40" t="s">
        <v>10874</v>
      </c>
      <c r="C161" s="41">
        <v>46071</v>
      </c>
      <c r="D161" s="41">
        <v>46118</v>
      </c>
      <c r="E161" s="40" t="s">
        <v>19</v>
      </c>
      <c r="F161" s="40" t="s">
        <v>64</v>
      </c>
      <c r="G161" s="40"/>
      <c r="H161" s="40"/>
      <c r="I161" s="40" t="s">
        <v>49</v>
      </c>
      <c r="J161" s="40">
        <v>13097.25</v>
      </c>
      <c r="K161" s="40">
        <v>13097.25</v>
      </c>
      <c r="L161" s="40"/>
      <c r="M161" s="40">
        <v>13097.25</v>
      </c>
      <c r="N161" s="40" t="s">
        <v>10875</v>
      </c>
      <c r="O161" s="40" t="s">
        <v>234</v>
      </c>
    </row>
    <row r="162" spans="1:15" ht="29.25" customHeight="1" x14ac:dyDescent="0.2">
      <c r="A162" s="40" t="s">
        <v>10876</v>
      </c>
      <c r="B162" s="40" t="s">
        <v>10876</v>
      </c>
      <c r="C162" s="41">
        <v>46071</v>
      </c>
      <c r="D162" s="41">
        <v>46141</v>
      </c>
      <c r="E162" s="40" t="s">
        <v>19</v>
      </c>
      <c r="F162" s="40" t="s">
        <v>64</v>
      </c>
      <c r="G162" s="40"/>
      <c r="H162" s="40"/>
      <c r="I162" s="40" t="s">
        <v>49</v>
      </c>
      <c r="J162" s="40">
        <v>42264.77</v>
      </c>
      <c r="K162" s="40">
        <v>42264.77</v>
      </c>
      <c r="L162" s="40"/>
      <c r="M162" s="40">
        <v>42264.77</v>
      </c>
      <c r="N162" s="40" t="s">
        <v>10877</v>
      </c>
      <c r="O162" s="40" t="s">
        <v>234</v>
      </c>
    </row>
    <row r="163" spans="1:15" ht="29.25" customHeight="1" x14ac:dyDescent="0.2">
      <c r="A163" s="40" t="s">
        <v>10878</v>
      </c>
      <c r="B163" s="40" t="s">
        <v>10878</v>
      </c>
      <c r="C163" s="41">
        <v>46071</v>
      </c>
      <c r="D163" s="41">
        <v>46134</v>
      </c>
      <c r="E163" s="40" t="s">
        <v>19</v>
      </c>
      <c r="F163" s="40" t="s">
        <v>1920</v>
      </c>
      <c r="G163" s="40"/>
      <c r="H163" s="40"/>
      <c r="I163" s="40" t="s">
        <v>49</v>
      </c>
      <c r="J163" s="40">
        <v>2094.6</v>
      </c>
      <c r="K163" s="40">
        <v>2094.6</v>
      </c>
      <c r="L163" s="40"/>
      <c r="M163" s="40">
        <v>2094.6</v>
      </c>
      <c r="N163" s="40" t="s">
        <v>10879</v>
      </c>
      <c r="O163" s="40" t="s">
        <v>234</v>
      </c>
    </row>
    <row r="164" spans="1:15" ht="29.25" customHeight="1" x14ac:dyDescent="0.2">
      <c r="A164" s="40" t="s">
        <v>10880</v>
      </c>
      <c r="B164" s="40" t="s">
        <v>10880</v>
      </c>
      <c r="C164" s="41">
        <v>46071</v>
      </c>
      <c r="D164" s="41">
        <v>46125</v>
      </c>
      <c r="E164" s="40" t="s">
        <v>19</v>
      </c>
      <c r="F164" s="40" t="s">
        <v>1920</v>
      </c>
      <c r="G164" s="40"/>
      <c r="H164" s="40"/>
      <c r="I164" s="40" t="s">
        <v>49</v>
      </c>
      <c r="J164" s="40">
        <v>2094.6</v>
      </c>
      <c r="K164" s="40">
        <v>2094.6</v>
      </c>
      <c r="L164" s="40"/>
      <c r="M164" s="40">
        <v>2094.6</v>
      </c>
      <c r="N164" s="40" t="s">
        <v>10881</v>
      </c>
      <c r="O164" s="40" t="s">
        <v>234</v>
      </c>
    </row>
    <row r="165" spans="1:15" ht="29.25" customHeight="1" x14ac:dyDescent="0.2">
      <c r="A165" s="40" t="s">
        <v>10882</v>
      </c>
      <c r="B165" s="40" t="s">
        <v>10882</v>
      </c>
      <c r="C165" s="41">
        <v>46071</v>
      </c>
      <c r="D165" s="41">
        <v>46114</v>
      </c>
      <c r="E165" s="40" t="s">
        <v>19</v>
      </c>
      <c r="F165" s="40" t="s">
        <v>1920</v>
      </c>
      <c r="G165" s="40"/>
      <c r="H165" s="40"/>
      <c r="I165" s="40" t="s">
        <v>49</v>
      </c>
      <c r="J165" s="40">
        <v>2094.6</v>
      </c>
      <c r="K165" s="40">
        <v>2094.6</v>
      </c>
      <c r="L165" s="40"/>
      <c r="M165" s="40">
        <v>2094.6</v>
      </c>
      <c r="N165" s="40" t="s">
        <v>10883</v>
      </c>
      <c r="O165" s="40" t="s">
        <v>234</v>
      </c>
    </row>
    <row r="166" spans="1:15" ht="29.25" customHeight="1" x14ac:dyDescent="0.2">
      <c r="A166" s="40" t="s">
        <v>10884</v>
      </c>
      <c r="B166" s="40" t="s">
        <v>10884</v>
      </c>
      <c r="C166" s="41">
        <v>46071</v>
      </c>
      <c r="D166" s="41">
        <v>46153</v>
      </c>
      <c r="E166" s="40" t="s">
        <v>19</v>
      </c>
      <c r="F166" s="40" t="s">
        <v>1920</v>
      </c>
      <c r="G166" s="40"/>
      <c r="H166" s="40"/>
      <c r="I166" s="40" t="s">
        <v>49</v>
      </c>
      <c r="J166" s="40">
        <v>2478.2399999999998</v>
      </c>
      <c r="K166" s="40">
        <v>2478.2399999999998</v>
      </c>
      <c r="L166" s="40"/>
      <c r="M166" s="40">
        <v>2478.2399999999998</v>
      </c>
      <c r="N166" s="40" t="s">
        <v>10885</v>
      </c>
      <c r="O166" s="40" t="s">
        <v>234</v>
      </c>
    </row>
    <row r="167" spans="1:15" ht="29.25" customHeight="1" x14ac:dyDescent="0.2">
      <c r="A167" s="40" t="s">
        <v>10886</v>
      </c>
      <c r="B167" s="40" t="s">
        <v>10886</v>
      </c>
      <c r="C167" s="41">
        <v>46071</v>
      </c>
      <c r="D167" s="41">
        <v>46136</v>
      </c>
      <c r="E167" s="40" t="s">
        <v>19</v>
      </c>
      <c r="F167" s="40" t="s">
        <v>1920</v>
      </c>
      <c r="G167" s="40"/>
      <c r="H167" s="40"/>
      <c r="I167" s="40" t="s">
        <v>49</v>
      </c>
      <c r="J167" s="40">
        <v>2478.2399999999998</v>
      </c>
      <c r="K167" s="40">
        <v>2478.2399999999998</v>
      </c>
      <c r="L167" s="40"/>
      <c r="M167" s="40">
        <v>2478.2399999999998</v>
      </c>
      <c r="N167" s="40" t="s">
        <v>10887</v>
      </c>
      <c r="O167" s="40" t="s">
        <v>234</v>
      </c>
    </row>
    <row r="168" spans="1:15" ht="29.25" customHeight="1" x14ac:dyDescent="0.2">
      <c r="A168" s="40" t="s">
        <v>10888</v>
      </c>
      <c r="B168" s="40" t="s">
        <v>10888</v>
      </c>
      <c r="C168" s="41">
        <v>46071</v>
      </c>
      <c r="D168" s="41">
        <v>46129</v>
      </c>
      <c r="E168" s="40" t="s">
        <v>19</v>
      </c>
      <c r="F168" s="40" t="s">
        <v>1920</v>
      </c>
      <c r="G168" s="40"/>
      <c r="H168" s="40"/>
      <c r="I168" s="40" t="s">
        <v>49</v>
      </c>
      <c r="J168" s="40">
        <v>2478.2399999999998</v>
      </c>
      <c r="K168" s="40">
        <v>2478.2399999999998</v>
      </c>
      <c r="L168" s="40"/>
      <c r="M168" s="40">
        <v>2478.2399999999998</v>
      </c>
      <c r="N168" s="40" t="s">
        <v>10889</v>
      </c>
      <c r="O168" s="40" t="s">
        <v>234</v>
      </c>
    </row>
    <row r="169" spans="1:15" ht="29.25" customHeight="1" x14ac:dyDescent="0.2">
      <c r="A169" s="40" t="s">
        <v>10890</v>
      </c>
      <c r="B169" s="40" t="s">
        <v>10890</v>
      </c>
      <c r="C169" s="41">
        <v>46071</v>
      </c>
      <c r="D169" s="41">
        <v>46122</v>
      </c>
      <c r="E169" s="40" t="s">
        <v>19</v>
      </c>
      <c r="F169" s="40" t="s">
        <v>1920</v>
      </c>
      <c r="G169" s="40"/>
      <c r="H169" s="40"/>
      <c r="I169" s="40" t="s">
        <v>49</v>
      </c>
      <c r="J169" s="40">
        <v>2478.2399999999998</v>
      </c>
      <c r="K169" s="40">
        <v>2478.2399999999998</v>
      </c>
      <c r="L169" s="40"/>
      <c r="M169" s="40">
        <v>2478.2399999999998</v>
      </c>
      <c r="N169" s="40" t="s">
        <v>10891</v>
      </c>
      <c r="O169" s="40" t="s">
        <v>234</v>
      </c>
    </row>
    <row r="170" spans="1:15" ht="29.25" customHeight="1" x14ac:dyDescent="0.2">
      <c r="A170" s="40" t="s">
        <v>10892</v>
      </c>
      <c r="B170" s="40" t="s">
        <v>10892</v>
      </c>
      <c r="C170" s="41">
        <v>46071</v>
      </c>
      <c r="D170" s="41">
        <v>46115</v>
      </c>
      <c r="E170" s="40" t="s">
        <v>19</v>
      </c>
      <c r="F170" s="40" t="s">
        <v>1920</v>
      </c>
      <c r="G170" s="40"/>
      <c r="H170" s="40"/>
      <c r="I170" s="40" t="s">
        <v>49</v>
      </c>
      <c r="J170" s="40">
        <v>2478.2399999999998</v>
      </c>
      <c r="K170" s="40">
        <v>2478.2399999999998</v>
      </c>
      <c r="L170" s="40"/>
      <c r="M170" s="40">
        <v>2478.2399999999998</v>
      </c>
      <c r="N170" s="40" t="s">
        <v>10893</v>
      </c>
      <c r="O170" s="40" t="s">
        <v>234</v>
      </c>
    </row>
    <row r="171" spans="1:15" ht="29.25" customHeight="1" x14ac:dyDescent="0.2">
      <c r="A171" s="40" t="s">
        <v>10894</v>
      </c>
      <c r="B171" s="40" t="s">
        <v>10894</v>
      </c>
      <c r="C171" s="41">
        <v>46071</v>
      </c>
      <c r="D171" s="41">
        <v>46120</v>
      </c>
      <c r="E171" s="40" t="s">
        <v>19</v>
      </c>
      <c r="F171" s="40" t="s">
        <v>588</v>
      </c>
      <c r="G171" s="40"/>
      <c r="H171" s="40"/>
      <c r="I171" s="40" t="s">
        <v>49</v>
      </c>
      <c r="J171" s="40">
        <v>1533.28</v>
      </c>
      <c r="K171" s="40">
        <v>1533.28</v>
      </c>
      <c r="L171" s="40"/>
      <c r="M171" s="40">
        <v>1533.28</v>
      </c>
      <c r="N171" s="40" t="s">
        <v>10895</v>
      </c>
      <c r="O171" s="40" t="s">
        <v>234</v>
      </c>
    </row>
    <row r="172" spans="1:15" ht="29.25" customHeight="1" x14ac:dyDescent="0.2">
      <c r="A172" s="40" t="s">
        <v>10896</v>
      </c>
      <c r="B172" s="40" t="s">
        <v>10896</v>
      </c>
      <c r="C172" s="41">
        <v>46071</v>
      </c>
      <c r="D172" s="41">
        <v>46120</v>
      </c>
      <c r="E172" s="40" t="s">
        <v>19</v>
      </c>
      <c r="F172" s="40" t="s">
        <v>588</v>
      </c>
      <c r="G172" s="40"/>
      <c r="H172" s="40"/>
      <c r="I172" s="40" t="s">
        <v>49</v>
      </c>
      <c r="J172" s="40">
        <v>1795.23</v>
      </c>
      <c r="K172" s="40">
        <v>1795.23</v>
      </c>
      <c r="L172" s="40"/>
      <c r="M172" s="40">
        <v>1795.23</v>
      </c>
      <c r="N172" s="40" t="s">
        <v>10897</v>
      </c>
      <c r="O172" s="40" t="s">
        <v>234</v>
      </c>
    </row>
    <row r="173" spans="1:15" ht="29.25" customHeight="1" x14ac:dyDescent="0.2">
      <c r="A173" s="40" t="s">
        <v>10898</v>
      </c>
      <c r="B173" s="40" t="s">
        <v>10898</v>
      </c>
      <c r="C173" s="41">
        <v>46071</v>
      </c>
      <c r="D173" s="41">
        <v>46135</v>
      </c>
      <c r="E173" s="40" t="s">
        <v>19</v>
      </c>
      <c r="F173" s="40" t="s">
        <v>588</v>
      </c>
      <c r="G173" s="40"/>
      <c r="H173" s="40"/>
      <c r="I173" s="40" t="s">
        <v>49</v>
      </c>
      <c r="J173" s="40">
        <v>1982.4</v>
      </c>
      <c r="K173" s="40">
        <v>1982.4</v>
      </c>
      <c r="L173" s="40"/>
      <c r="M173" s="40">
        <v>1982.4</v>
      </c>
      <c r="N173" s="40" t="s">
        <v>10899</v>
      </c>
      <c r="O173" s="40" t="s">
        <v>234</v>
      </c>
    </row>
    <row r="174" spans="1:15" ht="29.25" customHeight="1" x14ac:dyDescent="0.2">
      <c r="A174" s="40" t="s">
        <v>10900</v>
      </c>
      <c r="B174" s="40" t="s">
        <v>10900</v>
      </c>
      <c r="C174" s="41">
        <v>46071</v>
      </c>
      <c r="D174" s="41">
        <v>46118</v>
      </c>
      <c r="E174" s="40" t="s">
        <v>19</v>
      </c>
      <c r="F174" s="40" t="s">
        <v>588</v>
      </c>
      <c r="G174" s="40"/>
      <c r="H174" s="40"/>
      <c r="I174" s="40" t="s">
        <v>49</v>
      </c>
      <c r="J174" s="40">
        <v>1982.4</v>
      </c>
      <c r="K174" s="40">
        <v>1982.4</v>
      </c>
      <c r="L174" s="40"/>
      <c r="M174" s="40">
        <v>1982.4</v>
      </c>
      <c r="N174" s="40" t="s">
        <v>10901</v>
      </c>
      <c r="O174" s="40" t="s">
        <v>234</v>
      </c>
    </row>
    <row r="175" spans="1:15" ht="29.25" customHeight="1" x14ac:dyDescent="0.2">
      <c r="A175" s="40" t="s">
        <v>10902</v>
      </c>
      <c r="B175" s="40" t="s">
        <v>10902</v>
      </c>
      <c r="C175" s="41">
        <v>46071</v>
      </c>
      <c r="D175" s="41">
        <v>46142</v>
      </c>
      <c r="E175" s="40" t="s">
        <v>19</v>
      </c>
      <c r="F175" s="40" t="s">
        <v>1654</v>
      </c>
      <c r="G175" s="40"/>
      <c r="H175" s="40"/>
      <c r="I175" s="40" t="s">
        <v>49</v>
      </c>
      <c r="J175" s="40">
        <v>8257.3799999999992</v>
      </c>
      <c r="K175" s="40">
        <v>8257.3799999999992</v>
      </c>
      <c r="L175" s="40"/>
      <c r="M175" s="40">
        <v>8257.3799999999992</v>
      </c>
      <c r="N175" s="40" t="s">
        <v>10903</v>
      </c>
      <c r="O175" s="40" t="s">
        <v>234</v>
      </c>
    </row>
    <row r="176" spans="1:15" ht="29.25" customHeight="1" x14ac:dyDescent="0.2">
      <c r="A176" s="40" t="s">
        <v>10904</v>
      </c>
      <c r="B176" s="40" t="s">
        <v>10904</v>
      </c>
      <c r="C176" s="41">
        <v>46071</v>
      </c>
      <c r="D176" s="41">
        <v>46132</v>
      </c>
      <c r="E176" s="40" t="s">
        <v>19</v>
      </c>
      <c r="F176" s="40" t="s">
        <v>1654</v>
      </c>
      <c r="G176" s="40"/>
      <c r="H176" s="40"/>
      <c r="I176" s="40" t="s">
        <v>49</v>
      </c>
      <c r="J176" s="40">
        <v>8257.3799999999992</v>
      </c>
      <c r="K176" s="40">
        <v>8257.3799999999992</v>
      </c>
      <c r="L176" s="40"/>
      <c r="M176" s="40">
        <v>8257.3799999999992</v>
      </c>
      <c r="N176" s="40" t="s">
        <v>10905</v>
      </c>
      <c r="O176" s="40" t="s">
        <v>234</v>
      </c>
    </row>
    <row r="177" spans="1:15" ht="29.25" customHeight="1" x14ac:dyDescent="0.2">
      <c r="A177" s="40" t="s">
        <v>10906</v>
      </c>
      <c r="B177" s="40" t="s">
        <v>10906</v>
      </c>
      <c r="C177" s="41">
        <v>46071</v>
      </c>
      <c r="D177" s="41">
        <v>46125</v>
      </c>
      <c r="E177" s="40" t="s">
        <v>19</v>
      </c>
      <c r="F177" s="40" t="s">
        <v>1654</v>
      </c>
      <c r="G177" s="40"/>
      <c r="H177" s="40"/>
      <c r="I177" s="40" t="s">
        <v>49</v>
      </c>
      <c r="J177" s="40">
        <v>8257.3799999999992</v>
      </c>
      <c r="K177" s="40">
        <v>8257.3799999999992</v>
      </c>
      <c r="L177" s="40"/>
      <c r="M177" s="40">
        <v>8257.3799999999992</v>
      </c>
      <c r="N177" s="40" t="s">
        <v>10907</v>
      </c>
      <c r="O177" s="40" t="s">
        <v>234</v>
      </c>
    </row>
    <row r="178" spans="1:15" ht="29.25" customHeight="1" x14ac:dyDescent="0.2">
      <c r="A178" s="40" t="s">
        <v>10908</v>
      </c>
      <c r="B178" s="40" t="s">
        <v>10908</v>
      </c>
      <c r="C178" s="41">
        <v>46071</v>
      </c>
      <c r="D178" s="41">
        <v>46118</v>
      </c>
      <c r="E178" s="40" t="s">
        <v>19</v>
      </c>
      <c r="F178" s="40" t="s">
        <v>1654</v>
      </c>
      <c r="G178" s="40"/>
      <c r="H178" s="40"/>
      <c r="I178" s="40" t="s">
        <v>49</v>
      </c>
      <c r="J178" s="40">
        <v>8257.3799999999992</v>
      </c>
      <c r="K178" s="40">
        <v>8257.3799999999992</v>
      </c>
      <c r="L178" s="40"/>
      <c r="M178" s="40">
        <v>8257.3799999999992</v>
      </c>
      <c r="N178" s="40" t="s">
        <v>10909</v>
      </c>
      <c r="O178" s="40" t="s">
        <v>234</v>
      </c>
    </row>
    <row r="179" spans="1:15" ht="29.25" customHeight="1" x14ac:dyDescent="0.2">
      <c r="A179" s="40" t="s">
        <v>10910</v>
      </c>
      <c r="B179" s="40" t="s">
        <v>10910</v>
      </c>
      <c r="C179" s="41">
        <v>46071</v>
      </c>
      <c r="D179" s="41">
        <v>46142</v>
      </c>
      <c r="E179" s="40" t="s">
        <v>19</v>
      </c>
      <c r="F179" s="40" t="s">
        <v>275</v>
      </c>
      <c r="G179" s="40"/>
      <c r="H179" s="40"/>
      <c r="I179" s="40" t="s">
        <v>49</v>
      </c>
      <c r="J179" s="40">
        <v>5391.55</v>
      </c>
      <c r="K179" s="40">
        <v>5391.55</v>
      </c>
      <c r="L179" s="40"/>
      <c r="M179" s="40">
        <v>5391.55</v>
      </c>
      <c r="N179" s="40" t="s">
        <v>10911</v>
      </c>
      <c r="O179" s="40" t="s">
        <v>234</v>
      </c>
    </row>
    <row r="180" spans="1:15" ht="29.25" customHeight="1" x14ac:dyDescent="0.2">
      <c r="A180" s="40" t="s">
        <v>10912</v>
      </c>
      <c r="B180" s="40" t="s">
        <v>10912</v>
      </c>
      <c r="C180" s="41">
        <v>46071</v>
      </c>
      <c r="D180" s="41">
        <v>46125</v>
      </c>
      <c r="E180" s="40" t="s">
        <v>19</v>
      </c>
      <c r="F180" s="40" t="s">
        <v>275</v>
      </c>
      <c r="G180" s="40"/>
      <c r="H180" s="40"/>
      <c r="I180" s="40" t="s">
        <v>49</v>
      </c>
      <c r="J180" s="40">
        <v>5391.55</v>
      </c>
      <c r="K180" s="40">
        <v>5391.55</v>
      </c>
      <c r="L180" s="40"/>
      <c r="M180" s="40">
        <v>5391.55</v>
      </c>
      <c r="N180" s="40" t="s">
        <v>10913</v>
      </c>
      <c r="O180" s="40" t="s">
        <v>234</v>
      </c>
    </row>
    <row r="181" spans="1:15" ht="29.25" customHeight="1" x14ac:dyDescent="0.2">
      <c r="A181" s="40" t="s">
        <v>10914</v>
      </c>
      <c r="B181" s="40" t="s">
        <v>10914</v>
      </c>
      <c r="C181" s="41">
        <v>46071</v>
      </c>
      <c r="D181" s="41">
        <v>46118</v>
      </c>
      <c r="E181" s="40" t="s">
        <v>19</v>
      </c>
      <c r="F181" s="40" t="s">
        <v>275</v>
      </c>
      <c r="G181" s="40"/>
      <c r="H181" s="40"/>
      <c r="I181" s="40" t="s">
        <v>49</v>
      </c>
      <c r="J181" s="40">
        <v>5391.55</v>
      </c>
      <c r="K181" s="40">
        <v>5391.55</v>
      </c>
      <c r="L181" s="40"/>
      <c r="M181" s="40">
        <v>5391.55</v>
      </c>
      <c r="N181" s="40" t="s">
        <v>10915</v>
      </c>
      <c r="O181" s="40" t="s">
        <v>234</v>
      </c>
    </row>
    <row r="182" spans="1:15" ht="29.25" customHeight="1" x14ac:dyDescent="0.2">
      <c r="A182" s="40" t="s">
        <v>10916</v>
      </c>
      <c r="B182" s="40" t="s">
        <v>10916</v>
      </c>
      <c r="C182" s="41">
        <v>46071</v>
      </c>
      <c r="D182" s="41">
        <v>46111</v>
      </c>
      <c r="E182" s="40" t="s">
        <v>19</v>
      </c>
      <c r="F182" s="40" t="s">
        <v>275</v>
      </c>
      <c r="G182" s="40"/>
      <c r="H182" s="40"/>
      <c r="I182" s="40" t="s">
        <v>49</v>
      </c>
      <c r="J182" s="40">
        <v>5391.55</v>
      </c>
      <c r="K182" s="40">
        <v>5391.55</v>
      </c>
      <c r="L182" s="40"/>
      <c r="M182" s="40">
        <v>5391.55</v>
      </c>
      <c r="N182" s="40" t="s">
        <v>10917</v>
      </c>
      <c r="O182" s="40" t="s">
        <v>234</v>
      </c>
    </row>
    <row r="183" spans="1:15" ht="29.25" customHeight="1" x14ac:dyDescent="0.2">
      <c r="A183" s="40" t="s">
        <v>10918</v>
      </c>
      <c r="B183" s="40" t="s">
        <v>10918</v>
      </c>
      <c r="C183" s="41">
        <v>46071</v>
      </c>
      <c r="D183" s="41">
        <v>46153</v>
      </c>
      <c r="E183" s="40" t="s">
        <v>19</v>
      </c>
      <c r="F183" s="40" t="s">
        <v>275</v>
      </c>
      <c r="G183" s="40"/>
      <c r="H183" s="40"/>
      <c r="I183" s="40" t="s">
        <v>49</v>
      </c>
      <c r="J183" s="40">
        <v>3493.91</v>
      </c>
      <c r="K183" s="40">
        <v>3493.91</v>
      </c>
      <c r="L183" s="40"/>
      <c r="M183" s="40">
        <v>3493.91</v>
      </c>
      <c r="N183" s="40" t="s">
        <v>10919</v>
      </c>
      <c r="O183" s="40" t="s">
        <v>234</v>
      </c>
    </row>
    <row r="184" spans="1:15" ht="29.25" customHeight="1" x14ac:dyDescent="0.2">
      <c r="A184" s="40" t="s">
        <v>10920</v>
      </c>
      <c r="B184" s="40" t="s">
        <v>10920</v>
      </c>
      <c r="C184" s="41">
        <v>46071</v>
      </c>
      <c r="D184" s="41">
        <v>46135</v>
      </c>
      <c r="E184" s="40" t="s">
        <v>19</v>
      </c>
      <c r="F184" s="40" t="s">
        <v>275</v>
      </c>
      <c r="G184" s="40"/>
      <c r="H184" s="40"/>
      <c r="I184" s="40" t="s">
        <v>49</v>
      </c>
      <c r="J184" s="40">
        <v>3493.91</v>
      </c>
      <c r="K184" s="40">
        <v>3493.91</v>
      </c>
      <c r="L184" s="40"/>
      <c r="M184" s="40">
        <v>3493.91</v>
      </c>
      <c r="N184" s="40" t="s">
        <v>10921</v>
      </c>
      <c r="O184" s="40" t="s">
        <v>234</v>
      </c>
    </row>
    <row r="185" spans="1:15" ht="29.25" customHeight="1" x14ac:dyDescent="0.2">
      <c r="A185" s="40" t="s">
        <v>10922</v>
      </c>
      <c r="B185" s="40" t="s">
        <v>10922</v>
      </c>
      <c r="C185" s="41">
        <v>46071</v>
      </c>
      <c r="D185" s="41">
        <v>46128</v>
      </c>
      <c r="E185" s="40" t="s">
        <v>19</v>
      </c>
      <c r="F185" s="40" t="s">
        <v>275</v>
      </c>
      <c r="G185" s="40"/>
      <c r="H185" s="40"/>
      <c r="I185" s="40" t="s">
        <v>49</v>
      </c>
      <c r="J185" s="40">
        <v>3493.91</v>
      </c>
      <c r="K185" s="40">
        <v>3493.91</v>
      </c>
      <c r="L185" s="40"/>
      <c r="M185" s="40">
        <v>3493.91</v>
      </c>
      <c r="N185" s="40" t="s">
        <v>10923</v>
      </c>
      <c r="O185" s="40" t="s">
        <v>234</v>
      </c>
    </row>
    <row r="186" spans="1:15" ht="29.25" customHeight="1" x14ac:dyDescent="0.2">
      <c r="A186" s="40" t="s">
        <v>10924</v>
      </c>
      <c r="B186" s="40" t="s">
        <v>10924</v>
      </c>
      <c r="C186" s="41">
        <v>46071</v>
      </c>
      <c r="D186" s="41">
        <v>46121</v>
      </c>
      <c r="E186" s="40" t="s">
        <v>19</v>
      </c>
      <c r="F186" s="40" t="s">
        <v>275</v>
      </c>
      <c r="G186" s="40"/>
      <c r="H186" s="40"/>
      <c r="I186" s="40" t="s">
        <v>49</v>
      </c>
      <c r="J186" s="40">
        <v>3493.91</v>
      </c>
      <c r="K186" s="40">
        <v>3493.91</v>
      </c>
      <c r="L186" s="40"/>
      <c r="M186" s="40">
        <v>3493.91</v>
      </c>
      <c r="N186" s="40" t="s">
        <v>10925</v>
      </c>
      <c r="O186" s="40" t="s">
        <v>234</v>
      </c>
    </row>
    <row r="187" spans="1:15" ht="29.25" customHeight="1" x14ac:dyDescent="0.2">
      <c r="A187" s="40" t="s">
        <v>10926</v>
      </c>
      <c r="B187" s="40" t="s">
        <v>10926</v>
      </c>
      <c r="C187" s="41">
        <v>46071</v>
      </c>
      <c r="D187" s="41">
        <v>46114</v>
      </c>
      <c r="E187" s="40" t="s">
        <v>19</v>
      </c>
      <c r="F187" s="40" t="s">
        <v>275</v>
      </c>
      <c r="G187" s="40"/>
      <c r="H187" s="40"/>
      <c r="I187" s="40" t="s">
        <v>49</v>
      </c>
      <c r="J187" s="40">
        <v>3493.91</v>
      </c>
      <c r="K187" s="40">
        <v>3493.91</v>
      </c>
      <c r="L187" s="40"/>
      <c r="M187" s="40">
        <v>3493.91</v>
      </c>
      <c r="N187" s="40" t="s">
        <v>10927</v>
      </c>
      <c r="O187" s="40" t="s">
        <v>234</v>
      </c>
    </row>
    <row r="188" spans="1:15" ht="29.25" customHeight="1" x14ac:dyDescent="0.2">
      <c r="A188" s="40" t="s">
        <v>10928</v>
      </c>
      <c r="B188" s="40" t="s">
        <v>10928</v>
      </c>
      <c r="C188" s="41">
        <v>46071</v>
      </c>
      <c r="D188" s="41">
        <v>46140</v>
      </c>
      <c r="E188" s="40" t="s">
        <v>19</v>
      </c>
      <c r="F188" s="40" t="s">
        <v>275</v>
      </c>
      <c r="G188" s="40"/>
      <c r="H188" s="40"/>
      <c r="I188" s="40" t="s">
        <v>49</v>
      </c>
      <c r="J188" s="40">
        <v>2026.45</v>
      </c>
      <c r="K188" s="40">
        <v>2026.45</v>
      </c>
      <c r="L188" s="40"/>
      <c r="M188" s="40">
        <v>2026.45</v>
      </c>
      <c r="N188" s="40" t="s">
        <v>10929</v>
      </c>
      <c r="O188" s="40" t="s">
        <v>234</v>
      </c>
    </row>
    <row r="189" spans="1:15" ht="29.25" customHeight="1" x14ac:dyDescent="0.2">
      <c r="A189" s="40" t="s">
        <v>10930</v>
      </c>
      <c r="B189" s="40" t="s">
        <v>10930</v>
      </c>
      <c r="C189" s="41">
        <v>46071</v>
      </c>
      <c r="D189" s="41">
        <v>46125</v>
      </c>
      <c r="E189" s="40" t="s">
        <v>19</v>
      </c>
      <c r="F189" s="40" t="s">
        <v>275</v>
      </c>
      <c r="G189" s="40"/>
      <c r="H189" s="40"/>
      <c r="I189" s="40" t="s">
        <v>49</v>
      </c>
      <c r="J189" s="40">
        <v>2026.45</v>
      </c>
      <c r="K189" s="40">
        <v>2026.45</v>
      </c>
      <c r="L189" s="40"/>
      <c r="M189" s="40">
        <v>2026.45</v>
      </c>
      <c r="N189" s="40" t="s">
        <v>10931</v>
      </c>
      <c r="O189" s="40" t="s">
        <v>234</v>
      </c>
    </row>
    <row r="190" spans="1:15" ht="29.25" customHeight="1" x14ac:dyDescent="0.2">
      <c r="A190" s="40" t="s">
        <v>10932</v>
      </c>
      <c r="B190" s="40" t="s">
        <v>10932</v>
      </c>
      <c r="C190" s="41">
        <v>46071</v>
      </c>
      <c r="D190" s="41">
        <v>46118</v>
      </c>
      <c r="E190" s="40" t="s">
        <v>19</v>
      </c>
      <c r="F190" s="40" t="s">
        <v>275</v>
      </c>
      <c r="G190" s="40"/>
      <c r="H190" s="40"/>
      <c r="I190" s="40" t="s">
        <v>49</v>
      </c>
      <c r="J190" s="40">
        <v>2026.45</v>
      </c>
      <c r="K190" s="40">
        <v>2026.45</v>
      </c>
      <c r="L190" s="40"/>
      <c r="M190" s="40">
        <v>2026.45</v>
      </c>
      <c r="N190" s="40" t="s">
        <v>10933</v>
      </c>
      <c r="O190" s="40" t="s">
        <v>234</v>
      </c>
    </row>
    <row r="191" spans="1:15" ht="29.25" customHeight="1" x14ac:dyDescent="0.2">
      <c r="A191" s="40" t="s">
        <v>10934</v>
      </c>
      <c r="B191" s="40" t="s">
        <v>10934</v>
      </c>
      <c r="C191" s="41">
        <v>46071</v>
      </c>
      <c r="D191" s="41">
        <v>46111</v>
      </c>
      <c r="E191" s="40" t="s">
        <v>19</v>
      </c>
      <c r="F191" s="40" t="s">
        <v>275</v>
      </c>
      <c r="G191" s="40"/>
      <c r="H191" s="40"/>
      <c r="I191" s="40" t="s">
        <v>49</v>
      </c>
      <c r="J191" s="40">
        <v>2026.45</v>
      </c>
      <c r="K191" s="40">
        <v>2026.45</v>
      </c>
      <c r="L191" s="40"/>
      <c r="M191" s="40">
        <v>2026.45</v>
      </c>
      <c r="N191" s="40" t="s">
        <v>10935</v>
      </c>
      <c r="O191" s="40" t="s">
        <v>234</v>
      </c>
    </row>
    <row r="192" spans="1:15" ht="29.25" customHeight="1" x14ac:dyDescent="0.2">
      <c r="A192" s="40" t="s">
        <v>10936</v>
      </c>
      <c r="B192" s="40" t="s">
        <v>10936</v>
      </c>
      <c r="C192" s="41">
        <v>46071</v>
      </c>
      <c r="D192" s="41">
        <v>46135</v>
      </c>
      <c r="E192" s="40" t="s">
        <v>19</v>
      </c>
      <c r="F192" s="40" t="s">
        <v>275</v>
      </c>
      <c r="G192" s="40"/>
      <c r="H192" s="40"/>
      <c r="I192" s="40" t="s">
        <v>49</v>
      </c>
      <c r="J192" s="40">
        <v>3991.87</v>
      </c>
      <c r="K192" s="40">
        <v>3991.87</v>
      </c>
      <c r="L192" s="40"/>
      <c r="M192" s="40">
        <v>3991.87</v>
      </c>
      <c r="N192" s="40" t="s">
        <v>10937</v>
      </c>
      <c r="O192" s="40" t="s">
        <v>234</v>
      </c>
    </row>
    <row r="193" spans="1:15" ht="29.25" customHeight="1" x14ac:dyDescent="0.2">
      <c r="A193" s="40" t="s">
        <v>10938</v>
      </c>
      <c r="B193" s="40" t="s">
        <v>10938</v>
      </c>
      <c r="C193" s="41">
        <v>46071</v>
      </c>
      <c r="D193" s="41">
        <v>46118</v>
      </c>
      <c r="E193" s="40" t="s">
        <v>19</v>
      </c>
      <c r="F193" s="40" t="s">
        <v>275</v>
      </c>
      <c r="G193" s="40"/>
      <c r="H193" s="40"/>
      <c r="I193" s="40" t="s">
        <v>49</v>
      </c>
      <c r="J193" s="40">
        <v>3991.87</v>
      </c>
      <c r="K193" s="40">
        <v>3991.87</v>
      </c>
      <c r="L193" s="40"/>
      <c r="M193" s="40">
        <v>3991.87</v>
      </c>
      <c r="N193" s="40" t="s">
        <v>10939</v>
      </c>
      <c r="O193" s="40" t="s">
        <v>234</v>
      </c>
    </row>
    <row r="194" spans="1:15" ht="29.25" customHeight="1" x14ac:dyDescent="0.2">
      <c r="A194" s="40" t="s">
        <v>10940</v>
      </c>
      <c r="B194" s="40" t="s">
        <v>10940</v>
      </c>
      <c r="C194" s="41">
        <v>46071</v>
      </c>
      <c r="D194" s="41">
        <v>46112</v>
      </c>
      <c r="E194" s="40" t="s">
        <v>19</v>
      </c>
      <c r="F194" s="40" t="s">
        <v>275</v>
      </c>
      <c r="G194" s="40"/>
      <c r="H194" s="40"/>
      <c r="I194" s="40" t="s">
        <v>49</v>
      </c>
      <c r="J194" s="40">
        <v>2398.2199999999998</v>
      </c>
      <c r="K194" s="40">
        <v>2398.2199999999998</v>
      </c>
      <c r="L194" s="40"/>
      <c r="M194" s="40">
        <v>2398.2199999999998</v>
      </c>
      <c r="N194" s="40" t="s">
        <v>10941</v>
      </c>
      <c r="O194" s="40" t="s">
        <v>234</v>
      </c>
    </row>
    <row r="195" spans="1:15" ht="29.25" customHeight="1" x14ac:dyDescent="0.2">
      <c r="A195" s="40" t="s">
        <v>10942</v>
      </c>
      <c r="B195" s="40" t="s">
        <v>10942</v>
      </c>
      <c r="C195" s="41">
        <v>46071</v>
      </c>
      <c r="D195" s="41">
        <v>46142</v>
      </c>
      <c r="E195" s="40" t="s">
        <v>19</v>
      </c>
      <c r="F195" s="40" t="s">
        <v>275</v>
      </c>
      <c r="G195" s="40"/>
      <c r="H195" s="40"/>
      <c r="I195" s="40" t="s">
        <v>49</v>
      </c>
      <c r="J195" s="40">
        <v>5988.66</v>
      </c>
      <c r="K195" s="40">
        <v>5988.66</v>
      </c>
      <c r="L195" s="40"/>
      <c r="M195" s="40">
        <v>5988.66</v>
      </c>
      <c r="N195" s="40" t="s">
        <v>10943</v>
      </c>
      <c r="O195" s="40" t="s">
        <v>234</v>
      </c>
    </row>
    <row r="196" spans="1:15" ht="29.25" customHeight="1" x14ac:dyDescent="0.2">
      <c r="A196" s="40" t="s">
        <v>10944</v>
      </c>
      <c r="B196" s="40" t="s">
        <v>10944</v>
      </c>
      <c r="C196" s="41">
        <v>46071</v>
      </c>
      <c r="D196" s="41">
        <v>46133</v>
      </c>
      <c r="E196" s="40" t="s">
        <v>19</v>
      </c>
      <c r="F196" s="40" t="s">
        <v>275</v>
      </c>
      <c r="G196" s="40"/>
      <c r="H196" s="40"/>
      <c r="I196" s="40" t="s">
        <v>49</v>
      </c>
      <c r="J196" s="40">
        <v>5988.66</v>
      </c>
      <c r="K196" s="40">
        <v>5988.66</v>
      </c>
      <c r="L196" s="40"/>
      <c r="M196" s="40">
        <v>5988.66</v>
      </c>
      <c r="N196" s="40" t="s">
        <v>10945</v>
      </c>
      <c r="O196" s="40" t="s">
        <v>234</v>
      </c>
    </row>
    <row r="197" spans="1:15" ht="29.25" customHeight="1" x14ac:dyDescent="0.2">
      <c r="A197" s="40" t="s">
        <v>10946</v>
      </c>
      <c r="B197" s="40" t="s">
        <v>10946</v>
      </c>
      <c r="C197" s="41">
        <v>46071</v>
      </c>
      <c r="D197" s="41">
        <v>46125</v>
      </c>
      <c r="E197" s="40" t="s">
        <v>19</v>
      </c>
      <c r="F197" s="40" t="s">
        <v>275</v>
      </c>
      <c r="G197" s="40"/>
      <c r="H197" s="40"/>
      <c r="I197" s="40" t="s">
        <v>49</v>
      </c>
      <c r="J197" s="40">
        <v>5988.66</v>
      </c>
      <c r="K197" s="40">
        <v>5988.66</v>
      </c>
      <c r="L197" s="40"/>
      <c r="M197" s="40">
        <v>5988.66</v>
      </c>
      <c r="N197" s="40" t="s">
        <v>10947</v>
      </c>
      <c r="O197" s="40" t="s">
        <v>234</v>
      </c>
    </row>
    <row r="198" spans="1:15" ht="29.25" customHeight="1" x14ac:dyDescent="0.2">
      <c r="A198" s="40" t="s">
        <v>10948</v>
      </c>
      <c r="B198" s="40" t="s">
        <v>10948</v>
      </c>
      <c r="C198" s="41">
        <v>46071</v>
      </c>
      <c r="D198" s="41">
        <v>46115</v>
      </c>
      <c r="E198" s="40" t="s">
        <v>19</v>
      </c>
      <c r="F198" s="40" t="s">
        <v>275</v>
      </c>
      <c r="G198" s="40"/>
      <c r="H198" s="40"/>
      <c r="I198" s="40" t="s">
        <v>49</v>
      </c>
      <c r="J198" s="40">
        <v>5988.66</v>
      </c>
      <c r="K198" s="40">
        <v>5988.66</v>
      </c>
      <c r="L198" s="40"/>
      <c r="M198" s="40">
        <v>5988.66</v>
      </c>
      <c r="N198" s="40" t="s">
        <v>10949</v>
      </c>
      <c r="O198" s="40" t="s">
        <v>234</v>
      </c>
    </row>
    <row r="199" spans="1:15" ht="29.25" customHeight="1" x14ac:dyDescent="0.2">
      <c r="A199" s="40" t="s">
        <v>10950</v>
      </c>
      <c r="B199" s="40" t="s">
        <v>10950</v>
      </c>
      <c r="C199" s="41">
        <v>46071</v>
      </c>
      <c r="D199" s="41">
        <v>46118</v>
      </c>
      <c r="E199" s="40" t="s">
        <v>19</v>
      </c>
      <c r="F199" s="40" t="s">
        <v>275</v>
      </c>
      <c r="G199" s="40"/>
      <c r="H199" s="40"/>
      <c r="I199" s="40" t="s">
        <v>49</v>
      </c>
      <c r="J199" s="40">
        <v>2537.2600000000002</v>
      </c>
      <c r="K199" s="40">
        <v>2537.2600000000002</v>
      </c>
      <c r="L199" s="40"/>
      <c r="M199" s="40">
        <v>2537.2600000000002</v>
      </c>
      <c r="N199" s="40" t="s">
        <v>10951</v>
      </c>
      <c r="O199" s="40" t="s">
        <v>234</v>
      </c>
    </row>
    <row r="200" spans="1:15" ht="29.25" customHeight="1" x14ac:dyDescent="0.2">
      <c r="A200" s="40" t="s">
        <v>10952</v>
      </c>
      <c r="B200" s="40" t="s">
        <v>10952</v>
      </c>
      <c r="C200" s="41">
        <v>46078</v>
      </c>
      <c r="D200" s="41">
        <v>46181</v>
      </c>
      <c r="E200" s="40" t="s">
        <v>19</v>
      </c>
      <c r="F200" s="40" t="s">
        <v>101</v>
      </c>
      <c r="G200" s="40"/>
      <c r="H200" s="40"/>
      <c r="I200" s="40" t="s">
        <v>49</v>
      </c>
      <c r="J200" s="40">
        <v>16163.92</v>
      </c>
      <c r="K200" s="40">
        <v>16163.92</v>
      </c>
      <c r="L200" s="40"/>
      <c r="M200" s="40">
        <v>16163.92</v>
      </c>
      <c r="N200" s="40"/>
      <c r="O200" s="40" t="s">
        <v>234</v>
      </c>
    </row>
    <row r="201" spans="1:15" ht="29.25" customHeight="1" x14ac:dyDescent="0.2">
      <c r="A201" s="40" t="s">
        <v>10953</v>
      </c>
      <c r="B201" s="40" t="s">
        <v>10953</v>
      </c>
      <c r="C201" s="41">
        <v>46078</v>
      </c>
      <c r="D201" s="41">
        <v>46170</v>
      </c>
      <c r="E201" s="40" t="s">
        <v>19</v>
      </c>
      <c r="F201" s="40" t="s">
        <v>101</v>
      </c>
      <c r="G201" s="40"/>
      <c r="H201" s="40"/>
      <c r="I201" s="40" t="s">
        <v>49</v>
      </c>
      <c r="J201" s="40">
        <v>16163.92</v>
      </c>
      <c r="K201" s="40">
        <v>16163.92</v>
      </c>
      <c r="L201" s="40"/>
      <c r="M201" s="40">
        <v>16163.92</v>
      </c>
      <c r="N201" s="40" t="s">
        <v>10954</v>
      </c>
      <c r="O201" s="40" t="s">
        <v>234</v>
      </c>
    </row>
    <row r="202" spans="1:15" ht="29.25" customHeight="1" x14ac:dyDescent="0.2">
      <c r="A202" s="40" t="s">
        <v>10955</v>
      </c>
      <c r="B202" s="40" t="s">
        <v>10955</v>
      </c>
      <c r="C202" s="41">
        <v>46078</v>
      </c>
      <c r="D202" s="41">
        <v>46160</v>
      </c>
      <c r="E202" s="40" t="s">
        <v>19</v>
      </c>
      <c r="F202" s="40" t="s">
        <v>101</v>
      </c>
      <c r="G202" s="40"/>
      <c r="H202" s="40"/>
      <c r="I202" s="40" t="s">
        <v>49</v>
      </c>
      <c r="J202" s="40">
        <v>16163.92</v>
      </c>
      <c r="K202" s="40">
        <v>16163.92</v>
      </c>
      <c r="L202" s="40"/>
      <c r="M202" s="40">
        <v>16163.92</v>
      </c>
      <c r="N202" s="40" t="s">
        <v>10956</v>
      </c>
      <c r="O202" s="40" t="s">
        <v>234</v>
      </c>
    </row>
    <row r="203" spans="1:15" ht="29.25" customHeight="1" x14ac:dyDescent="0.2">
      <c r="A203" s="40" t="s">
        <v>10957</v>
      </c>
      <c r="B203" s="40" t="s">
        <v>10957</v>
      </c>
      <c r="C203" s="41">
        <v>46078</v>
      </c>
      <c r="D203" s="41">
        <v>46150</v>
      </c>
      <c r="E203" s="40" t="s">
        <v>19</v>
      </c>
      <c r="F203" s="40" t="s">
        <v>101</v>
      </c>
      <c r="G203" s="40"/>
      <c r="H203" s="40"/>
      <c r="I203" s="40" t="s">
        <v>49</v>
      </c>
      <c r="J203" s="40">
        <v>16163.92</v>
      </c>
      <c r="K203" s="40">
        <v>16163.92</v>
      </c>
      <c r="L203" s="40"/>
      <c r="M203" s="40">
        <v>16163.92</v>
      </c>
      <c r="N203" s="40" t="s">
        <v>10958</v>
      </c>
      <c r="O203" s="40" t="s">
        <v>234</v>
      </c>
    </row>
    <row r="204" spans="1:15" ht="29.25" customHeight="1" x14ac:dyDescent="0.2">
      <c r="A204" s="40" t="s">
        <v>10959</v>
      </c>
      <c r="B204" s="40" t="s">
        <v>10959</v>
      </c>
      <c r="C204" s="41">
        <v>46078</v>
      </c>
      <c r="D204" s="41">
        <v>46140</v>
      </c>
      <c r="E204" s="40" t="s">
        <v>19</v>
      </c>
      <c r="F204" s="40" t="s">
        <v>101</v>
      </c>
      <c r="G204" s="40"/>
      <c r="H204" s="40"/>
      <c r="I204" s="40" t="s">
        <v>49</v>
      </c>
      <c r="J204" s="40">
        <v>16163.92</v>
      </c>
      <c r="K204" s="40">
        <v>16163.92</v>
      </c>
      <c r="L204" s="40"/>
      <c r="M204" s="40">
        <v>16163.92</v>
      </c>
      <c r="N204" s="40" t="s">
        <v>10960</v>
      </c>
      <c r="O204" s="40" t="s">
        <v>234</v>
      </c>
    </row>
    <row r="205" spans="1:15" ht="29.25" customHeight="1" x14ac:dyDescent="0.2">
      <c r="A205" s="40" t="s">
        <v>10961</v>
      </c>
      <c r="B205" s="40" t="s">
        <v>10961</v>
      </c>
      <c r="C205" s="41">
        <v>46078</v>
      </c>
      <c r="D205" s="41">
        <v>46132</v>
      </c>
      <c r="E205" s="40" t="s">
        <v>19</v>
      </c>
      <c r="F205" s="40" t="s">
        <v>101</v>
      </c>
      <c r="G205" s="40"/>
      <c r="H205" s="40"/>
      <c r="I205" s="40" t="s">
        <v>49</v>
      </c>
      <c r="J205" s="40">
        <v>16163.92</v>
      </c>
      <c r="K205" s="40">
        <v>16163.92</v>
      </c>
      <c r="L205" s="40"/>
      <c r="M205" s="40">
        <v>16163.92</v>
      </c>
      <c r="N205" s="40" t="s">
        <v>10962</v>
      </c>
      <c r="O205" s="40" t="s">
        <v>234</v>
      </c>
    </row>
    <row r="206" spans="1:15" ht="29.25" customHeight="1" x14ac:dyDescent="0.2">
      <c r="A206" s="40" t="s">
        <v>10963</v>
      </c>
      <c r="B206" s="40" t="s">
        <v>10963</v>
      </c>
      <c r="C206" s="41">
        <v>46078</v>
      </c>
      <c r="D206" s="41">
        <v>46120</v>
      </c>
      <c r="E206" s="40" t="s">
        <v>19</v>
      </c>
      <c r="F206" s="40" t="s">
        <v>101</v>
      </c>
      <c r="G206" s="40"/>
      <c r="H206" s="40"/>
      <c r="I206" s="40" t="s">
        <v>49</v>
      </c>
      <c r="J206" s="40">
        <v>16163.92</v>
      </c>
      <c r="K206" s="40">
        <v>16163.92</v>
      </c>
      <c r="L206" s="40"/>
      <c r="M206" s="40">
        <v>16163.92</v>
      </c>
      <c r="N206" s="40" t="s">
        <v>10964</v>
      </c>
      <c r="O206" s="40" t="s">
        <v>234</v>
      </c>
    </row>
    <row r="207" spans="1:15" ht="29.25" customHeight="1" x14ac:dyDescent="0.2">
      <c r="A207" s="40" t="s">
        <v>10965</v>
      </c>
      <c r="B207" s="40" t="s">
        <v>10965</v>
      </c>
      <c r="C207" s="41">
        <v>46078</v>
      </c>
      <c r="D207" s="41">
        <v>46132</v>
      </c>
      <c r="E207" s="40" t="s">
        <v>19</v>
      </c>
      <c r="F207" s="40" t="s">
        <v>101</v>
      </c>
      <c r="G207" s="40"/>
      <c r="H207" s="40"/>
      <c r="I207" s="40" t="s">
        <v>49</v>
      </c>
      <c r="J207" s="40">
        <v>2449.41</v>
      </c>
      <c r="K207" s="40">
        <v>2449.41</v>
      </c>
      <c r="L207" s="40"/>
      <c r="M207" s="40">
        <v>2449.41</v>
      </c>
      <c r="N207" s="40" t="s">
        <v>10966</v>
      </c>
      <c r="O207" s="40" t="s">
        <v>234</v>
      </c>
    </row>
    <row r="208" spans="1:15" ht="29.25" customHeight="1" x14ac:dyDescent="0.2">
      <c r="A208" s="40" t="s">
        <v>10967</v>
      </c>
      <c r="B208" s="40" t="s">
        <v>10967</v>
      </c>
      <c r="C208" s="41">
        <v>46078</v>
      </c>
      <c r="D208" s="41">
        <v>46127</v>
      </c>
      <c r="E208" s="40" t="s">
        <v>19</v>
      </c>
      <c r="F208" s="40" t="s">
        <v>101</v>
      </c>
      <c r="G208" s="40"/>
      <c r="H208" s="40"/>
      <c r="I208" s="40" t="s">
        <v>49</v>
      </c>
      <c r="J208" s="40">
        <v>2449.41</v>
      </c>
      <c r="K208" s="40">
        <v>2449.41</v>
      </c>
      <c r="L208" s="40"/>
      <c r="M208" s="40">
        <v>2449.41</v>
      </c>
      <c r="N208" s="40" t="s">
        <v>10968</v>
      </c>
      <c r="O208" s="40" t="s">
        <v>234</v>
      </c>
    </row>
    <row r="209" spans="1:15" ht="29.25" customHeight="1" x14ac:dyDescent="0.2">
      <c r="A209" s="40" t="s">
        <v>10969</v>
      </c>
      <c r="B209" s="40" t="s">
        <v>10969</v>
      </c>
      <c r="C209" s="41">
        <v>46078</v>
      </c>
      <c r="D209" s="41">
        <v>46122</v>
      </c>
      <c r="E209" s="40" t="s">
        <v>19</v>
      </c>
      <c r="F209" s="40" t="s">
        <v>101</v>
      </c>
      <c r="G209" s="40"/>
      <c r="H209" s="40"/>
      <c r="I209" s="40" t="s">
        <v>49</v>
      </c>
      <c r="J209" s="40">
        <v>2449.41</v>
      </c>
      <c r="K209" s="40">
        <v>2449.41</v>
      </c>
      <c r="L209" s="40"/>
      <c r="M209" s="40">
        <v>2449.41</v>
      </c>
      <c r="N209" s="40" t="s">
        <v>10970</v>
      </c>
      <c r="O209" s="40" t="s">
        <v>234</v>
      </c>
    </row>
    <row r="210" spans="1:15" ht="29.25" customHeight="1" x14ac:dyDescent="0.2">
      <c r="A210" s="40" t="s">
        <v>10971</v>
      </c>
      <c r="B210" s="40" t="s">
        <v>10971</v>
      </c>
      <c r="C210" s="41">
        <v>46078</v>
      </c>
      <c r="D210" s="41">
        <v>46118</v>
      </c>
      <c r="E210" s="40" t="s">
        <v>19</v>
      </c>
      <c r="F210" s="40" t="s">
        <v>101</v>
      </c>
      <c r="G210" s="40"/>
      <c r="H210" s="40"/>
      <c r="I210" s="40" t="s">
        <v>49</v>
      </c>
      <c r="J210" s="40">
        <v>2449.41</v>
      </c>
      <c r="K210" s="40">
        <v>2449.41</v>
      </c>
      <c r="L210" s="40"/>
      <c r="M210" s="40">
        <v>2449.41</v>
      </c>
      <c r="N210" s="40" t="s">
        <v>10972</v>
      </c>
      <c r="O210" s="40" t="s">
        <v>234</v>
      </c>
    </row>
    <row r="211" spans="1:15" ht="29.25" customHeight="1" x14ac:dyDescent="0.2">
      <c r="A211" s="40" t="s">
        <v>10973</v>
      </c>
      <c r="B211" s="40" t="s">
        <v>10973</v>
      </c>
      <c r="C211" s="41">
        <v>46078</v>
      </c>
      <c r="D211" s="41">
        <v>46115</v>
      </c>
      <c r="E211" s="40" t="s">
        <v>19</v>
      </c>
      <c r="F211" s="40" t="s">
        <v>1521</v>
      </c>
      <c r="G211" s="40"/>
      <c r="H211" s="40"/>
      <c r="I211" s="40" t="s">
        <v>49</v>
      </c>
      <c r="J211" s="40">
        <v>3193.41</v>
      </c>
      <c r="K211" s="40">
        <v>3193.41</v>
      </c>
      <c r="L211" s="40"/>
      <c r="M211" s="40">
        <v>3193.41</v>
      </c>
      <c r="N211" s="40" t="s">
        <v>10974</v>
      </c>
      <c r="O211" s="40" t="s">
        <v>234</v>
      </c>
    </row>
    <row r="212" spans="1:15" ht="29.25" customHeight="1" x14ac:dyDescent="0.2">
      <c r="A212" s="40" t="s">
        <v>10975</v>
      </c>
      <c r="B212" s="40" t="s">
        <v>10975</v>
      </c>
      <c r="C212" s="41">
        <v>46078</v>
      </c>
      <c r="D212" s="41">
        <v>46149</v>
      </c>
      <c r="E212" s="40" t="s">
        <v>19</v>
      </c>
      <c r="F212" s="40" t="s">
        <v>1929</v>
      </c>
      <c r="G212" s="40"/>
      <c r="H212" s="40"/>
      <c r="I212" s="40" t="s">
        <v>49</v>
      </c>
      <c r="J212" s="40">
        <v>2019.12</v>
      </c>
      <c r="K212" s="40">
        <v>2019.12</v>
      </c>
      <c r="L212" s="40"/>
      <c r="M212" s="40">
        <v>2019.12</v>
      </c>
      <c r="N212" s="40" t="s">
        <v>10976</v>
      </c>
      <c r="O212" s="40" t="s">
        <v>234</v>
      </c>
    </row>
    <row r="213" spans="1:15" ht="29.25" customHeight="1" x14ac:dyDescent="0.2">
      <c r="A213" s="40" t="s">
        <v>10977</v>
      </c>
      <c r="B213" s="40" t="s">
        <v>10977</v>
      </c>
      <c r="C213" s="41">
        <v>46078</v>
      </c>
      <c r="D213" s="41">
        <v>46132</v>
      </c>
      <c r="E213" s="40" t="s">
        <v>19</v>
      </c>
      <c r="F213" s="40" t="s">
        <v>1929</v>
      </c>
      <c r="G213" s="40"/>
      <c r="H213" s="40"/>
      <c r="I213" s="40" t="s">
        <v>49</v>
      </c>
      <c r="J213" s="40">
        <v>2019.12</v>
      </c>
      <c r="K213" s="40">
        <v>2019.12</v>
      </c>
      <c r="L213" s="40"/>
      <c r="M213" s="40">
        <v>2019.12</v>
      </c>
      <c r="N213" s="40" t="s">
        <v>10978</v>
      </c>
      <c r="O213" s="40" t="s">
        <v>234</v>
      </c>
    </row>
    <row r="214" spans="1:15" ht="29.25" customHeight="1" x14ac:dyDescent="0.2">
      <c r="A214" s="40" t="s">
        <v>10979</v>
      </c>
      <c r="B214" s="40" t="s">
        <v>10979</v>
      </c>
      <c r="C214" s="41">
        <v>46078</v>
      </c>
      <c r="D214" s="41">
        <v>46125</v>
      </c>
      <c r="E214" s="40" t="s">
        <v>19</v>
      </c>
      <c r="F214" s="40" t="s">
        <v>1929</v>
      </c>
      <c r="G214" s="40"/>
      <c r="H214" s="40"/>
      <c r="I214" s="40" t="s">
        <v>49</v>
      </c>
      <c r="J214" s="40">
        <v>2019.12</v>
      </c>
      <c r="K214" s="40">
        <v>2019.12</v>
      </c>
      <c r="L214" s="40"/>
      <c r="M214" s="40">
        <v>2019.12</v>
      </c>
      <c r="N214" s="40" t="s">
        <v>10980</v>
      </c>
      <c r="O214" s="40" t="s">
        <v>234</v>
      </c>
    </row>
    <row r="215" spans="1:15" ht="29.25" customHeight="1" x14ac:dyDescent="0.2">
      <c r="A215" s="40" t="s">
        <v>10981</v>
      </c>
      <c r="B215" s="40" t="s">
        <v>10981</v>
      </c>
      <c r="C215" s="41">
        <v>46078</v>
      </c>
      <c r="D215" s="41">
        <v>46118</v>
      </c>
      <c r="E215" s="40" t="s">
        <v>19</v>
      </c>
      <c r="F215" s="40" t="s">
        <v>1929</v>
      </c>
      <c r="G215" s="40"/>
      <c r="H215" s="40"/>
      <c r="I215" s="40" t="s">
        <v>49</v>
      </c>
      <c r="J215" s="40">
        <v>2019.12</v>
      </c>
      <c r="K215" s="40">
        <v>2019.12</v>
      </c>
      <c r="L215" s="40"/>
      <c r="M215" s="40">
        <v>2019.12</v>
      </c>
      <c r="N215" s="40" t="s">
        <v>10982</v>
      </c>
      <c r="O215" s="40" t="s">
        <v>234</v>
      </c>
    </row>
    <row r="216" spans="1:15" ht="29.25" customHeight="1" x14ac:dyDescent="0.2">
      <c r="A216" s="40" t="s">
        <v>10983</v>
      </c>
      <c r="B216" s="40" t="s">
        <v>10983</v>
      </c>
      <c r="C216" s="41">
        <v>46078</v>
      </c>
      <c r="D216" s="41">
        <v>46111</v>
      </c>
      <c r="E216" s="40" t="s">
        <v>19</v>
      </c>
      <c r="F216" s="40" t="s">
        <v>1929</v>
      </c>
      <c r="G216" s="40"/>
      <c r="H216" s="40"/>
      <c r="I216" s="40" t="s">
        <v>49</v>
      </c>
      <c r="J216" s="40">
        <v>2019.12</v>
      </c>
      <c r="K216" s="40">
        <v>2019.12</v>
      </c>
      <c r="L216" s="40"/>
      <c r="M216" s="40">
        <v>2019.12</v>
      </c>
      <c r="N216" s="40" t="s">
        <v>10984</v>
      </c>
      <c r="O216" s="40" t="s">
        <v>234</v>
      </c>
    </row>
    <row r="217" spans="1:15" ht="29.25" customHeight="1" x14ac:dyDescent="0.2">
      <c r="A217" s="40" t="s">
        <v>10985</v>
      </c>
      <c r="B217" s="40" t="s">
        <v>10985</v>
      </c>
      <c r="C217" s="41">
        <v>46078</v>
      </c>
      <c r="D217" s="41">
        <v>46149</v>
      </c>
      <c r="E217" s="40" t="s">
        <v>19</v>
      </c>
      <c r="F217" s="40" t="s">
        <v>1929</v>
      </c>
      <c r="G217" s="40"/>
      <c r="H217" s="40"/>
      <c r="I217" s="40" t="s">
        <v>49</v>
      </c>
      <c r="J217" s="40">
        <v>1968.31</v>
      </c>
      <c r="K217" s="40">
        <v>1968.31</v>
      </c>
      <c r="L217" s="40"/>
      <c r="M217" s="40">
        <v>1968.31</v>
      </c>
      <c r="N217" s="40" t="s">
        <v>10986</v>
      </c>
      <c r="O217" s="40" t="s">
        <v>234</v>
      </c>
    </row>
    <row r="218" spans="1:15" ht="29.25" customHeight="1" x14ac:dyDescent="0.2">
      <c r="A218" s="40" t="s">
        <v>10987</v>
      </c>
      <c r="B218" s="40" t="s">
        <v>10987</v>
      </c>
      <c r="C218" s="41">
        <v>46078</v>
      </c>
      <c r="D218" s="41">
        <v>46132</v>
      </c>
      <c r="E218" s="40" t="s">
        <v>19</v>
      </c>
      <c r="F218" s="40" t="s">
        <v>1929</v>
      </c>
      <c r="G218" s="40"/>
      <c r="H218" s="40"/>
      <c r="I218" s="40" t="s">
        <v>49</v>
      </c>
      <c r="J218" s="40">
        <v>1968.31</v>
      </c>
      <c r="K218" s="40">
        <v>1968.31</v>
      </c>
      <c r="L218" s="40"/>
      <c r="M218" s="40">
        <v>1968.31</v>
      </c>
      <c r="N218" s="40" t="s">
        <v>10988</v>
      </c>
      <c r="O218" s="40" t="s">
        <v>234</v>
      </c>
    </row>
    <row r="219" spans="1:15" ht="29.25" customHeight="1" x14ac:dyDescent="0.2">
      <c r="A219" s="40" t="s">
        <v>10989</v>
      </c>
      <c r="B219" s="40" t="s">
        <v>10989</v>
      </c>
      <c r="C219" s="41">
        <v>46078</v>
      </c>
      <c r="D219" s="41">
        <v>46125</v>
      </c>
      <c r="E219" s="40" t="s">
        <v>19</v>
      </c>
      <c r="F219" s="40" t="s">
        <v>1929</v>
      </c>
      <c r="G219" s="40"/>
      <c r="H219" s="40"/>
      <c r="I219" s="40" t="s">
        <v>49</v>
      </c>
      <c r="J219" s="40">
        <v>1968.31</v>
      </c>
      <c r="K219" s="40">
        <v>1968.31</v>
      </c>
      <c r="L219" s="40"/>
      <c r="M219" s="40">
        <v>1968.31</v>
      </c>
      <c r="N219" s="40" t="s">
        <v>10990</v>
      </c>
      <c r="O219" s="40" t="s">
        <v>234</v>
      </c>
    </row>
    <row r="220" spans="1:15" ht="29.25" customHeight="1" x14ac:dyDescent="0.2">
      <c r="A220" s="40" t="s">
        <v>10991</v>
      </c>
      <c r="B220" s="40" t="s">
        <v>10991</v>
      </c>
      <c r="C220" s="41">
        <v>46078</v>
      </c>
      <c r="D220" s="41">
        <v>46118</v>
      </c>
      <c r="E220" s="40" t="s">
        <v>19</v>
      </c>
      <c r="F220" s="40" t="s">
        <v>1929</v>
      </c>
      <c r="G220" s="40"/>
      <c r="H220" s="40"/>
      <c r="I220" s="40" t="s">
        <v>49</v>
      </c>
      <c r="J220" s="40">
        <v>1968.31</v>
      </c>
      <c r="K220" s="40">
        <v>1968.31</v>
      </c>
      <c r="L220" s="40"/>
      <c r="M220" s="40">
        <v>1968.31</v>
      </c>
      <c r="N220" s="40" t="s">
        <v>10992</v>
      </c>
      <c r="O220" s="40" t="s">
        <v>234</v>
      </c>
    </row>
    <row r="221" spans="1:15" ht="29.25" customHeight="1" x14ac:dyDescent="0.2">
      <c r="A221" s="40" t="s">
        <v>10993</v>
      </c>
      <c r="B221" s="40" t="s">
        <v>10993</v>
      </c>
      <c r="C221" s="41">
        <v>46078</v>
      </c>
      <c r="D221" s="41">
        <v>46111</v>
      </c>
      <c r="E221" s="40" t="s">
        <v>19</v>
      </c>
      <c r="F221" s="40" t="s">
        <v>1929</v>
      </c>
      <c r="G221" s="40"/>
      <c r="H221" s="40"/>
      <c r="I221" s="40" t="s">
        <v>49</v>
      </c>
      <c r="J221" s="40">
        <v>1968.31</v>
      </c>
      <c r="K221" s="40">
        <v>1968.31</v>
      </c>
      <c r="L221" s="40"/>
      <c r="M221" s="40">
        <v>1968.31</v>
      </c>
      <c r="N221" s="40" t="s">
        <v>10994</v>
      </c>
      <c r="O221" s="40" t="s">
        <v>234</v>
      </c>
    </row>
    <row r="222" spans="1:15" ht="29.25" customHeight="1" x14ac:dyDescent="0.2">
      <c r="A222" s="40" t="s">
        <v>10995</v>
      </c>
      <c r="B222" s="40" t="s">
        <v>10995</v>
      </c>
      <c r="C222" s="41">
        <v>46078</v>
      </c>
      <c r="D222" s="41">
        <v>46149</v>
      </c>
      <c r="E222" s="40" t="s">
        <v>19</v>
      </c>
      <c r="F222" s="40" t="s">
        <v>2944</v>
      </c>
      <c r="G222" s="40"/>
      <c r="H222" s="40"/>
      <c r="I222" s="40" t="s">
        <v>49</v>
      </c>
      <c r="J222" s="40">
        <v>2004.6</v>
      </c>
      <c r="K222" s="40">
        <v>2004.6</v>
      </c>
      <c r="L222" s="40"/>
      <c r="M222" s="40">
        <v>2004.6</v>
      </c>
      <c r="N222" s="40" t="s">
        <v>10996</v>
      </c>
      <c r="O222" s="40" t="s">
        <v>234</v>
      </c>
    </row>
    <row r="223" spans="1:15" ht="29.25" customHeight="1" x14ac:dyDescent="0.2">
      <c r="A223" s="40" t="s">
        <v>10997</v>
      </c>
      <c r="B223" s="40" t="s">
        <v>10997</v>
      </c>
      <c r="C223" s="41">
        <v>46078</v>
      </c>
      <c r="D223" s="41">
        <v>46132</v>
      </c>
      <c r="E223" s="40" t="s">
        <v>19</v>
      </c>
      <c r="F223" s="40" t="s">
        <v>2944</v>
      </c>
      <c r="G223" s="40"/>
      <c r="H223" s="40"/>
      <c r="I223" s="40" t="s">
        <v>49</v>
      </c>
      <c r="J223" s="40">
        <v>2004.6</v>
      </c>
      <c r="K223" s="40">
        <v>2004.6</v>
      </c>
      <c r="L223" s="40"/>
      <c r="M223" s="40">
        <v>2004.6</v>
      </c>
      <c r="N223" s="40" t="s">
        <v>10998</v>
      </c>
      <c r="O223" s="40" t="s">
        <v>234</v>
      </c>
    </row>
    <row r="224" spans="1:15" ht="29.25" customHeight="1" x14ac:dyDescent="0.2">
      <c r="A224" s="40" t="s">
        <v>10999</v>
      </c>
      <c r="B224" s="40" t="s">
        <v>10999</v>
      </c>
      <c r="C224" s="41">
        <v>46078</v>
      </c>
      <c r="D224" s="41">
        <v>46125</v>
      </c>
      <c r="E224" s="40" t="s">
        <v>19</v>
      </c>
      <c r="F224" s="40" t="s">
        <v>2944</v>
      </c>
      <c r="G224" s="40"/>
      <c r="H224" s="40"/>
      <c r="I224" s="40" t="s">
        <v>49</v>
      </c>
      <c r="J224" s="40">
        <v>2004.6</v>
      </c>
      <c r="K224" s="40">
        <v>2004.6</v>
      </c>
      <c r="L224" s="40"/>
      <c r="M224" s="40">
        <v>2004.6</v>
      </c>
      <c r="N224" s="40" t="s">
        <v>11000</v>
      </c>
      <c r="O224" s="40" t="s">
        <v>234</v>
      </c>
    </row>
    <row r="225" spans="1:15" ht="29.25" customHeight="1" x14ac:dyDescent="0.2">
      <c r="A225" s="40" t="s">
        <v>11001</v>
      </c>
      <c r="B225" s="40" t="s">
        <v>11001</v>
      </c>
      <c r="C225" s="41">
        <v>46078</v>
      </c>
      <c r="D225" s="41">
        <v>46118</v>
      </c>
      <c r="E225" s="40" t="s">
        <v>19</v>
      </c>
      <c r="F225" s="40" t="s">
        <v>2944</v>
      </c>
      <c r="G225" s="40"/>
      <c r="H225" s="40"/>
      <c r="I225" s="40" t="s">
        <v>49</v>
      </c>
      <c r="J225" s="40">
        <v>2004.6</v>
      </c>
      <c r="K225" s="40">
        <v>2004.6</v>
      </c>
      <c r="L225" s="40"/>
      <c r="M225" s="40">
        <v>2004.6</v>
      </c>
      <c r="N225" s="40" t="s">
        <v>11002</v>
      </c>
      <c r="O225" s="40" t="s">
        <v>234</v>
      </c>
    </row>
    <row r="226" spans="1:15" ht="29.25" customHeight="1" x14ac:dyDescent="0.2">
      <c r="A226" s="40" t="s">
        <v>11003</v>
      </c>
      <c r="B226" s="40" t="s">
        <v>11003</v>
      </c>
      <c r="C226" s="41">
        <v>46078</v>
      </c>
      <c r="D226" s="41">
        <v>46125</v>
      </c>
      <c r="E226" s="40" t="s">
        <v>19</v>
      </c>
      <c r="F226" s="40" t="s">
        <v>2944</v>
      </c>
      <c r="G226" s="40"/>
      <c r="H226" s="40"/>
      <c r="I226" s="40" t="s">
        <v>49</v>
      </c>
      <c r="J226" s="40">
        <v>1825.48</v>
      </c>
      <c r="K226" s="40">
        <v>1825.48</v>
      </c>
      <c r="L226" s="40"/>
      <c r="M226" s="40">
        <v>1825.48</v>
      </c>
      <c r="N226" s="40" t="s">
        <v>11004</v>
      </c>
      <c r="O226" s="40" t="s">
        <v>234</v>
      </c>
    </row>
    <row r="227" spans="1:15" ht="29.25" customHeight="1" x14ac:dyDescent="0.2">
      <c r="A227" s="40" t="s">
        <v>11005</v>
      </c>
      <c r="B227" s="40" t="s">
        <v>11005</v>
      </c>
      <c r="C227" s="41">
        <v>46078</v>
      </c>
      <c r="D227" s="41">
        <v>46113</v>
      </c>
      <c r="E227" s="40" t="s">
        <v>19</v>
      </c>
      <c r="F227" s="40" t="s">
        <v>2944</v>
      </c>
      <c r="G227" s="40"/>
      <c r="H227" s="40"/>
      <c r="I227" s="40" t="s">
        <v>49</v>
      </c>
      <c r="J227" s="40">
        <v>1825.48</v>
      </c>
      <c r="K227" s="40">
        <v>1825.48</v>
      </c>
      <c r="L227" s="40"/>
      <c r="M227" s="40">
        <v>1825.48</v>
      </c>
      <c r="N227" s="40" t="s">
        <v>11006</v>
      </c>
      <c r="O227" s="40" t="s">
        <v>234</v>
      </c>
    </row>
    <row r="228" spans="1:15" ht="29.25" customHeight="1" x14ac:dyDescent="0.2">
      <c r="A228" s="40" t="s">
        <v>11007</v>
      </c>
      <c r="B228" s="40" t="s">
        <v>11007</v>
      </c>
      <c r="C228" s="41">
        <v>46078</v>
      </c>
      <c r="D228" s="41">
        <v>46149</v>
      </c>
      <c r="E228" s="40" t="s">
        <v>19</v>
      </c>
      <c r="F228" s="40" t="s">
        <v>2684</v>
      </c>
      <c r="G228" s="40"/>
      <c r="H228" s="40"/>
      <c r="I228" s="40" t="s">
        <v>49</v>
      </c>
      <c r="J228" s="40">
        <v>2768.52</v>
      </c>
      <c r="K228" s="40">
        <v>2768.52</v>
      </c>
      <c r="L228" s="40"/>
      <c r="M228" s="40">
        <v>2768.52</v>
      </c>
      <c r="N228" s="40" t="s">
        <v>11008</v>
      </c>
      <c r="O228" s="40" t="s">
        <v>234</v>
      </c>
    </row>
    <row r="229" spans="1:15" ht="29.25" customHeight="1" x14ac:dyDescent="0.2">
      <c r="A229" s="40" t="s">
        <v>11009</v>
      </c>
      <c r="B229" s="40" t="s">
        <v>11009</v>
      </c>
      <c r="C229" s="41">
        <v>46078</v>
      </c>
      <c r="D229" s="41">
        <v>46132</v>
      </c>
      <c r="E229" s="40" t="s">
        <v>19</v>
      </c>
      <c r="F229" s="40" t="s">
        <v>2684</v>
      </c>
      <c r="G229" s="40"/>
      <c r="H229" s="40"/>
      <c r="I229" s="40" t="s">
        <v>49</v>
      </c>
      <c r="J229" s="40">
        <v>2768.52</v>
      </c>
      <c r="K229" s="40">
        <v>2768.52</v>
      </c>
      <c r="L229" s="40"/>
      <c r="M229" s="40">
        <v>2768.52</v>
      </c>
      <c r="N229" s="40" t="s">
        <v>11010</v>
      </c>
      <c r="O229" s="40" t="s">
        <v>234</v>
      </c>
    </row>
    <row r="230" spans="1:15" ht="29.25" customHeight="1" x14ac:dyDescent="0.2">
      <c r="A230" s="40" t="s">
        <v>11011</v>
      </c>
      <c r="B230" s="40" t="s">
        <v>11011</v>
      </c>
      <c r="C230" s="41">
        <v>46078</v>
      </c>
      <c r="D230" s="41">
        <v>46125</v>
      </c>
      <c r="E230" s="40" t="s">
        <v>19</v>
      </c>
      <c r="F230" s="40" t="s">
        <v>2684</v>
      </c>
      <c r="G230" s="40"/>
      <c r="H230" s="40"/>
      <c r="I230" s="40" t="s">
        <v>49</v>
      </c>
      <c r="J230" s="40">
        <v>2768.52</v>
      </c>
      <c r="K230" s="40">
        <v>2768.52</v>
      </c>
      <c r="L230" s="40"/>
      <c r="M230" s="40">
        <v>2768.52</v>
      </c>
      <c r="N230" s="40" t="s">
        <v>11012</v>
      </c>
      <c r="O230" s="40" t="s">
        <v>234</v>
      </c>
    </row>
    <row r="231" spans="1:15" ht="29.25" customHeight="1" x14ac:dyDescent="0.2">
      <c r="A231" s="40" t="s">
        <v>11013</v>
      </c>
      <c r="B231" s="40" t="s">
        <v>11013</v>
      </c>
      <c r="C231" s="41">
        <v>46078</v>
      </c>
      <c r="D231" s="41">
        <v>46125</v>
      </c>
      <c r="E231" s="40" t="s">
        <v>19</v>
      </c>
      <c r="F231" s="40" t="s">
        <v>1920</v>
      </c>
      <c r="G231" s="40"/>
      <c r="H231" s="40"/>
      <c r="I231" s="40" t="s">
        <v>49</v>
      </c>
      <c r="J231" s="40">
        <v>1868.74</v>
      </c>
      <c r="K231" s="40">
        <v>1868.74</v>
      </c>
      <c r="L231" s="40"/>
      <c r="M231" s="40">
        <v>1868.74</v>
      </c>
      <c r="N231" s="40" t="s">
        <v>11014</v>
      </c>
      <c r="O231" s="40" t="s">
        <v>234</v>
      </c>
    </row>
    <row r="232" spans="1:15" ht="29.25" customHeight="1" x14ac:dyDescent="0.2">
      <c r="A232" s="40" t="s">
        <v>11015</v>
      </c>
      <c r="B232" s="40" t="s">
        <v>11015</v>
      </c>
      <c r="C232" s="41">
        <v>46078</v>
      </c>
      <c r="D232" s="41">
        <v>46142</v>
      </c>
      <c r="E232" s="40" t="s">
        <v>19</v>
      </c>
      <c r="F232" s="40" t="s">
        <v>108</v>
      </c>
      <c r="G232" s="40"/>
      <c r="H232" s="40"/>
      <c r="I232" s="40" t="s">
        <v>49</v>
      </c>
      <c r="J232" s="40">
        <v>5937.37</v>
      </c>
      <c r="K232" s="40">
        <v>5937.37</v>
      </c>
      <c r="L232" s="40"/>
      <c r="M232" s="40">
        <v>5937.37</v>
      </c>
      <c r="N232" s="40" t="s">
        <v>11016</v>
      </c>
      <c r="O232" s="40" t="s">
        <v>234</v>
      </c>
    </row>
    <row r="233" spans="1:15" ht="29.25" customHeight="1" x14ac:dyDescent="0.2">
      <c r="A233" s="40" t="s">
        <v>11017</v>
      </c>
      <c r="B233" s="40" t="s">
        <v>11017</v>
      </c>
      <c r="C233" s="41">
        <v>46078</v>
      </c>
      <c r="D233" s="41">
        <v>46133</v>
      </c>
      <c r="E233" s="40" t="s">
        <v>19</v>
      </c>
      <c r="F233" s="40" t="s">
        <v>108</v>
      </c>
      <c r="G233" s="40"/>
      <c r="H233" s="40"/>
      <c r="I233" s="40" t="s">
        <v>49</v>
      </c>
      <c r="J233" s="40">
        <v>5937.37</v>
      </c>
      <c r="K233" s="40">
        <v>5937.37</v>
      </c>
      <c r="L233" s="40"/>
      <c r="M233" s="40">
        <v>5937.37</v>
      </c>
      <c r="N233" s="40" t="s">
        <v>11018</v>
      </c>
      <c r="O233" s="40" t="s">
        <v>234</v>
      </c>
    </row>
    <row r="234" spans="1:15" ht="29.25" customHeight="1" x14ac:dyDescent="0.2">
      <c r="A234" s="40" t="s">
        <v>11019</v>
      </c>
      <c r="B234" s="40" t="s">
        <v>11019</v>
      </c>
      <c r="C234" s="41">
        <v>46078</v>
      </c>
      <c r="D234" s="41">
        <v>46125</v>
      </c>
      <c r="E234" s="40" t="s">
        <v>19</v>
      </c>
      <c r="F234" s="40" t="s">
        <v>108</v>
      </c>
      <c r="G234" s="40"/>
      <c r="H234" s="40"/>
      <c r="I234" s="40" t="s">
        <v>49</v>
      </c>
      <c r="J234" s="40">
        <v>5937.37</v>
      </c>
      <c r="K234" s="40">
        <v>5937.37</v>
      </c>
      <c r="L234" s="40"/>
      <c r="M234" s="40">
        <v>5937.37</v>
      </c>
      <c r="N234" s="40" t="s">
        <v>11020</v>
      </c>
      <c r="O234" s="40" t="s">
        <v>234</v>
      </c>
    </row>
    <row r="235" spans="1:15" ht="29.25" customHeight="1" x14ac:dyDescent="0.2">
      <c r="A235" s="40" t="s">
        <v>11021</v>
      </c>
      <c r="B235" s="40" t="s">
        <v>11021</v>
      </c>
      <c r="C235" s="41">
        <v>46078</v>
      </c>
      <c r="D235" s="41">
        <v>46115</v>
      </c>
      <c r="E235" s="40" t="s">
        <v>19</v>
      </c>
      <c r="F235" s="40" t="s">
        <v>108</v>
      </c>
      <c r="G235" s="40"/>
      <c r="H235" s="40"/>
      <c r="I235" s="40" t="s">
        <v>49</v>
      </c>
      <c r="J235" s="40">
        <v>5937.37</v>
      </c>
      <c r="K235" s="40">
        <v>5937.37</v>
      </c>
      <c r="L235" s="40"/>
      <c r="M235" s="40">
        <v>5937.37</v>
      </c>
      <c r="N235" s="40" t="s">
        <v>11022</v>
      </c>
      <c r="O235" s="40" t="s">
        <v>234</v>
      </c>
    </row>
    <row r="236" spans="1:15" ht="29.25" customHeight="1" x14ac:dyDescent="0.2">
      <c r="A236" s="40" t="s">
        <v>11023</v>
      </c>
      <c r="B236" s="40" t="s">
        <v>11023</v>
      </c>
      <c r="C236" s="41">
        <v>46078</v>
      </c>
      <c r="D236" s="41">
        <v>46156</v>
      </c>
      <c r="E236" s="40" t="s">
        <v>19</v>
      </c>
      <c r="F236" s="40" t="s">
        <v>108</v>
      </c>
      <c r="G236" s="40"/>
      <c r="H236" s="40"/>
      <c r="I236" s="40" t="s">
        <v>49</v>
      </c>
      <c r="J236" s="40">
        <v>3666.11</v>
      </c>
      <c r="K236" s="40">
        <v>3666.11</v>
      </c>
      <c r="L236" s="40"/>
      <c r="M236" s="40">
        <v>3666.11</v>
      </c>
      <c r="N236" s="40" t="s">
        <v>11024</v>
      </c>
      <c r="O236" s="40" t="s">
        <v>234</v>
      </c>
    </row>
    <row r="237" spans="1:15" ht="29.25" customHeight="1" x14ac:dyDescent="0.2">
      <c r="A237" s="40" t="s">
        <v>11025</v>
      </c>
      <c r="B237" s="40" t="s">
        <v>11025</v>
      </c>
      <c r="C237" s="41">
        <v>46078</v>
      </c>
      <c r="D237" s="41">
        <v>46139</v>
      </c>
      <c r="E237" s="40" t="s">
        <v>19</v>
      </c>
      <c r="F237" s="40" t="s">
        <v>108</v>
      </c>
      <c r="G237" s="40"/>
      <c r="H237" s="40"/>
      <c r="I237" s="40" t="s">
        <v>49</v>
      </c>
      <c r="J237" s="40">
        <v>3666.11</v>
      </c>
      <c r="K237" s="40">
        <v>3666.11</v>
      </c>
      <c r="L237" s="40"/>
      <c r="M237" s="40">
        <v>3666.11</v>
      </c>
      <c r="N237" s="40" t="s">
        <v>11026</v>
      </c>
      <c r="O237" s="40" t="s">
        <v>234</v>
      </c>
    </row>
    <row r="238" spans="1:15" ht="29.25" customHeight="1" x14ac:dyDescent="0.2">
      <c r="A238" s="40" t="s">
        <v>11027</v>
      </c>
      <c r="B238" s="40" t="s">
        <v>11027</v>
      </c>
      <c r="C238" s="41">
        <v>46078</v>
      </c>
      <c r="D238" s="41">
        <v>46132</v>
      </c>
      <c r="E238" s="40" t="s">
        <v>19</v>
      </c>
      <c r="F238" s="40" t="s">
        <v>108</v>
      </c>
      <c r="G238" s="40"/>
      <c r="H238" s="40"/>
      <c r="I238" s="40" t="s">
        <v>49</v>
      </c>
      <c r="J238" s="40">
        <v>3666.11</v>
      </c>
      <c r="K238" s="40">
        <v>3666.11</v>
      </c>
      <c r="L238" s="40"/>
      <c r="M238" s="40">
        <v>3666.11</v>
      </c>
      <c r="N238" s="40" t="s">
        <v>11028</v>
      </c>
      <c r="O238" s="40" t="s">
        <v>234</v>
      </c>
    </row>
    <row r="239" spans="1:15" ht="29.25" customHeight="1" x14ac:dyDescent="0.2">
      <c r="A239" s="40" t="s">
        <v>11029</v>
      </c>
      <c r="B239" s="40" t="s">
        <v>11029</v>
      </c>
      <c r="C239" s="41">
        <v>46078</v>
      </c>
      <c r="D239" s="41">
        <v>46125</v>
      </c>
      <c r="E239" s="40" t="s">
        <v>19</v>
      </c>
      <c r="F239" s="40" t="s">
        <v>108</v>
      </c>
      <c r="G239" s="40"/>
      <c r="H239" s="40"/>
      <c r="I239" s="40" t="s">
        <v>49</v>
      </c>
      <c r="J239" s="40">
        <v>3666.11</v>
      </c>
      <c r="K239" s="40">
        <v>3666.11</v>
      </c>
      <c r="L239" s="40"/>
      <c r="M239" s="40">
        <v>3666.11</v>
      </c>
      <c r="N239" s="40" t="s">
        <v>11030</v>
      </c>
      <c r="O239" s="40" t="s">
        <v>234</v>
      </c>
    </row>
    <row r="240" spans="1:15" ht="29.25" customHeight="1" x14ac:dyDescent="0.2">
      <c r="A240" s="40" t="s">
        <v>11031</v>
      </c>
      <c r="B240" s="40" t="s">
        <v>11031</v>
      </c>
      <c r="C240" s="41">
        <v>46078</v>
      </c>
      <c r="D240" s="41">
        <v>46118</v>
      </c>
      <c r="E240" s="40" t="s">
        <v>19</v>
      </c>
      <c r="F240" s="40" t="s">
        <v>108</v>
      </c>
      <c r="G240" s="40"/>
      <c r="H240" s="40"/>
      <c r="I240" s="40" t="s">
        <v>49</v>
      </c>
      <c r="J240" s="40">
        <v>3666.11</v>
      </c>
      <c r="K240" s="40">
        <v>3666.11</v>
      </c>
      <c r="L240" s="40"/>
      <c r="M240" s="40">
        <v>3666.11</v>
      </c>
      <c r="N240" s="40" t="s">
        <v>11032</v>
      </c>
      <c r="O240" s="40" t="s">
        <v>234</v>
      </c>
    </row>
    <row r="241" spans="1:15" ht="29.25" customHeight="1" x14ac:dyDescent="0.2">
      <c r="A241" s="40" t="s">
        <v>11033</v>
      </c>
      <c r="B241" s="40" t="s">
        <v>11033</v>
      </c>
      <c r="C241" s="41">
        <v>46078</v>
      </c>
      <c r="D241" s="41">
        <v>46195</v>
      </c>
      <c r="E241" s="40" t="s">
        <v>19</v>
      </c>
      <c r="F241" s="40" t="s">
        <v>843</v>
      </c>
      <c r="G241" s="40"/>
      <c r="H241" s="40"/>
      <c r="I241" s="40" t="s">
        <v>49</v>
      </c>
      <c r="J241" s="40">
        <v>16789.36</v>
      </c>
      <c r="K241" s="40">
        <v>16789.36</v>
      </c>
      <c r="L241" s="40"/>
      <c r="M241" s="40">
        <v>16789.36</v>
      </c>
      <c r="N241" s="40"/>
      <c r="O241" s="40" t="s">
        <v>234</v>
      </c>
    </row>
    <row r="242" spans="1:15" ht="29.25" customHeight="1" x14ac:dyDescent="0.2">
      <c r="A242" s="40" t="s">
        <v>11034</v>
      </c>
      <c r="B242" s="40" t="s">
        <v>11034</v>
      </c>
      <c r="C242" s="41">
        <v>46078</v>
      </c>
      <c r="D242" s="41">
        <v>46185</v>
      </c>
      <c r="E242" s="40" t="s">
        <v>19</v>
      </c>
      <c r="F242" s="40" t="s">
        <v>843</v>
      </c>
      <c r="G242" s="40"/>
      <c r="H242" s="40"/>
      <c r="I242" s="40" t="s">
        <v>49</v>
      </c>
      <c r="J242" s="40">
        <v>16789.36</v>
      </c>
      <c r="K242" s="40">
        <v>16789.36</v>
      </c>
      <c r="L242" s="40"/>
      <c r="M242" s="40">
        <v>16789.36</v>
      </c>
      <c r="N242" s="40"/>
      <c r="O242" s="40" t="s">
        <v>234</v>
      </c>
    </row>
    <row r="243" spans="1:15" ht="29.25" customHeight="1" x14ac:dyDescent="0.2">
      <c r="A243" s="40" t="s">
        <v>11035</v>
      </c>
      <c r="B243" s="40" t="s">
        <v>11035</v>
      </c>
      <c r="C243" s="41">
        <v>46078</v>
      </c>
      <c r="D243" s="41">
        <v>46175</v>
      </c>
      <c r="E243" s="40" t="s">
        <v>19</v>
      </c>
      <c r="F243" s="40" t="s">
        <v>843</v>
      </c>
      <c r="G243" s="40"/>
      <c r="H243" s="40"/>
      <c r="I243" s="40" t="s">
        <v>49</v>
      </c>
      <c r="J243" s="40">
        <v>16789.36</v>
      </c>
      <c r="K243" s="40">
        <v>16789.36</v>
      </c>
      <c r="L243" s="40"/>
      <c r="M243" s="40">
        <v>16789.36</v>
      </c>
      <c r="N243" s="40"/>
      <c r="O243" s="40" t="s">
        <v>234</v>
      </c>
    </row>
    <row r="244" spans="1:15" ht="29.25" customHeight="1" x14ac:dyDescent="0.2">
      <c r="A244" s="40" t="s">
        <v>11036</v>
      </c>
      <c r="B244" s="40" t="s">
        <v>11036</v>
      </c>
      <c r="C244" s="41">
        <v>46078</v>
      </c>
      <c r="D244" s="41">
        <v>46167</v>
      </c>
      <c r="E244" s="40" t="s">
        <v>19</v>
      </c>
      <c r="F244" s="40" t="s">
        <v>843</v>
      </c>
      <c r="G244" s="40"/>
      <c r="H244" s="40"/>
      <c r="I244" s="40" t="s">
        <v>49</v>
      </c>
      <c r="J244" s="40">
        <v>16789.36</v>
      </c>
      <c r="K244" s="40">
        <v>16789.36</v>
      </c>
      <c r="L244" s="40"/>
      <c r="M244" s="40">
        <v>16789.36</v>
      </c>
      <c r="N244" s="40" t="s">
        <v>11037</v>
      </c>
      <c r="O244" s="40" t="s">
        <v>234</v>
      </c>
    </row>
    <row r="245" spans="1:15" ht="29.25" customHeight="1" x14ac:dyDescent="0.2">
      <c r="A245" s="40" t="s">
        <v>11038</v>
      </c>
      <c r="B245" s="40" t="s">
        <v>11038</v>
      </c>
      <c r="C245" s="41">
        <v>46078</v>
      </c>
      <c r="D245" s="41">
        <v>46155</v>
      </c>
      <c r="E245" s="40" t="s">
        <v>19</v>
      </c>
      <c r="F245" s="40" t="s">
        <v>843</v>
      </c>
      <c r="G245" s="40"/>
      <c r="H245" s="40"/>
      <c r="I245" s="40" t="s">
        <v>49</v>
      </c>
      <c r="J245" s="40">
        <v>16789.36</v>
      </c>
      <c r="K245" s="40">
        <v>16789.36</v>
      </c>
      <c r="L245" s="40"/>
      <c r="M245" s="40">
        <v>16789.36</v>
      </c>
      <c r="N245" s="40" t="s">
        <v>11039</v>
      </c>
      <c r="O245" s="40" t="s">
        <v>234</v>
      </c>
    </row>
    <row r="246" spans="1:15" ht="29.25" customHeight="1" x14ac:dyDescent="0.2">
      <c r="A246" s="40" t="s">
        <v>11040</v>
      </c>
      <c r="B246" s="40" t="s">
        <v>11040</v>
      </c>
      <c r="C246" s="41">
        <v>46078</v>
      </c>
      <c r="D246" s="41">
        <v>46146</v>
      </c>
      <c r="E246" s="40" t="s">
        <v>19</v>
      </c>
      <c r="F246" s="40" t="s">
        <v>843</v>
      </c>
      <c r="G246" s="40"/>
      <c r="H246" s="40"/>
      <c r="I246" s="40" t="s">
        <v>49</v>
      </c>
      <c r="J246" s="40">
        <v>16789.36</v>
      </c>
      <c r="K246" s="40">
        <v>16789.36</v>
      </c>
      <c r="L246" s="40"/>
      <c r="M246" s="40">
        <v>16789.36</v>
      </c>
      <c r="N246" s="40" t="s">
        <v>11041</v>
      </c>
      <c r="O246" s="40" t="s">
        <v>234</v>
      </c>
    </row>
    <row r="247" spans="1:15" ht="29.25" customHeight="1" x14ac:dyDescent="0.2">
      <c r="A247" s="40" t="s">
        <v>11042</v>
      </c>
      <c r="B247" s="40" t="s">
        <v>11042</v>
      </c>
      <c r="C247" s="41">
        <v>46078</v>
      </c>
      <c r="D247" s="41">
        <v>46135</v>
      </c>
      <c r="E247" s="40" t="s">
        <v>19</v>
      </c>
      <c r="F247" s="40" t="s">
        <v>843</v>
      </c>
      <c r="G247" s="40"/>
      <c r="H247" s="40"/>
      <c r="I247" s="40" t="s">
        <v>49</v>
      </c>
      <c r="J247" s="40">
        <v>16789.36</v>
      </c>
      <c r="K247" s="40">
        <v>16789.36</v>
      </c>
      <c r="L247" s="40"/>
      <c r="M247" s="40">
        <v>16789.36</v>
      </c>
      <c r="N247" s="40" t="s">
        <v>11043</v>
      </c>
      <c r="O247" s="40" t="s">
        <v>234</v>
      </c>
    </row>
    <row r="248" spans="1:15" ht="29.25" customHeight="1" x14ac:dyDescent="0.2">
      <c r="A248" s="40" t="s">
        <v>11044</v>
      </c>
      <c r="B248" s="40" t="s">
        <v>11044</v>
      </c>
      <c r="C248" s="41">
        <v>46078</v>
      </c>
      <c r="D248" s="41">
        <v>46125</v>
      </c>
      <c r="E248" s="40" t="s">
        <v>19</v>
      </c>
      <c r="F248" s="40" t="s">
        <v>843</v>
      </c>
      <c r="G248" s="40"/>
      <c r="H248" s="40"/>
      <c r="I248" s="40" t="s">
        <v>49</v>
      </c>
      <c r="J248" s="40">
        <v>16789.36</v>
      </c>
      <c r="K248" s="40">
        <v>16789.36</v>
      </c>
      <c r="L248" s="40"/>
      <c r="M248" s="40">
        <v>16789.36</v>
      </c>
      <c r="N248" s="40" t="s">
        <v>11045</v>
      </c>
      <c r="O248" s="40" t="s">
        <v>234</v>
      </c>
    </row>
    <row r="249" spans="1:15" ht="29.25" customHeight="1" x14ac:dyDescent="0.2">
      <c r="A249" s="40" t="s">
        <v>11046</v>
      </c>
      <c r="B249" s="40" t="s">
        <v>11046</v>
      </c>
      <c r="C249" s="41">
        <v>46078</v>
      </c>
      <c r="D249" s="41">
        <v>46115</v>
      </c>
      <c r="E249" s="40" t="s">
        <v>19</v>
      </c>
      <c r="F249" s="40" t="s">
        <v>843</v>
      </c>
      <c r="G249" s="40"/>
      <c r="H249" s="40"/>
      <c r="I249" s="40" t="s">
        <v>49</v>
      </c>
      <c r="J249" s="40">
        <v>16789.36</v>
      </c>
      <c r="K249" s="40">
        <v>16789.36</v>
      </c>
      <c r="L249" s="40"/>
      <c r="M249" s="40">
        <v>16789.36</v>
      </c>
      <c r="N249" s="40" t="s">
        <v>11047</v>
      </c>
      <c r="O249" s="40" t="s">
        <v>234</v>
      </c>
    </row>
    <row r="250" spans="1:15" ht="29.25" customHeight="1" x14ac:dyDescent="0.2">
      <c r="A250" s="40" t="s">
        <v>11048</v>
      </c>
      <c r="B250" s="40" t="s">
        <v>11048</v>
      </c>
      <c r="C250" s="41">
        <v>46078</v>
      </c>
      <c r="D250" s="41">
        <v>46160</v>
      </c>
      <c r="E250" s="40" t="s">
        <v>19</v>
      </c>
      <c r="F250" s="40" t="s">
        <v>843</v>
      </c>
      <c r="G250" s="40"/>
      <c r="H250" s="40"/>
      <c r="I250" s="40" t="s">
        <v>49</v>
      </c>
      <c r="J250" s="40">
        <v>7067.4</v>
      </c>
      <c r="K250" s="40">
        <v>7067.4</v>
      </c>
      <c r="L250" s="40"/>
      <c r="M250" s="40">
        <v>7067.4</v>
      </c>
      <c r="N250" s="40" t="s">
        <v>11049</v>
      </c>
      <c r="O250" s="40" t="s">
        <v>234</v>
      </c>
    </row>
    <row r="251" spans="1:15" ht="29.25" customHeight="1" x14ac:dyDescent="0.2">
      <c r="A251" s="40" t="s">
        <v>11050</v>
      </c>
      <c r="B251" s="40" t="s">
        <v>11050</v>
      </c>
      <c r="C251" s="41">
        <v>46078</v>
      </c>
      <c r="D251" s="41">
        <v>46153</v>
      </c>
      <c r="E251" s="40" t="s">
        <v>19</v>
      </c>
      <c r="F251" s="40" t="s">
        <v>843</v>
      </c>
      <c r="G251" s="40"/>
      <c r="H251" s="40"/>
      <c r="I251" s="40" t="s">
        <v>49</v>
      </c>
      <c r="J251" s="40">
        <v>7067.4</v>
      </c>
      <c r="K251" s="40">
        <v>7067.4</v>
      </c>
      <c r="L251" s="40"/>
      <c r="M251" s="40">
        <v>7067.4</v>
      </c>
      <c r="N251" s="40" t="s">
        <v>11051</v>
      </c>
      <c r="O251" s="40" t="s">
        <v>234</v>
      </c>
    </row>
    <row r="252" spans="1:15" ht="29.25" customHeight="1" x14ac:dyDescent="0.2">
      <c r="A252" s="40" t="s">
        <v>11052</v>
      </c>
      <c r="B252" s="40" t="s">
        <v>11052</v>
      </c>
      <c r="C252" s="41">
        <v>46078</v>
      </c>
      <c r="D252" s="41">
        <v>46142</v>
      </c>
      <c r="E252" s="40" t="s">
        <v>19</v>
      </c>
      <c r="F252" s="40" t="s">
        <v>843</v>
      </c>
      <c r="G252" s="40"/>
      <c r="H252" s="40"/>
      <c r="I252" s="40" t="s">
        <v>49</v>
      </c>
      <c r="J252" s="40">
        <v>7067.4</v>
      </c>
      <c r="K252" s="40">
        <v>7067.4</v>
      </c>
      <c r="L252" s="40"/>
      <c r="M252" s="40">
        <v>7067.4</v>
      </c>
      <c r="N252" s="40" t="s">
        <v>11053</v>
      </c>
      <c r="O252" s="40" t="s">
        <v>234</v>
      </c>
    </row>
    <row r="253" spans="1:15" ht="29.25" customHeight="1" x14ac:dyDescent="0.2">
      <c r="A253" s="40" t="s">
        <v>11054</v>
      </c>
      <c r="B253" s="40" t="s">
        <v>11054</v>
      </c>
      <c r="C253" s="41">
        <v>46078</v>
      </c>
      <c r="D253" s="41">
        <v>46133</v>
      </c>
      <c r="E253" s="40" t="s">
        <v>19</v>
      </c>
      <c r="F253" s="40" t="s">
        <v>843</v>
      </c>
      <c r="G253" s="40"/>
      <c r="H253" s="40"/>
      <c r="I253" s="40" t="s">
        <v>49</v>
      </c>
      <c r="J253" s="40">
        <v>7067.4</v>
      </c>
      <c r="K253" s="40">
        <v>7067.4</v>
      </c>
      <c r="L253" s="40"/>
      <c r="M253" s="40">
        <v>7067.4</v>
      </c>
      <c r="N253" s="40" t="s">
        <v>11055</v>
      </c>
      <c r="O253" s="40" t="s">
        <v>234</v>
      </c>
    </row>
    <row r="254" spans="1:15" ht="29.25" customHeight="1" x14ac:dyDescent="0.2">
      <c r="A254" s="40" t="s">
        <v>11056</v>
      </c>
      <c r="B254" s="40" t="s">
        <v>11056</v>
      </c>
      <c r="C254" s="41">
        <v>46078</v>
      </c>
      <c r="D254" s="41">
        <v>46125</v>
      </c>
      <c r="E254" s="40" t="s">
        <v>19</v>
      </c>
      <c r="F254" s="40" t="s">
        <v>843</v>
      </c>
      <c r="G254" s="40"/>
      <c r="H254" s="40"/>
      <c r="I254" s="40" t="s">
        <v>49</v>
      </c>
      <c r="J254" s="40">
        <v>7067.4</v>
      </c>
      <c r="K254" s="40">
        <v>7067.4</v>
      </c>
      <c r="L254" s="40"/>
      <c r="M254" s="40">
        <v>7067.4</v>
      </c>
      <c r="N254" s="40" t="s">
        <v>11057</v>
      </c>
      <c r="O254" s="40" t="s">
        <v>234</v>
      </c>
    </row>
    <row r="255" spans="1:15" ht="29.25" customHeight="1" x14ac:dyDescent="0.2">
      <c r="A255" s="40" t="s">
        <v>11058</v>
      </c>
      <c r="B255" s="40" t="s">
        <v>11058</v>
      </c>
      <c r="C255" s="41">
        <v>46078</v>
      </c>
      <c r="D255" s="41">
        <v>46115</v>
      </c>
      <c r="E255" s="40" t="s">
        <v>19</v>
      </c>
      <c r="F255" s="40" t="s">
        <v>843</v>
      </c>
      <c r="G255" s="40"/>
      <c r="H255" s="40"/>
      <c r="I255" s="40" t="s">
        <v>49</v>
      </c>
      <c r="J255" s="40">
        <v>7067.4</v>
      </c>
      <c r="K255" s="40">
        <v>7067.4</v>
      </c>
      <c r="L255" s="40"/>
      <c r="M255" s="40">
        <v>7067.4</v>
      </c>
      <c r="N255" s="40" t="s">
        <v>11059</v>
      </c>
      <c r="O255" s="40" t="s">
        <v>234</v>
      </c>
    </row>
    <row r="256" spans="1:15" ht="29.25" customHeight="1" x14ac:dyDescent="0.2">
      <c r="A256" s="40" t="s">
        <v>11060</v>
      </c>
      <c r="B256" s="40" t="s">
        <v>11060</v>
      </c>
      <c r="C256" s="41">
        <v>46078</v>
      </c>
      <c r="D256" s="41">
        <v>46129</v>
      </c>
      <c r="E256" s="40" t="s">
        <v>19</v>
      </c>
      <c r="F256" s="40" t="s">
        <v>843</v>
      </c>
      <c r="G256" s="40"/>
      <c r="H256" s="40"/>
      <c r="I256" s="40" t="s">
        <v>49</v>
      </c>
      <c r="J256" s="40">
        <v>2459.94</v>
      </c>
      <c r="K256" s="40">
        <v>2459.94</v>
      </c>
      <c r="L256" s="40"/>
      <c r="M256" s="40">
        <v>2459.94</v>
      </c>
      <c r="N256" s="40" t="s">
        <v>11061</v>
      </c>
      <c r="O256" s="40" t="s">
        <v>234</v>
      </c>
    </row>
    <row r="257" spans="1:15" ht="29.25" customHeight="1" x14ac:dyDescent="0.2">
      <c r="A257" s="40" t="s">
        <v>11062</v>
      </c>
      <c r="B257" s="40" t="s">
        <v>11062</v>
      </c>
      <c r="C257" s="41">
        <v>46078</v>
      </c>
      <c r="D257" s="41">
        <v>46114</v>
      </c>
      <c r="E257" s="40" t="s">
        <v>19</v>
      </c>
      <c r="F257" s="40" t="s">
        <v>843</v>
      </c>
      <c r="G257" s="40"/>
      <c r="H257" s="40"/>
      <c r="I257" s="40" t="s">
        <v>49</v>
      </c>
      <c r="J257" s="40">
        <v>2459.94</v>
      </c>
      <c r="K257" s="40">
        <v>2459.94</v>
      </c>
      <c r="L257" s="40"/>
      <c r="M257" s="40">
        <v>2459.94</v>
      </c>
      <c r="N257" s="40" t="s">
        <v>11063</v>
      </c>
      <c r="O257" s="40" t="s">
        <v>234</v>
      </c>
    </row>
    <row r="258" spans="1:15" ht="29.25" customHeight="1" x14ac:dyDescent="0.2">
      <c r="A258" s="40" t="s">
        <v>11064</v>
      </c>
      <c r="B258" s="40" t="s">
        <v>11064</v>
      </c>
      <c r="C258" s="41">
        <v>46078</v>
      </c>
      <c r="D258" s="41">
        <v>46153</v>
      </c>
      <c r="E258" s="40" t="s">
        <v>19</v>
      </c>
      <c r="F258" s="40" t="s">
        <v>1405</v>
      </c>
      <c r="G258" s="40"/>
      <c r="H258" s="40"/>
      <c r="I258" s="40" t="s">
        <v>49</v>
      </c>
      <c r="J258" s="40">
        <v>6842.61</v>
      </c>
      <c r="K258" s="40">
        <v>6842.61</v>
      </c>
      <c r="L258" s="40"/>
      <c r="M258" s="40">
        <v>6842.61</v>
      </c>
      <c r="N258" s="40" t="s">
        <v>11065</v>
      </c>
      <c r="O258" s="40" t="s">
        <v>234</v>
      </c>
    </row>
    <row r="259" spans="1:15" ht="29.25" customHeight="1" x14ac:dyDescent="0.2">
      <c r="A259" s="40" t="s">
        <v>11066</v>
      </c>
      <c r="B259" s="40" t="s">
        <v>11066</v>
      </c>
      <c r="C259" s="41">
        <v>46078</v>
      </c>
      <c r="D259" s="41">
        <v>46143</v>
      </c>
      <c r="E259" s="40" t="s">
        <v>19</v>
      </c>
      <c r="F259" s="40" t="s">
        <v>1405</v>
      </c>
      <c r="G259" s="40"/>
      <c r="H259" s="40"/>
      <c r="I259" s="40" t="s">
        <v>49</v>
      </c>
      <c r="J259" s="40">
        <v>6842.61</v>
      </c>
      <c r="K259" s="40">
        <v>6842.61</v>
      </c>
      <c r="L259" s="40"/>
      <c r="M259" s="40">
        <v>6842.61</v>
      </c>
      <c r="N259" s="40" t="s">
        <v>11067</v>
      </c>
      <c r="O259" s="40" t="s">
        <v>234</v>
      </c>
    </row>
    <row r="260" spans="1:15" ht="29.25" customHeight="1" x14ac:dyDescent="0.2">
      <c r="A260" s="40" t="s">
        <v>11068</v>
      </c>
      <c r="B260" s="40" t="s">
        <v>11068</v>
      </c>
      <c r="C260" s="41">
        <v>46078</v>
      </c>
      <c r="D260" s="41">
        <v>46136</v>
      </c>
      <c r="E260" s="40" t="s">
        <v>19</v>
      </c>
      <c r="F260" s="40" t="s">
        <v>1405</v>
      </c>
      <c r="G260" s="40"/>
      <c r="H260" s="40"/>
      <c r="I260" s="40" t="s">
        <v>49</v>
      </c>
      <c r="J260" s="40">
        <v>6842.61</v>
      </c>
      <c r="K260" s="40">
        <v>6842.61</v>
      </c>
      <c r="L260" s="40"/>
      <c r="M260" s="40">
        <v>6842.61</v>
      </c>
      <c r="N260" s="40" t="s">
        <v>11069</v>
      </c>
      <c r="O260" s="40" t="s">
        <v>234</v>
      </c>
    </row>
    <row r="261" spans="1:15" ht="29.25" customHeight="1" x14ac:dyDescent="0.2">
      <c r="A261" s="40" t="s">
        <v>11070</v>
      </c>
      <c r="B261" s="40" t="s">
        <v>11070</v>
      </c>
      <c r="C261" s="41">
        <v>46078</v>
      </c>
      <c r="D261" s="41">
        <v>46129</v>
      </c>
      <c r="E261" s="40" t="s">
        <v>19</v>
      </c>
      <c r="F261" s="40" t="s">
        <v>1405</v>
      </c>
      <c r="G261" s="40"/>
      <c r="H261" s="40"/>
      <c r="I261" s="40" t="s">
        <v>49</v>
      </c>
      <c r="J261" s="40">
        <v>6842.61</v>
      </c>
      <c r="K261" s="40">
        <v>6842.61</v>
      </c>
      <c r="L261" s="40"/>
      <c r="M261" s="40">
        <v>6842.61</v>
      </c>
      <c r="N261" s="40" t="s">
        <v>11071</v>
      </c>
      <c r="O261" s="40" t="s">
        <v>234</v>
      </c>
    </row>
    <row r="262" spans="1:15" ht="29.25" customHeight="1" x14ac:dyDescent="0.2">
      <c r="A262" s="40" t="s">
        <v>11072</v>
      </c>
      <c r="B262" s="40" t="s">
        <v>11072</v>
      </c>
      <c r="C262" s="41">
        <v>46078</v>
      </c>
      <c r="D262" s="41">
        <v>46122</v>
      </c>
      <c r="E262" s="40" t="s">
        <v>19</v>
      </c>
      <c r="F262" s="40" t="s">
        <v>1405</v>
      </c>
      <c r="G262" s="40"/>
      <c r="H262" s="40"/>
      <c r="I262" s="40" t="s">
        <v>49</v>
      </c>
      <c r="J262" s="40">
        <v>6842.61</v>
      </c>
      <c r="K262" s="40">
        <v>6842.61</v>
      </c>
      <c r="L262" s="40"/>
      <c r="M262" s="40">
        <v>6842.61</v>
      </c>
      <c r="N262" s="40" t="s">
        <v>11073</v>
      </c>
      <c r="O262" s="40" t="s">
        <v>234</v>
      </c>
    </row>
    <row r="263" spans="1:15" ht="29.25" customHeight="1" x14ac:dyDescent="0.2">
      <c r="A263" s="40" t="s">
        <v>11074</v>
      </c>
      <c r="B263" s="40" t="s">
        <v>11074</v>
      </c>
      <c r="C263" s="41">
        <v>46078</v>
      </c>
      <c r="D263" s="41">
        <v>46115</v>
      </c>
      <c r="E263" s="40" t="s">
        <v>19</v>
      </c>
      <c r="F263" s="40" t="s">
        <v>1405</v>
      </c>
      <c r="G263" s="40"/>
      <c r="H263" s="40"/>
      <c r="I263" s="40" t="s">
        <v>49</v>
      </c>
      <c r="J263" s="40">
        <v>6842.61</v>
      </c>
      <c r="K263" s="40">
        <v>6842.61</v>
      </c>
      <c r="L263" s="40"/>
      <c r="M263" s="40">
        <v>6842.61</v>
      </c>
      <c r="N263" s="40" t="s">
        <v>11075</v>
      </c>
      <c r="O263" s="40" t="s">
        <v>234</v>
      </c>
    </row>
    <row r="264" spans="1:15" ht="29.25" customHeight="1" x14ac:dyDescent="0.2">
      <c r="A264" s="40" t="s">
        <v>11076</v>
      </c>
      <c r="B264" s="40" t="s">
        <v>11076</v>
      </c>
      <c r="C264" s="41">
        <v>46078</v>
      </c>
      <c r="D264" s="41">
        <v>46108</v>
      </c>
      <c r="E264" s="40" t="s">
        <v>19</v>
      </c>
      <c r="F264" s="40" t="s">
        <v>1405</v>
      </c>
      <c r="G264" s="40"/>
      <c r="H264" s="40"/>
      <c r="I264" s="40" t="s">
        <v>49</v>
      </c>
      <c r="J264" s="40">
        <v>6842.61</v>
      </c>
      <c r="K264" s="40">
        <v>6842.61</v>
      </c>
      <c r="L264" s="40"/>
      <c r="M264" s="40">
        <v>6842.61</v>
      </c>
      <c r="N264" s="40" t="s">
        <v>11077</v>
      </c>
      <c r="O264" s="40" t="s">
        <v>234</v>
      </c>
    </row>
    <row r="265" spans="1:15" ht="29.25" customHeight="1" x14ac:dyDescent="0.2">
      <c r="A265" s="40" t="s">
        <v>11078</v>
      </c>
      <c r="B265" s="40" t="s">
        <v>11078</v>
      </c>
      <c r="C265" s="41">
        <v>46078</v>
      </c>
      <c r="D265" s="41">
        <v>46118</v>
      </c>
      <c r="E265" s="40" t="s">
        <v>19</v>
      </c>
      <c r="F265" s="40" t="s">
        <v>1405</v>
      </c>
      <c r="G265" s="40"/>
      <c r="H265" s="40"/>
      <c r="I265" s="40" t="s">
        <v>49</v>
      </c>
      <c r="J265" s="40">
        <v>3981.79</v>
      </c>
      <c r="K265" s="40">
        <v>3981.79</v>
      </c>
      <c r="L265" s="40"/>
      <c r="M265" s="40">
        <v>3981.79</v>
      </c>
      <c r="N265" s="40" t="s">
        <v>11079</v>
      </c>
      <c r="O265" s="40" t="s">
        <v>234</v>
      </c>
    </row>
    <row r="266" spans="1:15" ht="29.25" customHeight="1" x14ac:dyDescent="0.2">
      <c r="A266" s="40" t="s">
        <v>11080</v>
      </c>
      <c r="B266" s="40" t="s">
        <v>11080</v>
      </c>
      <c r="C266" s="41">
        <v>46078</v>
      </c>
      <c r="D266" s="41">
        <v>46111</v>
      </c>
      <c r="E266" s="40" t="s">
        <v>19</v>
      </c>
      <c r="F266" s="40" t="s">
        <v>1405</v>
      </c>
      <c r="G266" s="40"/>
      <c r="H266" s="40"/>
      <c r="I266" s="40" t="s">
        <v>49</v>
      </c>
      <c r="J266" s="40">
        <v>3981.79</v>
      </c>
      <c r="K266" s="40">
        <v>3981.79</v>
      </c>
      <c r="L266" s="40"/>
      <c r="M266" s="40">
        <v>3981.79</v>
      </c>
      <c r="N266" s="40" t="s">
        <v>11081</v>
      </c>
      <c r="O266" s="40" t="s">
        <v>234</v>
      </c>
    </row>
    <row r="267" spans="1:15" ht="29.25" customHeight="1" x14ac:dyDescent="0.2">
      <c r="A267" s="40" t="s">
        <v>11082</v>
      </c>
      <c r="B267" s="40" t="s">
        <v>11082</v>
      </c>
      <c r="C267" s="41">
        <v>46078</v>
      </c>
      <c r="D267" s="41">
        <v>46106</v>
      </c>
      <c r="E267" s="40" t="s">
        <v>19</v>
      </c>
      <c r="F267" s="40" t="s">
        <v>1405</v>
      </c>
      <c r="G267" s="40"/>
      <c r="H267" s="40"/>
      <c r="I267" s="40" t="s">
        <v>49</v>
      </c>
      <c r="J267" s="40">
        <v>3981.79</v>
      </c>
      <c r="K267" s="40">
        <v>3981.79</v>
      </c>
      <c r="L267" s="40"/>
      <c r="M267" s="40">
        <v>3981.79</v>
      </c>
      <c r="N267" s="40" t="s">
        <v>11083</v>
      </c>
      <c r="O267" s="40" t="s">
        <v>234</v>
      </c>
    </row>
    <row r="268" spans="1:15" ht="29.25" customHeight="1" x14ac:dyDescent="0.2">
      <c r="A268" s="40" t="s">
        <v>11084</v>
      </c>
      <c r="B268" s="40" t="s">
        <v>11084</v>
      </c>
      <c r="C268" s="41">
        <v>46078</v>
      </c>
      <c r="D268" s="41">
        <v>46115</v>
      </c>
      <c r="E268" s="40" t="s">
        <v>19</v>
      </c>
      <c r="F268" s="40" t="s">
        <v>1405</v>
      </c>
      <c r="G268" s="40"/>
      <c r="H268" s="40"/>
      <c r="I268" s="40" t="s">
        <v>49</v>
      </c>
      <c r="J268" s="40">
        <v>3605.94</v>
      </c>
      <c r="K268" s="40">
        <v>3605.94</v>
      </c>
      <c r="L268" s="40"/>
      <c r="M268" s="40">
        <v>3605.94</v>
      </c>
      <c r="N268" s="40" t="s">
        <v>11085</v>
      </c>
      <c r="O268" s="40" t="s">
        <v>234</v>
      </c>
    </row>
    <row r="269" spans="1:15" ht="29.25" customHeight="1" x14ac:dyDescent="0.2">
      <c r="A269" s="40" t="s">
        <v>11086</v>
      </c>
      <c r="B269" s="40" t="s">
        <v>11086</v>
      </c>
      <c r="C269" s="41">
        <v>46078</v>
      </c>
      <c r="D269" s="41">
        <v>46106</v>
      </c>
      <c r="E269" s="40" t="s">
        <v>19</v>
      </c>
      <c r="F269" s="40" t="s">
        <v>1405</v>
      </c>
      <c r="G269" s="40"/>
      <c r="H269" s="40"/>
      <c r="I269" s="40" t="s">
        <v>49</v>
      </c>
      <c r="J269" s="40">
        <v>3605.94</v>
      </c>
      <c r="K269" s="40">
        <v>3605.94</v>
      </c>
      <c r="L269" s="40"/>
      <c r="M269" s="40">
        <v>3605.94</v>
      </c>
      <c r="N269" s="40" t="s">
        <v>11087</v>
      </c>
      <c r="O269" s="40" t="s">
        <v>234</v>
      </c>
    </row>
    <row r="270" spans="1:15" ht="29.25" customHeight="1" x14ac:dyDescent="0.2">
      <c r="A270" s="40" t="s">
        <v>11088</v>
      </c>
      <c r="B270" s="40" t="s">
        <v>11088</v>
      </c>
      <c r="C270" s="41">
        <v>46078</v>
      </c>
      <c r="D270" s="41">
        <v>46127</v>
      </c>
      <c r="E270" s="40" t="s">
        <v>19</v>
      </c>
      <c r="F270" s="40" t="s">
        <v>1405</v>
      </c>
      <c r="G270" s="40"/>
      <c r="H270" s="40"/>
      <c r="I270" s="40" t="s">
        <v>49</v>
      </c>
      <c r="J270" s="40">
        <v>19732.09</v>
      </c>
      <c r="K270" s="40">
        <v>19732.09</v>
      </c>
      <c r="L270" s="40"/>
      <c r="M270" s="40">
        <v>19732.09</v>
      </c>
      <c r="N270" s="40" t="s">
        <v>11089</v>
      </c>
      <c r="O270" s="40" t="s">
        <v>234</v>
      </c>
    </row>
    <row r="271" spans="1:15" ht="29.25" customHeight="1" x14ac:dyDescent="0.2">
      <c r="A271" s="40" t="s">
        <v>11090</v>
      </c>
      <c r="B271" s="40" t="s">
        <v>11091</v>
      </c>
      <c r="C271" s="41">
        <v>46081</v>
      </c>
      <c r="D271" s="40"/>
      <c r="E271" s="40" t="s">
        <v>19</v>
      </c>
      <c r="F271" s="40"/>
      <c r="G271" s="40"/>
      <c r="H271" s="40" t="s">
        <v>11092</v>
      </c>
      <c r="I271" s="40" t="s">
        <v>49</v>
      </c>
      <c r="J271" s="40">
        <v>0.6</v>
      </c>
      <c r="K271" s="40">
        <v>0.6</v>
      </c>
      <c r="L271" s="40"/>
      <c r="M271" s="40">
        <v>0.6</v>
      </c>
      <c r="N271" s="40"/>
      <c r="O271" s="40" t="s">
        <v>234</v>
      </c>
    </row>
    <row r="272" spans="1:15" ht="29.25" customHeight="1" x14ac:dyDescent="0.2">
      <c r="A272" s="40" t="s">
        <v>11093</v>
      </c>
      <c r="B272" s="40" t="s">
        <v>11093</v>
      </c>
      <c r="C272" s="41">
        <v>46090</v>
      </c>
      <c r="D272" s="41">
        <v>46170</v>
      </c>
      <c r="E272" s="40" t="s">
        <v>19</v>
      </c>
      <c r="F272" s="40" t="s">
        <v>1920</v>
      </c>
      <c r="G272" s="40"/>
      <c r="H272" s="40"/>
      <c r="I272" s="40" t="s">
        <v>49</v>
      </c>
      <c r="J272" s="40">
        <v>3139.34</v>
      </c>
      <c r="K272" s="40">
        <v>3139.34</v>
      </c>
      <c r="L272" s="40"/>
      <c r="M272" s="40">
        <v>3139.34</v>
      </c>
      <c r="N272" s="40" t="s">
        <v>11094</v>
      </c>
      <c r="O272" s="40" t="s">
        <v>234</v>
      </c>
    </row>
    <row r="273" spans="1:15" ht="29.25" customHeight="1" x14ac:dyDescent="0.2">
      <c r="A273" s="40" t="s">
        <v>11095</v>
      </c>
      <c r="B273" s="40" t="s">
        <v>11095</v>
      </c>
      <c r="C273" s="41">
        <v>46090</v>
      </c>
      <c r="D273" s="41">
        <v>46153</v>
      </c>
      <c r="E273" s="40" t="s">
        <v>19</v>
      </c>
      <c r="F273" s="40" t="s">
        <v>1920</v>
      </c>
      <c r="G273" s="40"/>
      <c r="H273" s="40"/>
      <c r="I273" s="40" t="s">
        <v>49</v>
      </c>
      <c r="J273" s="40">
        <v>3139.34</v>
      </c>
      <c r="K273" s="40">
        <v>3139.34</v>
      </c>
      <c r="L273" s="40"/>
      <c r="M273" s="40">
        <v>3139.34</v>
      </c>
      <c r="N273" s="40" t="s">
        <v>11096</v>
      </c>
      <c r="O273" s="40" t="s">
        <v>234</v>
      </c>
    </row>
    <row r="274" spans="1:15" ht="29.25" customHeight="1" x14ac:dyDescent="0.2">
      <c r="A274" s="40" t="s">
        <v>11097</v>
      </c>
      <c r="B274" s="40" t="s">
        <v>11097</v>
      </c>
      <c r="C274" s="41">
        <v>46090</v>
      </c>
      <c r="D274" s="41">
        <v>46146</v>
      </c>
      <c r="E274" s="40" t="s">
        <v>19</v>
      </c>
      <c r="F274" s="40" t="s">
        <v>1920</v>
      </c>
      <c r="G274" s="40"/>
      <c r="H274" s="40"/>
      <c r="I274" s="40" t="s">
        <v>49</v>
      </c>
      <c r="J274" s="40">
        <v>3139.34</v>
      </c>
      <c r="K274" s="40">
        <v>3139.34</v>
      </c>
      <c r="L274" s="40"/>
      <c r="M274" s="40">
        <v>3139.34</v>
      </c>
      <c r="N274" s="40" t="s">
        <v>11098</v>
      </c>
      <c r="O274" s="40" t="s">
        <v>234</v>
      </c>
    </row>
    <row r="275" spans="1:15" ht="29.25" customHeight="1" x14ac:dyDescent="0.2">
      <c r="A275" s="40" t="s">
        <v>11099</v>
      </c>
      <c r="B275" s="40" t="s">
        <v>11099</v>
      </c>
      <c r="C275" s="41">
        <v>46090</v>
      </c>
      <c r="D275" s="41">
        <v>46139</v>
      </c>
      <c r="E275" s="40" t="s">
        <v>19</v>
      </c>
      <c r="F275" s="40" t="s">
        <v>1920</v>
      </c>
      <c r="G275" s="40"/>
      <c r="H275" s="40"/>
      <c r="I275" s="40" t="s">
        <v>49</v>
      </c>
      <c r="J275" s="40">
        <v>3139.34</v>
      </c>
      <c r="K275" s="40">
        <v>3139.34</v>
      </c>
      <c r="L275" s="40"/>
      <c r="M275" s="40">
        <v>3139.34</v>
      </c>
      <c r="N275" s="40" t="s">
        <v>11100</v>
      </c>
      <c r="O275" s="40" t="s">
        <v>234</v>
      </c>
    </row>
    <row r="276" spans="1:15" ht="29.25" customHeight="1" x14ac:dyDescent="0.2">
      <c r="A276" s="40" t="s">
        <v>11101</v>
      </c>
      <c r="B276" s="40" t="s">
        <v>11101</v>
      </c>
      <c r="C276" s="41">
        <v>46090</v>
      </c>
      <c r="D276" s="41">
        <v>46132</v>
      </c>
      <c r="E276" s="40" t="s">
        <v>19</v>
      </c>
      <c r="F276" s="40" t="s">
        <v>1920</v>
      </c>
      <c r="G276" s="40"/>
      <c r="H276" s="40"/>
      <c r="I276" s="40" t="s">
        <v>49</v>
      </c>
      <c r="J276" s="40">
        <v>3139.34</v>
      </c>
      <c r="K276" s="40">
        <v>3139.34</v>
      </c>
      <c r="L276" s="40"/>
      <c r="M276" s="40">
        <v>3139.34</v>
      </c>
      <c r="N276" s="40" t="s">
        <v>11102</v>
      </c>
      <c r="O276" s="40" t="s">
        <v>234</v>
      </c>
    </row>
    <row r="277" spans="1:15" ht="29.25" customHeight="1" x14ac:dyDescent="0.2">
      <c r="A277" s="40" t="s">
        <v>11103</v>
      </c>
      <c r="B277" s="40" t="s">
        <v>11103</v>
      </c>
      <c r="C277" s="41">
        <v>46090</v>
      </c>
      <c r="D277" s="41">
        <v>46125</v>
      </c>
      <c r="E277" s="40" t="s">
        <v>19</v>
      </c>
      <c r="F277" s="40" t="s">
        <v>1920</v>
      </c>
      <c r="G277" s="40"/>
      <c r="H277" s="40"/>
      <c r="I277" s="40" t="s">
        <v>49</v>
      </c>
      <c r="J277" s="40">
        <v>3139.34</v>
      </c>
      <c r="K277" s="40">
        <v>3139.34</v>
      </c>
      <c r="L277" s="40"/>
      <c r="M277" s="40">
        <v>3139.34</v>
      </c>
      <c r="N277" s="40" t="s">
        <v>11104</v>
      </c>
      <c r="O277" s="40" t="s">
        <v>234</v>
      </c>
    </row>
    <row r="278" spans="1:15" ht="29.25" customHeight="1" x14ac:dyDescent="0.2">
      <c r="A278" s="40" t="s">
        <v>11105</v>
      </c>
      <c r="B278" s="40" t="s">
        <v>11105</v>
      </c>
      <c r="C278" s="41">
        <v>46090</v>
      </c>
      <c r="D278" s="41">
        <v>46160</v>
      </c>
      <c r="E278" s="40" t="s">
        <v>19</v>
      </c>
      <c r="F278" s="40" t="s">
        <v>1920</v>
      </c>
      <c r="G278" s="40"/>
      <c r="H278" s="40"/>
      <c r="I278" s="40" t="s">
        <v>49</v>
      </c>
      <c r="J278" s="40">
        <v>2215.39</v>
      </c>
      <c r="K278" s="40">
        <v>2215.39</v>
      </c>
      <c r="L278" s="40"/>
      <c r="M278" s="40">
        <v>2215.39</v>
      </c>
      <c r="N278" s="40" t="s">
        <v>11106</v>
      </c>
      <c r="O278" s="40" t="s">
        <v>234</v>
      </c>
    </row>
    <row r="279" spans="1:15" ht="29.25" customHeight="1" x14ac:dyDescent="0.2">
      <c r="A279" s="40" t="s">
        <v>11107</v>
      </c>
      <c r="B279" s="40" t="s">
        <v>11107</v>
      </c>
      <c r="C279" s="41">
        <v>46090</v>
      </c>
      <c r="D279" s="41">
        <v>46150</v>
      </c>
      <c r="E279" s="40" t="s">
        <v>19</v>
      </c>
      <c r="F279" s="40" t="s">
        <v>1920</v>
      </c>
      <c r="G279" s="40"/>
      <c r="H279" s="40"/>
      <c r="I279" s="40" t="s">
        <v>49</v>
      </c>
      <c r="J279" s="40">
        <v>2215.4</v>
      </c>
      <c r="K279" s="40">
        <v>2215.4</v>
      </c>
      <c r="L279" s="40"/>
      <c r="M279" s="40">
        <v>2215.4</v>
      </c>
      <c r="N279" s="40" t="s">
        <v>11108</v>
      </c>
      <c r="O279" s="40" t="s">
        <v>234</v>
      </c>
    </row>
    <row r="280" spans="1:15" ht="29.25" customHeight="1" x14ac:dyDescent="0.2">
      <c r="A280" s="40" t="s">
        <v>11109</v>
      </c>
      <c r="B280" s="40" t="s">
        <v>11109</v>
      </c>
      <c r="C280" s="41">
        <v>46090</v>
      </c>
      <c r="D280" s="41">
        <v>46140</v>
      </c>
      <c r="E280" s="40" t="s">
        <v>19</v>
      </c>
      <c r="F280" s="40" t="s">
        <v>1920</v>
      </c>
      <c r="G280" s="40"/>
      <c r="H280" s="40"/>
      <c r="I280" s="40" t="s">
        <v>49</v>
      </c>
      <c r="J280" s="40">
        <v>2215.4</v>
      </c>
      <c r="K280" s="40">
        <v>2215.4</v>
      </c>
      <c r="L280" s="40"/>
      <c r="M280" s="40">
        <v>2215.4</v>
      </c>
      <c r="N280" s="40" t="s">
        <v>11110</v>
      </c>
      <c r="O280" s="40" t="s">
        <v>234</v>
      </c>
    </row>
    <row r="281" spans="1:15" ht="29.25" customHeight="1" x14ac:dyDescent="0.2">
      <c r="A281" s="40" t="s">
        <v>11111</v>
      </c>
      <c r="B281" s="40" t="s">
        <v>11111</v>
      </c>
      <c r="C281" s="41">
        <v>46090</v>
      </c>
      <c r="D281" s="41">
        <v>46132</v>
      </c>
      <c r="E281" s="40" t="s">
        <v>19</v>
      </c>
      <c r="F281" s="40" t="s">
        <v>1920</v>
      </c>
      <c r="G281" s="40"/>
      <c r="H281" s="40"/>
      <c r="I281" s="40" t="s">
        <v>49</v>
      </c>
      <c r="J281" s="40">
        <v>2215.4</v>
      </c>
      <c r="K281" s="40">
        <v>2215.4</v>
      </c>
      <c r="L281" s="40"/>
      <c r="M281" s="40">
        <v>2215.4</v>
      </c>
      <c r="N281" s="40" t="s">
        <v>11112</v>
      </c>
      <c r="O281" s="40" t="s">
        <v>234</v>
      </c>
    </row>
    <row r="282" spans="1:15" ht="29.25" customHeight="1" x14ac:dyDescent="0.2">
      <c r="A282" s="40" t="s">
        <v>11113</v>
      </c>
      <c r="B282" s="40" t="s">
        <v>11113</v>
      </c>
      <c r="C282" s="41">
        <v>46090</v>
      </c>
      <c r="D282" s="41">
        <v>46153</v>
      </c>
      <c r="E282" s="40" t="s">
        <v>19</v>
      </c>
      <c r="F282" s="40" t="s">
        <v>275</v>
      </c>
      <c r="G282" s="40"/>
      <c r="H282" s="40"/>
      <c r="I282" s="40" t="s">
        <v>49</v>
      </c>
      <c r="J282" s="40">
        <v>2971.95</v>
      </c>
      <c r="K282" s="40">
        <v>2971.95</v>
      </c>
      <c r="L282" s="40"/>
      <c r="M282" s="40">
        <v>2971.95</v>
      </c>
      <c r="N282" s="40" t="s">
        <v>11114</v>
      </c>
      <c r="O282" s="40" t="s">
        <v>234</v>
      </c>
    </row>
    <row r="283" spans="1:15" ht="29.25" customHeight="1" x14ac:dyDescent="0.2">
      <c r="A283" s="40" t="s">
        <v>11115</v>
      </c>
      <c r="B283" s="40" t="s">
        <v>11115</v>
      </c>
      <c r="C283" s="41">
        <v>46090</v>
      </c>
      <c r="D283" s="41">
        <v>46143</v>
      </c>
      <c r="E283" s="40" t="s">
        <v>19</v>
      </c>
      <c r="F283" s="40" t="s">
        <v>275</v>
      </c>
      <c r="G283" s="40"/>
      <c r="H283" s="40"/>
      <c r="I283" s="40" t="s">
        <v>49</v>
      </c>
      <c r="J283" s="40">
        <v>2971.94</v>
      </c>
      <c r="K283" s="40">
        <v>2971.94</v>
      </c>
      <c r="L283" s="40"/>
      <c r="M283" s="40">
        <v>2971.94</v>
      </c>
      <c r="N283" s="40" t="s">
        <v>11116</v>
      </c>
      <c r="O283" s="40" t="s">
        <v>234</v>
      </c>
    </row>
    <row r="284" spans="1:15" ht="29.25" customHeight="1" x14ac:dyDescent="0.2">
      <c r="A284" s="40" t="s">
        <v>11117</v>
      </c>
      <c r="B284" s="40" t="s">
        <v>11117</v>
      </c>
      <c r="C284" s="41">
        <v>46090</v>
      </c>
      <c r="D284" s="41">
        <v>46133</v>
      </c>
      <c r="E284" s="40" t="s">
        <v>19</v>
      </c>
      <c r="F284" s="40" t="s">
        <v>275</v>
      </c>
      <c r="G284" s="40"/>
      <c r="H284" s="40"/>
      <c r="I284" s="40" t="s">
        <v>49</v>
      </c>
      <c r="J284" s="40">
        <v>2971.94</v>
      </c>
      <c r="K284" s="40">
        <v>2971.94</v>
      </c>
      <c r="L284" s="40"/>
      <c r="M284" s="40">
        <v>2971.94</v>
      </c>
      <c r="N284" s="40" t="s">
        <v>11118</v>
      </c>
      <c r="O284" s="40" t="s">
        <v>234</v>
      </c>
    </row>
    <row r="285" spans="1:15" ht="29.25" customHeight="1" x14ac:dyDescent="0.2">
      <c r="A285" s="40" t="s">
        <v>11119</v>
      </c>
      <c r="B285" s="40" t="s">
        <v>11119</v>
      </c>
      <c r="C285" s="41">
        <v>46090</v>
      </c>
      <c r="D285" s="41">
        <v>46125</v>
      </c>
      <c r="E285" s="40" t="s">
        <v>19</v>
      </c>
      <c r="F285" s="40" t="s">
        <v>275</v>
      </c>
      <c r="G285" s="40"/>
      <c r="H285" s="40"/>
      <c r="I285" s="40" t="s">
        <v>49</v>
      </c>
      <c r="J285" s="40">
        <v>2971.94</v>
      </c>
      <c r="K285" s="40">
        <v>2971.94</v>
      </c>
      <c r="L285" s="40"/>
      <c r="M285" s="40">
        <v>2971.94</v>
      </c>
      <c r="N285" s="40" t="s">
        <v>11120</v>
      </c>
      <c r="O285" s="40" t="s">
        <v>234</v>
      </c>
    </row>
    <row r="286" spans="1:15" ht="29.25" customHeight="1" x14ac:dyDescent="0.2">
      <c r="A286" s="40" t="s">
        <v>11121</v>
      </c>
      <c r="B286" s="40" t="s">
        <v>11121</v>
      </c>
      <c r="C286" s="41">
        <v>46090</v>
      </c>
      <c r="D286" s="41">
        <v>46161</v>
      </c>
      <c r="E286" s="40" t="s">
        <v>19</v>
      </c>
      <c r="F286" s="40" t="s">
        <v>275</v>
      </c>
      <c r="G286" s="40"/>
      <c r="H286" s="40"/>
      <c r="I286" s="40" t="s">
        <v>49</v>
      </c>
      <c r="J286" s="40">
        <v>3253.89</v>
      </c>
      <c r="K286" s="40">
        <v>3253.89</v>
      </c>
      <c r="L286" s="40"/>
      <c r="M286" s="40">
        <v>3253.89</v>
      </c>
      <c r="N286" s="40" t="s">
        <v>11122</v>
      </c>
      <c r="O286" s="40" t="s">
        <v>234</v>
      </c>
    </row>
    <row r="287" spans="1:15" ht="29.25" customHeight="1" x14ac:dyDescent="0.2">
      <c r="A287" s="40" t="s">
        <v>11123</v>
      </c>
      <c r="B287" s="40" t="s">
        <v>11123</v>
      </c>
      <c r="C287" s="41">
        <v>46090</v>
      </c>
      <c r="D287" s="41">
        <v>46146</v>
      </c>
      <c r="E287" s="40" t="s">
        <v>19</v>
      </c>
      <c r="F287" s="40" t="s">
        <v>275</v>
      </c>
      <c r="G287" s="40"/>
      <c r="H287" s="40"/>
      <c r="I287" s="40" t="s">
        <v>49</v>
      </c>
      <c r="J287" s="40">
        <v>3253.89</v>
      </c>
      <c r="K287" s="40">
        <v>3253.89</v>
      </c>
      <c r="L287" s="40"/>
      <c r="M287" s="40">
        <v>3253.89</v>
      </c>
      <c r="N287" s="40" t="s">
        <v>11124</v>
      </c>
      <c r="O287" s="40" t="s">
        <v>234</v>
      </c>
    </row>
    <row r="288" spans="1:15" ht="29.25" customHeight="1" x14ac:dyDescent="0.2">
      <c r="A288" s="40" t="s">
        <v>11125</v>
      </c>
      <c r="B288" s="40" t="s">
        <v>11125</v>
      </c>
      <c r="C288" s="41">
        <v>46090</v>
      </c>
      <c r="D288" s="41">
        <v>46139</v>
      </c>
      <c r="E288" s="40" t="s">
        <v>19</v>
      </c>
      <c r="F288" s="40" t="s">
        <v>275</v>
      </c>
      <c r="G288" s="40"/>
      <c r="H288" s="40"/>
      <c r="I288" s="40" t="s">
        <v>49</v>
      </c>
      <c r="J288" s="40">
        <v>3253.89</v>
      </c>
      <c r="K288" s="40">
        <v>3253.89</v>
      </c>
      <c r="L288" s="40"/>
      <c r="M288" s="40">
        <v>3253.89</v>
      </c>
      <c r="N288" s="40" t="s">
        <v>11126</v>
      </c>
      <c r="O288" s="40" t="s">
        <v>234</v>
      </c>
    </row>
    <row r="289" spans="1:15" ht="29.25" customHeight="1" x14ac:dyDescent="0.2">
      <c r="A289" s="40" t="s">
        <v>11127</v>
      </c>
      <c r="B289" s="40" t="s">
        <v>11127</v>
      </c>
      <c r="C289" s="41">
        <v>46090</v>
      </c>
      <c r="D289" s="41">
        <v>46132</v>
      </c>
      <c r="E289" s="40" t="s">
        <v>19</v>
      </c>
      <c r="F289" s="40" t="s">
        <v>275</v>
      </c>
      <c r="G289" s="40"/>
      <c r="H289" s="40"/>
      <c r="I289" s="40" t="s">
        <v>49</v>
      </c>
      <c r="J289" s="40">
        <v>3253.89</v>
      </c>
      <c r="K289" s="40">
        <v>3253.89</v>
      </c>
      <c r="L289" s="40"/>
      <c r="M289" s="40">
        <v>3253.89</v>
      </c>
      <c r="N289" s="40" t="s">
        <v>11128</v>
      </c>
      <c r="O289" s="40" t="s">
        <v>234</v>
      </c>
    </row>
    <row r="290" spans="1:15" ht="29.25" customHeight="1" x14ac:dyDescent="0.2">
      <c r="A290" s="40" t="s">
        <v>11129</v>
      </c>
      <c r="B290" s="40" t="s">
        <v>11129</v>
      </c>
      <c r="C290" s="41">
        <v>46090</v>
      </c>
      <c r="D290" s="41">
        <v>46125</v>
      </c>
      <c r="E290" s="40" t="s">
        <v>19</v>
      </c>
      <c r="F290" s="40" t="s">
        <v>275</v>
      </c>
      <c r="G290" s="40"/>
      <c r="H290" s="40"/>
      <c r="I290" s="40" t="s">
        <v>49</v>
      </c>
      <c r="J290" s="40">
        <v>3253.89</v>
      </c>
      <c r="K290" s="40">
        <v>3253.89</v>
      </c>
      <c r="L290" s="40"/>
      <c r="M290" s="40">
        <v>3253.89</v>
      </c>
      <c r="N290" s="40" t="s">
        <v>11130</v>
      </c>
      <c r="O290" s="40" t="s">
        <v>234</v>
      </c>
    </row>
    <row r="291" spans="1:15" ht="29.25" customHeight="1" x14ac:dyDescent="0.2">
      <c r="A291" s="40" t="s">
        <v>11131</v>
      </c>
      <c r="B291" s="40" t="s">
        <v>11131</v>
      </c>
      <c r="C291" s="41">
        <v>46090</v>
      </c>
      <c r="D291" s="41">
        <v>46118</v>
      </c>
      <c r="E291" s="40" t="s">
        <v>19</v>
      </c>
      <c r="F291" s="40" t="s">
        <v>275</v>
      </c>
      <c r="G291" s="40"/>
      <c r="H291" s="40"/>
      <c r="I291" s="40" t="s">
        <v>49</v>
      </c>
      <c r="J291" s="40">
        <v>3253.89</v>
      </c>
      <c r="K291" s="40">
        <v>3253.89</v>
      </c>
      <c r="L291" s="40"/>
      <c r="M291" s="40">
        <v>3253.89</v>
      </c>
      <c r="N291" s="40" t="s">
        <v>11132</v>
      </c>
      <c r="O291" s="40" t="s">
        <v>234</v>
      </c>
    </row>
    <row r="292" spans="1:15" ht="29.25" customHeight="1" x14ac:dyDescent="0.2">
      <c r="A292" s="40" t="s">
        <v>11133</v>
      </c>
      <c r="B292" s="40" t="s">
        <v>11133</v>
      </c>
      <c r="C292" s="41">
        <v>46090</v>
      </c>
      <c r="D292" s="41">
        <v>46161</v>
      </c>
      <c r="E292" s="40" t="s">
        <v>19</v>
      </c>
      <c r="F292" s="40" t="s">
        <v>275</v>
      </c>
      <c r="G292" s="40"/>
      <c r="H292" s="40"/>
      <c r="I292" s="40" t="s">
        <v>49</v>
      </c>
      <c r="J292" s="40">
        <v>3883.46</v>
      </c>
      <c r="K292" s="40">
        <v>3883.46</v>
      </c>
      <c r="L292" s="40"/>
      <c r="M292" s="40">
        <v>3883.46</v>
      </c>
      <c r="N292" s="40" t="s">
        <v>11134</v>
      </c>
      <c r="O292" s="40" t="s">
        <v>234</v>
      </c>
    </row>
    <row r="293" spans="1:15" ht="29.25" customHeight="1" x14ac:dyDescent="0.2">
      <c r="A293" s="40" t="s">
        <v>11135</v>
      </c>
      <c r="B293" s="40" t="s">
        <v>11135</v>
      </c>
      <c r="C293" s="41">
        <v>46090</v>
      </c>
      <c r="D293" s="41">
        <v>46146</v>
      </c>
      <c r="E293" s="40" t="s">
        <v>19</v>
      </c>
      <c r="F293" s="40" t="s">
        <v>275</v>
      </c>
      <c r="G293" s="40"/>
      <c r="H293" s="40"/>
      <c r="I293" s="40" t="s">
        <v>49</v>
      </c>
      <c r="J293" s="40">
        <v>3883.46</v>
      </c>
      <c r="K293" s="40">
        <v>3883.46</v>
      </c>
      <c r="L293" s="40"/>
      <c r="M293" s="40">
        <v>3883.46</v>
      </c>
      <c r="N293" s="40" t="s">
        <v>11136</v>
      </c>
      <c r="O293" s="40" t="s">
        <v>234</v>
      </c>
    </row>
    <row r="294" spans="1:15" ht="29.25" customHeight="1" x14ac:dyDescent="0.2">
      <c r="A294" s="40" t="s">
        <v>11137</v>
      </c>
      <c r="B294" s="40" t="s">
        <v>11137</v>
      </c>
      <c r="C294" s="41">
        <v>46090</v>
      </c>
      <c r="D294" s="41">
        <v>46139</v>
      </c>
      <c r="E294" s="40" t="s">
        <v>19</v>
      </c>
      <c r="F294" s="40" t="s">
        <v>275</v>
      </c>
      <c r="G294" s="40"/>
      <c r="H294" s="40"/>
      <c r="I294" s="40" t="s">
        <v>49</v>
      </c>
      <c r="J294" s="40">
        <v>3883.46</v>
      </c>
      <c r="K294" s="40">
        <v>3883.46</v>
      </c>
      <c r="L294" s="40"/>
      <c r="M294" s="40">
        <v>3883.46</v>
      </c>
      <c r="N294" s="40" t="s">
        <v>11138</v>
      </c>
      <c r="O294" s="40" t="s">
        <v>234</v>
      </c>
    </row>
    <row r="295" spans="1:15" ht="29.25" customHeight="1" x14ac:dyDescent="0.2">
      <c r="A295" s="40" t="s">
        <v>11139</v>
      </c>
      <c r="B295" s="40" t="s">
        <v>11139</v>
      </c>
      <c r="C295" s="41">
        <v>46090</v>
      </c>
      <c r="D295" s="41">
        <v>46132</v>
      </c>
      <c r="E295" s="40" t="s">
        <v>19</v>
      </c>
      <c r="F295" s="40" t="s">
        <v>275</v>
      </c>
      <c r="G295" s="40"/>
      <c r="H295" s="40"/>
      <c r="I295" s="40" t="s">
        <v>49</v>
      </c>
      <c r="J295" s="40">
        <v>3883.46</v>
      </c>
      <c r="K295" s="40">
        <v>3883.46</v>
      </c>
      <c r="L295" s="40"/>
      <c r="M295" s="40">
        <v>3883.46</v>
      </c>
      <c r="N295" s="40" t="s">
        <v>11140</v>
      </c>
      <c r="O295" s="40" t="s">
        <v>234</v>
      </c>
    </row>
    <row r="296" spans="1:15" ht="29.25" customHeight="1" x14ac:dyDescent="0.2">
      <c r="A296" s="40" t="s">
        <v>11141</v>
      </c>
      <c r="B296" s="40" t="s">
        <v>11141</v>
      </c>
      <c r="C296" s="41">
        <v>46090</v>
      </c>
      <c r="D296" s="41">
        <v>46125</v>
      </c>
      <c r="E296" s="40" t="s">
        <v>19</v>
      </c>
      <c r="F296" s="40" t="s">
        <v>275</v>
      </c>
      <c r="G296" s="40"/>
      <c r="H296" s="40"/>
      <c r="I296" s="40" t="s">
        <v>49</v>
      </c>
      <c r="J296" s="40">
        <v>3883.46</v>
      </c>
      <c r="K296" s="40">
        <v>3883.46</v>
      </c>
      <c r="L296" s="40"/>
      <c r="M296" s="40">
        <v>3883.46</v>
      </c>
      <c r="N296" s="40" t="s">
        <v>11142</v>
      </c>
      <c r="O296" s="40" t="s">
        <v>234</v>
      </c>
    </row>
    <row r="297" spans="1:15" ht="29.25" customHeight="1" x14ac:dyDescent="0.2">
      <c r="A297" s="40" t="s">
        <v>11143</v>
      </c>
      <c r="B297" s="40" t="s">
        <v>11143</v>
      </c>
      <c r="C297" s="41">
        <v>46090</v>
      </c>
      <c r="D297" s="41">
        <v>46118</v>
      </c>
      <c r="E297" s="40" t="s">
        <v>19</v>
      </c>
      <c r="F297" s="40" t="s">
        <v>275</v>
      </c>
      <c r="G297" s="40"/>
      <c r="H297" s="40"/>
      <c r="I297" s="40" t="s">
        <v>49</v>
      </c>
      <c r="J297" s="40">
        <v>3883.46</v>
      </c>
      <c r="K297" s="40">
        <v>3883.46</v>
      </c>
      <c r="L297" s="40"/>
      <c r="M297" s="40">
        <v>3883.46</v>
      </c>
      <c r="N297" s="40" t="s">
        <v>11144</v>
      </c>
      <c r="O297" s="40" t="s">
        <v>234</v>
      </c>
    </row>
    <row r="298" spans="1:15" ht="29.25" customHeight="1" x14ac:dyDescent="0.2">
      <c r="A298" s="40" t="s">
        <v>11145</v>
      </c>
      <c r="B298" s="40" t="s">
        <v>11145</v>
      </c>
      <c r="C298" s="41">
        <v>46090</v>
      </c>
      <c r="D298" s="41">
        <v>46153</v>
      </c>
      <c r="E298" s="40" t="s">
        <v>19</v>
      </c>
      <c r="F298" s="40" t="s">
        <v>275</v>
      </c>
      <c r="G298" s="40"/>
      <c r="H298" s="40"/>
      <c r="I298" s="40" t="s">
        <v>49</v>
      </c>
      <c r="J298" s="40">
        <v>1217.8599999999999</v>
      </c>
      <c r="K298" s="40">
        <v>1217.8599999999999</v>
      </c>
      <c r="L298" s="40"/>
      <c r="M298" s="40">
        <v>1217.8599999999999</v>
      </c>
      <c r="N298" s="40" t="s">
        <v>11146</v>
      </c>
      <c r="O298" s="40" t="s">
        <v>234</v>
      </c>
    </row>
    <row r="299" spans="1:15" ht="29.25" customHeight="1" x14ac:dyDescent="0.2">
      <c r="A299" s="40" t="s">
        <v>11147</v>
      </c>
      <c r="B299" s="40" t="s">
        <v>11147</v>
      </c>
      <c r="C299" s="41">
        <v>46090</v>
      </c>
      <c r="D299" s="41">
        <v>46141</v>
      </c>
      <c r="E299" s="40" t="s">
        <v>19</v>
      </c>
      <c r="F299" s="40" t="s">
        <v>275</v>
      </c>
      <c r="G299" s="40"/>
      <c r="H299" s="40"/>
      <c r="I299" s="40" t="s">
        <v>49</v>
      </c>
      <c r="J299" s="40">
        <v>1217.8599999999999</v>
      </c>
      <c r="K299" s="40">
        <v>1217.8599999999999</v>
      </c>
      <c r="L299" s="40"/>
      <c r="M299" s="40">
        <v>1217.8599999999999</v>
      </c>
      <c r="N299" s="40" t="s">
        <v>11148</v>
      </c>
      <c r="O299" s="40" t="s">
        <v>234</v>
      </c>
    </row>
    <row r="300" spans="1:15" ht="29.25" customHeight="1" x14ac:dyDescent="0.2">
      <c r="A300" s="40" t="s">
        <v>11149</v>
      </c>
      <c r="B300" s="40" t="s">
        <v>11149</v>
      </c>
      <c r="C300" s="41">
        <v>46090</v>
      </c>
      <c r="D300" s="41">
        <v>46132</v>
      </c>
      <c r="E300" s="40" t="s">
        <v>19</v>
      </c>
      <c r="F300" s="40" t="s">
        <v>275</v>
      </c>
      <c r="G300" s="40"/>
      <c r="H300" s="40"/>
      <c r="I300" s="40" t="s">
        <v>49</v>
      </c>
      <c r="J300" s="40">
        <v>1217.8599999999999</v>
      </c>
      <c r="K300" s="40">
        <v>1217.8599999999999</v>
      </c>
      <c r="L300" s="40"/>
      <c r="M300" s="40">
        <v>1217.8599999999999</v>
      </c>
      <c r="N300" s="40" t="s">
        <v>11150</v>
      </c>
      <c r="O300" s="40" t="s">
        <v>234</v>
      </c>
    </row>
    <row r="301" spans="1:15" ht="29.25" customHeight="1" x14ac:dyDescent="0.2">
      <c r="A301" s="40" t="s">
        <v>11151</v>
      </c>
      <c r="B301" s="40" t="s">
        <v>11151</v>
      </c>
      <c r="C301" s="41">
        <v>46090</v>
      </c>
      <c r="D301" s="41">
        <v>46121</v>
      </c>
      <c r="E301" s="40" t="s">
        <v>19</v>
      </c>
      <c r="F301" s="40" t="s">
        <v>275</v>
      </c>
      <c r="G301" s="40"/>
      <c r="H301" s="40"/>
      <c r="I301" s="40" t="s">
        <v>49</v>
      </c>
      <c r="J301" s="40">
        <v>1217.8599999999999</v>
      </c>
      <c r="K301" s="40">
        <v>1217.8599999999999</v>
      </c>
      <c r="L301" s="40"/>
      <c r="M301" s="40">
        <v>1217.8599999999999</v>
      </c>
      <c r="N301" s="40" t="s">
        <v>11152</v>
      </c>
      <c r="O301" s="40" t="s">
        <v>234</v>
      </c>
    </row>
    <row r="302" spans="1:15" ht="29.25" customHeight="1" x14ac:dyDescent="0.2">
      <c r="A302" s="40" t="s">
        <v>11153</v>
      </c>
      <c r="B302" s="40" t="s">
        <v>11153</v>
      </c>
      <c r="C302" s="41">
        <v>46090</v>
      </c>
      <c r="D302" s="41">
        <v>46132</v>
      </c>
      <c r="E302" s="40" t="s">
        <v>19</v>
      </c>
      <c r="F302" s="40" t="s">
        <v>275</v>
      </c>
      <c r="G302" s="40"/>
      <c r="H302" s="40"/>
      <c r="I302" s="40" t="s">
        <v>49</v>
      </c>
      <c r="J302" s="40">
        <v>3328.61</v>
      </c>
      <c r="K302" s="40">
        <v>3328.61</v>
      </c>
      <c r="L302" s="40"/>
      <c r="M302" s="40">
        <v>3328.61</v>
      </c>
      <c r="N302" s="40" t="s">
        <v>11154</v>
      </c>
      <c r="O302" s="40" t="s">
        <v>234</v>
      </c>
    </row>
    <row r="303" spans="1:15" ht="29.25" customHeight="1" x14ac:dyDescent="0.2">
      <c r="A303" s="40" t="s">
        <v>11155</v>
      </c>
      <c r="B303" s="40" t="s">
        <v>11155</v>
      </c>
      <c r="C303" s="41">
        <v>46090</v>
      </c>
      <c r="D303" s="41">
        <v>46167</v>
      </c>
      <c r="E303" s="40" t="s">
        <v>19</v>
      </c>
      <c r="F303" s="40" t="s">
        <v>843</v>
      </c>
      <c r="G303" s="40"/>
      <c r="H303" s="40"/>
      <c r="I303" s="40" t="s">
        <v>49</v>
      </c>
      <c r="J303" s="40">
        <v>6713.85</v>
      </c>
      <c r="K303" s="40">
        <v>6713.85</v>
      </c>
      <c r="L303" s="40"/>
      <c r="M303" s="40">
        <v>6713.85</v>
      </c>
      <c r="N303" s="40" t="s">
        <v>11156</v>
      </c>
      <c r="O303" s="40" t="s">
        <v>234</v>
      </c>
    </row>
    <row r="304" spans="1:15" ht="29.25" customHeight="1" x14ac:dyDescent="0.2">
      <c r="A304" s="40" t="s">
        <v>11157</v>
      </c>
      <c r="B304" s="40" t="s">
        <v>11157</v>
      </c>
      <c r="C304" s="41">
        <v>46090</v>
      </c>
      <c r="D304" s="41">
        <v>46156</v>
      </c>
      <c r="E304" s="40" t="s">
        <v>19</v>
      </c>
      <c r="F304" s="40" t="s">
        <v>843</v>
      </c>
      <c r="G304" s="40"/>
      <c r="H304" s="40"/>
      <c r="I304" s="40" t="s">
        <v>49</v>
      </c>
      <c r="J304" s="40">
        <v>6713.85</v>
      </c>
      <c r="K304" s="40">
        <v>6713.85</v>
      </c>
      <c r="L304" s="40"/>
      <c r="M304" s="40">
        <v>6713.85</v>
      </c>
      <c r="N304" s="40" t="s">
        <v>11158</v>
      </c>
      <c r="O304" s="40" t="s">
        <v>234</v>
      </c>
    </row>
    <row r="305" spans="1:15" ht="29.25" customHeight="1" x14ac:dyDescent="0.2">
      <c r="A305" s="40" t="s">
        <v>11159</v>
      </c>
      <c r="B305" s="40" t="s">
        <v>11159</v>
      </c>
      <c r="C305" s="41">
        <v>46090</v>
      </c>
      <c r="D305" s="41">
        <v>46149</v>
      </c>
      <c r="E305" s="40" t="s">
        <v>19</v>
      </c>
      <c r="F305" s="40" t="s">
        <v>843</v>
      </c>
      <c r="G305" s="40"/>
      <c r="H305" s="40"/>
      <c r="I305" s="40" t="s">
        <v>49</v>
      </c>
      <c r="J305" s="40">
        <v>6713.85</v>
      </c>
      <c r="K305" s="40">
        <v>6713.85</v>
      </c>
      <c r="L305" s="40"/>
      <c r="M305" s="40">
        <v>6713.85</v>
      </c>
      <c r="N305" s="40" t="s">
        <v>11160</v>
      </c>
      <c r="O305" s="40" t="s">
        <v>234</v>
      </c>
    </row>
    <row r="306" spans="1:15" ht="29.25" customHeight="1" x14ac:dyDescent="0.2">
      <c r="A306" s="40" t="s">
        <v>11161</v>
      </c>
      <c r="B306" s="40" t="s">
        <v>11161</v>
      </c>
      <c r="C306" s="41">
        <v>46090</v>
      </c>
      <c r="D306" s="41">
        <v>46142</v>
      </c>
      <c r="E306" s="40" t="s">
        <v>19</v>
      </c>
      <c r="F306" s="40" t="s">
        <v>843</v>
      </c>
      <c r="G306" s="40"/>
      <c r="H306" s="40"/>
      <c r="I306" s="40" t="s">
        <v>49</v>
      </c>
      <c r="J306" s="40">
        <v>6713.85</v>
      </c>
      <c r="K306" s="40">
        <v>6713.85</v>
      </c>
      <c r="L306" s="40"/>
      <c r="M306" s="40">
        <v>6713.85</v>
      </c>
      <c r="N306" s="40" t="s">
        <v>11162</v>
      </c>
      <c r="O306" s="40" t="s">
        <v>234</v>
      </c>
    </row>
    <row r="307" spans="1:15" ht="29.25" customHeight="1" x14ac:dyDescent="0.2">
      <c r="A307" s="40" t="s">
        <v>11163</v>
      </c>
      <c r="B307" s="40" t="s">
        <v>11163</v>
      </c>
      <c r="C307" s="41">
        <v>46090</v>
      </c>
      <c r="D307" s="41">
        <v>46135</v>
      </c>
      <c r="E307" s="40" t="s">
        <v>19</v>
      </c>
      <c r="F307" s="40" t="s">
        <v>843</v>
      </c>
      <c r="G307" s="40"/>
      <c r="H307" s="40"/>
      <c r="I307" s="40" t="s">
        <v>49</v>
      </c>
      <c r="J307" s="40">
        <v>6713.85</v>
      </c>
      <c r="K307" s="40">
        <v>6713.85</v>
      </c>
      <c r="L307" s="40"/>
      <c r="M307" s="40">
        <v>6713.85</v>
      </c>
      <c r="N307" s="40" t="s">
        <v>11164</v>
      </c>
      <c r="O307" s="40" t="s">
        <v>234</v>
      </c>
    </row>
    <row r="308" spans="1:15" ht="29.25" customHeight="1" x14ac:dyDescent="0.2">
      <c r="A308" s="40" t="s">
        <v>11165</v>
      </c>
      <c r="B308" s="40" t="s">
        <v>11165</v>
      </c>
      <c r="C308" s="41">
        <v>46090</v>
      </c>
      <c r="D308" s="41">
        <v>46128</v>
      </c>
      <c r="E308" s="40" t="s">
        <v>19</v>
      </c>
      <c r="F308" s="40" t="s">
        <v>843</v>
      </c>
      <c r="G308" s="40"/>
      <c r="H308" s="40"/>
      <c r="I308" s="40" t="s">
        <v>49</v>
      </c>
      <c r="J308" s="40">
        <v>6713.85</v>
      </c>
      <c r="K308" s="40">
        <v>6713.85</v>
      </c>
      <c r="L308" s="40"/>
      <c r="M308" s="40">
        <v>6713.85</v>
      </c>
      <c r="N308" s="40" t="s">
        <v>11166</v>
      </c>
      <c r="O308" s="40" t="s">
        <v>234</v>
      </c>
    </row>
    <row r="309" spans="1:15" ht="29.25" customHeight="1" x14ac:dyDescent="0.2">
      <c r="A309" s="40" t="s">
        <v>11167</v>
      </c>
      <c r="B309" s="40" t="s">
        <v>11167</v>
      </c>
      <c r="C309" s="41">
        <v>46090</v>
      </c>
      <c r="D309" s="41">
        <v>46121</v>
      </c>
      <c r="E309" s="40" t="s">
        <v>19</v>
      </c>
      <c r="F309" s="40" t="s">
        <v>843</v>
      </c>
      <c r="G309" s="40"/>
      <c r="H309" s="40"/>
      <c r="I309" s="40" t="s">
        <v>49</v>
      </c>
      <c r="J309" s="40">
        <v>6713.85</v>
      </c>
      <c r="K309" s="40">
        <v>6713.85</v>
      </c>
      <c r="L309" s="40"/>
      <c r="M309" s="40">
        <v>6713.85</v>
      </c>
      <c r="N309" s="40" t="s">
        <v>11168</v>
      </c>
      <c r="O309" s="40" t="s">
        <v>234</v>
      </c>
    </row>
    <row r="310" spans="1:15" ht="29.25" customHeight="1" x14ac:dyDescent="0.2">
      <c r="A310" s="40" t="s">
        <v>11169</v>
      </c>
      <c r="B310" s="40" t="s">
        <v>11169</v>
      </c>
      <c r="C310" s="41">
        <v>46090</v>
      </c>
      <c r="D310" s="41">
        <v>46153</v>
      </c>
      <c r="E310" s="40" t="s">
        <v>19</v>
      </c>
      <c r="F310" s="40" t="s">
        <v>843</v>
      </c>
      <c r="G310" s="40"/>
      <c r="H310" s="40"/>
      <c r="I310" s="40" t="s">
        <v>49</v>
      </c>
      <c r="J310" s="40">
        <v>2363.56</v>
      </c>
      <c r="K310" s="40">
        <v>2363.56</v>
      </c>
      <c r="L310" s="40"/>
      <c r="M310" s="40">
        <v>2363.56</v>
      </c>
      <c r="N310" s="40" t="s">
        <v>11170</v>
      </c>
      <c r="O310" s="40" t="s">
        <v>234</v>
      </c>
    </row>
    <row r="311" spans="1:15" ht="29.25" customHeight="1" x14ac:dyDescent="0.2">
      <c r="A311" s="40" t="s">
        <v>11171</v>
      </c>
      <c r="B311" s="40" t="s">
        <v>11171</v>
      </c>
      <c r="C311" s="41">
        <v>46090</v>
      </c>
      <c r="D311" s="41">
        <v>46141</v>
      </c>
      <c r="E311" s="40" t="s">
        <v>19</v>
      </c>
      <c r="F311" s="40" t="s">
        <v>843</v>
      </c>
      <c r="G311" s="40"/>
      <c r="H311" s="40"/>
      <c r="I311" s="40" t="s">
        <v>49</v>
      </c>
      <c r="J311" s="40">
        <v>2363.56</v>
      </c>
      <c r="K311" s="40">
        <v>2363.56</v>
      </c>
      <c r="L311" s="40"/>
      <c r="M311" s="40">
        <v>2363.56</v>
      </c>
      <c r="N311" s="40" t="s">
        <v>11172</v>
      </c>
      <c r="O311" s="40" t="s">
        <v>234</v>
      </c>
    </row>
    <row r="312" spans="1:15" ht="29.25" customHeight="1" x14ac:dyDescent="0.2">
      <c r="A312" s="40" t="s">
        <v>11173</v>
      </c>
      <c r="B312" s="40" t="s">
        <v>11173</v>
      </c>
      <c r="C312" s="41">
        <v>46090</v>
      </c>
      <c r="D312" s="41">
        <v>46132</v>
      </c>
      <c r="E312" s="40" t="s">
        <v>19</v>
      </c>
      <c r="F312" s="40" t="s">
        <v>843</v>
      </c>
      <c r="G312" s="40"/>
      <c r="H312" s="40"/>
      <c r="I312" s="40" t="s">
        <v>49</v>
      </c>
      <c r="J312" s="40">
        <v>2363.56</v>
      </c>
      <c r="K312" s="40">
        <v>2363.56</v>
      </c>
      <c r="L312" s="40"/>
      <c r="M312" s="40">
        <v>2363.56</v>
      </c>
      <c r="N312" s="40" t="s">
        <v>11174</v>
      </c>
      <c r="O312" s="40" t="s">
        <v>234</v>
      </c>
    </row>
    <row r="313" spans="1:15" ht="29.25" customHeight="1" x14ac:dyDescent="0.2">
      <c r="A313" s="40" t="s">
        <v>11175</v>
      </c>
      <c r="B313" s="40" t="s">
        <v>11175</v>
      </c>
      <c r="C313" s="41">
        <v>46090</v>
      </c>
      <c r="D313" s="41">
        <v>46121</v>
      </c>
      <c r="E313" s="40" t="s">
        <v>19</v>
      </c>
      <c r="F313" s="40" t="s">
        <v>843</v>
      </c>
      <c r="G313" s="40"/>
      <c r="H313" s="40"/>
      <c r="I313" s="40" t="s">
        <v>49</v>
      </c>
      <c r="J313" s="40">
        <v>2363.56</v>
      </c>
      <c r="K313" s="40">
        <v>2363.56</v>
      </c>
      <c r="L313" s="40"/>
      <c r="M313" s="40">
        <v>2363.56</v>
      </c>
      <c r="N313" s="40" t="s">
        <v>11176</v>
      </c>
      <c r="O313" s="40" t="s">
        <v>234</v>
      </c>
    </row>
    <row r="314" spans="1:15" ht="29.25" customHeight="1" x14ac:dyDescent="0.2">
      <c r="A314" s="40" t="s">
        <v>11177</v>
      </c>
      <c r="B314" s="40" t="s">
        <v>11177</v>
      </c>
      <c r="C314" s="41">
        <v>46090</v>
      </c>
      <c r="D314" s="41">
        <v>46139</v>
      </c>
      <c r="E314" s="40" t="s">
        <v>19</v>
      </c>
      <c r="F314" s="40" t="s">
        <v>843</v>
      </c>
      <c r="G314" s="40"/>
      <c r="H314" s="40"/>
      <c r="I314" s="40" t="s">
        <v>49</v>
      </c>
      <c r="J314" s="40">
        <v>3728.9</v>
      </c>
      <c r="K314" s="40">
        <v>3728.9</v>
      </c>
      <c r="L314" s="40"/>
      <c r="M314" s="40">
        <v>3728.9</v>
      </c>
      <c r="N314" s="40" t="s">
        <v>11178</v>
      </c>
      <c r="O314" s="40" t="s">
        <v>234</v>
      </c>
    </row>
    <row r="315" spans="1:15" ht="29.25" customHeight="1" x14ac:dyDescent="0.2">
      <c r="A315" s="40" t="s">
        <v>11179</v>
      </c>
      <c r="B315" s="40" t="s">
        <v>11179</v>
      </c>
      <c r="C315" s="41">
        <v>46090</v>
      </c>
      <c r="D315" s="41">
        <v>46167</v>
      </c>
      <c r="E315" s="40" t="s">
        <v>19</v>
      </c>
      <c r="F315" s="40" t="s">
        <v>104</v>
      </c>
      <c r="G315" s="40"/>
      <c r="H315" s="40"/>
      <c r="I315" s="40" t="s">
        <v>49</v>
      </c>
      <c r="J315" s="40">
        <v>58752.73</v>
      </c>
      <c r="K315" s="40">
        <v>58752.73</v>
      </c>
      <c r="L315" s="40"/>
      <c r="M315" s="40">
        <v>58752.73</v>
      </c>
      <c r="N315" s="40" t="s">
        <v>11180</v>
      </c>
      <c r="O315" s="40" t="s">
        <v>234</v>
      </c>
    </row>
    <row r="316" spans="1:15" ht="29.25" customHeight="1" x14ac:dyDescent="0.2">
      <c r="A316" s="40" t="s">
        <v>11181</v>
      </c>
      <c r="B316" s="40" t="s">
        <v>11181</v>
      </c>
      <c r="C316" s="41">
        <v>46090</v>
      </c>
      <c r="D316" s="41">
        <v>46125</v>
      </c>
      <c r="E316" s="40" t="s">
        <v>19</v>
      </c>
      <c r="F316" s="40" t="s">
        <v>104</v>
      </c>
      <c r="G316" s="40"/>
      <c r="H316" s="40"/>
      <c r="I316" s="40" t="s">
        <v>49</v>
      </c>
      <c r="J316" s="40">
        <v>3791.24</v>
      </c>
      <c r="K316" s="40">
        <v>3791.24</v>
      </c>
      <c r="L316" s="40"/>
      <c r="M316" s="40">
        <v>3791.24</v>
      </c>
      <c r="N316" s="40" t="s">
        <v>11182</v>
      </c>
      <c r="O316" s="40" t="s">
        <v>234</v>
      </c>
    </row>
    <row r="317" spans="1:15" ht="29.25" customHeight="1" x14ac:dyDescent="0.2">
      <c r="A317" s="40" t="s">
        <v>11183</v>
      </c>
      <c r="B317" s="40" t="s">
        <v>11183</v>
      </c>
      <c r="C317" s="41">
        <v>46090</v>
      </c>
      <c r="D317" s="41">
        <v>46146</v>
      </c>
      <c r="E317" s="40" t="s">
        <v>19</v>
      </c>
      <c r="F317" s="40" t="s">
        <v>104</v>
      </c>
      <c r="G317" s="40"/>
      <c r="H317" s="40"/>
      <c r="I317" s="40" t="s">
        <v>49</v>
      </c>
      <c r="J317" s="40">
        <v>12226.95</v>
      </c>
      <c r="K317" s="40">
        <v>12226.95</v>
      </c>
      <c r="L317" s="40"/>
      <c r="M317" s="40">
        <v>12226.95</v>
      </c>
      <c r="N317" s="40" t="s">
        <v>11184</v>
      </c>
      <c r="O317" s="40" t="s">
        <v>234</v>
      </c>
    </row>
    <row r="318" spans="1:15" ht="29.25" customHeight="1" x14ac:dyDescent="0.2">
      <c r="A318" s="40" t="s">
        <v>11185</v>
      </c>
      <c r="B318" s="40" t="s">
        <v>11185</v>
      </c>
      <c r="C318" s="41">
        <v>46090</v>
      </c>
      <c r="D318" s="41">
        <v>46139</v>
      </c>
      <c r="E318" s="40" t="s">
        <v>19</v>
      </c>
      <c r="F318" s="40" t="s">
        <v>64</v>
      </c>
      <c r="G318" s="40"/>
      <c r="H318" s="40"/>
      <c r="I318" s="40" t="s">
        <v>49</v>
      </c>
      <c r="J318" s="40">
        <v>2723.72</v>
      </c>
      <c r="K318" s="40">
        <v>2723.72</v>
      </c>
      <c r="L318" s="40"/>
      <c r="M318" s="40">
        <v>2723.72</v>
      </c>
      <c r="N318" s="40" t="s">
        <v>11186</v>
      </c>
      <c r="O318" s="40" t="s">
        <v>234</v>
      </c>
    </row>
    <row r="319" spans="1:15" ht="29.25" customHeight="1" x14ac:dyDescent="0.2">
      <c r="A319" s="40" t="s">
        <v>11187</v>
      </c>
      <c r="B319" s="40" t="s">
        <v>11187</v>
      </c>
      <c r="C319" s="41">
        <v>46090</v>
      </c>
      <c r="D319" s="41">
        <v>46134</v>
      </c>
      <c r="E319" s="40" t="s">
        <v>19</v>
      </c>
      <c r="F319" s="40" t="s">
        <v>64</v>
      </c>
      <c r="G319" s="40"/>
      <c r="H319" s="40"/>
      <c r="I319" s="40" t="s">
        <v>49</v>
      </c>
      <c r="J319" s="40">
        <v>2723.72</v>
      </c>
      <c r="K319" s="40">
        <v>2723.72</v>
      </c>
      <c r="L319" s="40"/>
      <c r="M319" s="40">
        <v>2723.72</v>
      </c>
      <c r="N319" s="40" t="s">
        <v>11188</v>
      </c>
      <c r="O319" s="40" t="s">
        <v>234</v>
      </c>
    </row>
    <row r="320" spans="1:15" ht="29.25" customHeight="1" x14ac:dyDescent="0.2">
      <c r="A320" s="40" t="s">
        <v>11189</v>
      </c>
      <c r="B320" s="40" t="s">
        <v>11189</v>
      </c>
      <c r="C320" s="41">
        <v>46090</v>
      </c>
      <c r="D320" s="41">
        <v>46129</v>
      </c>
      <c r="E320" s="40" t="s">
        <v>19</v>
      </c>
      <c r="F320" s="40" t="s">
        <v>64</v>
      </c>
      <c r="G320" s="40"/>
      <c r="H320" s="40"/>
      <c r="I320" s="40" t="s">
        <v>49</v>
      </c>
      <c r="J320" s="40">
        <v>2723.72</v>
      </c>
      <c r="K320" s="40">
        <v>2723.72</v>
      </c>
      <c r="L320" s="40"/>
      <c r="M320" s="40">
        <v>2723.72</v>
      </c>
      <c r="N320" s="40" t="s">
        <v>11190</v>
      </c>
      <c r="O320" s="40" t="s">
        <v>234</v>
      </c>
    </row>
    <row r="321" spans="1:15" ht="29.25" customHeight="1" x14ac:dyDescent="0.2">
      <c r="A321" s="40" t="s">
        <v>11191</v>
      </c>
      <c r="B321" s="40" t="s">
        <v>11191</v>
      </c>
      <c r="C321" s="41">
        <v>46090</v>
      </c>
      <c r="D321" s="41">
        <v>46125</v>
      </c>
      <c r="E321" s="40" t="s">
        <v>19</v>
      </c>
      <c r="F321" s="40" t="s">
        <v>64</v>
      </c>
      <c r="G321" s="40"/>
      <c r="H321" s="40"/>
      <c r="I321" s="40" t="s">
        <v>49</v>
      </c>
      <c r="J321" s="40">
        <v>2723.72</v>
      </c>
      <c r="K321" s="40">
        <v>2723.72</v>
      </c>
      <c r="L321" s="40"/>
      <c r="M321" s="40">
        <v>2723.72</v>
      </c>
      <c r="N321" s="40" t="s">
        <v>11192</v>
      </c>
      <c r="O321" s="40" t="s">
        <v>234</v>
      </c>
    </row>
    <row r="322" spans="1:15" ht="29.25" customHeight="1" x14ac:dyDescent="0.2">
      <c r="A322" s="40" t="s">
        <v>11193</v>
      </c>
      <c r="B322" s="40" t="s">
        <v>11193</v>
      </c>
      <c r="C322" s="41">
        <v>46090</v>
      </c>
      <c r="D322" s="41">
        <v>46153</v>
      </c>
      <c r="E322" s="40" t="s">
        <v>19</v>
      </c>
      <c r="F322" s="40" t="s">
        <v>64</v>
      </c>
      <c r="G322" s="40"/>
      <c r="H322" s="40"/>
      <c r="I322" s="40" t="s">
        <v>49</v>
      </c>
      <c r="J322" s="40">
        <v>3610.35</v>
      </c>
      <c r="K322" s="40">
        <v>3610.35</v>
      </c>
      <c r="L322" s="40"/>
      <c r="M322" s="40">
        <v>3610.35</v>
      </c>
      <c r="N322" s="40" t="s">
        <v>11194</v>
      </c>
      <c r="O322" s="40" t="s">
        <v>234</v>
      </c>
    </row>
    <row r="323" spans="1:15" ht="29.25" customHeight="1" x14ac:dyDescent="0.2">
      <c r="A323" s="40" t="s">
        <v>11195</v>
      </c>
      <c r="B323" s="40" t="s">
        <v>11195</v>
      </c>
      <c r="C323" s="41">
        <v>46090</v>
      </c>
      <c r="D323" s="41">
        <v>46146</v>
      </c>
      <c r="E323" s="40" t="s">
        <v>19</v>
      </c>
      <c r="F323" s="40" t="s">
        <v>64</v>
      </c>
      <c r="G323" s="40"/>
      <c r="H323" s="40"/>
      <c r="I323" s="40" t="s">
        <v>49</v>
      </c>
      <c r="J323" s="40">
        <v>3610.35</v>
      </c>
      <c r="K323" s="40">
        <v>3610.35</v>
      </c>
      <c r="L323" s="40"/>
      <c r="M323" s="40">
        <v>3610.35</v>
      </c>
      <c r="N323" s="40" t="s">
        <v>11196</v>
      </c>
      <c r="O323" s="40" t="s">
        <v>234</v>
      </c>
    </row>
    <row r="324" spans="1:15" ht="29.25" customHeight="1" x14ac:dyDescent="0.2">
      <c r="A324" s="40" t="s">
        <v>11197</v>
      </c>
      <c r="B324" s="40" t="s">
        <v>11197</v>
      </c>
      <c r="C324" s="41">
        <v>46090</v>
      </c>
      <c r="D324" s="41">
        <v>46139</v>
      </c>
      <c r="E324" s="40" t="s">
        <v>19</v>
      </c>
      <c r="F324" s="40" t="s">
        <v>64</v>
      </c>
      <c r="G324" s="40"/>
      <c r="H324" s="40"/>
      <c r="I324" s="40" t="s">
        <v>49</v>
      </c>
      <c r="J324" s="40">
        <v>3610.35</v>
      </c>
      <c r="K324" s="40">
        <v>3610.35</v>
      </c>
      <c r="L324" s="40"/>
      <c r="M324" s="40">
        <v>3610.35</v>
      </c>
      <c r="N324" s="40" t="s">
        <v>11198</v>
      </c>
      <c r="O324" s="40" t="s">
        <v>234</v>
      </c>
    </row>
    <row r="325" spans="1:15" ht="29.25" customHeight="1" x14ac:dyDescent="0.2">
      <c r="A325" s="40" t="s">
        <v>11199</v>
      </c>
      <c r="B325" s="40" t="s">
        <v>11199</v>
      </c>
      <c r="C325" s="41">
        <v>46090</v>
      </c>
      <c r="D325" s="41">
        <v>46132</v>
      </c>
      <c r="E325" s="40" t="s">
        <v>19</v>
      </c>
      <c r="F325" s="40" t="s">
        <v>64</v>
      </c>
      <c r="G325" s="40"/>
      <c r="H325" s="40"/>
      <c r="I325" s="40" t="s">
        <v>49</v>
      </c>
      <c r="J325" s="40">
        <v>3610.35</v>
      </c>
      <c r="K325" s="40">
        <v>3610.35</v>
      </c>
      <c r="L325" s="40"/>
      <c r="M325" s="40">
        <v>3610.35</v>
      </c>
      <c r="N325" s="40" t="s">
        <v>11200</v>
      </c>
      <c r="O325" s="40" t="s">
        <v>234</v>
      </c>
    </row>
    <row r="326" spans="1:15" ht="29.25" customHeight="1" x14ac:dyDescent="0.2">
      <c r="A326" s="40" t="s">
        <v>11201</v>
      </c>
      <c r="B326" s="40" t="s">
        <v>11201</v>
      </c>
      <c r="C326" s="41">
        <v>46090</v>
      </c>
      <c r="D326" s="41">
        <v>46122</v>
      </c>
      <c r="E326" s="40" t="s">
        <v>19</v>
      </c>
      <c r="F326" s="40" t="s">
        <v>64</v>
      </c>
      <c r="G326" s="40"/>
      <c r="H326" s="40"/>
      <c r="I326" s="40" t="s">
        <v>49</v>
      </c>
      <c r="J326" s="40">
        <v>3610.35</v>
      </c>
      <c r="K326" s="40">
        <v>3610.35</v>
      </c>
      <c r="L326" s="40"/>
      <c r="M326" s="40">
        <v>3610.35</v>
      </c>
      <c r="N326" s="40" t="s">
        <v>11202</v>
      </c>
      <c r="O326" s="40" t="s">
        <v>234</v>
      </c>
    </row>
    <row r="327" spans="1:15" ht="29.25" customHeight="1" x14ac:dyDescent="0.2">
      <c r="A327" s="40" t="s">
        <v>11203</v>
      </c>
      <c r="B327" s="40" t="s">
        <v>11203</v>
      </c>
      <c r="C327" s="41">
        <v>46090</v>
      </c>
      <c r="D327" s="41">
        <v>46118</v>
      </c>
      <c r="E327" s="40" t="s">
        <v>19</v>
      </c>
      <c r="F327" s="40" t="s">
        <v>64</v>
      </c>
      <c r="G327" s="40"/>
      <c r="H327" s="40"/>
      <c r="I327" s="40" t="s">
        <v>49</v>
      </c>
      <c r="J327" s="40">
        <v>3610.35</v>
      </c>
      <c r="K327" s="40">
        <v>3610.35</v>
      </c>
      <c r="L327" s="40"/>
      <c r="M327" s="40">
        <v>3610.35</v>
      </c>
      <c r="N327" s="40" t="s">
        <v>11204</v>
      </c>
      <c r="O327" s="40" t="s">
        <v>234</v>
      </c>
    </row>
    <row r="328" spans="1:15" ht="29.25" customHeight="1" x14ac:dyDescent="0.2">
      <c r="A328" s="40" t="s">
        <v>11205</v>
      </c>
      <c r="B328" s="40" t="s">
        <v>11205</v>
      </c>
      <c r="C328" s="41">
        <v>46090</v>
      </c>
      <c r="D328" s="41">
        <v>46195</v>
      </c>
      <c r="E328" s="40" t="s">
        <v>19</v>
      </c>
      <c r="F328" s="40" t="s">
        <v>64</v>
      </c>
      <c r="G328" s="40"/>
      <c r="H328" s="40"/>
      <c r="I328" s="40" t="s">
        <v>49</v>
      </c>
      <c r="J328" s="40">
        <v>12092.43</v>
      </c>
      <c r="K328" s="40">
        <v>12092.43</v>
      </c>
      <c r="L328" s="40"/>
      <c r="M328" s="40">
        <v>12092.43</v>
      </c>
      <c r="N328" s="40"/>
      <c r="O328" s="40" t="s">
        <v>234</v>
      </c>
    </row>
    <row r="329" spans="1:15" ht="29.25" customHeight="1" x14ac:dyDescent="0.2">
      <c r="A329" s="40" t="s">
        <v>11206</v>
      </c>
      <c r="B329" s="40" t="s">
        <v>11206</v>
      </c>
      <c r="C329" s="41">
        <v>46090</v>
      </c>
      <c r="D329" s="41">
        <v>46182</v>
      </c>
      <c r="E329" s="40" t="s">
        <v>19</v>
      </c>
      <c r="F329" s="40" t="s">
        <v>64</v>
      </c>
      <c r="G329" s="40"/>
      <c r="H329" s="40"/>
      <c r="I329" s="40" t="s">
        <v>49</v>
      </c>
      <c r="J329" s="40">
        <v>12092.43</v>
      </c>
      <c r="K329" s="40">
        <v>12092.43</v>
      </c>
      <c r="L329" s="40"/>
      <c r="M329" s="40">
        <v>12092.43</v>
      </c>
      <c r="N329" s="40"/>
      <c r="O329" s="40" t="s">
        <v>234</v>
      </c>
    </row>
    <row r="330" spans="1:15" ht="29.25" customHeight="1" x14ac:dyDescent="0.2">
      <c r="A330" s="40" t="s">
        <v>11207</v>
      </c>
      <c r="B330" s="40" t="s">
        <v>11207</v>
      </c>
      <c r="C330" s="41">
        <v>46090</v>
      </c>
      <c r="D330" s="41">
        <v>46169</v>
      </c>
      <c r="E330" s="40" t="s">
        <v>19</v>
      </c>
      <c r="F330" s="40" t="s">
        <v>64</v>
      </c>
      <c r="G330" s="40"/>
      <c r="H330" s="40"/>
      <c r="I330" s="40" t="s">
        <v>49</v>
      </c>
      <c r="J330" s="40">
        <v>12092.43</v>
      </c>
      <c r="K330" s="40">
        <v>12092.43</v>
      </c>
      <c r="L330" s="40"/>
      <c r="M330" s="40">
        <v>12092.43</v>
      </c>
      <c r="N330" s="40" t="s">
        <v>11208</v>
      </c>
      <c r="O330" s="40" t="s">
        <v>234</v>
      </c>
    </row>
    <row r="331" spans="1:15" ht="29.25" customHeight="1" x14ac:dyDescent="0.2">
      <c r="A331" s="40" t="s">
        <v>11209</v>
      </c>
      <c r="B331" s="40" t="s">
        <v>11209</v>
      </c>
      <c r="C331" s="41">
        <v>46090</v>
      </c>
      <c r="D331" s="41">
        <v>46156</v>
      </c>
      <c r="E331" s="40" t="s">
        <v>19</v>
      </c>
      <c r="F331" s="40" t="s">
        <v>64</v>
      </c>
      <c r="G331" s="40"/>
      <c r="H331" s="40"/>
      <c r="I331" s="40" t="s">
        <v>49</v>
      </c>
      <c r="J331" s="40">
        <v>12092.43</v>
      </c>
      <c r="K331" s="40">
        <v>12092.43</v>
      </c>
      <c r="L331" s="40"/>
      <c r="M331" s="40">
        <v>12092.43</v>
      </c>
      <c r="N331" s="40" t="s">
        <v>11210</v>
      </c>
      <c r="O331" s="40" t="s">
        <v>234</v>
      </c>
    </row>
    <row r="332" spans="1:15" ht="29.25" customHeight="1" x14ac:dyDescent="0.2">
      <c r="A332" s="40" t="s">
        <v>11211</v>
      </c>
      <c r="B332" s="40" t="s">
        <v>11211</v>
      </c>
      <c r="C332" s="41">
        <v>46090</v>
      </c>
      <c r="D332" s="41">
        <v>46143</v>
      </c>
      <c r="E332" s="40" t="s">
        <v>19</v>
      </c>
      <c r="F332" s="40" t="s">
        <v>64</v>
      </c>
      <c r="G332" s="40"/>
      <c r="H332" s="40"/>
      <c r="I332" s="40" t="s">
        <v>49</v>
      </c>
      <c r="J332" s="40">
        <v>12092.43</v>
      </c>
      <c r="K332" s="40">
        <v>12092.43</v>
      </c>
      <c r="L332" s="40"/>
      <c r="M332" s="40">
        <v>12092.43</v>
      </c>
      <c r="N332" s="40" t="s">
        <v>11212</v>
      </c>
      <c r="O332" s="40" t="s">
        <v>234</v>
      </c>
    </row>
    <row r="333" spans="1:15" ht="29.25" customHeight="1" x14ac:dyDescent="0.2">
      <c r="A333" s="40" t="s">
        <v>11213</v>
      </c>
      <c r="B333" s="40" t="s">
        <v>11213</v>
      </c>
      <c r="C333" s="41">
        <v>46090</v>
      </c>
      <c r="D333" s="41">
        <v>46132</v>
      </c>
      <c r="E333" s="40" t="s">
        <v>19</v>
      </c>
      <c r="F333" s="40" t="s">
        <v>64</v>
      </c>
      <c r="G333" s="40"/>
      <c r="H333" s="40"/>
      <c r="I333" s="40" t="s">
        <v>49</v>
      </c>
      <c r="J333" s="40">
        <v>12092.43</v>
      </c>
      <c r="K333" s="40">
        <v>12092.43</v>
      </c>
      <c r="L333" s="40"/>
      <c r="M333" s="40">
        <v>12092.43</v>
      </c>
      <c r="N333" s="40" t="s">
        <v>11214</v>
      </c>
      <c r="O333" s="40" t="s">
        <v>234</v>
      </c>
    </row>
    <row r="334" spans="1:15" ht="29.25" customHeight="1" x14ac:dyDescent="0.2">
      <c r="A334" s="40" t="s">
        <v>11215</v>
      </c>
      <c r="B334" s="40" t="s">
        <v>11215</v>
      </c>
      <c r="C334" s="41">
        <v>46090</v>
      </c>
      <c r="D334" s="41">
        <v>46118</v>
      </c>
      <c r="E334" s="40" t="s">
        <v>19</v>
      </c>
      <c r="F334" s="40" t="s">
        <v>64</v>
      </c>
      <c r="G334" s="40"/>
      <c r="H334" s="40"/>
      <c r="I334" s="40" t="s">
        <v>49</v>
      </c>
      <c r="J334" s="40">
        <v>12092.43</v>
      </c>
      <c r="K334" s="40">
        <v>12092.43</v>
      </c>
      <c r="L334" s="40"/>
      <c r="M334" s="40">
        <v>12092.43</v>
      </c>
      <c r="N334" s="40" t="s">
        <v>11216</v>
      </c>
      <c r="O334" s="40" t="s">
        <v>234</v>
      </c>
    </row>
    <row r="335" spans="1:15" ht="29.25" customHeight="1" x14ac:dyDescent="0.2">
      <c r="A335" s="40" t="s">
        <v>11217</v>
      </c>
      <c r="B335" s="40" t="s">
        <v>11217</v>
      </c>
      <c r="C335" s="41">
        <v>46090</v>
      </c>
      <c r="D335" s="41">
        <v>46162</v>
      </c>
      <c r="E335" s="40" t="s">
        <v>19</v>
      </c>
      <c r="F335" s="40" t="s">
        <v>64</v>
      </c>
      <c r="G335" s="40"/>
      <c r="H335" s="40"/>
      <c r="I335" s="40" t="s">
        <v>49</v>
      </c>
      <c r="J335" s="40">
        <v>6883.64</v>
      </c>
      <c r="K335" s="40">
        <v>6883.64</v>
      </c>
      <c r="L335" s="40"/>
      <c r="M335" s="40">
        <v>6883.64</v>
      </c>
      <c r="N335" s="40" t="s">
        <v>11218</v>
      </c>
      <c r="O335" s="40" t="s">
        <v>234</v>
      </c>
    </row>
    <row r="336" spans="1:15" ht="29.25" customHeight="1" x14ac:dyDescent="0.2">
      <c r="A336" s="40" t="s">
        <v>11219</v>
      </c>
      <c r="B336" s="40" t="s">
        <v>11219</v>
      </c>
      <c r="C336" s="41">
        <v>46090</v>
      </c>
      <c r="D336" s="41">
        <v>46153</v>
      </c>
      <c r="E336" s="40" t="s">
        <v>19</v>
      </c>
      <c r="F336" s="40" t="s">
        <v>64</v>
      </c>
      <c r="G336" s="40"/>
      <c r="H336" s="40"/>
      <c r="I336" s="40" t="s">
        <v>49</v>
      </c>
      <c r="J336" s="40">
        <v>6883.64</v>
      </c>
      <c r="K336" s="40">
        <v>6883.64</v>
      </c>
      <c r="L336" s="40"/>
      <c r="M336" s="40">
        <v>6883.64</v>
      </c>
      <c r="N336" s="40" t="s">
        <v>11220</v>
      </c>
      <c r="O336" s="40" t="s">
        <v>234</v>
      </c>
    </row>
    <row r="337" spans="1:15" ht="29.25" customHeight="1" x14ac:dyDescent="0.2">
      <c r="A337" s="40" t="s">
        <v>11221</v>
      </c>
      <c r="B337" s="40" t="s">
        <v>11221</v>
      </c>
      <c r="C337" s="41">
        <v>46090</v>
      </c>
      <c r="D337" s="41">
        <v>46146</v>
      </c>
      <c r="E337" s="40" t="s">
        <v>19</v>
      </c>
      <c r="F337" s="40" t="s">
        <v>64</v>
      </c>
      <c r="G337" s="40"/>
      <c r="H337" s="40"/>
      <c r="I337" s="40" t="s">
        <v>49</v>
      </c>
      <c r="J337" s="40">
        <v>6883.64</v>
      </c>
      <c r="K337" s="40">
        <v>6883.64</v>
      </c>
      <c r="L337" s="40"/>
      <c r="M337" s="40">
        <v>6883.64</v>
      </c>
      <c r="N337" s="40" t="s">
        <v>11222</v>
      </c>
      <c r="O337" s="40" t="s">
        <v>234</v>
      </c>
    </row>
    <row r="338" spans="1:15" ht="29.25" customHeight="1" x14ac:dyDescent="0.2">
      <c r="A338" s="40" t="s">
        <v>11223</v>
      </c>
      <c r="B338" s="40" t="s">
        <v>11223</v>
      </c>
      <c r="C338" s="41">
        <v>46090</v>
      </c>
      <c r="D338" s="41">
        <v>46135</v>
      </c>
      <c r="E338" s="40" t="s">
        <v>19</v>
      </c>
      <c r="F338" s="40" t="s">
        <v>64</v>
      </c>
      <c r="G338" s="40"/>
      <c r="H338" s="40"/>
      <c r="I338" s="40" t="s">
        <v>49</v>
      </c>
      <c r="J338" s="40">
        <v>6883.64</v>
      </c>
      <c r="K338" s="40">
        <v>6883.64</v>
      </c>
      <c r="L338" s="40"/>
      <c r="M338" s="40">
        <v>6883.64</v>
      </c>
      <c r="N338" s="40" t="s">
        <v>11224</v>
      </c>
      <c r="O338" s="40" t="s">
        <v>234</v>
      </c>
    </row>
    <row r="339" spans="1:15" ht="29.25" customHeight="1" x14ac:dyDescent="0.2">
      <c r="A339" s="40" t="s">
        <v>11225</v>
      </c>
      <c r="B339" s="40" t="s">
        <v>11225</v>
      </c>
      <c r="C339" s="41">
        <v>46090</v>
      </c>
      <c r="D339" s="41">
        <v>46126</v>
      </c>
      <c r="E339" s="40" t="s">
        <v>19</v>
      </c>
      <c r="F339" s="40" t="s">
        <v>64</v>
      </c>
      <c r="G339" s="40"/>
      <c r="H339" s="40"/>
      <c r="I339" s="40" t="s">
        <v>49</v>
      </c>
      <c r="J339" s="40">
        <v>6883.64</v>
      </c>
      <c r="K339" s="40">
        <v>6883.64</v>
      </c>
      <c r="L339" s="40"/>
      <c r="M339" s="40">
        <v>6883.64</v>
      </c>
      <c r="N339" s="40" t="s">
        <v>11226</v>
      </c>
      <c r="O339" s="40" t="s">
        <v>234</v>
      </c>
    </row>
    <row r="340" spans="1:15" ht="29.25" customHeight="1" x14ac:dyDescent="0.2">
      <c r="A340" s="40" t="s">
        <v>11227</v>
      </c>
      <c r="B340" s="40" t="s">
        <v>11227</v>
      </c>
      <c r="C340" s="41">
        <v>46090</v>
      </c>
      <c r="D340" s="41">
        <v>46118</v>
      </c>
      <c r="E340" s="40" t="s">
        <v>19</v>
      </c>
      <c r="F340" s="40" t="s">
        <v>64</v>
      </c>
      <c r="G340" s="40"/>
      <c r="H340" s="40"/>
      <c r="I340" s="40" t="s">
        <v>49</v>
      </c>
      <c r="J340" s="40">
        <v>6883.64</v>
      </c>
      <c r="K340" s="40">
        <v>6883.64</v>
      </c>
      <c r="L340" s="40"/>
      <c r="M340" s="40">
        <v>6883.64</v>
      </c>
      <c r="N340" s="40" t="s">
        <v>11228</v>
      </c>
      <c r="O340" s="40" t="s">
        <v>234</v>
      </c>
    </row>
    <row r="341" spans="1:15" ht="29.25" customHeight="1" x14ac:dyDescent="0.2">
      <c r="A341" s="40" t="s">
        <v>11229</v>
      </c>
      <c r="B341" s="40" t="s">
        <v>11229</v>
      </c>
      <c r="C341" s="41">
        <v>46090</v>
      </c>
      <c r="D341" s="41">
        <v>46167</v>
      </c>
      <c r="E341" s="40" t="s">
        <v>19</v>
      </c>
      <c r="F341" s="40" t="s">
        <v>64</v>
      </c>
      <c r="G341" s="40"/>
      <c r="H341" s="40"/>
      <c r="I341" s="40" t="s">
        <v>49</v>
      </c>
      <c r="J341" s="40">
        <v>7202.61</v>
      </c>
      <c r="K341" s="40">
        <v>7202.61</v>
      </c>
      <c r="L341" s="40"/>
      <c r="M341" s="40">
        <v>7202.61</v>
      </c>
      <c r="N341" s="40" t="s">
        <v>11230</v>
      </c>
      <c r="O341" s="40" t="s">
        <v>234</v>
      </c>
    </row>
    <row r="342" spans="1:15" ht="29.25" customHeight="1" x14ac:dyDescent="0.2">
      <c r="A342" s="40" t="s">
        <v>11231</v>
      </c>
      <c r="B342" s="40" t="s">
        <v>11231</v>
      </c>
      <c r="C342" s="41">
        <v>46090</v>
      </c>
      <c r="D342" s="41">
        <v>46157</v>
      </c>
      <c r="E342" s="40" t="s">
        <v>19</v>
      </c>
      <c r="F342" s="40" t="s">
        <v>64</v>
      </c>
      <c r="G342" s="40"/>
      <c r="H342" s="40"/>
      <c r="I342" s="40" t="s">
        <v>49</v>
      </c>
      <c r="J342" s="40">
        <v>7202.61</v>
      </c>
      <c r="K342" s="40">
        <v>7202.61</v>
      </c>
      <c r="L342" s="40"/>
      <c r="M342" s="40">
        <v>7202.61</v>
      </c>
      <c r="N342" s="40" t="s">
        <v>11232</v>
      </c>
      <c r="O342" s="40" t="s">
        <v>234</v>
      </c>
    </row>
    <row r="343" spans="1:15" ht="29.25" customHeight="1" x14ac:dyDescent="0.2">
      <c r="A343" s="40" t="s">
        <v>11233</v>
      </c>
      <c r="B343" s="40" t="s">
        <v>11233</v>
      </c>
      <c r="C343" s="41">
        <v>46090</v>
      </c>
      <c r="D343" s="41">
        <v>46148</v>
      </c>
      <c r="E343" s="40" t="s">
        <v>19</v>
      </c>
      <c r="F343" s="40" t="s">
        <v>64</v>
      </c>
      <c r="G343" s="40"/>
      <c r="H343" s="40"/>
      <c r="I343" s="40" t="s">
        <v>49</v>
      </c>
      <c r="J343" s="40">
        <v>7202.61</v>
      </c>
      <c r="K343" s="40">
        <v>7202.61</v>
      </c>
      <c r="L343" s="40"/>
      <c r="M343" s="40">
        <v>7202.61</v>
      </c>
      <c r="N343" s="40" t="s">
        <v>11234</v>
      </c>
      <c r="O343" s="40" t="s">
        <v>234</v>
      </c>
    </row>
    <row r="344" spans="1:15" ht="29.25" customHeight="1" x14ac:dyDescent="0.2">
      <c r="A344" s="40" t="s">
        <v>11235</v>
      </c>
      <c r="B344" s="40" t="s">
        <v>11235</v>
      </c>
      <c r="C344" s="41">
        <v>46090</v>
      </c>
      <c r="D344" s="41">
        <v>46139</v>
      </c>
      <c r="E344" s="40" t="s">
        <v>19</v>
      </c>
      <c r="F344" s="40" t="s">
        <v>64</v>
      </c>
      <c r="G344" s="40"/>
      <c r="H344" s="40"/>
      <c r="I344" s="40" t="s">
        <v>49</v>
      </c>
      <c r="J344" s="40">
        <v>7202.61</v>
      </c>
      <c r="K344" s="40">
        <v>7202.61</v>
      </c>
      <c r="L344" s="40"/>
      <c r="M344" s="40">
        <v>7202.61</v>
      </c>
      <c r="N344" s="40" t="s">
        <v>11236</v>
      </c>
      <c r="O344" s="40" t="s">
        <v>234</v>
      </c>
    </row>
    <row r="345" spans="1:15" ht="29.25" customHeight="1" x14ac:dyDescent="0.2">
      <c r="A345" s="40" t="s">
        <v>11237</v>
      </c>
      <c r="B345" s="40" t="s">
        <v>11237</v>
      </c>
      <c r="C345" s="41">
        <v>46090</v>
      </c>
      <c r="D345" s="41">
        <v>46132</v>
      </c>
      <c r="E345" s="40" t="s">
        <v>19</v>
      </c>
      <c r="F345" s="40" t="s">
        <v>64</v>
      </c>
      <c r="G345" s="40"/>
      <c r="H345" s="40"/>
      <c r="I345" s="40" t="s">
        <v>49</v>
      </c>
      <c r="J345" s="40">
        <v>7202.61</v>
      </c>
      <c r="K345" s="40">
        <v>7202.61</v>
      </c>
      <c r="L345" s="40"/>
      <c r="M345" s="40">
        <v>7202.61</v>
      </c>
      <c r="N345" s="40" t="s">
        <v>11238</v>
      </c>
      <c r="O345" s="40" t="s">
        <v>234</v>
      </c>
    </row>
    <row r="346" spans="1:15" ht="29.25" customHeight="1" x14ac:dyDescent="0.2">
      <c r="A346" s="40" t="s">
        <v>11239</v>
      </c>
      <c r="B346" s="40" t="s">
        <v>11239</v>
      </c>
      <c r="C346" s="41">
        <v>46090</v>
      </c>
      <c r="D346" s="41">
        <v>46121</v>
      </c>
      <c r="E346" s="40" t="s">
        <v>19</v>
      </c>
      <c r="F346" s="40" t="s">
        <v>64</v>
      </c>
      <c r="G346" s="40"/>
      <c r="H346" s="40"/>
      <c r="I346" s="40" t="s">
        <v>49</v>
      </c>
      <c r="J346" s="40">
        <v>7202.61</v>
      </c>
      <c r="K346" s="40">
        <v>7202.61</v>
      </c>
      <c r="L346" s="40"/>
      <c r="M346" s="40">
        <v>7202.61</v>
      </c>
      <c r="N346" s="40" t="s">
        <v>11240</v>
      </c>
      <c r="O346" s="40" t="s">
        <v>234</v>
      </c>
    </row>
    <row r="347" spans="1:15" ht="29.25" customHeight="1" x14ac:dyDescent="0.2">
      <c r="A347" s="40" t="s">
        <v>11241</v>
      </c>
      <c r="B347" s="40" t="s">
        <v>11241</v>
      </c>
      <c r="C347" s="41">
        <v>46090</v>
      </c>
      <c r="D347" s="41">
        <v>46118</v>
      </c>
      <c r="E347" s="40" t="s">
        <v>19</v>
      </c>
      <c r="F347" s="40" t="s">
        <v>64</v>
      </c>
      <c r="G347" s="40"/>
      <c r="H347" s="40"/>
      <c r="I347" s="40" t="s">
        <v>49</v>
      </c>
      <c r="J347" s="40">
        <v>2562.9299999999998</v>
      </c>
      <c r="K347" s="40">
        <v>2562.9299999999998</v>
      </c>
      <c r="L347" s="40"/>
      <c r="M347" s="40">
        <v>2562.9299999999998</v>
      </c>
      <c r="N347" s="40" t="s">
        <v>11242</v>
      </c>
      <c r="O347" s="40" t="s">
        <v>234</v>
      </c>
    </row>
    <row r="348" spans="1:15" ht="29.25" customHeight="1" x14ac:dyDescent="0.2">
      <c r="A348" s="40" t="s">
        <v>11243</v>
      </c>
      <c r="B348" s="40" t="s">
        <v>11243</v>
      </c>
      <c r="C348" s="41">
        <v>46090</v>
      </c>
      <c r="D348" s="41">
        <v>46146</v>
      </c>
      <c r="E348" s="40" t="s">
        <v>19</v>
      </c>
      <c r="F348" s="40" t="s">
        <v>64</v>
      </c>
      <c r="G348" s="40"/>
      <c r="H348" s="40"/>
      <c r="I348" s="40" t="s">
        <v>49</v>
      </c>
      <c r="J348" s="40">
        <v>55528.35</v>
      </c>
      <c r="K348" s="40">
        <v>55528.35</v>
      </c>
      <c r="L348" s="40"/>
      <c r="M348" s="40">
        <v>55528.35</v>
      </c>
      <c r="N348" s="40" t="s">
        <v>11244</v>
      </c>
      <c r="O348" s="40" t="s">
        <v>234</v>
      </c>
    </row>
    <row r="349" spans="1:15" ht="29.25" customHeight="1" x14ac:dyDescent="0.2">
      <c r="A349" s="40" t="s">
        <v>11245</v>
      </c>
      <c r="B349" s="40" t="s">
        <v>11245</v>
      </c>
      <c r="C349" s="41">
        <v>46090</v>
      </c>
      <c r="D349" s="41">
        <v>46153</v>
      </c>
      <c r="E349" s="40" t="s">
        <v>19</v>
      </c>
      <c r="F349" s="40" t="s">
        <v>64</v>
      </c>
      <c r="G349" s="40"/>
      <c r="H349" s="40"/>
      <c r="I349" s="40" t="s">
        <v>49</v>
      </c>
      <c r="J349" s="40">
        <v>9892.4500000000007</v>
      </c>
      <c r="K349" s="40">
        <v>9892.4500000000007</v>
      </c>
      <c r="L349" s="40"/>
      <c r="M349" s="40">
        <v>9892.4500000000007</v>
      </c>
      <c r="N349" s="40" t="s">
        <v>11246</v>
      </c>
      <c r="O349" s="40" t="s">
        <v>234</v>
      </c>
    </row>
    <row r="350" spans="1:15" ht="29.25" customHeight="1" x14ac:dyDescent="0.2">
      <c r="A350" s="40" t="s">
        <v>11247</v>
      </c>
      <c r="B350" s="40" t="s">
        <v>11247</v>
      </c>
      <c r="C350" s="41">
        <v>46090</v>
      </c>
      <c r="D350" s="41">
        <v>46119</v>
      </c>
      <c r="E350" s="40" t="s">
        <v>19</v>
      </c>
      <c r="F350" s="40" t="s">
        <v>64</v>
      </c>
      <c r="G350" s="40"/>
      <c r="H350" s="40"/>
      <c r="I350" s="40" t="s">
        <v>49</v>
      </c>
      <c r="J350" s="40">
        <v>4134.72</v>
      </c>
      <c r="K350" s="40">
        <v>4134.72</v>
      </c>
      <c r="L350" s="40"/>
      <c r="M350" s="40">
        <v>4134.72</v>
      </c>
      <c r="N350" s="40" t="s">
        <v>11248</v>
      </c>
      <c r="O350" s="40" t="s">
        <v>234</v>
      </c>
    </row>
    <row r="351" spans="1:15" ht="29.25" customHeight="1" x14ac:dyDescent="0.2">
      <c r="A351" s="40" t="s">
        <v>11249</v>
      </c>
      <c r="B351" s="40" t="s">
        <v>11249</v>
      </c>
      <c r="C351" s="41">
        <v>46090</v>
      </c>
      <c r="D351" s="41">
        <v>46139</v>
      </c>
      <c r="E351" s="40" t="s">
        <v>19</v>
      </c>
      <c r="F351" s="40" t="s">
        <v>64</v>
      </c>
      <c r="G351" s="40"/>
      <c r="H351" s="40"/>
      <c r="I351" s="40" t="s">
        <v>49</v>
      </c>
      <c r="J351" s="40">
        <v>5669.19</v>
      </c>
      <c r="K351" s="40">
        <v>5669.19</v>
      </c>
      <c r="L351" s="40"/>
      <c r="M351" s="40">
        <v>5669.19</v>
      </c>
      <c r="N351" s="40" t="s">
        <v>11250</v>
      </c>
      <c r="O351" s="40" t="s">
        <v>234</v>
      </c>
    </row>
    <row r="352" spans="1:15" ht="29.25" customHeight="1" x14ac:dyDescent="0.2">
      <c r="A352" s="40" t="s">
        <v>11251</v>
      </c>
      <c r="B352" s="40" t="s">
        <v>11251</v>
      </c>
      <c r="C352" s="41">
        <v>46090</v>
      </c>
      <c r="D352" s="41">
        <v>46161</v>
      </c>
      <c r="E352" s="40" t="s">
        <v>19</v>
      </c>
      <c r="F352" s="40" t="s">
        <v>524</v>
      </c>
      <c r="G352" s="40"/>
      <c r="H352" s="40"/>
      <c r="I352" s="40" t="s">
        <v>49</v>
      </c>
      <c r="J352" s="40">
        <v>10166.19</v>
      </c>
      <c r="K352" s="40">
        <v>10166.19</v>
      </c>
      <c r="L352" s="40"/>
      <c r="M352" s="40">
        <v>10166.19</v>
      </c>
      <c r="N352" s="40" t="s">
        <v>11252</v>
      </c>
      <c r="O352" s="40" t="s">
        <v>234</v>
      </c>
    </row>
    <row r="353" spans="1:15" ht="29.25" customHeight="1" x14ac:dyDescent="0.2">
      <c r="A353" s="40" t="s">
        <v>11253</v>
      </c>
      <c r="B353" s="40" t="s">
        <v>11253</v>
      </c>
      <c r="C353" s="41">
        <v>46090</v>
      </c>
      <c r="D353" s="41">
        <v>46153</v>
      </c>
      <c r="E353" s="40" t="s">
        <v>19</v>
      </c>
      <c r="F353" s="40" t="s">
        <v>524</v>
      </c>
      <c r="G353" s="40"/>
      <c r="H353" s="40"/>
      <c r="I353" s="40" t="s">
        <v>49</v>
      </c>
      <c r="J353" s="40">
        <v>10166.19</v>
      </c>
      <c r="K353" s="40">
        <v>10166.19</v>
      </c>
      <c r="L353" s="40"/>
      <c r="M353" s="40">
        <v>10166.19</v>
      </c>
      <c r="N353" s="40" t="s">
        <v>11254</v>
      </c>
      <c r="O353" s="40" t="s">
        <v>234</v>
      </c>
    </row>
    <row r="354" spans="1:15" ht="29.25" customHeight="1" x14ac:dyDescent="0.2">
      <c r="A354" s="40" t="s">
        <v>11255</v>
      </c>
      <c r="B354" s="40" t="s">
        <v>11255</v>
      </c>
      <c r="C354" s="41">
        <v>46090</v>
      </c>
      <c r="D354" s="41">
        <v>46141</v>
      </c>
      <c r="E354" s="40" t="s">
        <v>19</v>
      </c>
      <c r="F354" s="40" t="s">
        <v>524</v>
      </c>
      <c r="G354" s="40"/>
      <c r="H354" s="40"/>
      <c r="I354" s="40" t="s">
        <v>49</v>
      </c>
      <c r="J354" s="40">
        <v>10166.19</v>
      </c>
      <c r="K354" s="40">
        <v>10166.19</v>
      </c>
      <c r="L354" s="40"/>
      <c r="M354" s="40">
        <v>10166.19</v>
      </c>
      <c r="N354" s="40" t="s">
        <v>11256</v>
      </c>
      <c r="O354" s="40" t="s">
        <v>234</v>
      </c>
    </row>
    <row r="355" spans="1:15" ht="29.25" customHeight="1" x14ac:dyDescent="0.2">
      <c r="A355" s="40" t="s">
        <v>11257</v>
      </c>
      <c r="B355" s="40" t="s">
        <v>11257</v>
      </c>
      <c r="C355" s="41">
        <v>46090</v>
      </c>
      <c r="D355" s="41">
        <v>46132</v>
      </c>
      <c r="E355" s="40" t="s">
        <v>19</v>
      </c>
      <c r="F355" s="40" t="s">
        <v>524</v>
      </c>
      <c r="G355" s="40"/>
      <c r="H355" s="40"/>
      <c r="I355" s="40" t="s">
        <v>49</v>
      </c>
      <c r="J355" s="40">
        <v>10166.19</v>
      </c>
      <c r="K355" s="40">
        <v>10166.19</v>
      </c>
      <c r="L355" s="40"/>
      <c r="M355" s="40">
        <v>10166.19</v>
      </c>
      <c r="N355" s="40" t="s">
        <v>11258</v>
      </c>
      <c r="O355" s="40" t="s">
        <v>234</v>
      </c>
    </row>
    <row r="356" spans="1:15" ht="29.25" customHeight="1" x14ac:dyDescent="0.2">
      <c r="A356" s="40" t="s">
        <v>11259</v>
      </c>
      <c r="B356" s="40" t="s">
        <v>11259</v>
      </c>
      <c r="C356" s="41">
        <v>46090</v>
      </c>
      <c r="D356" s="41">
        <v>46121</v>
      </c>
      <c r="E356" s="40" t="s">
        <v>19</v>
      </c>
      <c r="F356" s="40" t="s">
        <v>524</v>
      </c>
      <c r="G356" s="40"/>
      <c r="H356" s="40"/>
      <c r="I356" s="40" t="s">
        <v>49</v>
      </c>
      <c r="J356" s="40">
        <v>10166.19</v>
      </c>
      <c r="K356" s="40">
        <v>10166.19</v>
      </c>
      <c r="L356" s="40"/>
      <c r="M356" s="40">
        <v>10166.19</v>
      </c>
      <c r="N356" s="40" t="s">
        <v>11260</v>
      </c>
      <c r="O356" s="40" t="s">
        <v>234</v>
      </c>
    </row>
    <row r="357" spans="1:15" ht="29.25" customHeight="1" x14ac:dyDescent="0.2">
      <c r="A357" s="40" t="s">
        <v>11261</v>
      </c>
      <c r="B357" s="40" t="s">
        <v>11261</v>
      </c>
      <c r="C357" s="41">
        <v>46090</v>
      </c>
      <c r="D357" s="41">
        <v>46163</v>
      </c>
      <c r="E357" s="40" t="s">
        <v>19</v>
      </c>
      <c r="F357" s="40" t="s">
        <v>2684</v>
      </c>
      <c r="G357" s="40"/>
      <c r="H357" s="40"/>
      <c r="I357" s="40" t="s">
        <v>49</v>
      </c>
      <c r="J357" s="40">
        <v>2717.89</v>
      </c>
      <c r="K357" s="40">
        <v>2717.89</v>
      </c>
      <c r="L357" s="40"/>
      <c r="M357" s="40">
        <v>2717.89</v>
      </c>
      <c r="N357" s="40" t="s">
        <v>11262</v>
      </c>
      <c r="O357" s="40" t="s">
        <v>234</v>
      </c>
    </row>
    <row r="358" spans="1:15" ht="29.25" customHeight="1" x14ac:dyDescent="0.2">
      <c r="A358" s="40" t="s">
        <v>11263</v>
      </c>
      <c r="B358" s="40" t="s">
        <v>11263</v>
      </c>
      <c r="C358" s="41">
        <v>46090</v>
      </c>
      <c r="D358" s="41">
        <v>46146</v>
      </c>
      <c r="E358" s="40" t="s">
        <v>19</v>
      </c>
      <c r="F358" s="40" t="s">
        <v>2684</v>
      </c>
      <c r="G358" s="40"/>
      <c r="H358" s="40"/>
      <c r="I358" s="40" t="s">
        <v>49</v>
      </c>
      <c r="J358" s="40">
        <v>2717.87</v>
      </c>
      <c r="K358" s="40">
        <v>2717.87</v>
      </c>
      <c r="L358" s="40"/>
      <c r="M358" s="40">
        <v>2717.87</v>
      </c>
      <c r="N358" s="40" t="s">
        <v>11264</v>
      </c>
      <c r="O358" s="40" t="s">
        <v>234</v>
      </c>
    </row>
    <row r="359" spans="1:15" ht="29.25" customHeight="1" x14ac:dyDescent="0.2">
      <c r="A359" s="40" t="s">
        <v>11265</v>
      </c>
      <c r="B359" s="40" t="s">
        <v>11265</v>
      </c>
      <c r="C359" s="41">
        <v>46090</v>
      </c>
      <c r="D359" s="41">
        <v>46139</v>
      </c>
      <c r="E359" s="40" t="s">
        <v>19</v>
      </c>
      <c r="F359" s="40" t="s">
        <v>2684</v>
      </c>
      <c r="G359" s="40"/>
      <c r="H359" s="40"/>
      <c r="I359" s="40" t="s">
        <v>49</v>
      </c>
      <c r="J359" s="40">
        <v>2717.87</v>
      </c>
      <c r="K359" s="40">
        <v>2717.87</v>
      </c>
      <c r="L359" s="40"/>
      <c r="M359" s="40">
        <v>2717.87</v>
      </c>
      <c r="N359" s="40" t="s">
        <v>11266</v>
      </c>
      <c r="O359" s="40" t="s">
        <v>234</v>
      </c>
    </row>
    <row r="360" spans="1:15" ht="29.25" customHeight="1" x14ac:dyDescent="0.2">
      <c r="A360" s="40" t="s">
        <v>11267</v>
      </c>
      <c r="B360" s="40" t="s">
        <v>11267</v>
      </c>
      <c r="C360" s="41">
        <v>46090</v>
      </c>
      <c r="D360" s="41">
        <v>46132</v>
      </c>
      <c r="E360" s="40" t="s">
        <v>19</v>
      </c>
      <c r="F360" s="40" t="s">
        <v>2684</v>
      </c>
      <c r="G360" s="40"/>
      <c r="H360" s="40"/>
      <c r="I360" s="40" t="s">
        <v>49</v>
      </c>
      <c r="J360" s="40">
        <v>2717.87</v>
      </c>
      <c r="K360" s="40">
        <v>2717.87</v>
      </c>
      <c r="L360" s="40"/>
      <c r="M360" s="40">
        <v>2717.87</v>
      </c>
      <c r="N360" s="40" t="s">
        <v>11268</v>
      </c>
      <c r="O360" s="40" t="s">
        <v>234</v>
      </c>
    </row>
    <row r="361" spans="1:15" ht="29.25" customHeight="1" x14ac:dyDescent="0.2">
      <c r="A361" s="40" t="s">
        <v>11269</v>
      </c>
      <c r="B361" s="40" t="s">
        <v>11269</v>
      </c>
      <c r="C361" s="41">
        <v>46090</v>
      </c>
      <c r="D361" s="41">
        <v>46125</v>
      </c>
      <c r="E361" s="40" t="s">
        <v>19</v>
      </c>
      <c r="F361" s="40" t="s">
        <v>2684</v>
      </c>
      <c r="G361" s="40"/>
      <c r="H361" s="40"/>
      <c r="I361" s="40" t="s">
        <v>49</v>
      </c>
      <c r="J361" s="40">
        <v>2717.87</v>
      </c>
      <c r="K361" s="40">
        <v>2717.87</v>
      </c>
      <c r="L361" s="40"/>
      <c r="M361" s="40">
        <v>2717.87</v>
      </c>
      <c r="N361" s="40" t="s">
        <v>11270</v>
      </c>
      <c r="O361" s="40" t="s">
        <v>234</v>
      </c>
    </row>
    <row r="362" spans="1:15" ht="29.25" customHeight="1" x14ac:dyDescent="0.2">
      <c r="A362" s="40" t="s">
        <v>11271</v>
      </c>
      <c r="B362" s="40" t="s">
        <v>11271</v>
      </c>
      <c r="C362" s="41">
        <v>46090</v>
      </c>
      <c r="D362" s="41">
        <v>46170</v>
      </c>
      <c r="E362" s="40" t="s">
        <v>19</v>
      </c>
      <c r="F362" s="40" t="s">
        <v>108</v>
      </c>
      <c r="G362" s="40"/>
      <c r="H362" s="40"/>
      <c r="I362" s="40" t="s">
        <v>49</v>
      </c>
      <c r="J362" s="40">
        <v>3015.72</v>
      </c>
      <c r="K362" s="40">
        <v>3015.72</v>
      </c>
      <c r="L362" s="40"/>
      <c r="M362" s="40">
        <v>3015.72</v>
      </c>
      <c r="N362" s="40" t="s">
        <v>11272</v>
      </c>
      <c r="O362" s="40" t="s">
        <v>234</v>
      </c>
    </row>
    <row r="363" spans="1:15" ht="29.25" customHeight="1" x14ac:dyDescent="0.2">
      <c r="A363" s="40" t="s">
        <v>11273</v>
      </c>
      <c r="B363" s="40" t="s">
        <v>11273</v>
      </c>
      <c r="C363" s="41">
        <v>46090</v>
      </c>
      <c r="D363" s="41">
        <v>46153</v>
      </c>
      <c r="E363" s="40" t="s">
        <v>19</v>
      </c>
      <c r="F363" s="40" t="s">
        <v>108</v>
      </c>
      <c r="G363" s="40"/>
      <c r="H363" s="40"/>
      <c r="I363" s="40" t="s">
        <v>49</v>
      </c>
      <c r="J363" s="40">
        <v>3015.72</v>
      </c>
      <c r="K363" s="40">
        <v>3015.72</v>
      </c>
      <c r="L363" s="40"/>
      <c r="M363" s="40">
        <v>3015.72</v>
      </c>
      <c r="N363" s="40" t="s">
        <v>11274</v>
      </c>
      <c r="O363" s="40" t="s">
        <v>234</v>
      </c>
    </row>
    <row r="364" spans="1:15" ht="29.25" customHeight="1" x14ac:dyDescent="0.2">
      <c r="A364" s="40" t="s">
        <v>11275</v>
      </c>
      <c r="B364" s="40" t="s">
        <v>11275</v>
      </c>
      <c r="C364" s="41">
        <v>46090</v>
      </c>
      <c r="D364" s="41">
        <v>46146</v>
      </c>
      <c r="E364" s="40" t="s">
        <v>19</v>
      </c>
      <c r="F364" s="40" t="s">
        <v>108</v>
      </c>
      <c r="G364" s="40"/>
      <c r="H364" s="40"/>
      <c r="I364" s="40" t="s">
        <v>49</v>
      </c>
      <c r="J364" s="40">
        <v>3015.72</v>
      </c>
      <c r="K364" s="40">
        <v>3015.72</v>
      </c>
      <c r="L364" s="40"/>
      <c r="M364" s="40">
        <v>3015.72</v>
      </c>
      <c r="N364" s="40" t="s">
        <v>11276</v>
      </c>
      <c r="O364" s="40" t="s">
        <v>234</v>
      </c>
    </row>
    <row r="365" spans="1:15" ht="29.25" customHeight="1" x14ac:dyDescent="0.2">
      <c r="A365" s="40" t="s">
        <v>11277</v>
      </c>
      <c r="B365" s="40" t="s">
        <v>11277</v>
      </c>
      <c r="C365" s="41">
        <v>46090</v>
      </c>
      <c r="D365" s="41">
        <v>46139</v>
      </c>
      <c r="E365" s="40" t="s">
        <v>19</v>
      </c>
      <c r="F365" s="40" t="s">
        <v>108</v>
      </c>
      <c r="G365" s="40"/>
      <c r="H365" s="40"/>
      <c r="I365" s="40" t="s">
        <v>49</v>
      </c>
      <c r="J365" s="40">
        <v>3015.72</v>
      </c>
      <c r="K365" s="40">
        <v>3015.72</v>
      </c>
      <c r="L365" s="40"/>
      <c r="M365" s="40">
        <v>3015.72</v>
      </c>
      <c r="N365" s="40" t="s">
        <v>11278</v>
      </c>
      <c r="O365" s="40" t="s">
        <v>234</v>
      </c>
    </row>
    <row r="366" spans="1:15" ht="29.25" customHeight="1" x14ac:dyDescent="0.2">
      <c r="A366" s="40" t="s">
        <v>11279</v>
      </c>
      <c r="B366" s="40" t="s">
        <v>11279</v>
      </c>
      <c r="C366" s="41">
        <v>46090</v>
      </c>
      <c r="D366" s="41">
        <v>46132</v>
      </c>
      <c r="E366" s="40" t="s">
        <v>19</v>
      </c>
      <c r="F366" s="40" t="s">
        <v>108</v>
      </c>
      <c r="G366" s="40"/>
      <c r="H366" s="40"/>
      <c r="I366" s="40" t="s">
        <v>49</v>
      </c>
      <c r="J366" s="40">
        <v>3015.72</v>
      </c>
      <c r="K366" s="40">
        <v>3015.72</v>
      </c>
      <c r="L366" s="40"/>
      <c r="M366" s="40">
        <v>3015.72</v>
      </c>
      <c r="N366" s="40" t="s">
        <v>11280</v>
      </c>
      <c r="O366" s="40" t="s">
        <v>234</v>
      </c>
    </row>
    <row r="367" spans="1:15" ht="29.25" customHeight="1" x14ac:dyDescent="0.2">
      <c r="A367" s="40" t="s">
        <v>11281</v>
      </c>
      <c r="B367" s="40" t="s">
        <v>11281</v>
      </c>
      <c r="C367" s="41">
        <v>46090</v>
      </c>
      <c r="D367" s="41">
        <v>46125</v>
      </c>
      <c r="E367" s="40" t="s">
        <v>19</v>
      </c>
      <c r="F367" s="40" t="s">
        <v>108</v>
      </c>
      <c r="G367" s="40"/>
      <c r="H367" s="40"/>
      <c r="I367" s="40" t="s">
        <v>49</v>
      </c>
      <c r="J367" s="40">
        <v>3015.72</v>
      </c>
      <c r="K367" s="40">
        <v>3015.72</v>
      </c>
      <c r="L367" s="40"/>
      <c r="M367" s="40">
        <v>3015.72</v>
      </c>
      <c r="N367" s="40" t="s">
        <v>11282</v>
      </c>
      <c r="O367" s="40" t="s">
        <v>234</v>
      </c>
    </row>
    <row r="368" spans="1:15" ht="29.25" customHeight="1" x14ac:dyDescent="0.2">
      <c r="A368" s="40" t="s">
        <v>11283</v>
      </c>
      <c r="B368" s="40" t="s">
        <v>11283</v>
      </c>
      <c r="C368" s="41">
        <v>46090</v>
      </c>
      <c r="D368" s="41">
        <v>46160</v>
      </c>
      <c r="E368" s="40" t="s">
        <v>19</v>
      </c>
      <c r="F368" s="40" t="s">
        <v>108</v>
      </c>
      <c r="G368" s="40"/>
      <c r="H368" s="40"/>
      <c r="I368" s="40" t="s">
        <v>49</v>
      </c>
      <c r="J368" s="40">
        <v>1826.71</v>
      </c>
      <c r="K368" s="40">
        <v>1826.71</v>
      </c>
      <c r="L368" s="40"/>
      <c r="M368" s="40">
        <v>1826.71</v>
      </c>
      <c r="N368" s="40" t="s">
        <v>11284</v>
      </c>
      <c r="O368" s="40" t="s">
        <v>234</v>
      </c>
    </row>
    <row r="369" spans="1:15" ht="29.25" customHeight="1" x14ac:dyDescent="0.2">
      <c r="A369" s="40" t="s">
        <v>11285</v>
      </c>
      <c r="B369" s="40" t="s">
        <v>11285</v>
      </c>
      <c r="C369" s="41">
        <v>46090</v>
      </c>
      <c r="D369" s="41">
        <v>46148</v>
      </c>
      <c r="E369" s="40" t="s">
        <v>19</v>
      </c>
      <c r="F369" s="40" t="s">
        <v>108</v>
      </c>
      <c r="G369" s="40"/>
      <c r="H369" s="40"/>
      <c r="I369" s="40" t="s">
        <v>49</v>
      </c>
      <c r="J369" s="40">
        <v>1826.72</v>
      </c>
      <c r="K369" s="40">
        <v>1826.72</v>
      </c>
      <c r="L369" s="40"/>
      <c r="M369" s="40">
        <v>1826.72</v>
      </c>
      <c r="N369" s="40" t="s">
        <v>11286</v>
      </c>
      <c r="O369" s="40" t="s">
        <v>234</v>
      </c>
    </row>
    <row r="370" spans="1:15" ht="29.25" customHeight="1" x14ac:dyDescent="0.2">
      <c r="A370" s="40" t="s">
        <v>11287</v>
      </c>
      <c r="B370" s="40" t="s">
        <v>11287</v>
      </c>
      <c r="C370" s="41">
        <v>46090</v>
      </c>
      <c r="D370" s="41">
        <v>46139</v>
      </c>
      <c r="E370" s="40" t="s">
        <v>19</v>
      </c>
      <c r="F370" s="40" t="s">
        <v>108</v>
      </c>
      <c r="G370" s="40"/>
      <c r="H370" s="40"/>
      <c r="I370" s="40" t="s">
        <v>49</v>
      </c>
      <c r="J370" s="40">
        <v>1826.72</v>
      </c>
      <c r="K370" s="40">
        <v>1826.72</v>
      </c>
      <c r="L370" s="40"/>
      <c r="M370" s="40">
        <v>1826.72</v>
      </c>
      <c r="N370" s="40" t="s">
        <v>11288</v>
      </c>
      <c r="O370" s="40" t="s">
        <v>234</v>
      </c>
    </row>
    <row r="371" spans="1:15" ht="29.25" customHeight="1" x14ac:dyDescent="0.2">
      <c r="A371" s="40" t="s">
        <v>11289</v>
      </c>
      <c r="B371" s="40" t="s">
        <v>11289</v>
      </c>
      <c r="C371" s="41">
        <v>46090</v>
      </c>
      <c r="D371" s="41">
        <v>46128</v>
      </c>
      <c r="E371" s="40" t="s">
        <v>19</v>
      </c>
      <c r="F371" s="40" t="s">
        <v>108</v>
      </c>
      <c r="G371" s="40"/>
      <c r="H371" s="40"/>
      <c r="I371" s="40" t="s">
        <v>49</v>
      </c>
      <c r="J371" s="40">
        <v>1826.72</v>
      </c>
      <c r="K371" s="40">
        <v>1826.72</v>
      </c>
      <c r="L371" s="40"/>
      <c r="M371" s="40">
        <v>1826.72</v>
      </c>
      <c r="N371" s="40" t="s">
        <v>11290</v>
      </c>
      <c r="O371" s="40" t="s">
        <v>234</v>
      </c>
    </row>
    <row r="372" spans="1:15" ht="29.25" customHeight="1" x14ac:dyDescent="0.2">
      <c r="A372" s="40" t="s">
        <v>11291</v>
      </c>
      <c r="B372" s="40" t="s">
        <v>11291</v>
      </c>
      <c r="C372" s="41">
        <v>46090</v>
      </c>
      <c r="D372" s="41">
        <v>46146</v>
      </c>
      <c r="E372" s="40" t="s">
        <v>19</v>
      </c>
      <c r="F372" s="40" t="s">
        <v>1405</v>
      </c>
      <c r="G372" s="40"/>
      <c r="H372" s="40"/>
      <c r="I372" s="40" t="s">
        <v>49</v>
      </c>
      <c r="J372" s="40">
        <v>3632.35</v>
      </c>
      <c r="K372" s="40">
        <v>3632.35</v>
      </c>
      <c r="L372" s="40"/>
      <c r="M372" s="40">
        <v>3632.35</v>
      </c>
      <c r="N372" s="40" t="s">
        <v>11292</v>
      </c>
      <c r="O372" s="40" t="s">
        <v>234</v>
      </c>
    </row>
    <row r="373" spans="1:15" ht="29.25" customHeight="1" x14ac:dyDescent="0.2">
      <c r="A373" s="40" t="s">
        <v>11293</v>
      </c>
      <c r="B373" s="40" t="s">
        <v>11293</v>
      </c>
      <c r="C373" s="41">
        <v>46090</v>
      </c>
      <c r="D373" s="41">
        <v>46141</v>
      </c>
      <c r="E373" s="40" t="s">
        <v>19</v>
      </c>
      <c r="F373" s="40" t="s">
        <v>1405</v>
      </c>
      <c r="G373" s="40"/>
      <c r="H373" s="40"/>
      <c r="I373" s="40" t="s">
        <v>49</v>
      </c>
      <c r="J373" s="40">
        <v>3632.35</v>
      </c>
      <c r="K373" s="40">
        <v>3632.35</v>
      </c>
      <c r="L373" s="40"/>
      <c r="M373" s="40">
        <v>3632.35</v>
      </c>
      <c r="N373" s="40" t="s">
        <v>11294</v>
      </c>
      <c r="O373" s="40" t="s">
        <v>234</v>
      </c>
    </row>
    <row r="374" spans="1:15" ht="29.25" customHeight="1" x14ac:dyDescent="0.2">
      <c r="A374" s="40" t="s">
        <v>11295</v>
      </c>
      <c r="B374" s="40" t="s">
        <v>11295</v>
      </c>
      <c r="C374" s="41">
        <v>46090</v>
      </c>
      <c r="D374" s="41">
        <v>46136</v>
      </c>
      <c r="E374" s="40" t="s">
        <v>19</v>
      </c>
      <c r="F374" s="40" t="s">
        <v>1405</v>
      </c>
      <c r="G374" s="40"/>
      <c r="H374" s="40"/>
      <c r="I374" s="40" t="s">
        <v>49</v>
      </c>
      <c r="J374" s="40">
        <v>3632.35</v>
      </c>
      <c r="K374" s="40">
        <v>3632.35</v>
      </c>
      <c r="L374" s="40"/>
      <c r="M374" s="40">
        <v>3632.35</v>
      </c>
      <c r="N374" s="40" t="s">
        <v>11296</v>
      </c>
      <c r="O374" s="40" t="s">
        <v>234</v>
      </c>
    </row>
    <row r="375" spans="1:15" ht="29.25" customHeight="1" x14ac:dyDescent="0.2">
      <c r="A375" s="40" t="s">
        <v>11297</v>
      </c>
      <c r="B375" s="40" t="s">
        <v>11297</v>
      </c>
      <c r="C375" s="41">
        <v>46090</v>
      </c>
      <c r="D375" s="41">
        <v>46132</v>
      </c>
      <c r="E375" s="40" t="s">
        <v>19</v>
      </c>
      <c r="F375" s="40" t="s">
        <v>1405</v>
      </c>
      <c r="G375" s="40"/>
      <c r="H375" s="40"/>
      <c r="I375" s="40" t="s">
        <v>49</v>
      </c>
      <c r="J375" s="40">
        <v>3632.35</v>
      </c>
      <c r="K375" s="40">
        <v>3632.35</v>
      </c>
      <c r="L375" s="40"/>
      <c r="M375" s="40">
        <v>3632.35</v>
      </c>
      <c r="N375" s="40" t="s">
        <v>11298</v>
      </c>
      <c r="O375" s="40" t="s">
        <v>234</v>
      </c>
    </row>
    <row r="376" spans="1:15" ht="29.25" customHeight="1" x14ac:dyDescent="0.2">
      <c r="A376" s="40" t="s">
        <v>11299</v>
      </c>
      <c r="B376" s="40" t="s">
        <v>11299</v>
      </c>
      <c r="C376" s="41">
        <v>46090</v>
      </c>
      <c r="D376" s="41">
        <v>46121</v>
      </c>
      <c r="E376" s="40" t="s">
        <v>19</v>
      </c>
      <c r="F376" s="40" t="s">
        <v>1405</v>
      </c>
      <c r="G376" s="40"/>
      <c r="H376" s="40"/>
      <c r="I376" s="40" t="s">
        <v>49</v>
      </c>
      <c r="J376" s="40">
        <v>3632.35</v>
      </c>
      <c r="K376" s="40">
        <v>3632.35</v>
      </c>
      <c r="L376" s="40"/>
      <c r="M376" s="40">
        <v>3632.35</v>
      </c>
      <c r="N376" s="40" t="s">
        <v>11300</v>
      </c>
      <c r="O376" s="40" t="s">
        <v>234</v>
      </c>
    </row>
    <row r="377" spans="1:15" ht="29.25" customHeight="1" x14ac:dyDescent="0.2">
      <c r="A377" s="40" t="s">
        <v>11301</v>
      </c>
      <c r="B377" s="40" t="s">
        <v>11301</v>
      </c>
      <c r="C377" s="41">
        <v>46090</v>
      </c>
      <c r="D377" s="41">
        <v>46118</v>
      </c>
      <c r="E377" s="40" t="s">
        <v>19</v>
      </c>
      <c r="F377" s="40" t="s">
        <v>1405</v>
      </c>
      <c r="G377" s="40"/>
      <c r="H377" s="40"/>
      <c r="I377" s="40" t="s">
        <v>49</v>
      </c>
      <c r="J377" s="40">
        <v>3632.35</v>
      </c>
      <c r="K377" s="40">
        <v>3632.35</v>
      </c>
      <c r="L377" s="40"/>
      <c r="M377" s="40">
        <v>3632.35</v>
      </c>
      <c r="N377" s="40" t="s">
        <v>11302</v>
      </c>
      <c r="O377" s="40" t="s">
        <v>234</v>
      </c>
    </row>
    <row r="378" spans="1:15" ht="29.25" customHeight="1" x14ac:dyDescent="0.2">
      <c r="A378" s="40" t="s">
        <v>11303</v>
      </c>
      <c r="B378" s="40" t="s">
        <v>11303</v>
      </c>
      <c r="C378" s="41">
        <v>46090</v>
      </c>
      <c r="D378" s="41">
        <v>46168</v>
      </c>
      <c r="E378" s="40" t="s">
        <v>19</v>
      </c>
      <c r="F378" s="40" t="s">
        <v>1920</v>
      </c>
      <c r="G378" s="40"/>
      <c r="H378" s="40"/>
      <c r="I378" s="40" t="s">
        <v>49</v>
      </c>
      <c r="J378" s="40">
        <v>2535.42</v>
      </c>
      <c r="K378" s="40">
        <v>2535.42</v>
      </c>
      <c r="L378" s="40"/>
      <c r="M378" s="40">
        <v>2535.42</v>
      </c>
      <c r="N378" s="40" t="s">
        <v>11304</v>
      </c>
      <c r="O378" s="40" t="s">
        <v>234</v>
      </c>
    </row>
    <row r="379" spans="1:15" ht="29.25" customHeight="1" x14ac:dyDescent="0.2">
      <c r="A379" s="40" t="s">
        <v>11305</v>
      </c>
      <c r="B379" s="40" t="s">
        <v>11305</v>
      </c>
      <c r="C379" s="41">
        <v>46090</v>
      </c>
      <c r="D379" s="41">
        <v>46153</v>
      </c>
      <c r="E379" s="40" t="s">
        <v>19</v>
      </c>
      <c r="F379" s="40" t="s">
        <v>1920</v>
      </c>
      <c r="G379" s="40"/>
      <c r="H379" s="40"/>
      <c r="I379" s="40" t="s">
        <v>49</v>
      </c>
      <c r="J379" s="40">
        <v>2535.4299999999998</v>
      </c>
      <c r="K379" s="40">
        <v>2535.4299999999998</v>
      </c>
      <c r="L379" s="40"/>
      <c r="M379" s="40">
        <v>2535.4299999999998</v>
      </c>
      <c r="N379" s="40" t="s">
        <v>11306</v>
      </c>
      <c r="O379" s="40" t="s">
        <v>234</v>
      </c>
    </row>
    <row r="380" spans="1:15" ht="29.25" customHeight="1" x14ac:dyDescent="0.2">
      <c r="A380" s="40" t="s">
        <v>11307</v>
      </c>
      <c r="B380" s="40" t="s">
        <v>11307</v>
      </c>
      <c r="C380" s="41">
        <v>46090</v>
      </c>
      <c r="D380" s="41">
        <v>46146</v>
      </c>
      <c r="E380" s="40" t="s">
        <v>19</v>
      </c>
      <c r="F380" s="40" t="s">
        <v>1920</v>
      </c>
      <c r="G380" s="40"/>
      <c r="H380" s="40"/>
      <c r="I380" s="40" t="s">
        <v>49</v>
      </c>
      <c r="J380" s="40">
        <v>2535.4299999999998</v>
      </c>
      <c r="K380" s="40">
        <v>2535.4299999999998</v>
      </c>
      <c r="L380" s="40"/>
      <c r="M380" s="40">
        <v>2535.4299999999998</v>
      </c>
      <c r="N380" s="40" t="s">
        <v>11308</v>
      </c>
      <c r="O380" s="40" t="s">
        <v>234</v>
      </c>
    </row>
    <row r="381" spans="1:15" ht="29.25" customHeight="1" x14ac:dyDescent="0.2">
      <c r="A381" s="40" t="s">
        <v>11309</v>
      </c>
      <c r="B381" s="40" t="s">
        <v>11309</v>
      </c>
      <c r="C381" s="41">
        <v>46090</v>
      </c>
      <c r="D381" s="41">
        <v>46139</v>
      </c>
      <c r="E381" s="40" t="s">
        <v>19</v>
      </c>
      <c r="F381" s="40" t="s">
        <v>1920</v>
      </c>
      <c r="G381" s="40"/>
      <c r="H381" s="40"/>
      <c r="I381" s="40" t="s">
        <v>49</v>
      </c>
      <c r="J381" s="40">
        <v>2535.4299999999998</v>
      </c>
      <c r="K381" s="40">
        <v>2535.4299999999998</v>
      </c>
      <c r="L381" s="40"/>
      <c r="M381" s="40">
        <v>2535.4299999999998</v>
      </c>
      <c r="N381" s="40" t="s">
        <v>11310</v>
      </c>
      <c r="O381" s="40" t="s">
        <v>234</v>
      </c>
    </row>
    <row r="382" spans="1:15" ht="29.25" customHeight="1" x14ac:dyDescent="0.2">
      <c r="A382" s="40" t="s">
        <v>11311</v>
      </c>
      <c r="B382" s="40" t="s">
        <v>11311</v>
      </c>
      <c r="C382" s="41">
        <v>46090</v>
      </c>
      <c r="D382" s="41">
        <v>46132</v>
      </c>
      <c r="E382" s="40" t="s">
        <v>19</v>
      </c>
      <c r="F382" s="40" t="s">
        <v>1920</v>
      </c>
      <c r="G382" s="40"/>
      <c r="H382" s="40"/>
      <c r="I382" s="40" t="s">
        <v>49</v>
      </c>
      <c r="J382" s="40">
        <v>2535.4299999999998</v>
      </c>
      <c r="K382" s="40">
        <v>2535.4299999999998</v>
      </c>
      <c r="L382" s="40"/>
      <c r="M382" s="40">
        <v>2535.4299999999998</v>
      </c>
      <c r="N382" s="40" t="s">
        <v>11312</v>
      </c>
      <c r="O382" s="40" t="s">
        <v>234</v>
      </c>
    </row>
    <row r="383" spans="1:15" ht="29.25" customHeight="1" x14ac:dyDescent="0.2">
      <c r="A383" s="40" t="s">
        <v>11313</v>
      </c>
      <c r="B383" s="40" t="s">
        <v>11313</v>
      </c>
      <c r="C383" s="41">
        <v>46090</v>
      </c>
      <c r="D383" s="41">
        <v>46125</v>
      </c>
      <c r="E383" s="40" t="s">
        <v>19</v>
      </c>
      <c r="F383" s="40" t="s">
        <v>1920</v>
      </c>
      <c r="G383" s="40"/>
      <c r="H383" s="40"/>
      <c r="I383" s="40" t="s">
        <v>49</v>
      </c>
      <c r="J383" s="40">
        <v>2535.4299999999998</v>
      </c>
      <c r="K383" s="40">
        <v>2535.4299999999998</v>
      </c>
      <c r="L383" s="40"/>
      <c r="M383" s="40">
        <v>2535.4299999999998</v>
      </c>
      <c r="N383" s="40" t="s">
        <v>11314</v>
      </c>
      <c r="O383" s="40" t="s">
        <v>234</v>
      </c>
    </row>
    <row r="384" spans="1:15" ht="29.25" customHeight="1" x14ac:dyDescent="0.2">
      <c r="A384" s="40" t="s">
        <v>11315</v>
      </c>
      <c r="B384" s="40" t="s">
        <v>11315</v>
      </c>
      <c r="C384" s="41">
        <v>46090</v>
      </c>
      <c r="D384" s="41">
        <v>46139</v>
      </c>
      <c r="E384" s="40" t="s">
        <v>19</v>
      </c>
      <c r="F384" s="40" t="s">
        <v>1920</v>
      </c>
      <c r="G384" s="40"/>
      <c r="H384" s="40"/>
      <c r="I384" s="40" t="s">
        <v>49</v>
      </c>
      <c r="J384" s="40">
        <v>3457.14</v>
      </c>
      <c r="K384" s="40">
        <v>3457.14</v>
      </c>
      <c r="L384" s="40"/>
      <c r="M384" s="40">
        <v>3457.14</v>
      </c>
      <c r="N384" s="40" t="s">
        <v>11316</v>
      </c>
      <c r="O384" s="40" t="s">
        <v>234</v>
      </c>
    </row>
    <row r="385" spans="1:15" ht="29.25" customHeight="1" x14ac:dyDescent="0.2">
      <c r="A385" s="40" t="s">
        <v>11317</v>
      </c>
      <c r="B385" s="40" t="s">
        <v>11317</v>
      </c>
      <c r="C385" s="41">
        <v>46090</v>
      </c>
      <c r="D385" s="41">
        <v>46122</v>
      </c>
      <c r="E385" s="40" t="s">
        <v>19</v>
      </c>
      <c r="F385" s="40" t="s">
        <v>1920</v>
      </c>
      <c r="G385" s="40"/>
      <c r="H385" s="40"/>
      <c r="I385" s="40" t="s">
        <v>49</v>
      </c>
      <c r="J385" s="40">
        <v>3457.14</v>
      </c>
      <c r="K385" s="40">
        <v>3457.14</v>
      </c>
      <c r="L385" s="40"/>
      <c r="M385" s="40">
        <v>3457.14</v>
      </c>
      <c r="N385" s="40" t="s">
        <v>11318</v>
      </c>
      <c r="O385" s="40" t="s">
        <v>234</v>
      </c>
    </row>
    <row r="386" spans="1:15" ht="29.25" customHeight="1" x14ac:dyDescent="0.2">
      <c r="A386" s="40" t="s">
        <v>11319</v>
      </c>
      <c r="B386" s="40" t="s">
        <v>11319</v>
      </c>
      <c r="C386" s="41">
        <v>46090</v>
      </c>
      <c r="D386" s="41">
        <v>46148</v>
      </c>
      <c r="E386" s="40" t="s">
        <v>19</v>
      </c>
      <c r="F386" s="40" t="s">
        <v>1920</v>
      </c>
      <c r="G386" s="40"/>
      <c r="H386" s="40"/>
      <c r="I386" s="40" t="s">
        <v>49</v>
      </c>
      <c r="J386" s="40">
        <v>1826.03</v>
      </c>
      <c r="K386" s="40">
        <v>1826.03</v>
      </c>
      <c r="L386" s="40"/>
      <c r="M386" s="40">
        <v>1826.03</v>
      </c>
      <c r="N386" s="40" t="s">
        <v>11320</v>
      </c>
      <c r="O386" s="40" t="s">
        <v>234</v>
      </c>
    </row>
    <row r="387" spans="1:15" ht="29.25" customHeight="1" x14ac:dyDescent="0.2">
      <c r="A387" s="40" t="s">
        <v>11321</v>
      </c>
      <c r="B387" s="40" t="s">
        <v>11321</v>
      </c>
      <c r="C387" s="41">
        <v>46090</v>
      </c>
      <c r="D387" s="41">
        <v>46139</v>
      </c>
      <c r="E387" s="40" t="s">
        <v>19</v>
      </c>
      <c r="F387" s="40" t="s">
        <v>1920</v>
      </c>
      <c r="G387" s="40"/>
      <c r="H387" s="40"/>
      <c r="I387" s="40" t="s">
        <v>49</v>
      </c>
      <c r="J387" s="40">
        <v>1826.02</v>
      </c>
      <c r="K387" s="40">
        <v>1826.02</v>
      </c>
      <c r="L387" s="40"/>
      <c r="M387" s="40">
        <v>1826.02</v>
      </c>
      <c r="N387" s="40" t="s">
        <v>11322</v>
      </c>
      <c r="O387" s="40" t="s">
        <v>234</v>
      </c>
    </row>
    <row r="388" spans="1:15" ht="29.25" customHeight="1" x14ac:dyDescent="0.2">
      <c r="A388" s="40" t="s">
        <v>11323</v>
      </c>
      <c r="B388" s="40" t="s">
        <v>11323</v>
      </c>
      <c r="C388" s="41">
        <v>46090</v>
      </c>
      <c r="D388" s="41">
        <v>46128</v>
      </c>
      <c r="E388" s="40" t="s">
        <v>19</v>
      </c>
      <c r="F388" s="40" t="s">
        <v>1920</v>
      </c>
      <c r="G388" s="40"/>
      <c r="H388" s="40"/>
      <c r="I388" s="40" t="s">
        <v>49</v>
      </c>
      <c r="J388" s="40">
        <v>1826.02</v>
      </c>
      <c r="K388" s="40">
        <v>1826.02</v>
      </c>
      <c r="L388" s="40"/>
      <c r="M388" s="40">
        <v>1826.02</v>
      </c>
      <c r="N388" s="40" t="s">
        <v>11324</v>
      </c>
      <c r="O388" s="40" t="s">
        <v>234</v>
      </c>
    </row>
    <row r="389" spans="1:15" ht="29.25" customHeight="1" x14ac:dyDescent="0.2">
      <c r="A389" s="40" t="s">
        <v>11325</v>
      </c>
      <c r="B389" s="40" t="s">
        <v>11325</v>
      </c>
      <c r="C389" s="41">
        <v>46090</v>
      </c>
      <c r="D389" s="41">
        <v>46118</v>
      </c>
      <c r="E389" s="40" t="s">
        <v>19</v>
      </c>
      <c r="F389" s="40" t="s">
        <v>1920</v>
      </c>
      <c r="G389" s="40"/>
      <c r="H389" s="40"/>
      <c r="I389" s="40" t="s">
        <v>49</v>
      </c>
      <c r="J389" s="40">
        <v>1826.02</v>
      </c>
      <c r="K389" s="40">
        <v>1826.02</v>
      </c>
      <c r="L389" s="40"/>
      <c r="M389" s="40">
        <v>1826.02</v>
      </c>
      <c r="N389" s="40" t="s">
        <v>11326</v>
      </c>
      <c r="O389" s="40" t="s">
        <v>234</v>
      </c>
    </row>
    <row r="390" spans="1:15" ht="29.25" customHeight="1" x14ac:dyDescent="0.2">
      <c r="A390" s="40" t="s">
        <v>11327</v>
      </c>
      <c r="B390" s="40" t="s">
        <v>11327</v>
      </c>
      <c r="C390" s="41">
        <v>46090</v>
      </c>
      <c r="D390" s="41">
        <v>46146</v>
      </c>
      <c r="E390" s="40" t="s">
        <v>19</v>
      </c>
      <c r="F390" s="40" t="s">
        <v>64</v>
      </c>
      <c r="G390" s="40"/>
      <c r="H390" s="40"/>
      <c r="I390" s="40" t="s">
        <v>49</v>
      </c>
      <c r="J390" s="40">
        <v>3600.13</v>
      </c>
      <c r="K390" s="40">
        <v>3600.13</v>
      </c>
      <c r="L390" s="40"/>
      <c r="M390" s="40">
        <v>3600.13</v>
      </c>
      <c r="N390" s="40" t="s">
        <v>11328</v>
      </c>
      <c r="O390" s="40" t="s">
        <v>234</v>
      </c>
    </row>
    <row r="391" spans="1:15" ht="29.25" customHeight="1" x14ac:dyDescent="0.2">
      <c r="A391" s="40" t="s">
        <v>11329</v>
      </c>
      <c r="B391" s="40" t="s">
        <v>11329</v>
      </c>
      <c r="C391" s="41">
        <v>46090</v>
      </c>
      <c r="D391" s="41">
        <v>46140</v>
      </c>
      <c r="E391" s="40" t="s">
        <v>19</v>
      </c>
      <c r="F391" s="40" t="s">
        <v>64</v>
      </c>
      <c r="G391" s="40"/>
      <c r="H391" s="40"/>
      <c r="I391" s="40" t="s">
        <v>49</v>
      </c>
      <c r="J391" s="40">
        <v>3600.13</v>
      </c>
      <c r="K391" s="40">
        <v>3600.13</v>
      </c>
      <c r="L391" s="40"/>
      <c r="M391" s="40">
        <v>3600.13</v>
      </c>
      <c r="N391" s="40" t="s">
        <v>11330</v>
      </c>
      <c r="O391" s="40" t="s">
        <v>234</v>
      </c>
    </row>
    <row r="392" spans="1:15" ht="29.25" customHeight="1" x14ac:dyDescent="0.2">
      <c r="A392" s="40" t="s">
        <v>11331</v>
      </c>
      <c r="B392" s="40" t="s">
        <v>11331</v>
      </c>
      <c r="C392" s="41">
        <v>46090</v>
      </c>
      <c r="D392" s="41">
        <v>46135</v>
      </c>
      <c r="E392" s="40" t="s">
        <v>19</v>
      </c>
      <c r="F392" s="40" t="s">
        <v>64</v>
      </c>
      <c r="G392" s="40"/>
      <c r="H392" s="40"/>
      <c r="I392" s="40" t="s">
        <v>49</v>
      </c>
      <c r="J392" s="40">
        <v>3600.13</v>
      </c>
      <c r="K392" s="40">
        <v>3600.13</v>
      </c>
      <c r="L392" s="40"/>
      <c r="M392" s="40">
        <v>3600.13</v>
      </c>
      <c r="N392" s="40" t="s">
        <v>11332</v>
      </c>
      <c r="O392" s="40" t="s">
        <v>234</v>
      </c>
    </row>
    <row r="393" spans="1:15" ht="29.25" customHeight="1" x14ac:dyDescent="0.2">
      <c r="A393" s="40" t="s">
        <v>11333</v>
      </c>
      <c r="B393" s="40" t="s">
        <v>11333</v>
      </c>
      <c r="C393" s="41">
        <v>46090</v>
      </c>
      <c r="D393" s="41">
        <v>46129</v>
      </c>
      <c r="E393" s="40" t="s">
        <v>19</v>
      </c>
      <c r="F393" s="40" t="s">
        <v>64</v>
      </c>
      <c r="G393" s="40"/>
      <c r="H393" s="40"/>
      <c r="I393" s="40" t="s">
        <v>49</v>
      </c>
      <c r="J393" s="40">
        <v>3600.13</v>
      </c>
      <c r="K393" s="40">
        <v>3600.13</v>
      </c>
      <c r="L393" s="40"/>
      <c r="M393" s="40">
        <v>3600.13</v>
      </c>
      <c r="N393" s="40" t="s">
        <v>11334</v>
      </c>
      <c r="O393" s="40" t="s">
        <v>234</v>
      </c>
    </row>
    <row r="394" spans="1:15" ht="29.25" customHeight="1" x14ac:dyDescent="0.2">
      <c r="A394" s="40" t="s">
        <v>11335</v>
      </c>
      <c r="B394" s="40" t="s">
        <v>11335</v>
      </c>
      <c r="C394" s="41">
        <v>46090</v>
      </c>
      <c r="D394" s="41">
        <v>46120</v>
      </c>
      <c r="E394" s="40" t="s">
        <v>19</v>
      </c>
      <c r="F394" s="40" t="s">
        <v>64</v>
      </c>
      <c r="G394" s="40"/>
      <c r="H394" s="40"/>
      <c r="I394" s="40" t="s">
        <v>49</v>
      </c>
      <c r="J394" s="40">
        <v>3600.13</v>
      </c>
      <c r="K394" s="40">
        <v>3600.13</v>
      </c>
      <c r="L394" s="40"/>
      <c r="M394" s="40">
        <v>3600.13</v>
      </c>
      <c r="N394" s="40" t="s">
        <v>11336</v>
      </c>
      <c r="O394" s="40" t="s">
        <v>234</v>
      </c>
    </row>
    <row r="395" spans="1:15" ht="29.25" customHeight="1" x14ac:dyDescent="0.2">
      <c r="A395" s="40" t="s">
        <v>11337</v>
      </c>
      <c r="B395" s="40" t="s">
        <v>11337</v>
      </c>
      <c r="C395" s="41">
        <v>46090</v>
      </c>
      <c r="D395" s="41">
        <v>46146</v>
      </c>
      <c r="E395" s="40" t="s">
        <v>19</v>
      </c>
      <c r="F395" s="40" t="s">
        <v>64</v>
      </c>
      <c r="G395" s="40"/>
      <c r="H395" s="40"/>
      <c r="I395" s="40" t="s">
        <v>49</v>
      </c>
      <c r="J395" s="40">
        <v>16163.7</v>
      </c>
      <c r="K395" s="40">
        <v>16163.7</v>
      </c>
      <c r="L395" s="40"/>
      <c r="M395" s="40">
        <v>16163.7</v>
      </c>
      <c r="N395" s="40" t="s">
        <v>11338</v>
      </c>
      <c r="O395" s="40" t="s">
        <v>234</v>
      </c>
    </row>
    <row r="396" spans="1:15" ht="29.25" customHeight="1" x14ac:dyDescent="0.2">
      <c r="A396" s="40" t="s">
        <v>11339</v>
      </c>
      <c r="B396" s="40" t="s">
        <v>11339</v>
      </c>
      <c r="C396" s="41">
        <v>46090</v>
      </c>
      <c r="D396" s="41">
        <v>46156</v>
      </c>
      <c r="E396" s="40" t="s">
        <v>19</v>
      </c>
      <c r="F396" s="40" t="s">
        <v>64</v>
      </c>
      <c r="G396" s="40"/>
      <c r="H396" s="40"/>
      <c r="I396" s="40" t="s">
        <v>49</v>
      </c>
      <c r="J396" s="40">
        <v>9083.0300000000007</v>
      </c>
      <c r="K396" s="40">
        <v>9083.0300000000007</v>
      </c>
      <c r="L396" s="40"/>
      <c r="M396" s="40">
        <v>9083.0300000000007</v>
      </c>
      <c r="N396" s="40" t="s">
        <v>11340</v>
      </c>
      <c r="O396" s="40" t="s">
        <v>234</v>
      </c>
    </row>
    <row r="397" spans="1:15" ht="29.25" customHeight="1" x14ac:dyDescent="0.2">
      <c r="A397" s="40" t="s">
        <v>11341</v>
      </c>
      <c r="B397" s="40" t="s">
        <v>11341</v>
      </c>
      <c r="C397" s="41">
        <v>46090</v>
      </c>
      <c r="D397" s="41">
        <v>46139</v>
      </c>
      <c r="E397" s="40" t="s">
        <v>19</v>
      </c>
      <c r="F397" s="40" t="s">
        <v>64</v>
      </c>
      <c r="G397" s="40"/>
      <c r="H397" s="40"/>
      <c r="I397" s="40" t="s">
        <v>49</v>
      </c>
      <c r="J397" s="40">
        <v>9083.0300000000007</v>
      </c>
      <c r="K397" s="40">
        <v>9083.0300000000007</v>
      </c>
      <c r="L397" s="40"/>
      <c r="M397" s="40">
        <v>9083.0300000000007</v>
      </c>
      <c r="N397" s="40" t="s">
        <v>11342</v>
      </c>
      <c r="O397" s="40" t="s">
        <v>234</v>
      </c>
    </row>
    <row r="398" spans="1:15" ht="29.25" customHeight="1" x14ac:dyDescent="0.2">
      <c r="A398" s="40" t="s">
        <v>11343</v>
      </c>
      <c r="B398" s="40" t="s">
        <v>11343</v>
      </c>
      <c r="C398" s="41">
        <v>46090</v>
      </c>
      <c r="D398" s="41">
        <v>46132</v>
      </c>
      <c r="E398" s="40" t="s">
        <v>19</v>
      </c>
      <c r="F398" s="40" t="s">
        <v>64</v>
      </c>
      <c r="G398" s="40"/>
      <c r="H398" s="40"/>
      <c r="I398" s="40" t="s">
        <v>49</v>
      </c>
      <c r="J398" s="40">
        <v>9083.0300000000007</v>
      </c>
      <c r="K398" s="40">
        <v>9083.0300000000007</v>
      </c>
      <c r="L398" s="40"/>
      <c r="M398" s="40">
        <v>9083.0300000000007</v>
      </c>
      <c r="N398" s="40" t="s">
        <v>11344</v>
      </c>
      <c r="O398" s="40" t="s">
        <v>234</v>
      </c>
    </row>
    <row r="399" spans="1:15" ht="29.25" customHeight="1" x14ac:dyDescent="0.2">
      <c r="A399" s="40" t="s">
        <v>11345</v>
      </c>
      <c r="B399" s="40" t="s">
        <v>11345</v>
      </c>
      <c r="C399" s="41">
        <v>46090</v>
      </c>
      <c r="D399" s="41">
        <v>46125</v>
      </c>
      <c r="E399" s="40" t="s">
        <v>19</v>
      </c>
      <c r="F399" s="40" t="s">
        <v>64</v>
      </c>
      <c r="G399" s="40"/>
      <c r="H399" s="40"/>
      <c r="I399" s="40" t="s">
        <v>49</v>
      </c>
      <c r="J399" s="40">
        <v>9083.0300000000007</v>
      </c>
      <c r="K399" s="40">
        <v>9083.0300000000007</v>
      </c>
      <c r="L399" s="40"/>
      <c r="M399" s="40">
        <v>9083.0300000000007</v>
      </c>
      <c r="N399" s="40" t="s">
        <v>11346</v>
      </c>
      <c r="O399" s="40" t="s">
        <v>234</v>
      </c>
    </row>
    <row r="400" spans="1:15" ht="29.25" customHeight="1" x14ac:dyDescent="0.2">
      <c r="A400" s="40" t="s">
        <v>11347</v>
      </c>
      <c r="B400" s="40" t="s">
        <v>11347</v>
      </c>
      <c r="C400" s="41">
        <v>46090</v>
      </c>
      <c r="D400" s="41">
        <v>46118</v>
      </c>
      <c r="E400" s="40" t="s">
        <v>19</v>
      </c>
      <c r="F400" s="40" t="s">
        <v>64</v>
      </c>
      <c r="G400" s="40"/>
      <c r="H400" s="40"/>
      <c r="I400" s="40" t="s">
        <v>49</v>
      </c>
      <c r="J400" s="40">
        <v>9083.0300000000007</v>
      </c>
      <c r="K400" s="40">
        <v>9083.0300000000007</v>
      </c>
      <c r="L400" s="40"/>
      <c r="M400" s="40">
        <v>9083.0300000000007</v>
      </c>
      <c r="N400" s="40" t="s">
        <v>11348</v>
      </c>
      <c r="O400" s="40" t="s">
        <v>234</v>
      </c>
    </row>
    <row r="401" spans="1:15" ht="29.25" customHeight="1" x14ac:dyDescent="0.2">
      <c r="A401" s="40" t="s">
        <v>11349</v>
      </c>
      <c r="B401" s="40" t="s">
        <v>11349</v>
      </c>
      <c r="C401" s="41">
        <v>46092</v>
      </c>
      <c r="D401" s="41">
        <v>46139</v>
      </c>
      <c r="E401" s="40" t="s">
        <v>19</v>
      </c>
      <c r="F401" s="40" t="s">
        <v>10623</v>
      </c>
      <c r="G401" s="40"/>
      <c r="H401" s="40"/>
      <c r="I401" s="40" t="s">
        <v>49</v>
      </c>
      <c r="J401" s="40">
        <v>1982.4</v>
      </c>
      <c r="K401" s="40">
        <v>1982.4</v>
      </c>
      <c r="L401" s="40"/>
      <c r="M401" s="40">
        <v>1982.4</v>
      </c>
      <c r="N401" s="40" t="s">
        <v>11350</v>
      </c>
      <c r="O401" s="40" t="s">
        <v>234</v>
      </c>
    </row>
    <row r="402" spans="1:15" ht="29.25" customHeight="1" x14ac:dyDescent="0.2">
      <c r="A402" s="40" t="s">
        <v>11351</v>
      </c>
      <c r="B402" s="40" t="s">
        <v>11351</v>
      </c>
      <c r="C402" s="41">
        <v>46092</v>
      </c>
      <c r="D402" s="41">
        <v>46125</v>
      </c>
      <c r="E402" s="40" t="s">
        <v>19</v>
      </c>
      <c r="F402" s="40" t="s">
        <v>10623</v>
      </c>
      <c r="G402" s="40"/>
      <c r="H402" s="40"/>
      <c r="I402" s="40" t="s">
        <v>49</v>
      </c>
      <c r="J402" s="40">
        <v>1982.4</v>
      </c>
      <c r="K402" s="40">
        <v>1982.4</v>
      </c>
      <c r="L402" s="40"/>
      <c r="M402" s="40">
        <v>1982.4</v>
      </c>
      <c r="N402" s="40" t="s">
        <v>11352</v>
      </c>
      <c r="O402" s="40" t="s">
        <v>234</v>
      </c>
    </row>
    <row r="403" spans="1:15" ht="29.25" customHeight="1" x14ac:dyDescent="0.2">
      <c r="A403" s="40" t="s">
        <v>11353</v>
      </c>
      <c r="B403" s="40" t="s">
        <v>11353</v>
      </c>
      <c r="C403" s="41">
        <v>46092</v>
      </c>
      <c r="D403" s="41">
        <v>46125</v>
      </c>
      <c r="E403" s="40" t="s">
        <v>19</v>
      </c>
      <c r="F403" s="40" t="s">
        <v>834</v>
      </c>
      <c r="G403" s="40"/>
      <c r="H403" s="40"/>
      <c r="I403" s="40" t="s">
        <v>49</v>
      </c>
      <c r="J403" s="40">
        <v>2869.09</v>
      </c>
      <c r="K403" s="40">
        <v>2869.09</v>
      </c>
      <c r="L403" s="40"/>
      <c r="M403" s="40">
        <v>2869.09</v>
      </c>
      <c r="N403" s="40" t="s">
        <v>11354</v>
      </c>
      <c r="O403" s="40" t="s">
        <v>234</v>
      </c>
    </row>
    <row r="404" spans="1:15" ht="29.25" customHeight="1" x14ac:dyDescent="0.2">
      <c r="A404" s="40" t="s">
        <v>11355</v>
      </c>
      <c r="B404" s="40" t="s">
        <v>11355</v>
      </c>
      <c r="C404" s="41">
        <v>46092</v>
      </c>
      <c r="D404" s="41">
        <v>46139</v>
      </c>
      <c r="E404" s="40" t="s">
        <v>19</v>
      </c>
      <c r="F404" s="40" t="s">
        <v>834</v>
      </c>
      <c r="G404" s="40"/>
      <c r="H404" s="40"/>
      <c r="I404" s="40" t="s">
        <v>49</v>
      </c>
      <c r="J404" s="40">
        <v>2397.9499999999998</v>
      </c>
      <c r="K404" s="40">
        <v>2397.9499999999998</v>
      </c>
      <c r="L404" s="40"/>
      <c r="M404" s="40">
        <v>2397.9499999999998</v>
      </c>
      <c r="N404" s="40" t="s">
        <v>11356</v>
      </c>
      <c r="O404" s="40" t="s">
        <v>234</v>
      </c>
    </row>
    <row r="405" spans="1:15" ht="29.25" customHeight="1" x14ac:dyDescent="0.2">
      <c r="A405" s="40" t="s">
        <v>11357</v>
      </c>
      <c r="B405" s="40" t="s">
        <v>11357</v>
      </c>
      <c r="C405" s="41">
        <v>46092</v>
      </c>
      <c r="D405" s="41">
        <v>46129</v>
      </c>
      <c r="E405" s="40" t="s">
        <v>19</v>
      </c>
      <c r="F405" s="40" t="s">
        <v>834</v>
      </c>
      <c r="G405" s="40"/>
      <c r="H405" s="40"/>
      <c r="I405" s="40" t="s">
        <v>49</v>
      </c>
      <c r="J405" s="40">
        <v>2397.9499999999998</v>
      </c>
      <c r="K405" s="40">
        <v>2397.9499999999998</v>
      </c>
      <c r="L405" s="40"/>
      <c r="M405" s="40">
        <v>2397.9499999999998</v>
      </c>
      <c r="N405" s="40" t="s">
        <v>11358</v>
      </c>
      <c r="O405" s="40" t="s">
        <v>234</v>
      </c>
    </row>
    <row r="406" spans="1:15" ht="29.25" customHeight="1" x14ac:dyDescent="0.2">
      <c r="A406" s="40" t="s">
        <v>11359</v>
      </c>
      <c r="B406" s="40" t="s">
        <v>11359</v>
      </c>
      <c r="C406" s="41">
        <v>46092</v>
      </c>
      <c r="D406" s="41">
        <v>46119</v>
      </c>
      <c r="E406" s="40" t="s">
        <v>19</v>
      </c>
      <c r="F406" s="40" t="s">
        <v>834</v>
      </c>
      <c r="G406" s="40"/>
      <c r="H406" s="40"/>
      <c r="I406" s="40" t="s">
        <v>49</v>
      </c>
      <c r="J406" s="40">
        <v>2397.9499999999998</v>
      </c>
      <c r="K406" s="40">
        <v>2397.9499999999998</v>
      </c>
      <c r="L406" s="40"/>
      <c r="M406" s="40">
        <v>2397.9499999999998</v>
      </c>
      <c r="N406" s="40" t="s">
        <v>11360</v>
      </c>
      <c r="O406" s="40" t="s">
        <v>234</v>
      </c>
    </row>
    <row r="407" spans="1:15" ht="29.25" customHeight="1" x14ac:dyDescent="0.2">
      <c r="A407" s="40" t="s">
        <v>11361</v>
      </c>
      <c r="B407" s="40" t="s">
        <v>11361</v>
      </c>
      <c r="C407" s="41">
        <v>46092</v>
      </c>
      <c r="D407" s="41">
        <v>46174</v>
      </c>
      <c r="E407" s="40" t="s">
        <v>19</v>
      </c>
      <c r="F407" s="40" t="s">
        <v>834</v>
      </c>
      <c r="G407" s="40"/>
      <c r="H407" s="40"/>
      <c r="I407" s="40" t="s">
        <v>49</v>
      </c>
      <c r="J407" s="40">
        <v>10177.94</v>
      </c>
      <c r="K407" s="40">
        <v>10177.94</v>
      </c>
      <c r="L407" s="40"/>
      <c r="M407" s="40">
        <v>10177.94</v>
      </c>
      <c r="N407" s="40"/>
      <c r="O407" s="40" t="s">
        <v>234</v>
      </c>
    </row>
    <row r="408" spans="1:15" ht="29.25" customHeight="1" x14ac:dyDescent="0.2">
      <c r="A408" s="40" t="s">
        <v>11362</v>
      </c>
      <c r="B408" s="40" t="s">
        <v>11362</v>
      </c>
      <c r="C408" s="41">
        <v>46092</v>
      </c>
      <c r="D408" s="41">
        <v>46164</v>
      </c>
      <c r="E408" s="40" t="s">
        <v>19</v>
      </c>
      <c r="F408" s="40" t="s">
        <v>834</v>
      </c>
      <c r="G408" s="40"/>
      <c r="H408" s="40"/>
      <c r="I408" s="40" t="s">
        <v>49</v>
      </c>
      <c r="J408" s="40">
        <v>10177.94</v>
      </c>
      <c r="K408" s="40">
        <v>10177.94</v>
      </c>
      <c r="L408" s="40"/>
      <c r="M408" s="40">
        <v>10177.94</v>
      </c>
      <c r="N408" s="40" t="s">
        <v>11363</v>
      </c>
      <c r="O408" s="40" t="s">
        <v>234</v>
      </c>
    </row>
    <row r="409" spans="1:15" ht="29.25" customHeight="1" x14ac:dyDescent="0.2">
      <c r="A409" s="40" t="s">
        <v>11364</v>
      </c>
      <c r="B409" s="40" t="s">
        <v>11364</v>
      </c>
      <c r="C409" s="41">
        <v>46092</v>
      </c>
      <c r="D409" s="41">
        <v>46154</v>
      </c>
      <c r="E409" s="40" t="s">
        <v>19</v>
      </c>
      <c r="F409" s="40" t="s">
        <v>834</v>
      </c>
      <c r="G409" s="40"/>
      <c r="H409" s="40"/>
      <c r="I409" s="40" t="s">
        <v>49</v>
      </c>
      <c r="J409" s="40">
        <v>10177.94</v>
      </c>
      <c r="K409" s="40">
        <v>10177.94</v>
      </c>
      <c r="L409" s="40"/>
      <c r="M409" s="40">
        <v>10177.94</v>
      </c>
      <c r="N409" s="40" t="s">
        <v>11365</v>
      </c>
      <c r="O409" s="40" t="s">
        <v>234</v>
      </c>
    </row>
    <row r="410" spans="1:15" ht="29.25" customHeight="1" x14ac:dyDescent="0.2">
      <c r="A410" s="40" t="s">
        <v>11366</v>
      </c>
      <c r="B410" s="40" t="s">
        <v>11366</v>
      </c>
      <c r="C410" s="41">
        <v>46092</v>
      </c>
      <c r="D410" s="41">
        <v>46146</v>
      </c>
      <c r="E410" s="40" t="s">
        <v>19</v>
      </c>
      <c r="F410" s="40" t="s">
        <v>834</v>
      </c>
      <c r="G410" s="40"/>
      <c r="H410" s="40"/>
      <c r="I410" s="40" t="s">
        <v>49</v>
      </c>
      <c r="J410" s="40">
        <v>10177.94</v>
      </c>
      <c r="K410" s="40">
        <v>10177.94</v>
      </c>
      <c r="L410" s="40"/>
      <c r="M410" s="40">
        <v>10177.94</v>
      </c>
      <c r="N410" s="40" t="s">
        <v>11367</v>
      </c>
      <c r="O410" s="40" t="s">
        <v>234</v>
      </c>
    </row>
    <row r="411" spans="1:15" ht="29.25" customHeight="1" x14ac:dyDescent="0.2">
      <c r="A411" s="40" t="s">
        <v>11368</v>
      </c>
      <c r="B411" s="40" t="s">
        <v>11368</v>
      </c>
      <c r="C411" s="41">
        <v>46092</v>
      </c>
      <c r="D411" s="41">
        <v>46134</v>
      </c>
      <c r="E411" s="40" t="s">
        <v>19</v>
      </c>
      <c r="F411" s="40" t="s">
        <v>834</v>
      </c>
      <c r="G411" s="40"/>
      <c r="H411" s="40"/>
      <c r="I411" s="40" t="s">
        <v>49</v>
      </c>
      <c r="J411" s="40">
        <v>10177.94</v>
      </c>
      <c r="K411" s="40">
        <v>10177.94</v>
      </c>
      <c r="L411" s="40"/>
      <c r="M411" s="40">
        <v>10177.94</v>
      </c>
      <c r="N411" s="40" t="s">
        <v>11369</v>
      </c>
      <c r="O411" s="40" t="s">
        <v>234</v>
      </c>
    </row>
    <row r="412" spans="1:15" ht="29.25" customHeight="1" x14ac:dyDescent="0.2">
      <c r="A412" s="40" t="s">
        <v>11370</v>
      </c>
      <c r="B412" s="40" t="s">
        <v>11370</v>
      </c>
      <c r="C412" s="41">
        <v>46092</v>
      </c>
      <c r="D412" s="41">
        <v>46125</v>
      </c>
      <c r="E412" s="40" t="s">
        <v>19</v>
      </c>
      <c r="F412" s="40" t="s">
        <v>834</v>
      </c>
      <c r="G412" s="40"/>
      <c r="H412" s="40"/>
      <c r="I412" s="40" t="s">
        <v>49</v>
      </c>
      <c r="J412" s="40">
        <v>10177.94</v>
      </c>
      <c r="K412" s="40">
        <v>10177.94</v>
      </c>
      <c r="L412" s="40"/>
      <c r="M412" s="40">
        <v>10177.94</v>
      </c>
      <c r="N412" s="40" t="s">
        <v>11371</v>
      </c>
      <c r="O412" s="40" t="s">
        <v>234</v>
      </c>
    </row>
    <row r="413" spans="1:15" ht="29.25" customHeight="1" x14ac:dyDescent="0.2">
      <c r="A413" s="40" t="s">
        <v>11372</v>
      </c>
      <c r="B413" s="40" t="s">
        <v>11372</v>
      </c>
      <c r="C413" s="41">
        <v>46092</v>
      </c>
      <c r="D413" s="41">
        <v>46114</v>
      </c>
      <c r="E413" s="40" t="s">
        <v>19</v>
      </c>
      <c r="F413" s="40" t="s">
        <v>834</v>
      </c>
      <c r="G413" s="40"/>
      <c r="H413" s="40"/>
      <c r="I413" s="40" t="s">
        <v>49</v>
      </c>
      <c r="J413" s="40">
        <v>10177.94</v>
      </c>
      <c r="K413" s="40">
        <v>10177.94</v>
      </c>
      <c r="L413" s="40"/>
      <c r="M413" s="40">
        <v>10177.94</v>
      </c>
      <c r="N413" s="40" t="s">
        <v>11373</v>
      </c>
      <c r="O413" s="40" t="s">
        <v>234</v>
      </c>
    </row>
    <row r="414" spans="1:15" ht="29.25" customHeight="1" x14ac:dyDescent="0.2">
      <c r="A414" s="40" t="s">
        <v>11374</v>
      </c>
      <c r="B414" s="40" t="s">
        <v>11374</v>
      </c>
      <c r="C414" s="41">
        <v>46092</v>
      </c>
      <c r="D414" s="41">
        <v>46162</v>
      </c>
      <c r="E414" s="40" t="s">
        <v>19</v>
      </c>
      <c r="F414" s="40" t="s">
        <v>834</v>
      </c>
      <c r="G414" s="40"/>
      <c r="H414" s="40"/>
      <c r="I414" s="40" t="s">
        <v>49</v>
      </c>
      <c r="J414" s="40">
        <v>4378.51</v>
      </c>
      <c r="K414" s="40">
        <v>4378.51</v>
      </c>
      <c r="L414" s="40"/>
      <c r="M414" s="40">
        <v>4378.51</v>
      </c>
      <c r="N414" s="40" t="s">
        <v>11375</v>
      </c>
      <c r="O414" s="40" t="s">
        <v>234</v>
      </c>
    </row>
    <row r="415" spans="1:15" ht="29.25" customHeight="1" x14ac:dyDescent="0.2">
      <c r="A415" s="40" t="s">
        <v>11376</v>
      </c>
      <c r="B415" s="40" t="s">
        <v>11376</v>
      </c>
      <c r="C415" s="41">
        <v>46092</v>
      </c>
      <c r="D415" s="41">
        <v>46146</v>
      </c>
      <c r="E415" s="40" t="s">
        <v>19</v>
      </c>
      <c r="F415" s="40" t="s">
        <v>834</v>
      </c>
      <c r="G415" s="40"/>
      <c r="H415" s="40"/>
      <c r="I415" s="40" t="s">
        <v>49</v>
      </c>
      <c r="J415" s="40">
        <v>4378.51</v>
      </c>
      <c r="K415" s="40">
        <v>4378.51</v>
      </c>
      <c r="L415" s="40"/>
      <c r="M415" s="40">
        <v>4378.51</v>
      </c>
      <c r="N415" s="40" t="s">
        <v>11377</v>
      </c>
      <c r="O415" s="40" t="s">
        <v>234</v>
      </c>
    </row>
    <row r="416" spans="1:15" ht="29.25" customHeight="1" x14ac:dyDescent="0.2">
      <c r="A416" s="40" t="s">
        <v>11378</v>
      </c>
      <c r="B416" s="40" t="s">
        <v>11378</v>
      </c>
      <c r="C416" s="41">
        <v>46092</v>
      </c>
      <c r="D416" s="41">
        <v>46139</v>
      </c>
      <c r="E416" s="40" t="s">
        <v>19</v>
      </c>
      <c r="F416" s="40" t="s">
        <v>834</v>
      </c>
      <c r="G416" s="40"/>
      <c r="H416" s="40"/>
      <c r="I416" s="40" t="s">
        <v>49</v>
      </c>
      <c r="J416" s="40">
        <v>4378.51</v>
      </c>
      <c r="K416" s="40">
        <v>4378.51</v>
      </c>
      <c r="L416" s="40"/>
      <c r="M416" s="40">
        <v>4378.51</v>
      </c>
      <c r="N416" s="40" t="s">
        <v>11379</v>
      </c>
      <c r="O416" s="40" t="s">
        <v>234</v>
      </c>
    </row>
    <row r="417" spans="1:15" ht="29.25" customHeight="1" x14ac:dyDescent="0.2">
      <c r="A417" s="40" t="s">
        <v>11380</v>
      </c>
      <c r="B417" s="40" t="s">
        <v>11380</v>
      </c>
      <c r="C417" s="41">
        <v>46092</v>
      </c>
      <c r="D417" s="41">
        <v>46132</v>
      </c>
      <c r="E417" s="40" t="s">
        <v>19</v>
      </c>
      <c r="F417" s="40" t="s">
        <v>834</v>
      </c>
      <c r="G417" s="40"/>
      <c r="H417" s="40"/>
      <c r="I417" s="40" t="s">
        <v>49</v>
      </c>
      <c r="J417" s="40">
        <v>4378.51</v>
      </c>
      <c r="K417" s="40">
        <v>4378.51</v>
      </c>
      <c r="L417" s="40"/>
      <c r="M417" s="40">
        <v>4378.51</v>
      </c>
      <c r="N417" s="40" t="s">
        <v>11381</v>
      </c>
      <c r="O417" s="40" t="s">
        <v>234</v>
      </c>
    </row>
    <row r="418" spans="1:15" ht="29.25" customHeight="1" x14ac:dyDescent="0.2">
      <c r="A418" s="40" t="s">
        <v>11382</v>
      </c>
      <c r="B418" s="40" t="s">
        <v>11382</v>
      </c>
      <c r="C418" s="41">
        <v>46092</v>
      </c>
      <c r="D418" s="41">
        <v>46125</v>
      </c>
      <c r="E418" s="40" t="s">
        <v>19</v>
      </c>
      <c r="F418" s="40" t="s">
        <v>834</v>
      </c>
      <c r="G418" s="40"/>
      <c r="H418" s="40"/>
      <c r="I418" s="40" t="s">
        <v>49</v>
      </c>
      <c r="J418" s="40">
        <v>4378.51</v>
      </c>
      <c r="K418" s="40">
        <v>4378.51</v>
      </c>
      <c r="L418" s="40"/>
      <c r="M418" s="40">
        <v>4378.51</v>
      </c>
      <c r="N418" s="40" t="s">
        <v>11383</v>
      </c>
      <c r="O418" s="40" t="s">
        <v>234</v>
      </c>
    </row>
    <row r="419" spans="1:15" ht="29.25" customHeight="1" x14ac:dyDescent="0.2">
      <c r="A419" s="40" t="s">
        <v>11384</v>
      </c>
      <c r="B419" s="40" t="s">
        <v>11384</v>
      </c>
      <c r="C419" s="41">
        <v>46092</v>
      </c>
      <c r="D419" s="41">
        <v>46118</v>
      </c>
      <c r="E419" s="40" t="s">
        <v>19</v>
      </c>
      <c r="F419" s="40" t="s">
        <v>834</v>
      </c>
      <c r="G419" s="40"/>
      <c r="H419" s="40"/>
      <c r="I419" s="40" t="s">
        <v>49</v>
      </c>
      <c r="J419" s="40">
        <v>4378.51</v>
      </c>
      <c r="K419" s="40">
        <v>4378.51</v>
      </c>
      <c r="L419" s="40"/>
      <c r="M419" s="40">
        <v>4378.51</v>
      </c>
      <c r="N419" s="40" t="s">
        <v>11385</v>
      </c>
      <c r="O419" s="40" t="s">
        <v>234</v>
      </c>
    </row>
    <row r="420" spans="1:15" ht="29.25" customHeight="1" x14ac:dyDescent="0.2">
      <c r="A420" s="40" t="s">
        <v>11386</v>
      </c>
      <c r="B420" s="40" t="s">
        <v>11386</v>
      </c>
      <c r="C420" s="41">
        <v>46092</v>
      </c>
      <c r="D420" s="41">
        <v>46153</v>
      </c>
      <c r="E420" s="40" t="s">
        <v>19</v>
      </c>
      <c r="F420" s="40" t="s">
        <v>834</v>
      </c>
      <c r="G420" s="40"/>
      <c r="H420" s="40"/>
      <c r="I420" s="40" t="s">
        <v>49</v>
      </c>
      <c r="J420" s="40">
        <v>2034.82</v>
      </c>
      <c r="K420" s="40">
        <v>2034.82</v>
      </c>
      <c r="L420" s="40"/>
      <c r="M420" s="40">
        <v>2034.82</v>
      </c>
      <c r="N420" s="40" t="s">
        <v>11387</v>
      </c>
      <c r="O420" s="40" t="s">
        <v>234</v>
      </c>
    </row>
    <row r="421" spans="1:15" ht="29.25" customHeight="1" x14ac:dyDescent="0.2">
      <c r="A421" s="40" t="s">
        <v>11388</v>
      </c>
      <c r="B421" s="40" t="s">
        <v>11388</v>
      </c>
      <c r="C421" s="41">
        <v>46092</v>
      </c>
      <c r="D421" s="41">
        <v>46148</v>
      </c>
      <c r="E421" s="40" t="s">
        <v>19</v>
      </c>
      <c r="F421" s="40" t="s">
        <v>834</v>
      </c>
      <c r="G421" s="40"/>
      <c r="H421" s="40"/>
      <c r="I421" s="40" t="s">
        <v>49</v>
      </c>
      <c r="J421" s="40">
        <v>2034.84</v>
      </c>
      <c r="K421" s="40">
        <v>2034.84</v>
      </c>
      <c r="L421" s="40"/>
      <c r="M421" s="40">
        <v>2034.84</v>
      </c>
      <c r="N421" s="40" t="s">
        <v>11389</v>
      </c>
      <c r="O421" s="40" t="s">
        <v>234</v>
      </c>
    </row>
    <row r="422" spans="1:15" ht="29.25" customHeight="1" x14ac:dyDescent="0.2">
      <c r="A422" s="40" t="s">
        <v>11390</v>
      </c>
      <c r="B422" s="40" t="s">
        <v>11390</v>
      </c>
      <c r="C422" s="41">
        <v>46092</v>
      </c>
      <c r="D422" s="41">
        <v>46143</v>
      </c>
      <c r="E422" s="40" t="s">
        <v>19</v>
      </c>
      <c r="F422" s="40" t="s">
        <v>834</v>
      </c>
      <c r="G422" s="40"/>
      <c r="H422" s="40"/>
      <c r="I422" s="40" t="s">
        <v>49</v>
      </c>
      <c r="J422" s="40">
        <v>2034.84</v>
      </c>
      <c r="K422" s="40">
        <v>2034.84</v>
      </c>
      <c r="L422" s="40"/>
      <c r="M422" s="40">
        <v>2034.84</v>
      </c>
      <c r="N422" s="40" t="s">
        <v>11391</v>
      </c>
      <c r="O422" s="40" t="s">
        <v>234</v>
      </c>
    </row>
    <row r="423" spans="1:15" ht="29.25" customHeight="1" x14ac:dyDescent="0.2">
      <c r="A423" s="40" t="s">
        <v>11392</v>
      </c>
      <c r="B423" s="40" t="s">
        <v>11392</v>
      </c>
      <c r="C423" s="41">
        <v>46092</v>
      </c>
      <c r="D423" s="41">
        <v>46139</v>
      </c>
      <c r="E423" s="40" t="s">
        <v>19</v>
      </c>
      <c r="F423" s="40" t="s">
        <v>834</v>
      </c>
      <c r="G423" s="40"/>
      <c r="H423" s="40"/>
      <c r="I423" s="40" t="s">
        <v>49</v>
      </c>
      <c r="J423" s="40">
        <v>2034.84</v>
      </c>
      <c r="K423" s="40">
        <v>2034.84</v>
      </c>
      <c r="L423" s="40"/>
      <c r="M423" s="40">
        <v>2034.84</v>
      </c>
      <c r="N423" s="40" t="s">
        <v>11393</v>
      </c>
      <c r="O423" s="40" t="s">
        <v>234</v>
      </c>
    </row>
    <row r="424" spans="1:15" ht="29.25" customHeight="1" x14ac:dyDescent="0.2">
      <c r="A424" s="40" t="s">
        <v>11394</v>
      </c>
      <c r="B424" s="40" t="s">
        <v>11394</v>
      </c>
      <c r="C424" s="41">
        <v>46092</v>
      </c>
      <c r="D424" s="41">
        <v>46127</v>
      </c>
      <c r="E424" s="40" t="s">
        <v>19</v>
      </c>
      <c r="F424" s="40" t="s">
        <v>834</v>
      </c>
      <c r="G424" s="40"/>
      <c r="H424" s="40"/>
      <c r="I424" s="40" t="s">
        <v>49</v>
      </c>
      <c r="J424" s="40">
        <v>2034.84</v>
      </c>
      <c r="K424" s="40">
        <v>2034.84</v>
      </c>
      <c r="L424" s="40"/>
      <c r="M424" s="40">
        <v>2034.84</v>
      </c>
      <c r="N424" s="40" t="s">
        <v>11395</v>
      </c>
      <c r="O424" s="40" t="s">
        <v>234</v>
      </c>
    </row>
    <row r="425" spans="1:15" ht="29.25" customHeight="1" x14ac:dyDescent="0.2">
      <c r="A425" s="40" t="s">
        <v>11396</v>
      </c>
      <c r="B425" s="40" t="s">
        <v>11396</v>
      </c>
      <c r="C425" s="41">
        <v>46092</v>
      </c>
      <c r="D425" s="41">
        <v>46122</v>
      </c>
      <c r="E425" s="40" t="s">
        <v>19</v>
      </c>
      <c r="F425" s="40" t="s">
        <v>834</v>
      </c>
      <c r="G425" s="40"/>
      <c r="H425" s="40"/>
      <c r="I425" s="40" t="s">
        <v>49</v>
      </c>
      <c r="J425" s="40">
        <v>2034.84</v>
      </c>
      <c r="K425" s="40">
        <v>2034.84</v>
      </c>
      <c r="L425" s="40"/>
      <c r="M425" s="40">
        <v>2034.84</v>
      </c>
      <c r="N425" s="40" t="s">
        <v>11397</v>
      </c>
      <c r="O425" s="40" t="s">
        <v>234</v>
      </c>
    </row>
    <row r="426" spans="1:15" ht="29.25" customHeight="1" x14ac:dyDescent="0.2">
      <c r="A426" s="40" t="s">
        <v>11398</v>
      </c>
      <c r="B426" s="40" t="s">
        <v>11398</v>
      </c>
      <c r="C426" s="41">
        <v>46092</v>
      </c>
      <c r="D426" s="41">
        <v>46168</v>
      </c>
      <c r="E426" s="40" t="s">
        <v>19</v>
      </c>
      <c r="F426" s="40" t="s">
        <v>834</v>
      </c>
      <c r="G426" s="40"/>
      <c r="H426" s="40"/>
      <c r="I426" s="40" t="s">
        <v>49</v>
      </c>
      <c r="J426" s="40">
        <v>3111.02</v>
      </c>
      <c r="K426" s="40">
        <v>3111.02</v>
      </c>
      <c r="L426" s="40"/>
      <c r="M426" s="40">
        <v>3111.02</v>
      </c>
      <c r="N426" s="40" t="s">
        <v>11399</v>
      </c>
      <c r="O426" s="40" t="s">
        <v>234</v>
      </c>
    </row>
    <row r="427" spans="1:15" ht="29.25" customHeight="1" x14ac:dyDescent="0.2">
      <c r="A427" s="40" t="s">
        <v>11400</v>
      </c>
      <c r="B427" s="40" t="s">
        <v>11400</v>
      </c>
      <c r="C427" s="41">
        <v>46092</v>
      </c>
      <c r="D427" s="41">
        <v>46153</v>
      </c>
      <c r="E427" s="40" t="s">
        <v>19</v>
      </c>
      <c r="F427" s="40" t="s">
        <v>834</v>
      </c>
      <c r="G427" s="40"/>
      <c r="H427" s="40"/>
      <c r="I427" s="40" t="s">
        <v>49</v>
      </c>
      <c r="J427" s="40">
        <v>3111.02</v>
      </c>
      <c r="K427" s="40">
        <v>3111.02</v>
      </c>
      <c r="L427" s="40"/>
      <c r="M427" s="40">
        <v>3111.02</v>
      </c>
      <c r="N427" s="40" t="s">
        <v>11401</v>
      </c>
      <c r="O427" s="40" t="s">
        <v>234</v>
      </c>
    </row>
    <row r="428" spans="1:15" ht="29.25" customHeight="1" x14ac:dyDescent="0.2">
      <c r="A428" s="40" t="s">
        <v>11402</v>
      </c>
      <c r="B428" s="40" t="s">
        <v>11402</v>
      </c>
      <c r="C428" s="41">
        <v>46092</v>
      </c>
      <c r="D428" s="41">
        <v>46146</v>
      </c>
      <c r="E428" s="40" t="s">
        <v>19</v>
      </c>
      <c r="F428" s="40" t="s">
        <v>834</v>
      </c>
      <c r="G428" s="40"/>
      <c r="H428" s="40"/>
      <c r="I428" s="40" t="s">
        <v>49</v>
      </c>
      <c r="J428" s="40">
        <v>3111.02</v>
      </c>
      <c r="K428" s="40">
        <v>3111.02</v>
      </c>
      <c r="L428" s="40"/>
      <c r="M428" s="40">
        <v>3111.02</v>
      </c>
      <c r="N428" s="40" t="s">
        <v>11403</v>
      </c>
      <c r="O428" s="40" t="s">
        <v>234</v>
      </c>
    </row>
    <row r="429" spans="1:15" ht="29.25" customHeight="1" x14ac:dyDescent="0.2">
      <c r="A429" s="40" t="s">
        <v>11404</v>
      </c>
      <c r="B429" s="40" t="s">
        <v>11404</v>
      </c>
      <c r="C429" s="41">
        <v>46092</v>
      </c>
      <c r="D429" s="41">
        <v>46139</v>
      </c>
      <c r="E429" s="40" t="s">
        <v>19</v>
      </c>
      <c r="F429" s="40" t="s">
        <v>834</v>
      </c>
      <c r="G429" s="40"/>
      <c r="H429" s="40"/>
      <c r="I429" s="40" t="s">
        <v>49</v>
      </c>
      <c r="J429" s="40">
        <v>3111.02</v>
      </c>
      <c r="K429" s="40">
        <v>3111.02</v>
      </c>
      <c r="L429" s="40"/>
      <c r="M429" s="40">
        <v>3111.02</v>
      </c>
      <c r="N429" s="40" t="s">
        <v>11405</v>
      </c>
      <c r="O429" s="40" t="s">
        <v>234</v>
      </c>
    </row>
    <row r="430" spans="1:15" ht="29.25" customHeight="1" x14ac:dyDescent="0.2">
      <c r="A430" s="40" t="s">
        <v>11406</v>
      </c>
      <c r="B430" s="40" t="s">
        <v>11406</v>
      </c>
      <c r="C430" s="41">
        <v>46092</v>
      </c>
      <c r="D430" s="41">
        <v>46132</v>
      </c>
      <c r="E430" s="40" t="s">
        <v>19</v>
      </c>
      <c r="F430" s="40" t="s">
        <v>834</v>
      </c>
      <c r="G430" s="40"/>
      <c r="H430" s="40"/>
      <c r="I430" s="40" t="s">
        <v>49</v>
      </c>
      <c r="J430" s="40">
        <v>3111.02</v>
      </c>
      <c r="K430" s="40">
        <v>3111.02</v>
      </c>
      <c r="L430" s="40"/>
      <c r="M430" s="40">
        <v>3111.02</v>
      </c>
      <c r="N430" s="40" t="s">
        <v>11407</v>
      </c>
      <c r="O430" s="40" t="s">
        <v>234</v>
      </c>
    </row>
    <row r="431" spans="1:15" ht="29.25" customHeight="1" x14ac:dyDescent="0.2">
      <c r="A431" s="40" t="s">
        <v>11408</v>
      </c>
      <c r="B431" s="40" t="s">
        <v>11408</v>
      </c>
      <c r="C431" s="41">
        <v>46092</v>
      </c>
      <c r="D431" s="41">
        <v>46125</v>
      </c>
      <c r="E431" s="40" t="s">
        <v>19</v>
      </c>
      <c r="F431" s="40" t="s">
        <v>834</v>
      </c>
      <c r="G431" s="40"/>
      <c r="H431" s="40"/>
      <c r="I431" s="40" t="s">
        <v>49</v>
      </c>
      <c r="J431" s="40">
        <v>3111.02</v>
      </c>
      <c r="K431" s="40">
        <v>3111.02</v>
      </c>
      <c r="L431" s="40"/>
      <c r="M431" s="40">
        <v>3111.02</v>
      </c>
      <c r="N431" s="40" t="s">
        <v>11409</v>
      </c>
      <c r="O431" s="40" t="s">
        <v>234</v>
      </c>
    </row>
    <row r="432" spans="1:15" ht="29.25" customHeight="1" x14ac:dyDescent="0.2">
      <c r="A432" s="40" t="s">
        <v>11410</v>
      </c>
      <c r="B432" s="40" t="s">
        <v>11410</v>
      </c>
      <c r="C432" s="41">
        <v>46092</v>
      </c>
      <c r="D432" s="41">
        <v>46174</v>
      </c>
      <c r="E432" s="40" t="s">
        <v>19</v>
      </c>
      <c r="F432" s="40" t="s">
        <v>834</v>
      </c>
      <c r="G432" s="40"/>
      <c r="H432" s="40"/>
      <c r="I432" s="40" t="s">
        <v>49</v>
      </c>
      <c r="J432" s="40">
        <v>2587.7600000000002</v>
      </c>
      <c r="K432" s="40">
        <v>2587.7600000000002</v>
      </c>
      <c r="L432" s="40"/>
      <c r="M432" s="40">
        <v>2587.7600000000002</v>
      </c>
      <c r="N432" s="40"/>
      <c r="O432" s="40" t="s">
        <v>234</v>
      </c>
    </row>
    <row r="433" spans="1:15" ht="29.25" customHeight="1" x14ac:dyDescent="0.2">
      <c r="A433" s="40" t="s">
        <v>11411</v>
      </c>
      <c r="B433" s="40" t="s">
        <v>11411</v>
      </c>
      <c r="C433" s="41">
        <v>46092</v>
      </c>
      <c r="D433" s="41">
        <v>46156</v>
      </c>
      <c r="E433" s="40" t="s">
        <v>19</v>
      </c>
      <c r="F433" s="40" t="s">
        <v>834</v>
      </c>
      <c r="G433" s="40"/>
      <c r="H433" s="40"/>
      <c r="I433" s="40" t="s">
        <v>49</v>
      </c>
      <c r="J433" s="40">
        <v>2587.7600000000002</v>
      </c>
      <c r="K433" s="40">
        <v>2587.7600000000002</v>
      </c>
      <c r="L433" s="40"/>
      <c r="M433" s="40">
        <v>2587.7600000000002</v>
      </c>
      <c r="N433" s="40" t="s">
        <v>11412</v>
      </c>
      <c r="O433" s="40" t="s">
        <v>234</v>
      </c>
    </row>
    <row r="434" spans="1:15" ht="29.25" customHeight="1" x14ac:dyDescent="0.2">
      <c r="A434" s="40" t="s">
        <v>11413</v>
      </c>
      <c r="B434" s="40" t="s">
        <v>11413</v>
      </c>
      <c r="C434" s="41">
        <v>46092</v>
      </c>
      <c r="D434" s="41">
        <v>46149</v>
      </c>
      <c r="E434" s="40" t="s">
        <v>19</v>
      </c>
      <c r="F434" s="40" t="s">
        <v>834</v>
      </c>
      <c r="G434" s="40"/>
      <c r="H434" s="40"/>
      <c r="I434" s="40" t="s">
        <v>49</v>
      </c>
      <c r="J434" s="40">
        <v>2587.7600000000002</v>
      </c>
      <c r="K434" s="40">
        <v>2587.7600000000002</v>
      </c>
      <c r="L434" s="40"/>
      <c r="M434" s="40">
        <v>2587.7600000000002</v>
      </c>
      <c r="N434" s="40" t="s">
        <v>11414</v>
      </c>
      <c r="O434" s="40" t="s">
        <v>234</v>
      </c>
    </row>
    <row r="435" spans="1:15" ht="29.25" customHeight="1" x14ac:dyDescent="0.2">
      <c r="A435" s="40" t="s">
        <v>11415</v>
      </c>
      <c r="B435" s="40" t="s">
        <v>11415</v>
      </c>
      <c r="C435" s="41">
        <v>46092</v>
      </c>
      <c r="D435" s="41">
        <v>46142</v>
      </c>
      <c r="E435" s="40" t="s">
        <v>19</v>
      </c>
      <c r="F435" s="40" t="s">
        <v>834</v>
      </c>
      <c r="G435" s="40"/>
      <c r="H435" s="40"/>
      <c r="I435" s="40" t="s">
        <v>49</v>
      </c>
      <c r="J435" s="40">
        <v>2587.7600000000002</v>
      </c>
      <c r="K435" s="40">
        <v>2587.7600000000002</v>
      </c>
      <c r="L435" s="40"/>
      <c r="M435" s="40">
        <v>2587.7600000000002</v>
      </c>
      <c r="N435" s="40" t="s">
        <v>11416</v>
      </c>
      <c r="O435" s="40" t="s">
        <v>234</v>
      </c>
    </row>
    <row r="436" spans="1:15" ht="29.25" customHeight="1" x14ac:dyDescent="0.2">
      <c r="A436" s="40" t="s">
        <v>11417</v>
      </c>
      <c r="B436" s="40" t="s">
        <v>11417</v>
      </c>
      <c r="C436" s="41">
        <v>46092</v>
      </c>
      <c r="D436" s="41">
        <v>46135</v>
      </c>
      <c r="E436" s="40" t="s">
        <v>19</v>
      </c>
      <c r="F436" s="40" t="s">
        <v>834</v>
      </c>
      <c r="G436" s="40"/>
      <c r="H436" s="40"/>
      <c r="I436" s="40" t="s">
        <v>49</v>
      </c>
      <c r="J436" s="40">
        <v>2587.7600000000002</v>
      </c>
      <c r="K436" s="40">
        <v>2587.7600000000002</v>
      </c>
      <c r="L436" s="40"/>
      <c r="M436" s="40">
        <v>2587.7600000000002</v>
      </c>
      <c r="N436" s="40" t="s">
        <v>11418</v>
      </c>
      <c r="O436" s="40" t="s">
        <v>234</v>
      </c>
    </row>
    <row r="437" spans="1:15" ht="29.25" customHeight="1" x14ac:dyDescent="0.2">
      <c r="A437" s="40" t="s">
        <v>11419</v>
      </c>
      <c r="B437" s="40" t="s">
        <v>11419</v>
      </c>
      <c r="C437" s="41">
        <v>46092</v>
      </c>
      <c r="D437" s="41">
        <v>46128</v>
      </c>
      <c r="E437" s="40" t="s">
        <v>19</v>
      </c>
      <c r="F437" s="40" t="s">
        <v>834</v>
      </c>
      <c r="G437" s="40"/>
      <c r="H437" s="40"/>
      <c r="I437" s="40" t="s">
        <v>49</v>
      </c>
      <c r="J437" s="40">
        <v>2587.7600000000002</v>
      </c>
      <c r="K437" s="40">
        <v>2587.7600000000002</v>
      </c>
      <c r="L437" s="40"/>
      <c r="M437" s="40">
        <v>2587.7600000000002</v>
      </c>
      <c r="N437" s="40" t="s">
        <v>11420</v>
      </c>
      <c r="O437" s="40" t="s">
        <v>234</v>
      </c>
    </row>
    <row r="438" spans="1:15" ht="29.25" customHeight="1" x14ac:dyDescent="0.2">
      <c r="A438" s="40" t="s">
        <v>11421</v>
      </c>
      <c r="B438" s="40" t="s">
        <v>11421</v>
      </c>
      <c r="C438" s="41">
        <v>46092</v>
      </c>
      <c r="D438" s="41">
        <v>46113</v>
      </c>
      <c r="E438" s="40" t="s">
        <v>19</v>
      </c>
      <c r="F438" s="40" t="s">
        <v>101</v>
      </c>
      <c r="G438" s="40"/>
      <c r="H438" s="40"/>
      <c r="I438" s="40" t="s">
        <v>49</v>
      </c>
      <c r="J438" s="40">
        <v>2726.74</v>
      </c>
      <c r="K438" s="40">
        <v>2726.74</v>
      </c>
      <c r="L438" s="40"/>
      <c r="M438" s="40">
        <v>2726.74</v>
      </c>
      <c r="N438" s="40" t="s">
        <v>11422</v>
      </c>
      <c r="O438" s="40" t="s">
        <v>234</v>
      </c>
    </row>
    <row r="439" spans="1:15" ht="29.25" customHeight="1" x14ac:dyDescent="0.2">
      <c r="A439" s="40" t="s">
        <v>11423</v>
      </c>
      <c r="B439" s="40" t="s">
        <v>11423</v>
      </c>
      <c r="C439" s="41">
        <v>46092</v>
      </c>
      <c r="D439" s="41">
        <v>46153</v>
      </c>
      <c r="E439" s="40" t="s">
        <v>19</v>
      </c>
      <c r="F439" s="40" t="s">
        <v>101</v>
      </c>
      <c r="G439" s="40"/>
      <c r="H439" s="40"/>
      <c r="I439" s="40" t="s">
        <v>49</v>
      </c>
      <c r="J439" s="40">
        <v>17035.07</v>
      </c>
      <c r="K439" s="40">
        <v>17035.07</v>
      </c>
      <c r="L439" s="40"/>
      <c r="M439" s="40">
        <v>17035.07</v>
      </c>
      <c r="N439" s="40" t="s">
        <v>11424</v>
      </c>
      <c r="O439" s="40" t="s">
        <v>234</v>
      </c>
    </row>
    <row r="440" spans="1:15" ht="29.25" customHeight="1" x14ac:dyDescent="0.2">
      <c r="A440" s="40" t="s">
        <v>11425</v>
      </c>
      <c r="B440" s="40" t="s">
        <v>11425</v>
      </c>
      <c r="C440" s="41">
        <v>46092</v>
      </c>
      <c r="D440" s="41">
        <v>46129</v>
      </c>
      <c r="E440" s="40" t="s">
        <v>19</v>
      </c>
      <c r="F440" s="40" t="s">
        <v>101</v>
      </c>
      <c r="G440" s="40"/>
      <c r="H440" s="40"/>
      <c r="I440" s="40" t="s">
        <v>49</v>
      </c>
      <c r="J440" s="40">
        <v>5424.41</v>
      </c>
      <c r="K440" s="40">
        <v>5424.41</v>
      </c>
      <c r="L440" s="40"/>
      <c r="M440" s="40">
        <v>5424.41</v>
      </c>
      <c r="N440" s="40" t="s">
        <v>11426</v>
      </c>
      <c r="O440" s="40" t="s">
        <v>234</v>
      </c>
    </row>
    <row r="441" spans="1:15" ht="29.25" customHeight="1" x14ac:dyDescent="0.2">
      <c r="A441" s="40" t="s">
        <v>11427</v>
      </c>
      <c r="B441" s="40" t="s">
        <v>11427</v>
      </c>
      <c r="C441" s="41">
        <v>46098</v>
      </c>
      <c r="D441" s="41">
        <v>46176</v>
      </c>
      <c r="E441" s="40" t="s">
        <v>19</v>
      </c>
      <c r="F441" s="40" t="s">
        <v>1521</v>
      </c>
      <c r="G441" s="40"/>
      <c r="H441" s="40"/>
      <c r="I441" s="40" t="s">
        <v>49</v>
      </c>
      <c r="J441" s="40">
        <v>4033.24</v>
      </c>
      <c r="K441" s="40">
        <v>4033.24</v>
      </c>
      <c r="L441" s="40"/>
      <c r="M441" s="40">
        <v>4033.24</v>
      </c>
      <c r="N441" s="40"/>
      <c r="O441" s="40" t="s">
        <v>234</v>
      </c>
    </row>
    <row r="442" spans="1:15" ht="29.25" customHeight="1" x14ac:dyDescent="0.2">
      <c r="A442" s="40" t="s">
        <v>11428</v>
      </c>
      <c r="B442" s="40" t="s">
        <v>11428</v>
      </c>
      <c r="C442" s="41">
        <v>46098</v>
      </c>
      <c r="D442" s="41">
        <v>46160</v>
      </c>
      <c r="E442" s="40" t="s">
        <v>19</v>
      </c>
      <c r="F442" s="40" t="s">
        <v>1521</v>
      </c>
      <c r="G442" s="40"/>
      <c r="H442" s="40"/>
      <c r="I442" s="40" t="s">
        <v>49</v>
      </c>
      <c r="J442" s="40">
        <v>4033.25</v>
      </c>
      <c r="K442" s="40">
        <v>4033.25</v>
      </c>
      <c r="L442" s="40"/>
      <c r="M442" s="40">
        <v>4033.25</v>
      </c>
      <c r="N442" s="40" t="s">
        <v>11429</v>
      </c>
      <c r="O442" s="40" t="s">
        <v>234</v>
      </c>
    </row>
    <row r="443" spans="1:15" ht="29.25" customHeight="1" x14ac:dyDescent="0.2">
      <c r="A443" s="40" t="s">
        <v>11430</v>
      </c>
      <c r="B443" s="40" t="s">
        <v>11430</v>
      </c>
      <c r="C443" s="41">
        <v>46098</v>
      </c>
      <c r="D443" s="41">
        <v>46153</v>
      </c>
      <c r="E443" s="40" t="s">
        <v>19</v>
      </c>
      <c r="F443" s="40" t="s">
        <v>1521</v>
      </c>
      <c r="G443" s="40"/>
      <c r="H443" s="40"/>
      <c r="I443" s="40" t="s">
        <v>49</v>
      </c>
      <c r="J443" s="40">
        <v>4033.25</v>
      </c>
      <c r="K443" s="40">
        <v>4033.25</v>
      </c>
      <c r="L443" s="40"/>
      <c r="M443" s="40">
        <v>4033.25</v>
      </c>
      <c r="N443" s="40" t="s">
        <v>11431</v>
      </c>
      <c r="O443" s="40" t="s">
        <v>234</v>
      </c>
    </row>
    <row r="444" spans="1:15" ht="29.25" customHeight="1" x14ac:dyDescent="0.2">
      <c r="A444" s="40" t="s">
        <v>11432</v>
      </c>
      <c r="B444" s="40" t="s">
        <v>11432</v>
      </c>
      <c r="C444" s="41">
        <v>46098</v>
      </c>
      <c r="D444" s="41">
        <v>46146</v>
      </c>
      <c r="E444" s="40" t="s">
        <v>19</v>
      </c>
      <c r="F444" s="40" t="s">
        <v>1521</v>
      </c>
      <c r="G444" s="40"/>
      <c r="H444" s="40"/>
      <c r="I444" s="40" t="s">
        <v>49</v>
      </c>
      <c r="J444" s="40">
        <v>4033.25</v>
      </c>
      <c r="K444" s="40">
        <v>4033.25</v>
      </c>
      <c r="L444" s="40"/>
      <c r="M444" s="40">
        <v>4033.25</v>
      </c>
      <c r="N444" s="40" t="s">
        <v>11433</v>
      </c>
      <c r="O444" s="40" t="s">
        <v>234</v>
      </c>
    </row>
    <row r="445" spans="1:15" ht="29.25" customHeight="1" x14ac:dyDescent="0.2">
      <c r="A445" s="40" t="s">
        <v>11434</v>
      </c>
      <c r="B445" s="40" t="s">
        <v>11434</v>
      </c>
      <c r="C445" s="41">
        <v>46098</v>
      </c>
      <c r="D445" s="41">
        <v>46139</v>
      </c>
      <c r="E445" s="40" t="s">
        <v>19</v>
      </c>
      <c r="F445" s="40" t="s">
        <v>1521</v>
      </c>
      <c r="G445" s="40"/>
      <c r="H445" s="40"/>
      <c r="I445" s="40" t="s">
        <v>49</v>
      </c>
      <c r="J445" s="40">
        <v>4033.25</v>
      </c>
      <c r="K445" s="40">
        <v>4033.25</v>
      </c>
      <c r="L445" s="40"/>
      <c r="M445" s="40">
        <v>4033.25</v>
      </c>
      <c r="N445" s="40" t="s">
        <v>11435</v>
      </c>
      <c r="O445" s="40" t="s">
        <v>234</v>
      </c>
    </row>
    <row r="446" spans="1:15" ht="29.25" customHeight="1" x14ac:dyDescent="0.2">
      <c r="A446" s="40" t="s">
        <v>11436</v>
      </c>
      <c r="B446" s="40" t="s">
        <v>11436</v>
      </c>
      <c r="C446" s="41">
        <v>46098</v>
      </c>
      <c r="D446" s="41">
        <v>46132</v>
      </c>
      <c r="E446" s="40" t="s">
        <v>19</v>
      </c>
      <c r="F446" s="40" t="s">
        <v>1521</v>
      </c>
      <c r="G446" s="40"/>
      <c r="H446" s="40"/>
      <c r="I446" s="40" t="s">
        <v>49</v>
      </c>
      <c r="J446" s="40">
        <v>4033.25</v>
      </c>
      <c r="K446" s="40">
        <v>4033.25</v>
      </c>
      <c r="L446" s="40"/>
      <c r="M446" s="40">
        <v>4033.25</v>
      </c>
      <c r="N446" s="40" t="s">
        <v>11437</v>
      </c>
      <c r="O446" s="40" t="s">
        <v>234</v>
      </c>
    </row>
    <row r="447" spans="1:15" ht="29.25" customHeight="1" x14ac:dyDescent="0.2">
      <c r="A447" s="40" t="s">
        <v>11438</v>
      </c>
      <c r="B447" s="40" t="s">
        <v>11438</v>
      </c>
      <c r="C447" s="41">
        <v>46098</v>
      </c>
      <c r="D447" s="41">
        <v>46181</v>
      </c>
      <c r="E447" s="40" t="s">
        <v>19</v>
      </c>
      <c r="F447" s="40" t="s">
        <v>843</v>
      </c>
      <c r="G447" s="40"/>
      <c r="H447" s="40"/>
      <c r="I447" s="40" t="s">
        <v>49</v>
      </c>
      <c r="J447" s="40">
        <v>2322.7199999999998</v>
      </c>
      <c r="K447" s="40">
        <v>2322.7199999999998</v>
      </c>
      <c r="L447" s="40"/>
      <c r="M447" s="40">
        <v>2322.7199999999998</v>
      </c>
      <c r="N447" s="40"/>
      <c r="O447" s="40" t="s">
        <v>234</v>
      </c>
    </row>
    <row r="448" spans="1:15" ht="29.25" customHeight="1" x14ac:dyDescent="0.2">
      <c r="A448" s="40" t="s">
        <v>11439</v>
      </c>
      <c r="B448" s="40" t="s">
        <v>11439</v>
      </c>
      <c r="C448" s="41">
        <v>46098</v>
      </c>
      <c r="D448" s="41">
        <v>46163</v>
      </c>
      <c r="E448" s="40" t="s">
        <v>19</v>
      </c>
      <c r="F448" s="40" t="s">
        <v>843</v>
      </c>
      <c r="G448" s="40"/>
      <c r="H448" s="40"/>
      <c r="I448" s="40" t="s">
        <v>49</v>
      </c>
      <c r="J448" s="40">
        <v>2322.71</v>
      </c>
      <c r="K448" s="40">
        <v>2322.71</v>
      </c>
      <c r="L448" s="40"/>
      <c r="M448" s="40">
        <v>2322.71</v>
      </c>
      <c r="N448" s="40" t="s">
        <v>11440</v>
      </c>
      <c r="O448" s="40" t="s">
        <v>234</v>
      </c>
    </row>
    <row r="449" spans="1:15" ht="29.25" customHeight="1" x14ac:dyDescent="0.2">
      <c r="A449" s="40" t="s">
        <v>11441</v>
      </c>
      <c r="B449" s="40" t="s">
        <v>11441</v>
      </c>
      <c r="C449" s="41">
        <v>46098</v>
      </c>
      <c r="D449" s="41">
        <v>46156</v>
      </c>
      <c r="E449" s="40" t="s">
        <v>19</v>
      </c>
      <c r="F449" s="40" t="s">
        <v>843</v>
      </c>
      <c r="G449" s="40"/>
      <c r="H449" s="40"/>
      <c r="I449" s="40" t="s">
        <v>49</v>
      </c>
      <c r="J449" s="40">
        <v>2322.71</v>
      </c>
      <c r="K449" s="40">
        <v>2322.71</v>
      </c>
      <c r="L449" s="40"/>
      <c r="M449" s="40">
        <v>2322.71</v>
      </c>
      <c r="N449" s="40" t="s">
        <v>11442</v>
      </c>
      <c r="O449" s="40" t="s">
        <v>234</v>
      </c>
    </row>
    <row r="450" spans="1:15" ht="29.25" customHeight="1" x14ac:dyDescent="0.2">
      <c r="A450" s="40" t="s">
        <v>11443</v>
      </c>
      <c r="B450" s="40" t="s">
        <v>11443</v>
      </c>
      <c r="C450" s="41">
        <v>46098</v>
      </c>
      <c r="D450" s="41">
        <v>46149</v>
      </c>
      <c r="E450" s="40" t="s">
        <v>19</v>
      </c>
      <c r="F450" s="40" t="s">
        <v>843</v>
      </c>
      <c r="G450" s="40"/>
      <c r="H450" s="40"/>
      <c r="I450" s="40" t="s">
        <v>49</v>
      </c>
      <c r="J450" s="40">
        <v>2322.71</v>
      </c>
      <c r="K450" s="40">
        <v>2322.71</v>
      </c>
      <c r="L450" s="40"/>
      <c r="M450" s="40">
        <v>2322.71</v>
      </c>
      <c r="N450" s="40" t="s">
        <v>11444</v>
      </c>
      <c r="O450" s="40" t="s">
        <v>234</v>
      </c>
    </row>
    <row r="451" spans="1:15" ht="29.25" customHeight="1" x14ac:dyDescent="0.2">
      <c r="A451" s="40" t="s">
        <v>11445</v>
      </c>
      <c r="B451" s="40" t="s">
        <v>11445</v>
      </c>
      <c r="C451" s="41">
        <v>46098</v>
      </c>
      <c r="D451" s="41">
        <v>46142</v>
      </c>
      <c r="E451" s="40" t="s">
        <v>19</v>
      </c>
      <c r="F451" s="40" t="s">
        <v>843</v>
      </c>
      <c r="G451" s="40"/>
      <c r="H451" s="40"/>
      <c r="I451" s="40" t="s">
        <v>49</v>
      </c>
      <c r="J451" s="40">
        <v>2322.71</v>
      </c>
      <c r="K451" s="40">
        <v>2322.71</v>
      </c>
      <c r="L451" s="40"/>
      <c r="M451" s="40">
        <v>2322.71</v>
      </c>
      <c r="N451" s="40" t="s">
        <v>11446</v>
      </c>
      <c r="O451" s="40" t="s">
        <v>234</v>
      </c>
    </row>
    <row r="452" spans="1:15" ht="29.25" customHeight="1" x14ac:dyDescent="0.2">
      <c r="A452" s="40" t="s">
        <v>11447</v>
      </c>
      <c r="B452" s="40" t="s">
        <v>11447</v>
      </c>
      <c r="C452" s="41">
        <v>46098</v>
      </c>
      <c r="D452" s="41">
        <v>46135</v>
      </c>
      <c r="E452" s="40" t="s">
        <v>19</v>
      </c>
      <c r="F452" s="40" t="s">
        <v>843</v>
      </c>
      <c r="G452" s="40"/>
      <c r="H452" s="40"/>
      <c r="I452" s="40" t="s">
        <v>49</v>
      </c>
      <c r="J452" s="40">
        <v>2322.71</v>
      </c>
      <c r="K452" s="40">
        <v>2322.71</v>
      </c>
      <c r="L452" s="40"/>
      <c r="M452" s="40">
        <v>2322.71</v>
      </c>
      <c r="N452" s="40" t="s">
        <v>11448</v>
      </c>
      <c r="O452" s="40" t="s">
        <v>234</v>
      </c>
    </row>
    <row r="453" spans="1:15" ht="29.25" customHeight="1" x14ac:dyDescent="0.2">
      <c r="A453" s="40" t="s">
        <v>11449</v>
      </c>
      <c r="B453" s="40" t="s">
        <v>11449</v>
      </c>
      <c r="C453" s="41">
        <v>46098</v>
      </c>
      <c r="D453" s="41">
        <v>46181</v>
      </c>
      <c r="E453" s="40" t="s">
        <v>19</v>
      </c>
      <c r="F453" s="40" t="s">
        <v>843</v>
      </c>
      <c r="G453" s="40"/>
      <c r="H453" s="40"/>
      <c r="I453" s="40" t="s">
        <v>49</v>
      </c>
      <c r="J453" s="40">
        <v>8359.1</v>
      </c>
      <c r="K453" s="40">
        <v>8359.1</v>
      </c>
      <c r="L453" s="40"/>
      <c r="M453" s="40">
        <v>8359.1</v>
      </c>
      <c r="N453" s="40"/>
      <c r="O453" s="40" t="s">
        <v>234</v>
      </c>
    </row>
    <row r="454" spans="1:15" ht="29.25" customHeight="1" x14ac:dyDescent="0.2">
      <c r="A454" s="40" t="s">
        <v>11450</v>
      </c>
      <c r="B454" s="40" t="s">
        <v>11450</v>
      </c>
      <c r="C454" s="41">
        <v>46098</v>
      </c>
      <c r="D454" s="41">
        <v>46160</v>
      </c>
      <c r="E454" s="40" t="s">
        <v>19</v>
      </c>
      <c r="F454" s="40" t="s">
        <v>843</v>
      </c>
      <c r="G454" s="40"/>
      <c r="H454" s="40"/>
      <c r="I454" s="40" t="s">
        <v>49</v>
      </c>
      <c r="J454" s="40">
        <v>8359.1</v>
      </c>
      <c r="K454" s="40">
        <v>8359.1</v>
      </c>
      <c r="L454" s="40"/>
      <c r="M454" s="40">
        <v>8359.1</v>
      </c>
      <c r="N454" s="40" t="s">
        <v>11451</v>
      </c>
      <c r="O454" s="40" t="s">
        <v>234</v>
      </c>
    </row>
    <row r="455" spans="1:15" ht="29.25" customHeight="1" x14ac:dyDescent="0.2">
      <c r="A455" s="40" t="s">
        <v>11452</v>
      </c>
      <c r="B455" s="40" t="s">
        <v>11452</v>
      </c>
      <c r="C455" s="41">
        <v>46098</v>
      </c>
      <c r="D455" s="41">
        <v>46155</v>
      </c>
      <c r="E455" s="40" t="s">
        <v>19</v>
      </c>
      <c r="F455" s="40" t="s">
        <v>843</v>
      </c>
      <c r="G455" s="40"/>
      <c r="H455" s="40"/>
      <c r="I455" s="40" t="s">
        <v>49</v>
      </c>
      <c r="J455" s="40">
        <v>8359.1</v>
      </c>
      <c r="K455" s="40">
        <v>8359.1</v>
      </c>
      <c r="L455" s="40"/>
      <c r="M455" s="40">
        <v>8359.1</v>
      </c>
      <c r="N455" s="40" t="s">
        <v>11453</v>
      </c>
      <c r="O455" s="40" t="s">
        <v>234</v>
      </c>
    </row>
    <row r="456" spans="1:15" ht="29.25" customHeight="1" x14ac:dyDescent="0.2">
      <c r="A456" s="40" t="s">
        <v>11454</v>
      </c>
      <c r="B456" s="40" t="s">
        <v>11454</v>
      </c>
      <c r="C456" s="41">
        <v>46098</v>
      </c>
      <c r="D456" s="41">
        <v>46150</v>
      </c>
      <c r="E456" s="40" t="s">
        <v>19</v>
      </c>
      <c r="F456" s="40" t="s">
        <v>843</v>
      </c>
      <c r="G456" s="40"/>
      <c r="H456" s="40"/>
      <c r="I456" s="40" t="s">
        <v>49</v>
      </c>
      <c r="J456" s="40">
        <v>8359.1</v>
      </c>
      <c r="K456" s="40">
        <v>8359.1</v>
      </c>
      <c r="L456" s="40"/>
      <c r="M456" s="40">
        <v>8359.1</v>
      </c>
      <c r="N456" s="40" t="s">
        <v>11455</v>
      </c>
      <c r="O456" s="40" t="s">
        <v>234</v>
      </c>
    </row>
    <row r="457" spans="1:15" ht="29.25" customHeight="1" x14ac:dyDescent="0.2">
      <c r="A457" s="40" t="s">
        <v>11456</v>
      </c>
      <c r="B457" s="40" t="s">
        <v>11456</v>
      </c>
      <c r="C457" s="41">
        <v>46098</v>
      </c>
      <c r="D457" s="41">
        <v>46146</v>
      </c>
      <c r="E457" s="40" t="s">
        <v>19</v>
      </c>
      <c r="F457" s="40" t="s">
        <v>843</v>
      </c>
      <c r="G457" s="40"/>
      <c r="H457" s="40"/>
      <c r="I457" s="40" t="s">
        <v>49</v>
      </c>
      <c r="J457" s="40">
        <v>8359.1</v>
      </c>
      <c r="K457" s="40">
        <v>8359.1</v>
      </c>
      <c r="L457" s="40"/>
      <c r="M457" s="40">
        <v>8359.1</v>
      </c>
      <c r="N457" s="40" t="s">
        <v>11457</v>
      </c>
      <c r="O457" s="40" t="s">
        <v>234</v>
      </c>
    </row>
    <row r="458" spans="1:15" ht="29.25" customHeight="1" x14ac:dyDescent="0.2">
      <c r="A458" s="40" t="s">
        <v>11458</v>
      </c>
      <c r="B458" s="40" t="s">
        <v>11458</v>
      </c>
      <c r="C458" s="41">
        <v>46098</v>
      </c>
      <c r="D458" s="41">
        <v>46140</v>
      </c>
      <c r="E458" s="40" t="s">
        <v>19</v>
      </c>
      <c r="F458" s="40" t="s">
        <v>843</v>
      </c>
      <c r="G458" s="40"/>
      <c r="H458" s="40"/>
      <c r="I458" s="40" t="s">
        <v>49</v>
      </c>
      <c r="J458" s="40">
        <v>8359.1</v>
      </c>
      <c r="K458" s="40">
        <v>8359.1</v>
      </c>
      <c r="L458" s="40"/>
      <c r="M458" s="40">
        <v>8359.1</v>
      </c>
      <c r="N458" s="40" t="s">
        <v>11459</v>
      </c>
      <c r="O458" s="40" t="s">
        <v>234</v>
      </c>
    </row>
    <row r="459" spans="1:15" ht="29.25" customHeight="1" x14ac:dyDescent="0.2">
      <c r="A459" s="40" t="s">
        <v>11460</v>
      </c>
      <c r="B459" s="40" t="s">
        <v>11460</v>
      </c>
      <c r="C459" s="41">
        <v>46098</v>
      </c>
      <c r="D459" s="41">
        <v>46135</v>
      </c>
      <c r="E459" s="40" t="s">
        <v>19</v>
      </c>
      <c r="F459" s="40" t="s">
        <v>843</v>
      </c>
      <c r="G459" s="40"/>
      <c r="H459" s="40"/>
      <c r="I459" s="40" t="s">
        <v>49</v>
      </c>
      <c r="J459" s="40">
        <v>8359.1</v>
      </c>
      <c r="K459" s="40">
        <v>8359.1</v>
      </c>
      <c r="L459" s="40"/>
      <c r="M459" s="40">
        <v>8359.1</v>
      </c>
      <c r="N459" s="40" t="s">
        <v>11461</v>
      </c>
      <c r="O459" s="40" t="s">
        <v>234</v>
      </c>
    </row>
    <row r="460" spans="1:15" ht="29.25" customHeight="1" x14ac:dyDescent="0.2">
      <c r="A460" s="40" t="s">
        <v>11462</v>
      </c>
      <c r="B460" s="40" t="s">
        <v>11462</v>
      </c>
      <c r="C460" s="41">
        <v>46098</v>
      </c>
      <c r="D460" s="41">
        <v>46162</v>
      </c>
      <c r="E460" s="40" t="s">
        <v>19</v>
      </c>
      <c r="F460" s="40" t="s">
        <v>843</v>
      </c>
      <c r="G460" s="40"/>
      <c r="H460" s="40"/>
      <c r="I460" s="40" t="s">
        <v>49</v>
      </c>
      <c r="J460" s="40">
        <v>2467.19</v>
      </c>
      <c r="K460" s="40">
        <v>2467.19</v>
      </c>
      <c r="L460" s="40"/>
      <c r="M460" s="40">
        <v>2467.19</v>
      </c>
      <c r="N460" s="40" t="s">
        <v>11463</v>
      </c>
      <c r="O460" s="40" t="s">
        <v>234</v>
      </c>
    </row>
    <row r="461" spans="1:15" ht="29.25" customHeight="1" x14ac:dyDescent="0.2">
      <c r="A461" s="40" t="s">
        <v>11464</v>
      </c>
      <c r="B461" s="40" t="s">
        <v>11464</v>
      </c>
      <c r="C461" s="41">
        <v>46098</v>
      </c>
      <c r="D461" s="41">
        <v>46153</v>
      </c>
      <c r="E461" s="40" t="s">
        <v>19</v>
      </c>
      <c r="F461" s="40" t="s">
        <v>843</v>
      </c>
      <c r="G461" s="40"/>
      <c r="H461" s="40"/>
      <c r="I461" s="40" t="s">
        <v>49</v>
      </c>
      <c r="J461" s="40">
        <v>2467.1799999999998</v>
      </c>
      <c r="K461" s="40">
        <v>2467.1799999999998</v>
      </c>
      <c r="L461" s="40"/>
      <c r="M461" s="40">
        <v>2467.1799999999998</v>
      </c>
      <c r="N461" s="40" t="s">
        <v>11465</v>
      </c>
      <c r="O461" s="40" t="s">
        <v>234</v>
      </c>
    </row>
    <row r="462" spans="1:15" ht="29.25" customHeight="1" x14ac:dyDescent="0.2">
      <c r="A462" s="40" t="s">
        <v>11466</v>
      </c>
      <c r="B462" s="40" t="s">
        <v>11466</v>
      </c>
      <c r="C462" s="41">
        <v>46098</v>
      </c>
      <c r="D462" s="41">
        <v>46142</v>
      </c>
      <c r="E462" s="40" t="s">
        <v>19</v>
      </c>
      <c r="F462" s="40" t="s">
        <v>843</v>
      </c>
      <c r="G462" s="40"/>
      <c r="H462" s="40"/>
      <c r="I462" s="40" t="s">
        <v>49</v>
      </c>
      <c r="J462" s="40">
        <v>2467.1799999999998</v>
      </c>
      <c r="K462" s="40">
        <v>2467.1799999999998</v>
      </c>
      <c r="L462" s="40"/>
      <c r="M462" s="40">
        <v>2467.1799999999998</v>
      </c>
      <c r="N462" s="40" t="s">
        <v>11467</v>
      </c>
      <c r="O462" s="40" t="s">
        <v>234</v>
      </c>
    </row>
    <row r="463" spans="1:15" ht="29.25" customHeight="1" x14ac:dyDescent="0.2">
      <c r="A463" s="40" t="s">
        <v>11468</v>
      </c>
      <c r="B463" s="40" t="s">
        <v>11468</v>
      </c>
      <c r="C463" s="41">
        <v>46098</v>
      </c>
      <c r="D463" s="41">
        <v>46132</v>
      </c>
      <c r="E463" s="40" t="s">
        <v>19</v>
      </c>
      <c r="F463" s="40" t="s">
        <v>843</v>
      </c>
      <c r="G463" s="40"/>
      <c r="H463" s="40"/>
      <c r="I463" s="40" t="s">
        <v>49</v>
      </c>
      <c r="J463" s="40">
        <v>2467.1799999999998</v>
      </c>
      <c r="K463" s="40">
        <v>2467.1799999999998</v>
      </c>
      <c r="L463" s="40"/>
      <c r="M463" s="40">
        <v>2467.1799999999998</v>
      </c>
      <c r="N463" s="40" t="s">
        <v>11469</v>
      </c>
      <c r="O463" s="40" t="s">
        <v>234</v>
      </c>
    </row>
    <row r="464" spans="1:15" ht="29.25" customHeight="1" x14ac:dyDescent="0.2">
      <c r="A464" s="40" t="s">
        <v>11470</v>
      </c>
      <c r="B464" s="40" t="s">
        <v>11470</v>
      </c>
      <c r="C464" s="41">
        <v>46098</v>
      </c>
      <c r="D464" s="41">
        <v>46170</v>
      </c>
      <c r="E464" s="40" t="s">
        <v>19</v>
      </c>
      <c r="F464" s="40" t="s">
        <v>64</v>
      </c>
      <c r="G464" s="40"/>
      <c r="H464" s="40"/>
      <c r="I464" s="40" t="s">
        <v>49</v>
      </c>
      <c r="J464" s="40">
        <v>5999.77</v>
      </c>
      <c r="K464" s="40">
        <v>5999.77</v>
      </c>
      <c r="L464" s="40"/>
      <c r="M464" s="40">
        <v>5999.77</v>
      </c>
      <c r="N464" s="40" t="s">
        <v>11471</v>
      </c>
      <c r="O464" s="40" t="s">
        <v>234</v>
      </c>
    </row>
    <row r="465" spans="1:15" ht="29.25" customHeight="1" x14ac:dyDescent="0.2">
      <c r="A465" s="40" t="s">
        <v>11472</v>
      </c>
      <c r="B465" s="40" t="s">
        <v>11472</v>
      </c>
      <c r="C465" s="41">
        <v>46098</v>
      </c>
      <c r="D465" s="41">
        <v>46161</v>
      </c>
      <c r="E465" s="40" t="s">
        <v>19</v>
      </c>
      <c r="F465" s="40" t="s">
        <v>64</v>
      </c>
      <c r="G465" s="40"/>
      <c r="H465" s="40"/>
      <c r="I465" s="40" t="s">
        <v>49</v>
      </c>
      <c r="J465" s="40">
        <v>5999.78</v>
      </c>
      <c r="K465" s="40">
        <v>5999.78</v>
      </c>
      <c r="L465" s="40"/>
      <c r="M465" s="40">
        <v>5999.78</v>
      </c>
      <c r="N465" s="40" t="s">
        <v>11473</v>
      </c>
      <c r="O465" s="40" t="s">
        <v>234</v>
      </c>
    </row>
    <row r="466" spans="1:15" ht="29.25" customHeight="1" x14ac:dyDescent="0.2">
      <c r="A466" s="40" t="s">
        <v>11474</v>
      </c>
      <c r="B466" s="40" t="s">
        <v>11474</v>
      </c>
      <c r="C466" s="41">
        <v>46098</v>
      </c>
      <c r="D466" s="41">
        <v>46153</v>
      </c>
      <c r="E466" s="40" t="s">
        <v>19</v>
      </c>
      <c r="F466" s="40" t="s">
        <v>64</v>
      </c>
      <c r="G466" s="40"/>
      <c r="H466" s="40"/>
      <c r="I466" s="40" t="s">
        <v>49</v>
      </c>
      <c r="J466" s="40">
        <v>5999.78</v>
      </c>
      <c r="K466" s="40">
        <v>5999.78</v>
      </c>
      <c r="L466" s="40"/>
      <c r="M466" s="40">
        <v>5999.78</v>
      </c>
      <c r="N466" s="40" t="s">
        <v>11475</v>
      </c>
      <c r="O466" s="40" t="s">
        <v>234</v>
      </c>
    </row>
    <row r="467" spans="1:15" ht="29.25" customHeight="1" x14ac:dyDescent="0.2">
      <c r="A467" s="40" t="s">
        <v>11476</v>
      </c>
      <c r="B467" s="40" t="s">
        <v>11476</v>
      </c>
      <c r="C467" s="41">
        <v>46098</v>
      </c>
      <c r="D467" s="41">
        <v>46143</v>
      </c>
      <c r="E467" s="40" t="s">
        <v>19</v>
      </c>
      <c r="F467" s="40" t="s">
        <v>64</v>
      </c>
      <c r="G467" s="40"/>
      <c r="H467" s="40"/>
      <c r="I467" s="40" t="s">
        <v>49</v>
      </c>
      <c r="J467" s="40">
        <v>5999.78</v>
      </c>
      <c r="K467" s="40">
        <v>5999.78</v>
      </c>
      <c r="L467" s="40"/>
      <c r="M467" s="40">
        <v>5999.78</v>
      </c>
      <c r="N467" s="40" t="s">
        <v>11477</v>
      </c>
      <c r="O467" s="40" t="s">
        <v>234</v>
      </c>
    </row>
    <row r="468" spans="1:15" ht="29.25" customHeight="1" x14ac:dyDescent="0.2">
      <c r="A468" s="40" t="s">
        <v>11478</v>
      </c>
      <c r="B468" s="40" t="s">
        <v>11478</v>
      </c>
      <c r="C468" s="41">
        <v>46098</v>
      </c>
      <c r="D468" s="41">
        <v>46134</v>
      </c>
      <c r="E468" s="40" t="s">
        <v>19</v>
      </c>
      <c r="F468" s="40" t="s">
        <v>64</v>
      </c>
      <c r="G468" s="40"/>
      <c r="H468" s="40"/>
      <c r="I468" s="40" t="s">
        <v>49</v>
      </c>
      <c r="J468" s="40">
        <v>5999.78</v>
      </c>
      <c r="K468" s="40">
        <v>5999.78</v>
      </c>
      <c r="L468" s="40"/>
      <c r="M468" s="40">
        <v>5999.78</v>
      </c>
      <c r="N468" s="40" t="s">
        <v>11479</v>
      </c>
      <c r="O468" s="40" t="s">
        <v>234</v>
      </c>
    </row>
    <row r="469" spans="1:15" ht="29.25" customHeight="1" x14ac:dyDescent="0.2">
      <c r="A469" s="40" t="s">
        <v>11480</v>
      </c>
      <c r="B469" s="40" t="s">
        <v>11480</v>
      </c>
      <c r="C469" s="41">
        <v>46098</v>
      </c>
      <c r="D469" s="41">
        <v>46125</v>
      </c>
      <c r="E469" s="40" t="s">
        <v>19</v>
      </c>
      <c r="F469" s="40" t="s">
        <v>64</v>
      </c>
      <c r="G469" s="40"/>
      <c r="H469" s="40"/>
      <c r="I469" s="40" t="s">
        <v>49</v>
      </c>
      <c r="J469" s="40">
        <v>5999.78</v>
      </c>
      <c r="K469" s="40">
        <v>5999.78</v>
      </c>
      <c r="L469" s="40"/>
      <c r="M469" s="40">
        <v>5999.78</v>
      </c>
      <c r="N469" s="40" t="s">
        <v>11481</v>
      </c>
      <c r="O469" s="40" t="s">
        <v>234</v>
      </c>
    </row>
    <row r="470" spans="1:15" ht="29.25" customHeight="1" x14ac:dyDescent="0.2">
      <c r="A470" s="40" t="s">
        <v>11482</v>
      </c>
      <c r="B470" s="40" t="s">
        <v>11482</v>
      </c>
      <c r="C470" s="41">
        <v>46098</v>
      </c>
      <c r="D470" s="41">
        <v>46154</v>
      </c>
      <c r="E470" s="40" t="s">
        <v>19</v>
      </c>
      <c r="F470" s="40" t="s">
        <v>64</v>
      </c>
      <c r="G470" s="40"/>
      <c r="H470" s="40"/>
      <c r="I470" s="40" t="s">
        <v>49</v>
      </c>
      <c r="J470" s="40">
        <v>10008.34</v>
      </c>
      <c r="K470" s="40">
        <v>10008.34</v>
      </c>
      <c r="L470" s="40"/>
      <c r="M470" s="40">
        <v>10008.34</v>
      </c>
      <c r="N470" s="40" t="s">
        <v>11483</v>
      </c>
      <c r="O470" s="40" t="s">
        <v>234</v>
      </c>
    </row>
    <row r="471" spans="1:15" ht="29.25" customHeight="1" x14ac:dyDescent="0.2">
      <c r="A471" s="40" t="s">
        <v>11484</v>
      </c>
      <c r="B471" s="40" t="s">
        <v>11484</v>
      </c>
      <c r="C471" s="41">
        <v>46098</v>
      </c>
      <c r="D471" s="41">
        <v>46174</v>
      </c>
      <c r="E471" s="40" t="s">
        <v>19</v>
      </c>
      <c r="F471" s="40" t="s">
        <v>64</v>
      </c>
      <c r="G471" s="40"/>
      <c r="H471" s="40"/>
      <c r="I471" s="40" t="s">
        <v>49</v>
      </c>
      <c r="J471" s="40">
        <v>8830.6299999999992</v>
      </c>
      <c r="K471" s="40">
        <v>8830.6299999999992</v>
      </c>
      <c r="L471" s="40"/>
      <c r="M471" s="40">
        <v>8830.6299999999992</v>
      </c>
      <c r="N471" s="40"/>
      <c r="O471" s="40" t="s">
        <v>234</v>
      </c>
    </row>
    <row r="472" spans="1:15" ht="29.25" customHeight="1" x14ac:dyDescent="0.2">
      <c r="A472" s="40" t="s">
        <v>11485</v>
      </c>
      <c r="B472" s="40" t="s">
        <v>11485</v>
      </c>
      <c r="C472" s="41">
        <v>46098</v>
      </c>
      <c r="D472" s="41">
        <v>46167</v>
      </c>
      <c r="E472" s="40" t="s">
        <v>19</v>
      </c>
      <c r="F472" s="40" t="s">
        <v>64</v>
      </c>
      <c r="G472" s="40"/>
      <c r="H472" s="40"/>
      <c r="I472" s="40" t="s">
        <v>49</v>
      </c>
      <c r="J472" s="40">
        <v>8830.6200000000008</v>
      </c>
      <c r="K472" s="40">
        <v>8830.6200000000008</v>
      </c>
      <c r="L472" s="40"/>
      <c r="M472" s="40">
        <v>8830.6200000000008</v>
      </c>
      <c r="N472" s="40" t="s">
        <v>11486</v>
      </c>
      <c r="O472" s="40" t="s">
        <v>234</v>
      </c>
    </row>
    <row r="473" spans="1:15" ht="29.25" customHeight="1" x14ac:dyDescent="0.2">
      <c r="A473" s="40" t="s">
        <v>11487</v>
      </c>
      <c r="B473" s="40" t="s">
        <v>11487</v>
      </c>
      <c r="C473" s="41">
        <v>46098</v>
      </c>
      <c r="D473" s="41">
        <v>46157</v>
      </c>
      <c r="E473" s="40" t="s">
        <v>19</v>
      </c>
      <c r="F473" s="40" t="s">
        <v>64</v>
      </c>
      <c r="G473" s="40"/>
      <c r="H473" s="40"/>
      <c r="I473" s="40" t="s">
        <v>49</v>
      </c>
      <c r="J473" s="40">
        <v>8830.6200000000008</v>
      </c>
      <c r="K473" s="40">
        <v>8830.6200000000008</v>
      </c>
      <c r="L473" s="40"/>
      <c r="M473" s="40">
        <v>8830.6200000000008</v>
      </c>
      <c r="N473" s="40" t="s">
        <v>11488</v>
      </c>
      <c r="O473" s="40" t="s">
        <v>234</v>
      </c>
    </row>
    <row r="474" spans="1:15" ht="29.25" customHeight="1" x14ac:dyDescent="0.2">
      <c r="A474" s="40" t="s">
        <v>11489</v>
      </c>
      <c r="B474" s="40" t="s">
        <v>11489</v>
      </c>
      <c r="C474" s="41">
        <v>46098</v>
      </c>
      <c r="D474" s="41">
        <v>46149</v>
      </c>
      <c r="E474" s="40" t="s">
        <v>19</v>
      </c>
      <c r="F474" s="40" t="s">
        <v>64</v>
      </c>
      <c r="G474" s="40"/>
      <c r="H474" s="40"/>
      <c r="I474" s="40" t="s">
        <v>49</v>
      </c>
      <c r="J474" s="40">
        <v>8830.6200000000008</v>
      </c>
      <c r="K474" s="40">
        <v>8830.6200000000008</v>
      </c>
      <c r="L474" s="40"/>
      <c r="M474" s="40">
        <v>8830.6200000000008</v>
      </c>
      <c r="N474" s="40" t="s">
        <v>11490</v>
      </c>
      <c r="O474" s="40" t="s">
        <v>234</v>
      </c>
    </row>
    <row r="475" spans="1:15" ht="29.25" customHeight="1" x14ac:dyDescent="0.2">
      <c r="A475" s="40" t="s">
        <v>11491</v>
      </c>
      <c r="B475" s="40" t="s">
        <v>11491</v>
      </c>
      <c r="C475" s="41">
        <v>46098</v>
      </c>
      <c r="D475" s="41">
        <v>46141</v>
      </c>
      <c r="E475" s="40" t="s">
        <v>19</v>
      </c>
      <c r="F475" s="40" t="s">
        <v>64</v>
      </c>
      <c r="G475" s="40"/>
      <c r="H475" s="40"/>
      <c r="I475" s="40" t="s">
        <v>49</v>
      </c>
      <c r="J475" s="40">
        <v>8830.6200000000008</v>
      </c>
      <c r="K475" s="40">
        <v>8830.6200000000008</v>
      </c>
      <c r="L475" s="40"/>
      <c r="M475" s="40">
        <v>8830.6200000000008</v>
      </c>
      <c r="N475" s="40" t="s">
        <v>11492</v>
      </c>
      <c r="O475" s="40" t="s">
        <v>234</v>
      </c>
    </row>
    <row r="476" spans="1:15" ht="29.25" customHeight="1" x14ac:dyDescent="0.2">
      <c r="A476" s="40" t="s">
        <v>11493</v>
      </c>
      <c r="B476" s="40" t="s">
        <v>11493</v>
      </c>
      <c r="C476" s="41">
        <v>46098</v>
      </c>
      <c r="D476" s="41">
        <v>46133</v>
      </c>
      <c r="E476" s="40" t="s">
        <v>19</v>
      </c>
      <c r="F476" s="40" t="s">
        <v>64</v>
      </c>
      <c r="G476" s="40"/>
      <c r="H476" s="40"/>
      <c r="I476" s="40" t="s">
        <v>49</v>
      </c>
      <c r="J476" s="40">
        <v>8830.6200000000008</v>
      </c>
      <c r="K476" s="40">
        <v>8830.6200000000008</v>
      </c>
      <c r="L476" s="40"/>
      <c r="M476" s="40">
        <v>8830.6200000000008</v>
      </c>
      <c r="N476" s="40" t="s">
        <v>11494</v>
      </c>
      <c r="O476" s="40" t="s">
        <v>234</v>
      </c>
    </row>
    <row r="477" spans="1:15" ht="29.25" customHeight="1" x14ac:dyDescent="0.2">
      <c r="A477" s="40" t="s">
        <v>11495</v>
      </c>
      <c r="B477" s="40" t="s">
        <v>11495</v>
      </c>
      <c r="C477" s="41">
        <v>46098</v>
      </c>
      <c r="D477" s="41">
        <v>46125</v>
      </c>
      <c r="E477" s="40" t="s">
        <v>19</v>
      </c>
      <c r="F477" s="40" t="s">
        <v>64</v>
      </c>
      <c r="G477" s="40"/>
      <c r="H477" s="40"/>
      <c r="I477" s="40" t="s">
        <v>49</v>
      </c>
      <c r="J477" s="40">
        <v>8830.6200000000008</v>
      </c>
      <c r="K477" s="40">
        <v>8830.6200000000008</v>
      </c>
      <c r="L477" s="40"/>
      <c r="M477" s="40">
        <v>8830.6200000000008</v>
      </c>
      <c r="N477" s="40" t="s">
        <v>11496</v>
      </c>
      <c r="O477" s="40" t="s">
        <v>234</v>
      </c>
    </row>
    <row r="478" spans="1:15" ht="29.25" customHeight="1" x14ac:dyDescent="0.2">
      <c r="A478" s="40" t="s">
        <v>11497</v>
      </c>
      <c r="B478" s="40" t="s">
        <v>11497</v>
      </c>
      <c r="C478" s="41">
        <v>46098</v>
      </c>
      <c r="D478" s="41">
        <v>46170</v>
      </c>
      <c r="E478" s="40" t="s">
        <v>19</v>
      </c>
      <c r="F478" s="40" t="s">
        <v>64</v>
      </c>
      <c r="G478" s="40"/>
      <c r="H478" s="40"/>
      <c r="I478" s="40" t="s">
        <v>49</v>
      </c>
      <c r="J478" s="40">
        <v>9979.41</v>
      </c>
      <c r="K478" s="40">
        <v>9979.41</v>
      </c>
      <c r="L478" s="40"/>
      <c r="M478" s="40">
        <v>9979.41</v>
      </c>
      <c r="N478" s="40" t="s">
        <v>11498</v>
      </c>
      <c r="O478" s="40" t="s">
        <v>234</v>
      </c>
    </row>
    <row r="479" spans="1:15" ht="29.25" customHeight="1" x14ac:dyDescent="0.2">
      <c r="A479" s="40" t="s">
        <v>11499</v>
      </c>
      <c r="B479" s="40" t="s">
        <v>11499</v>
      </c>
      <c r="C479" s="41">
        <v>46098</v>
      </c>
      <c r="D479" s="41">
        <v>46160</v>
      </c>
      <c r="E479" s="40" t="s">
        <v>19</v>
      </c>
      <c r="F479" s="40" t="s">
        <v>64</v>
      </c>
      <c r="G479" s="40"/>
      <c r="H479" s="40"/>
      <c r="I479" s="40" t="s">
        <v>49</v>
      </c>
      <c r="J479" s="40">
        <v>9979.41</v>
      </c>
      <c r="K479" s="40">
        <v>9979.41</v>
      </c>
      <c r="L479" s="40"/>
      <c r="M479" s="40">
        <v>9979.41</v>
      </c>
      <c r="N479" s="40" t="s">
        <v>11500</v>
      </c>
      <c r="O479" s="40" t="s">
        <v>234</v>
      </c>
    </row>
    <row r="480" spans="1:15" ht="29.25" customHeight="1" x14ac:dyDescent="0.2">
      <c r="A480" s="40" t="s">
        <v>11501</v>
      </c>
      <c r="B480" s="40" t="s">
        <v>11501</v>
      </c>
      <c r="C480" s="41">
        <v>46098</v>
      </c>
      <c r="D480" s="41">
        <v>46153</v>
      </c>
      <c r="E480" s="40" t="s">
        <v>19</v>
      </c>
      <c r="F480" s="40" t="s">
        <v>64</v>
      </c>
      <c r="G480" s="40"/>
      <c r="H480" s="40"/>
      <c r="I480" s="40" t="s">
        <v>49</v>
      </c>
      <c r="J480" s="40">
        <v>9979.41</v>
      </c>
      <c r="K480" s="40">
        <v>9979.41</v>
      </c>
      <c r="L480" s="40"/>
      <c r="M480" s="40">
        <v>9979.41</v>
      </c>
      <c r="N480" s="40" t="s">
        <v>11502</v>
      </c>
      <c r="O480" s="40" t="s">
        <v>234</v>
      </c>
    </row>
    <row r="481" spans="1:15" ht="29.25" customHeight="1" x14ac:dyDescent="0.2">
      <c r="A481" s="40" t="s">
        <v>11503</v>
      </c>
      <c r="B481" s="40" t="s">
        <v>11503</v>
      </c>
      <c r="C481" s="41">
        <v>46098</v>
      </c>
      <c r="D481" s="41">
        <v>46146</v>
      </c>
      <c r="E481" s="40" t="s">
        <v>19</v>
      </c>
      <c r="F481" s="40" t="s">
        <v>64</v>
      </c>
      <c r="G481" s="40"/>
      <c r="H481" s="40"/>
      <c r="I481" s="40" t="s">
        <v>49</v>
      </c>
      <c r="J481" s="40">
        <v>9979.41</v>
      </c>
      <c r="K481" s="40">
        <v>9979.41</v>
      </c>
      <c r="L481" s="40"/>
      <c r="M481" s="40">
        <v>9979.41</v>
      </c>
      <c r="N481" s="40" t="s">
        <v>11504</v>
      </c>
      <c r="O481" s="40" t="s">
        <v>234</v>
      </c>
    </row>
    <row r="482" spans="1:15" ht="29.25" customHeight="1" x14ac:dyDescent="0.2">
      <c r="A482" s="40" t="s">
        <v>11505</v>
      </c>
      <c r="B482" s="40" t="s">
        <v>11505</v>
      </c>
      <c r="C482" s="41">
        <v>46098</v>
      </c>
      <c r="D482" s="41">
        <v>46139</v>
      </c>
      <c r="E482" s="40" t="s">
        <v>19</v>
      </c>
      <c r="F482" s="40" t="s">
        <v>64</v>
      </c>
      <c r="G482" s="40"/>
      <c r="H482" s="40"/>
      <c r="I482" s="40" t="s">
        <v>49</v>
      </c>
      <c r="J482" s="40">
        <v>9979.41</v>
      </c>
      <c r="K482" s="40">
        <v>9979.41</v>
      </c>
      <c r="L482" s="40"/>
      <c r="M482" s="40">
        <v>9979.41</v>
      </c>
      <c r="N482" s="40" t="s">
        <v>11506</v>
      </c>
      <c r="O482" s="40" t="s">
        <v>234</v>
      </c>
    </row>
    <row r="483" spans="1:15" ht="29.25" customHeight="1" x14ac:dyDescent="0.2">
      <c r="A483" s="40" t="s">
        <v>11507</v>
      </c>
      <c r="B483" s="40" t="s">
        <v>11507</v>
      </c>
      <c r="C483" s="41">
        <v>46098</v>
      </c>
      <c r="D483" s="41">
        <v>46132</v>
      </c>
      <c r="E483" s="40" t="s">
        <v>19</v>
      </c>
      <c r="F483" s="40" t="s">
        <v>64</v>
      </c>
      <c r="G483" s="40"/>
      <c r="H483" s="40"/>
      <c r="I483" s="40" t="s">
        <v>49</v>
      </c>
      <c r="J483" s="40">
        <v>9979.41</v>
      </c>
      <c r="K483" s="40">
        <v>9979.41</v>
      </c>
      <c r="L483" s="40"/>
      <c r="M483" s="40">
        <v>9979.41</v>
      </c>
      <c r="N483" s="40" t="s">
        <v>11508</v>
      </c>
      <c r="O483" s="40" t="s">
        <v>234</v>
      </c>
    </row>
    <row r="484" spans="1:15" ht="29.25" customHeight="1" x14ac:dyDescent="0.2">
      <c r="A484" s="40" t="s">
        <v>11509</v>
      </c>
      <c r="B484" s="40" t="s">
        <v>11509</v>
      </c>
      <c r="C484" s="41">
        <v>46098</v>
      </c>
      <c r="D484" s="41">
        <v>46125</v>
      </c>
      <c r="E484" s="40" t="s">
        <v>19</v>
      </c>
      <c r="F484" s="40" t="s">
        <v>64</v>
      </c>
      <c r="G484" s="40"/>
      <c r="H484" s="40"/>
      <c r="I484" s="40" t="s">
        <v>49</v>
      </c>
      <c r="J484" s="40">
        <v>9979.41</v>
      </c>
      <c r="K484" s="40">
        <v>9979.41</v>
      </c>
      <c r="L484" s="40"/>
      <c r="M484" s="40">
        <v>9979.41</v>
      </c>
      <c r="N484" s="40" t="s">
        <v>11510</v>
      </c>
      <c r="O484" s="40" t="s">
        <v>234</v>
      </c>
    </row>
    <row r="485" spans="1:15" ht="29.25" customHeight="1" x14ac:dyDescent="0.2">
      <c r="A485" s="40" t="s">
        <v>11511</v>
      </c>
      <c r="B485" s="40" t="s">
        <v>11511</v>
      </c>
      <c r="C485" s="41">
        <v>46098</v>
      </c>
      <c r="D485" s="41">
        <v>46139</v>
      </c>
      <c r="E485" s="40" t="s">
        <v>19</v>
      </c>
      <c r="F485" s="40" t="s">
        <v>1521</v>
      </c>
      <c r="G485" s="40"/>
      <c r="H485" s="40"/>
      <c r="I485" s="40" t="s">
        <v>49</v>
      </c>
      <c r="J485" s="40">
        <v>3193.41</v>
      </c>
      <c r="K485" s="40">
        <v>3193.41</v>
      </c>
      <c r="L485" s="40"/>
      <c r="M485" s="40">
        <v>3193.41</v>
      </c>
      <c r="N485" s="40" t="s">
        <v>11512</v>
      </c>
      <c r="O485" s="40" t="s">
        <v>234</v>
      </c>
    </row>
    <row r="486" spans="1:15" ht="29.25" customHeight="1" x14ac:dyDescent="0.2">
      <c r="A486" s="40" t="s">
        <v>11513</v>
      </c>
      <c r="B486" s="40" t="s">
        <v>11513</v>
      </c>
      <c r="C486" s="41">
        <v>46098</v>
      </c>
      <c r="D486" s="41">
        <v>46122</v>
      </c>
      <c r="E486" s="40" t="s">
        <v>19</v>
      </c>
      <c r="F486" s="40" t="s">
        <v>1521</v>
      </c>
      <c r="G486" s="40"/>
      <c r="H486" s="40"/>
      <c r="I486" s="40" t="s">
        <v>49</v>
      </c>
      <c r="J486" s="40">
        <v>3193.41</v>
      </c>
      <c r="K486" s="40">
        <v>3193.41</v>
      </c>
      <c r="L486" s="40"/>
      <c r="M486" s="40">
        <v>3193.41</v>
      </c>
      <c r="N486" s="40" t="s">
        <v>11514</v>
      </c>
      <c r="O486" s="40" t="s">
        <v>234</v>
      </c>
    </row>
    <row r="487" spans="1:15" ht="29.25" customHeight="1" x14ac:dyDescent="0.2">
      <c r="A487" s="40" t="s">
        <v>11515</v>
      </c>
      <c r="B487" s="40" t="s">
        <v>11515</v>
      </c>
      <c r="C487" s="41">
        <v>46099</v>
      </c>
      <c r="D487" s="41">
        <v>46146</v>
      </c>
      <c r="E487" s="40" t="s">
        <v>19</v>
      </c>
      <c r="F487" s="40" t="s">
        <v>64</v>
      </c>
      <c r="G487" s="40"/>
      <c r="H487" s="40"/>
      <c r="I487" s="40" t="s">
        <v>49</v>
      </c>
      <c r="J487" s="40">
        <v>12174.77</v>
      </c>
      <c r="K487" s="40">
        <v>12174.77</v>
      </c>
      <c r="L487" s="40"/>
      <c r="M487" s="40">
        <v>12174.77</v>
      </c>
      <c r="N487" s="40" t="s">
        <v>11516</v>
      </c>
      <c r="O487" s="40" t="s">
        <v>234</v>
      </c>
    </row>
    <row r="488" spans="1:15" ht="29.25" customHeight="1" x14ac:dyDescent="0.2">
      <c r="A488" s="40" t="s">
        <v>11517</v>
      </c>
      <c r="B488" s="40" t="s">
        <v>11517</v>
      </c>
      <c r="C488" s="41">
        <v>46099</v>
      </c>
      <c r="D488" s="41">
        <v>46147</v>
      </c>
      <c r="E488" s="40" t="s">
        <v>19</v>
      </c>
      <c r="F488" s="40" t="s">
        <v>64</v>
      </c>
      <c r="G488" s="40"/>
      <c r="H488" s="40"/>
      <c r="I488" s="40" t="s">
        <v>49</v>
      </c>
      <c r="J488" s="40">
        <v>4276.8900000000003</v>
      </c>
      <c r="K488" s="40">
        <v>4276.8900000000003</v>
      </c>
      <c r="L488" s="40"/>
      <c r="M488" s="40">
        <v>4276.8900000000003</v>
      </c>
      <c r="N488" s="40" t="s">
        <v>11518</v>
      </c>
      <c r="O488" s="40" t="s">
        <v>234</v>
      </c>
    </row>
    <row r="489" spans="1:15" ht="29.25" customHeight="1" x14ac:dyDescent="0.2">
      <c r="A489" s="40" t="s">
        <v>11519</v>
      </c>
      <c r="B489" s="40" t="s">
        <v>11519</v>
      </c>
      <c r="C489" s="41">
        <v>46099</v>
      </c>
      <c r="D489" s="41">
        <v>46143</v>
      </c>
      <c r="E489" s="40" t="s">
        <v>19</v>
      </c>
      <c r="F489" s="40" t="s">
        <v>64</v>
      </c>
      <c r="G489" s="40"/>
      <c r="H489" s="40"/>
      <c r="I489" s="40" t="s">
        <v>49</v>
      </c>
      <c r="J489" s="40">
        <v>4276.8900000000003</v>
      </c>
      <c r="K489" s="40">
        <v>4276.8900000000003</v>
      </c>
      <c r="L489" s="40"/>
      <c r="M489" s="40">
        <v>4276.8900000000003</v>
      </c>
      <c r="N489" s="40" t="s">
        <v>11520</v>
      </c>
      <c r="O489" s="40" t="s">
        <v>234</v>
      </c>
    </row>
    <row r="490" spans="1:15" ht="29.25" customHeight="1" x14ac:dyDescent="0.2">
      <c r="A490" s="40" t="s">
        <v>11521</v>
      </c>
      <c r="B490" s="40" t="s">
        <v>11521</v>
      </c>
      <c r="C490" s="41">
        <v>46099</v>
      </c>
      <c r="D490" s="41">
        <v>46139</v>
      </c>
      <c r="E490" s="40" t="s">
        <v>19</v>
      </c>
      <c r="F490" s="40" t="s">
        <v>64</v>
      </c>
      <c r="G490" s="40"/>
      <c r="H490" s="40"/>
      <c r="I490" s="40" t="s">
        <v>49</v>
      </c>
      <c r="J490" s="40">
        <v>4276.8900000000003</v>
      </c>
      <c r="K490" s="40">
        <v>4276.8900000000003</v>
      </c>
      <c r="L490" s="40"/>
      <c r="M490" s="40">
        <v>4276.8900000000003</v>
      </c>
      <c r="N490" s="40" t="s">
        <v>11522</v>
      </c>
      <c r="O490" s="40" t="s">
        <v>234</v>
      </c>
    </row>
    <row r="491" spans="1:15" ht="29.25" customHeight="1" x14ac:dyDescent="0.2">
      <c r="A491" s="40" t="s">
        <v>11523</v>
      </c>
      <c r="B491" s="40" t="s">
        <v>11523</v>
      </c>
      <c r="C491" s="41">
        <v>46099</v>
      </c>
      <c r="D491" s="41">
        <v>46132</v>
      </c>
      <c r="E491" s="40" t="s">
        <v>19</v>
      </c>
      <c r="F491" s="40" t="s">
        <v>64</v>
      </c>
      <c r="G491" s="40"/>
      <c r="H491" s="40"/>
      <c r="I491" s="40" t="s">
        <v>49</v>
      </c>
      <c r="J491" s="40">
        <v>4276.8900000000003</v>
      </c>
      <c r="K491" s="40">
        <v>4276.8900000000003</v>
      </c>
      <c r="L491" s="40"/>
      <c r="M491" s="40">
        <v>4276.8900000000003</v>
      </c>
      <c r="N491" s="40" t="s">
        <v>11524</v>
      </c>
      <c r="O491" s="40" t="s">
        <v>234</v>
      </c>
    </row>
    <row r="492" spans="1:15" ht="29.25" customHeight="1" x14ac:dyDescent="0.2">
      <c r="A492" s="40" t="s">
        <v>11525</v>
      </c>
      <c r="B492" s="40" t="s">
        <v>11525</v>
      </c>
      <c r="C492" s="41">
        <v>46099</v>
      </c>
      <c r="D492" s="41">
        <v>46122</v>
      </c>
      <c r="E492" s="40" t="s">
        <v>19</v>
      </c>
      <c r="F492" s="40" t="s">
        <v>64</v>
      </c>
      <c r="G492" s="40"/>
      <c r="H492" s="40"/>
      <c r="I492" s="40" t="s">
        <v>49</v>
      </c>
      <c r="J492" s="40">
        <v>4276.8900000000003</v>
      </c>
      <c r="K492" s="40">
        <v>4276.8900000000003</v>
      </c>
      <c r="L492" s="40"/>
      <c r="M492" s="40">
        <v>4276.8900000000003</v>
      </c>
      <c r="N492" s="40" t="s">
        <v>11526</v>
      </c>
      <c r="O492" s="40" t="s">
        <v>234</v>
      </c>
    </row>
    <row r="493" spans="1:15" ht="29.25" customHeight="1" x14ac:dyDescent="0.2">
      <c r="A493" s="40" t="s">
        <v>11527</v>
      </c>
      <c r="B493" s="40" t="s">
        <v>11527</v>
      </c>
      <c r="C493" s="41">
        <v>46099</v>
      </c>
      <c r="D493" s="41">
        <v>46118</v>
      </c>
      <c r="E493" s="40" t="s">
        <v>19</v>
      </c>
      <c r="F493" s="40" t="s">
        <v>64</v>
      </c>
      <c r="G493" s="40"/>
      <c r="H493" s="40"/>
      <c r="I493" s="40" t="s">
        <v>49</v>
      </c>
      <c r="J493" s="40">
        <v>4276.8900000000003</v>
      </c>
      <c r="K493" s="40">
        <v>4276.8900000000003</v>
      </c>
      <c r="L493" s="40"/>
      <c r="M493" s="40">
        <v>4276.8900000000003</v>
      </c>
      <c r="N493" s="40" t="s">
        <v>11528</v>
      </c>
      <c r="O493" s="40" t="s">
        <v>234</v>
      </c>
    </row>
    <row r="494" spans="1:15" ht="29.25" customHeight="1" x14ac:dyDescent="0.2">
      <c r="A494" s="40" t="s">
        <v>11529</v>
      </c>
      <c r="B494" s="40" t="s">
        <v>11529</v>
      </c>
      <c r="C494" s="41">
        <v>46099</v>
      </c>
      <c r="D494" s="41">
        <v>46170</v>
      </c>
      <c r="E494" s="40" t="s">
        <v>19</v>
      </c>
      <c r="F494" s="40" t="s">
        <v>64</v>
      </c>
      <c r="G494" s="40"/>
      <c r="H494" s="40"/>
      <c r="I494" s="40" t="s">
        <v>49</v>
      </c>
      <c r="J494" s="40">
        <v>3291.86</v>
      </c>
      <c r="K494" s="40">
        <v>3291.86</v>
      </c>
      <c r="L494" s="40"/>
      <c r="M494" s="40">
        <v>3291.86</v>
      </c>
      <c r="N494" s="40" t="s">
        <v>11530</v>
      </c>
      <c r="O494" s="40" t="s">
        <v>234</v>
      </c>
    </row>
    <row r="495" spans="1:15" ht="29.25" customHeight="1" x14ac:dyDescent="0.2">
      <c r="A495" s="40" t="s">
        <v>11531</v>
      </c>
      <c r="B495" s="40" t="s">
        <v>11531</v>
      </c>
      <c r="C495" s="41">
        <v>46099</v>
      </c>
      <c r="D495" s="41">
        <v>46153</v>
      </c>
      <c r="E495" s="40" t="s">
        <v>19</v>
      </c>
      <c r="F495" s="40" t="s">
        <v>64</v>
      </c>
      <c r="G495" s="40"/>
      <c r="H495" s="40"/>
      <c r="I495" s="40" t="s">
        <v>49</v>
      </c>
      <c r="J495" s="40">
        <v>3291.89</v>
      </c>
      <c r="K495" s="40">
        <v>3291.89</v>
      </c>
      <c r="L495" s="40"/>
      <c r="M495" s="40">
        <v>3291.89</v>
      </c>
      <c r="N495" s="40" t="s">
        <v>11532</v>
      </c>
      <c r="O495" s="40" t="s">
        <v>234</v>
      </c>
    </row>
    <row r="496" spans="1:15" ht="29.25" customHeight="1" x14ac:dyDescent="0.2">
      <c r="A496" s="40" t="s">
        <v>11533</v>
      </c>
      <c r="B496" s="40" t="s">
        <v>11533</v>
      </c>
      <c r="C496" s="41">
        <v>46099</v>
      </c>
      <c r="D496" s="41">
        <v>46146</v>
      </c>
      <c r="E496" s="40" t="s">
        <v>19</v>
      </c>
      <c r="F496" s="40" t="s">
        <v>64</v>
      </c>
      <c r="G496" s="40"/>
      <c r="H496" s="40"/>
      <c r="I496" s="40" t="s">
        <v>49</v>
      </c>
      <c r="J496" s="40">
        <v>3291.89</v>
      </c>
      <c r="K496" s="40">
        <v>3291.89</v>
      </c>
      <c r="L496" s="40"/>
      <c r="M496" s="40">
        <v>3291.89</v>
      </c>
      <c r="N496" s="40" t="s">
        <v>11534</v>
      </c>
      <c r="O496" s="40" t="s">
        <v>234</v>
      </c>
    </row>
    <row r="497" spans="1:15" ht="29.25" customHeight="1" x14ac:dyDescent="0.2">
      <c r="A497" s="40" t="s">
        <v>11535</v>
      </c>
      <c r="B497" s="40" t="s">
        <v>11535</v>
      </c>
      <c r="C497" s="41">
        <v>46099</v>
      </c>
      <c r="D497" s="41">
        <v>46139</v>
      </c>
      <c r="E497" s="40" t="s">
        <v>19</v>
      </c>
      <c r="F497" s="40" t="s">
        <v>64</v>
      </c>
      <c r="G497" s="40"/>
      <c r="H497" s="40"/>
      <c r="I497" s="40" t="s">
        <v>49</v>
      </c>
      <c r="J497" s="40">
        <v>3291.89</v>
      </c>
      <c r="K497" s="40">
        <v>3291.89</v>
      </c>
      <c r="L497" s="40"/>
      <c r="M497" s="40">
        <v>3291.89</v>
      </c>
      <c r="N497" s="40" t="s">
        <v>11536</v>
      </c>
      <c r="O497" s="40" t="s">
        <v>234</v>
      </c>
    </row>
    <row r="498" spans="1:15" ht="29.25" customHeight="1" x14ac:dyDescent="0.2">
      <c r="A498" s="40" t="s">
        <v>11537</v>
      </c>
      <c r="B498" s="40" t="s">
        <v>11537</v>
      </c>
      <c r="C498" s="41">
        <v>46099</v>
      </c>
      <c r="D498" s="41">
        <v>46132</v>
      </c>
      <c r="E498" s="40" t="s">
        <v>19</v>
      </c>
      <c r="F498" s="40" t="s">
        <v>64</v>
      </c>
      <c r="G498" s="40"/>
      <c r="H498" s="40"/>
      <c r="I498" s="40" t="s">
        <v>49</v>
      </c>
      <c r="J498" s="40">
        <v>3291.89</v>
      </c>
      <c r="K498" s="40">
        <v>3291.89</v>
      </c>
      <c r="L498" s="40"/>
      <c r="M498" s="40">
        <v>3291.89</v>
      </c>
      <c r="N498" s="40" t="s">
        <v>11538</v>
      </c>
      <c r="O498" s="40" t="s">
        <v>234</v>
      </c>
    </row>
    <row r="499" spans="1:15" ht="29.25" customHeight="1" x14ac:dyDescent="0.2">
      <c r="A499" s="40" t="s">
        <v>11539</v>
      </c>
      <c r="B499" s="40" t="s">
        <v>11539</v>
      </c>
      <c r="C499" s="41">
        <v>46099</v>
      </c>
      <c r="D499" s="41">
        <v>46125</v>
      </c>
      <c r="E499" s="40" t="s">
        <v>19</v>
      </c>
      <c r="F499" s="40" t="s">
        <v>64</v>
      </c>
      <c r="G499" s="40"/>
      <c r="H499" s="40"/>
      <c r="I499" s="40" t="s">
        <v>49</v>
      </c>
      <c r="J499" s="40">
        <v>3291.89</v>
      </c>
      <c r="K499" s="40">
        <v>3291.89</v>
      </c>
      <c r="L499" s="40"/>
      <c r="M499" s="40">
        <v>3291.89</v>
      </c>
      <c r="N499" s="40" t="s">
        <v>11540</v>
      </c>
      <c r="O499" s="40" t="s">
        <v>234</v>
      </c>
    </row>
    <row r="500" spans="1:15" ht="29.25" customHeight="1" x14ac:dyDescent="0.2">
      <c r="A500" s="40" t="s">
        <v>11541</v>
      </c>
      <c r="B500" s="40" t="s">
        <v>11541</v>
      </c>
      <c r="C500" s="41">
        <v>46099</v>
      </c>
      <c r="D500" s="41">
        <v>46174</v>
      </c>
      <c r="E500" s="40" t="s">
        <v>19</v>
      </c>
      <c r="F500" s="40" t="s">
        <v>64</v>
      </c>
      <c r="G500" s="40"/>
      <c r="H500" s="40"/>
      <c r="I500" s="40" t="s">
        <v>49</v>
      </c>
      <c r="J500" s="40">
        <v>10412.049999999999</v>
      </c>
      <c r="K500" s="40">
        <v>10412.049999999999</v>
      </c>
      <c r="L500" s="40"/>
      <c r="M500" s="40">
        <v>10412.049999999999</v>
      </c>
      <c r="N500" s="40"/>
      <c r="O500" s="40" t="s">
        <v>234</v>
      </c>
    </row>
    <row r="501" spans="1:15" ht="29.25" customHeight="1" x14ac:dyDescent="0.2">
      <c r="A501" s="40" t="s">
        <v>11542</v>
      </c>
      <c r="B501" s="40" t="s">
        <v>11542</v>
      </c>
      <c r="C501" s="41">
        <v>46099</v>
      </c>
      <c r="D501" s="41">
        <v>46167</v>
      </c>
      <c r="E501" s="40" t="s">
        <v>19</v>
      </c>
      <c r="F501" s="40" t="s">
        <v>64</v>
      </c>
      <c r="G501" s="40"/>
      <c r="H501" s="40"/>
      <c r="I501" s="40" t="s">
        <v>49</v>
      </c>
      <c r="J501" s="40">
        <v>10412.08</v>
      </c>
      <c r="K501" s="40">
        <v>10412.08</v>
      </c>
      <c r="L501" s="40"/>
      <c r="M501" s="40">
        <v>10412.08</v>
      </c>
      <c r="N501" s="40" t="s">
        <v>11543</v>
      </c>
      <c r="O501" s="40" t="s">
        <v>234</v>
      </c>
    </row>
    <row r="502" spans="1:15" ht="29.25" customHeight="1" x14ac:dyDescent="0.2">
      <c r="A502" s="40" t="s">
        <v>11544</v>
      </c>
      <c r="B502" s="40" t="s">
        <v>11544</v>
      </c>
      <c r="C502" s="41">
        <v>46099</v>
      </c>
      <c r="D502" s="41">
        <v>46157</v>
      </c>
      <c r="E502" s="40" t="s">
        <v>19</v>
      </c>
      <c r="F502" s="40" t="s">
        <v>64</v>
      </c>
      <c r="G502" s="40"/>
      <c r="H502" s="40"/>
      <c r="I502" s="40" t="s">
        <v>49</v>
      </c>
      <c r="J502" s="40">
        <v>10412.08</v>
      </c>
      <c r="K502" s="40">
        <v>10412.08</v>
      </c>
      <c r="L502" s="40"/>
      <c r="M502" s="40">
        <v>10412.08</v>
      </c>
      <c r="N502" s="40" t="s">
        <v>11545</v>
      </c>
      <c r="O502" s="40" t="s">
        <v>234</v>
      </c>
    </row>
    <row r="503" spans="1:15" ht="29.25" customHeight="1" x14ac:dyDescent="0.2">
      <c r="A503" s="40" t="s">
        <v>11546</v>
      </c>
      <c r="B503" s="40" t="s">
        <v>11546</v>
      </c>
      <c r="C503" s="41">
        <v>46099</v>
      </c>
      <c r="D503" s="41">
        <v>46149</v>
      </c>
      <c r="E503" s="40" t="s">
        <v>19</v>
      </c>
      <c r="F503" s="40" t="s">
        <v>64</v>
      </c>
      <c r="G503" s="40"/>
      <c r="H503" s="40"/>
      <c r="I503" s="40" t="s">
        <v>49</v>
      </c>
      <c r="J503" s="40">
        <v>10412.08</v>
      </c>
      <c r="K503" s="40">
        <v>10412.08</v>
      </c>
      <c r="L503" s="40"/>
      <c r="M503" s="40">
        <v>10412.08</v>
      </c>
      <c r="N503" s="40" t="s">
        <v>11547</v>
      </c>
      <c r="O503" s="40" t="s">
        <v>234</v>
      </c>
    </row>
    <row r="504" spans="1:15" ht="29.25" customHeight="1" x14ac:dyDescent="0.2">
      <c r="A504" s="40" t="s">
        <v>11548</v>
      </c>
      <c r="B504" s="40" t="s">
        <v>11548</v>
      </c>
      <c r="C504" s="41">
        <v>46099</v>
      </c>
      <c r="D504" s="41">
        <v>46141</v>
      </c>
      <c r="E504" s="40" t="s">
        <v>19</v>
      </c>
      <c r="F504" s="40" t="s">
        <v>64</v>
      </c>
      <c r="G504" s="40"/>
      <c r="H504" s="40"/>
      <c r="I504" s="40" t="s">
        <v>49</v>
      </c>
      <c r="J504" s="40">
        <v>10412.08</v>
      </c>
      <c r="K504" s="40">
        <v>10412.08</v>
      </c>
      <c r="L504" s="40"/>
      <c r="M504" s="40">
        <v>10412.08</v>
      </c>
      <c r="N504" s="40" t="s">
        <v>11549</v>
      </c>
      <c r="O504" s="40" t="s">
        <v>234</v>
      </c>
    </row>
    <row r="505" spans="1:15" ht="29.25" customHeight="1" x14ac:dyDescent="0.2">
      <c r="A505" s="40" t="s">
        <v>11550</v>
      </c>
      <c r="B505" s="40" t="s">
        <v>11550</v>
      </c>
      <c r="C505" s="41">
        <v>46099</v>
      </c>
      <c r="D505" s="41">
        <v>46133</v>
      </c>
      <c r="E505" s="40" t="s">
        <v>19</v>
      </c>
      <c r="F505" s="40" t="s">
        <v>64</v>
      </c>
      <c r="G505" s="40"/>
      <c r="H505" s="40"/>
      <c r="I505" s="40" t="s">
        <v>49</v>
      </c>
      <c r="J505" s="40">
        <v>10412.08</v>
      </c>
      <c r="K505" s="40">
        <v>10412.08</v>
      </c>
      <c r="L505" s="40"/>
      <c r="M505" s="40">
        <v>10412.08</v>
      </c>
      <c r="N505" s="40" t="s">
        <v>11551</v>
      </c>
      <c r="O505" s="40" t="s">
        <v>234</v>
      </c>
    </row>
    <row r="506" spans="1:15" ht="29.25" customHeight="1" x14ac:dyDescent="0.2">
      <c r="A506" s="40" t="s">
        <v>11552</v>
      </c>
      <c r="B506" s="40" t="s">
        <v>11552</v>
      </c>
      <c r="C506" s="41">
        <v>46099</v>
      </c>
      <c r="D506" s="41">
        <v>46125</v>
      </c>
      <c r="E506" s="40" t="s">
        <v>19</v>
      </c>
      <c r="F506" s="40" t="s">
        <v>64</v>
      </c>
      <c r="G506" s="40"/>
      <c r="H506" s="40"/>
      <c r="I506" s="40" t="s">
        <v>49</v>
      </c>
      <c r="J506" s="40">
        <v>10412.08</v>
      </c>
      <c r="K506" s="40">
        <v>10412.08</v>
      </c>
      <c r="L506" s="40"/>
      <c r="M506" s="40">
        <v>10412.08</v>
      </c>
      <c r="N506" s="40" t="s">
        <v>11553</v>
      </c>
      <c r="O506" s="40" t="s">
        <v>234</v>
      </c>
    </row>
    <row r="507" spans="1:15" ht="29.25" customHeight="1" x14ac:dyDescent="0.2">
      <c r="A507" s="40" t="s">
        <v>11554</v>
      </c>
      <c r="B507" s="40" t="s">
        <v>11554</v>
      </c>
      <c r="C507" s="41">
        <v>46099</v>
      </c>
      <c r="D507" s="41">
        <v>46161</v>
      </c>
      <c r="E507" s="40" t="s">
        <v>19</v>
      </c>
      <c r="F507" s="40" t="s">
        <v>834</v>
      </c>
      <c r="G507" s="40"/>
      <c r="H507" s="40"/>
      <c r="I507" s="40" t="s">
        <v>49</v>
      </c>
      <c r="J507" s="40">
        <v>1826.7</v>
      </c>
      <c r="K507" s="40">
        <v>1826.7</v>
      </c>
      <c r="L507" s="40"/>
      <c r="M507" s="40">
        <v>1826.7</v>
      </c>
      <c r="N507" s="40" t="s">
        <v>11555</v>
      </c>
      <c r="O507" s="40" t="s">
        <v>234</v>
      </c>
    </row>
    <row r="508" spans="1:15" ht="29.25" customHeight="1" x14ac:dyDescent="0.2">
      <c r="A508" s="40" t="s">
        <v>11556</v>
      </c>
      <c r="B508" s="40" t="s">
        <v>11556</v>
      </c>
      <c r="C508" s="41">
        <v>46099</v>
      </c>
      <c r="D508" s="41">
        <v>46153</v>
      </c>
      <c r="E508" s="40" t="s">
        <v>19</v>
      </c>
      <c r="F508" s="40" t="s">
        <v>834</v>
      </c>
      <c r="G508" s="40"/>
      <c r="H508" s="40"/>
      <c r="I508" s="40" t="s">
        <v>49</v>
      </c>
      <c r="J508" s="40">
        <v>1826.72</v>
      </c>
      <c r="K508" s="40">
        <v>1826.72</v>
      </c>
      <c r="L508" s="40"/>
      <c r="M508" s="40">
        <v>1826.72</v>
      </c>
      <c r="N508" s="40" t="s">
        <v>11557</v>
      </c>
      <c r="O508" s="40" t="s">
        <v>234</v>
      </c>
    </row>
    <row r="509" spans="1:15" ht="29.25" customHeight="1" x14ac:dyDescent="0.2">
      <c r="A509" s="40" t="s">
        <v>11558</v>
      </c>
      <c r="B509" s="40" t="s">
        <v>11558</v>
      </c>
      <c r="C509" s="41">
        <v>46099</v>
      </c>
      <c r="D509" s="41">
        <v>46141</v>
      </c>
      <c r="E509" s="40" t="s">
        <v>19</v>
      </c>
      <c r="F509" s="40" t="s">
        <v>834</v>
      </c>
      <c r="G509" s="40"/>
      <c r="H509" s="40"/>
      <c r="I509" s="40" t="s">
        <v>49</v>
      </c>
      <c r="J509" s="40">
        <v>1826.72</v>
      </c>
      <c r="K509" s="40">
        <v>1826.72</v>
      </c>
      <c r="L509" s="40"/>
      <c r="M509" s="40">
        <v>1826.72</v>
      </c>
      <c r="N509" s="40" t="s">
        <v>11559</v>
      </c>
      <c r="O509" s="40" t="s">
        <v>234</v>
      </c>
    </row>
    <row r="510" spans="1:15" ht="29.25" customHeight="1" x14ac:dyDescent="0.2">
      <c r="A510" s="40" t="s">
        <v>11560</v>
      </c>
      <c r="B510" s="40" t="s">
        <v>11560</v>
      </c>
      <c r="C510" s="41">
        <v>46099</v>
      </c>
      <c r="D510" s="41">
        <v>46132</v>
      </c>
      <c r="E510" s="40" t="s">
        <v>19</v>
      </c>
      <c r="F510" s="40" t="s">
        <v>834</v>
      </c>
      <c r="G510" s="40"/>
      <c r="H510" s="40"/>
      <c r="I510" s="40" t="s">
        <v>49</v>
      </c>
      <c r="J510" s="40">
        <v>1826.72</v>
      </c>
      <c r="K510" s="40">
        <v>1826.72</v>
      </c>
      <c r="L510" s="40"/>
      <c r="M510" s="40">
        <v>1826.72</v>
      </c>
      <c r="N510" s="40" t="s">
        <v>11561</v>
      </c>
      <c r="O510" s="40" t="s">
        <v>234</v>
      </c>
    </row>
    <row r="511" spans="1:15" ht="29.25" customHeight="1" x14ac:dyDescent="0.2">
      <c r="A511" s="40" t="s">
        <v>11562</v>
      </c>
      <c r="B511" s="40" t="s">
        <v>11562</v>
      </c>
      <c r="C511" s="41">
        <v>46099</v>
      </c>
      <c r="D511" s="41">
        <v>46182</v>
      </c>
      <c r="E511" s="40" t="s">
        <v>19</v>
      </c>
      <c r="F511" s="40" t="s">
        <v>834</v>
      </c>
      <c r="G511" s="40"/>
      <c r="H511" s="40"/>
      <c r="I511" s="40" t="s">
        <v>49</v>
      </c>
      <c r="J511" s="40">
        <v>4472.37</v>
      </c>
      <c r="K511" s="40">
        <v>4472.37</v>
      </c>
      <c r="L511" s="40"/>
      <c r="M511" s="40">
        <v>4472.37</v>
      </c>
      <c r="N511" s="40"/>
      <c r="O511" s="40" t="s">
        <v>234</v>
      </c>
    </row>
    <row r="512" spans="1:15" ht="29.25" customHeight="1" x14ac:dyDescent="0.2">
      <c r="A512" s="40" t="s">
        <v>11563</v>
      </c>
      <c r="B512" s="40" t="s">
        <v>11563</v>
      </c>
      <c r="C512" s="41">
        <v>46099</v>
      </c>
      <c r="D512" s="41">
        <v>46167</v>
      </c>
      <c r="E512" s="40" t="s">
        <v>19</v>
      </c>
      <c r="F512" s="40" t="s">
        <v>834</v>
      </c>
      <c r="G512" s="40"/>
      <c r="H512" s="40"/>
      <c r="I512" s="40" t="s">
        <v>49</v>
      </c>
      <c r="J512" s="40">
        <v>4472.37</v>
      </c>
      <c r="K512" s="40">
        <v>4472.37</v>
      </c>
      <c r="L512" s="40"/>
      <c r="M512" s="40">
        <v>4472.37</v>
      </c>
      <c r="N512" s="40" t="s">
        <v>11564</v>
      </c>
      <c r="O512" s="40" t="s">
        <v>234</v>
      </c>
    </row>
    <row r="513" spans="1:15" ht="29.25" customHeight="1" x14ac:dyDescent="0.2">
      <c r="A513" s="40" t="s">
        <v>11565</v>
      </c>
      <c r="B513" s="40" t="s">
        <v>11565</v>
      </c>
      <c r="C513" s="41">
        <v>46099</v>
      </c>
      <c r="D513" s="41">
        <v>46160</v>
      </c>
      <c r="E513" s="40" t="s">
        <v>19</v>
      </c>
      <c r="F513" s="40" t="s">
        <v>834</v>
      </c>
      <c r="G513" s="40"/>
      <c r="H513" s="40"/>
      <c r="I513" s="40" t="s">
        <v>49</v>
      </c>
      <c r="J513" s="40">
        <v>4472.37</v>
      </c>
      <c r="K513" s="40">
        <v>4472.37</v>
      </c>
      <c r="L513" s="40"/>
      <c r="M513" s="40">
        <v>4472.37</v>
      </c>
      <c r="N513" s="40" t="s">
        <v>11566</v>
      </c>
      <c r="O513" s="40" t="s">
        <v>234</v>
      </c>
    </row>
    <row r="514" spans="1:15" ht="29.25" customHeight="1" x14ac:dyDescent="0.2">
      <c r="A514" s="40" t="s">
        <v>11567</v>
      </c>
      <c r="B514" s="40" t="s">
        <v>11567</v>
      </c>
      <c r="C514" s="41">
        <v>46099</v>
      </c>
      <c r="D514" s="41">
        <v>46153</v>
      </c>
      <c r="E514" s="40" t="s">
        <v>19</v>
      </c>
      <c r="F514" s="40" t="s">
        <v>834</v>
      </c>
      <c r="G514" s="40"/>
      <c r="H514" s="40"/>
      <c r="I514" s="40" t="s">
        <v>49</v>
      </c>
      <c r="J514" s="40">
        <v>4472.37</v>
      </c>
      <c r="K514" s="40">
        <v>4472.37</v>
      </c>
      <c r="L514" s="40"/>
      <c r="M514" s="40">
        <v>4472.37</v>
      </c>
      <c r="N514" s="40" t="s">
        <v>11568</v>
      </c>
      <c r="O514" s="40" t="s">
        <v>234</v>
      </c>
    </row>
    <row r="515" spans="1:15" ht="29.25" customHeight="1" x14ac:dyDescent="0.2">
      <c r="A515" s="40" t="s">
        <v>11569</v>
      </c>
      <c r="B515" s="40" t="s">
        <v>11569</v>
      </c>
      <c r="C515" s="41">
        <v>46099</v>
      </c>
      <c r="D515" s="41">
        <v>46146</v>
      </c>
      <c r="E515" s="40" t="s">
        <v>19</v>
      </c>
      <c r="F515" s="40" t="s">
        <v>834</v>
      </c>
      <c r="G515" s="40"/>
      <c r="H515" s="40"/>
      <c r="I515" s="40" t="s">
        <v>49</v>
      </c>
      <c r="J515" s="40">
        <v>4472.37</v>
      </c>
      <c r="K515" s="40">
        <v>4472.37</v>
      </c>
      <c r="L515" s="40"/>
      <c r="M515" s="40">
        <v>4472.37</v>
      </c>
      <c r="N515" s="40" t="s">
        <v>11570</v>
      </c>
      <c r="O515" s="40" t="s">
        <v>234</v>
      </c>
    </row>
    <row r="516" spans="1:15" ht="29.25" customHeight="1" x14ac:dyDescent="0.2">
      <c r="A516" s="40" t="s">
        <v>11571</v>
      </c>
      <c r="B516" s="40" t="s">
        <v>11571</v>
      </c>
      <c r="C516" s="41">
        <v>46099</v>
      </c>
      <c r="D516" s="41">
        <v>46139</v>
      </c>
      <c r="E516" s="40" t="s">
        <v>19</v>
      </c>
      <c r="F516" s="40" t="s">
        <v>834</v>
      </c>
      <c r="G516" s="40"/>
      <c r="H516" s="40"/>
      <c r="I516" s="40" t="s">
        <v>49</v>
      </c>
      <c r="J516" s="40">
        <v>4472.37</v>
      </c>
      <c r="K516" s="40">
        <v>4472.37</v>
      </c>
      <c r="L516" s="40"/>
      <c r="M516" s="40">
        <v>4472.37</v>
      </c>
      <c r="N516" s="40" t="s">
        <v>11572</v>
      </c>
      <c r="O516" s="40" t="s">
        <v>234</v>
      </c>
    </row>
    <row r="517" spans="1:15" ht="29.25" customHeight="1" x14ac:dyDescent="0.2">
      <c r="A517" s="40" t="s">
        <v>11573</v>
      </c>
      <c r="B517" s="40" t="s">
        <v>11573</v>
      </c>
      <c r="C517" s="41">
        <v>46099</v>
      </c>
      <c r="D517" s="41">
        <v>46184</v>
      </c>
      <c r="E517" s="40" t="s">
        <v>19</v>
      </c>
      <c r="F517" s="40" t="s">
        <v>834</v>
      </c>
      <c r="G517" s="40"/>
      <c r="H517" s="40"/>
      <c r="I517" s="40" t="s">
        <v>49</v>
      </c>
      <c r="J517" s="40">
        <v>2240.5500000000002</v>
      </c>
      <c r="K517" s="40">
        <v>2240.5500000000002</v>
      </c>
      <c r="L517" s="40"/>
      <c r="M517" s="40">
        <v>2240.5500000000002</v>
      </c>
      <c r="N517" s="40"/>
      <c r="O517" s="40" t="s">
        <v>234</v>
      </c>
    </row>
    <row r="518" spans="1:15" ht="29.25" customHeight="1" x14ac:dyDescent="0.2">
      <c r="A518" s="40" t="s">
        <v>11574</v>
      </c>
      <c r="B518" s="40" t="s">
        <v>11574</v>
      </c>
      <c r="C518" s="41">
        <v>46099</v>
      </c>
      <c r="D518" s="41">
        <v>46167</v>
      </c>
      <c r="E518" s="40" t="s">
        <v>19</v>
      </c>
      <c r="F518" s="40" t="s">
        <v>834</v>
      </c>
      <c r="G518" s="40"/>
      <c r="H518" s="40"/>
      <c r="I518" s="40" t="s">
        <v>49</v>
      </c>
      <c r="J518" s="40">
        <v>2240.58</v>
      </c>
      <c r="K518" s="40">
        <v>2240.58</v>
      </c>
      <c r="L518" s="40"/>
      <c r="M518" s="40">
        <v>2240.58</v>
      </c>
      <c r="N518" s="40" t="s">
        <v>11575</v>
      </c>
      <c r="O518" s="40" t="s">
        <v>234</v>
      </c>
    </row>
    <row r="519" spans="1:15" ht="29.25" customHeight="1" x14ac:dyDescent="0.2">
      <c r="A519" s="40" t="s">
        <v>11576</v>
      </c>
      <c r="B519" s="40" t="s">
        <v>11576</v>
      </c>
      <c r="C519" s="41">
        <v>46099</v>
      </c>
      <c r="D519" s="41">
        <v>46160</v>
      </c>
      <c r="E519" s="40" t="s">
        <v>19</v>
      </c>
      <c r="F519" s="40" t="s">
        <v>834</v>
      </c>
      <c r="G519" s="40"/>
      <c r="H519" s="40"/>
      <c r="I519" s="40" t="s">
        <v>49</v>
      </c>
      <c r="J519" s="40">
        <v>2240.58</v>
      </c>
      <c r="K519" s="40">
        <v>2240.58</v>
      </c>
      <c r="L519" s="40"/>
      <c r="M519" s="40">
        <v>2240.58</v>
      </c>
      <c r="N519" s="40" t="s">
        <v>11577</v>
      </c>
      <c r="O519" s="40" t="s">
        <v>234</v>
      </c>
    </row>
    <row r="520" spans="1:15" ht="29.25" customHeight="1" x14ac:dyDescent="0.2">
      <c r="A520" s="40" t="s">
        <v>11578</v>
      </c>
      <c r="B520" s="40" t="s">
        <v>11578</v>
      </c>
      <c r="C520" s="41">
        <v>46099</v>
      </c>
      <c r="D520" s="41">
        <v>46153</v>
      </c>
      <c r="E520" s="40" t="s">
        <v>19</v>
      </c>
      <c r="F520" s="40" t="s">
        <v>834</v>
      </c>
      <c r="G520" s="40"/>
      <c r="H520" s="40"/>
      <c r="I520" s="40" t="s">
        <v>49</v>
      </c>
      <c r="J520" s="40">
        <v>2240.58</v>
      </c>
      <c r="K520" s="40">
        <v>2240.58</v>
      </c>
      <c r="L520" s="40"/>
      <c r="M520" s="40">
        <v>2240.58</v>
      </c>
      <c r="N520" s="40" t="s">
        <v>11579</v>
      </c>
      <c r="O520" s="40" t="s">
        <v>234</v>
      </c>
    </row>
    <row r="521" spans="1:15" ht="29.25" customHeight="1" x14ac:dyDescent="0.2">
      <c r="A521" s="40" t="s">
        <v>11580</v>
      </c>
      <c r="B521" s="40" t="s">
        <v>11580</v>
      </c>
      <c r="C521" s="41">
        <v>46099</v>
      </c>
      <c r="D521" s="41">
        <v>46146</v>
      </c>
      <c r="E521" s="40" t="s">
        <v>19</v>
      </c>
      <c r="F521" s="40" t="s">
        <v>834</v>
      </c>
      <c r="G521" s="40"/>
      <c r="H521" s="40"/>
      <c r="I521" s="40" t="s">
        <v>49</v>
      </c>
      <c r="J521" s="40">
        <v>2240.58</v>
      </c>
      <c r="K521" s="40">
        <v>2240.58</v>
      </c>
      <c r="L521" s="40"/>
      <c r="M521" s="40">
        <v>2240.58</v>
      </c>
      <c r="N521" s="40" t="s">
        <v>11581</v>
      </c>
      <c r="O521" s="40" t="s">
        <v>234</v>
      </c>
    </row>
    <row r="522" spans="1:15" ht="29.25" customHeight="1" x14ac:dyDescent="0.2">
      <c r="A522" s="40" t="s">
        <v>11582</v>
      </c>
      <c r="B522" s="40" t="s">
        <v>11582</v>
      </c>
      <c r="C522" s="41">
        <v>46099</v>
      </c>
      <c r="D522" s="41">
        <v>46139</v>
      </c>
      <c r="E522" s="40" t="s">
        <v>19</v>
      </c>
      <c r="F522" s="40" t="s">
        <v>834</v>
      </c>
      <c r="G522" s="40"/>
      <c r="H522" s="40"/>
      <c r="I522" s="40" t="s">
        <v>49</v>
      </c>
      <c r="J522" s="40">
        <v>2240.58</v>
      </c>
      <c r="K522" s="40">
        <v>2240.58</v>
      </c>
      <c r="L522" s="40"/>
      <c r="M522" s="40">
        <v>2240.58</v>
      </c>
      <c r="N522" s="40" t="s">
        <v>11583</v>
      </c>
      <c r="O522" s="40" t="s">
        <v>234</v>
      </c>
    </row>
    <row r="523" spans="1:15" ht="29.25" customHeight="1" x14ac:dyDescent="0.2">
      <c r="A523" s="40" t="s">
        <v>11584</v>
      </c>
      <c r="B523" s="40" t="s">
        <v>11584</v>
      </c>
      <c r="C523" s="41">
        <v>46099</v>
      </c>
      <c r="D523" s="41">
        <v>46154</v>
      </c>
      <c r="E523" s="40" t="s">
        <v>19</v>
      </c>
      <c r="F523" s="40" t="s">
        <v>834</v>
      </c>
      <c r="G523" s="40"/>
      <c r="H523" s="40"/>
      <c r="I523" s="40" t="s">
        <v>49</v>
      </c>
      <c r="J523" s="40">
        <v>2757.33</v>
      </c>
      <c r="K523" s="40">
        <v>2757.33</v>
      </c>
      <c r="L523" s="40"/>
      <c r="M523" s="40">
        <v>2757.33</v>
      </c>
      <c r="N523" s="40" t="s">
        <v>11585</v>
      </c>
      <c r="O523" s="40" t="s">
        <v>234</v>
      </c>
    </row>
    <row r="524" spans="1:15" ht="29.25" customHeight="1" x14ac:dyDescent="0.2">
      <c r="A524" s="40" t="s">
        <v>11586</v>
      </c>
      <c r="B524" s="40" t="s">
        <v>11586</v>
      </c>
      <c r="C524" s="41">
        <v>46099</v>
      </c>
      <c r="D524" s="41">
        <v>46139</v>
      </c>
      <c r="E524" s="40" t="s">
        <v>19</v>
      </c>
      <c r="F524" s="40" t="s">
        <v>834</v>
      </c>
      <c r="G524" s="40"/>
      <c r="H524" s="40"/>
      <c r="I524" s="40" t="s">
        <v>49</v>
      </c>
      <c r="J524" s="40">
        <v>2757.34</v>
      </c>
      <c r="K524" s="40">
        <v>2757.34</v>
      </c>
      <c r="L524" s="40"/>
      <c r="M524" s="40">
        <v>2757.34</v>
      </c>
      <c r="N524" s="40" t="s">
        <v>11587</v>
      </c>
      <c r="O524" s="40" t="s">
        <v>234</v>
      </c>
    </row>
    <row r="525" spans="1:15" ht="29.25" customHeight="1" x14ac:dyDescent="0.2">
      <c r="A525" s="40" t="s">
        <v>11588</v>
      </c>
      <c r="B525" s="40" t="s">
        <v>11588</v>
      </c>
      <c r="C525" s="41">
        <v>46099</v>
      </c>
      <c r="D525" s="41">
        <v>46177</v>
      </c>
      <c r="E525" s="40" t="s">
        <v>19</v>
      </c>
      <c r="F525" s="40" t="s">
        <v>1929</v>
      </c>
      <c r="G525" s="40"/>
      <c r="H525" s="40"/>
      <c r="I525" s="40" t="s">
        <v>49</v>
      </c>
      <c r="J525" s="40">
        <v>3080.79</v>
      </c>
      <c r="K525" s="40">
        <v>3080.79</v>
      </c>
      <c r="L525" s="40"/>
      <c r="M525" s="40">
        <v>3080.79</v>
      </c>
      <c r="N525" s="40"/>
      <c r="O525" s="40" t="s">
        <v>234</v>
      </c>
    </row>
    <row r="526" spans="1:15" ht="29.25" customHeight="1" x14ac:dyDescent="0.2">
      <c r="A526" s="40" t="s">
        <v>11589</v>
      </c>
      <c r="B526" s="40" t="s">
        <v>11589</v>
      </c>
      <c r="C526" s="41">
        <v>46099</v>
      </c>
      <c r="D526" s="41">
        <v>46160</v>
      </c>
      <c r="E526" s="40" t="s">
        <v>19</v>
      </c>
      <c r="F526" s="40" t="s">
        <v>1929</v>
      </c>
      <c r="G526" s="40"/>
      <c r="H526" s="40"/>
      <c r="I526" s="40" t="s">
        <v>49</v>
      </c>
      <c r="J526" s="40">
        <v>3080.82</v>
      </c>
      <c r="K526" s="40">
        <v>3080.82</v>
      </c>
      <c r="L526" s="40"/>
      <c r="M526" s="40">
        <v>3080.82</v>
      </c>
      <c r="N526" s="40" t="s">
        <v>11590</v>
      </c>
      <c r="O526" s="40" t="s">
        <v>234</v>
      </c>
    </row>
    <row r="527" spans="1:15" ht="29.25" customHeight="1" x14ac:dyDescent="0.2">
      <c r="A527" s="40" t="s">
        <v>11591</v>
      </c>
      <c r="B527" s="40" t="s">
        <v>11591</v>
      </c>
      <c r="C527" s="41">
        <v>46099</v>
      </c>
      <c r="D527" s="41">
        <v>46153</v>
      </c>
      <c r="E527" s="40" t="s">
        <v>19</v>
      </c>
      <c r="F527" s="40" t="s">
        <v>1929</v>
      </c>
      <c r="G527" s="40"/>
      <c r="H527" s="40"/>
      <c r="I527" s="40" t="s">
        <v>49</v>
      </c>
      <c r="J527" s="40">
        <v>3080.82</v>
      </c>
      <c r="K527" s="40">
        <v>3080.82</v>
      </c>
      <c r="L527" s="40"/>
      <c r="M527" s="40">
        <v>3080.82</v>
      </c>
      <c r="N527" s="40" t="s">
        <v>11592</v>
      </c>
      <c r="O527" s="40" t="s">
        <v>234</v>
      </c>
    </row>
    <row r="528" spans="1:15" ht="29.25" customHeight="1" x14ac:dyDescent="0.2">
      <c r="A528" s="40" t="s">
        <v>11593</v>
      </c>
      <c r="B528" s="40" t="s">
        <v>11593</v>
      </c>
      <c r="C528" s="41">
        <v>46099</v>
      </c>
      <c r="D528" s="41">
        <v>46146</v>
      </c>
      <c r="E528" s="40" t="s">
        <v>19</v>
      </c>
      <c r="F528" s="40" t="s">
        <v>1929</v>
      </c>
      <c r="G528" s="40"/>
      <c r="H528" s="40"/>
      <c r="I528" s="40" t="s">
        <v>49</v>
      </c>
      <c r="J528" s="40">
        <v>3080.82</v>
      </c>
      <c r="K528" s="40">
        <v>3080.82</v>
      </c>
      <c r="L528" s="40"/>
      <c r="M528" s="40">
        <v>3080.82</v>
      </c>
      <c r="N528" s="40" t="s">
        <v>11594</v>
      </c>
      <c r="O528" s="40" t="s">
        <v>234</v>
      </c>
    </row>
    <row r="529" spans="1:15" ht="29.25" customHeight="1" x14ac:dyDescent="0.2">
      <c r="A529" s="40" t="s">
        <v>11595</v>
      </c>
      <c r="B529" s="40" t="s">
        <v>11595</v>
      </c>
      <c r="C529" s="41">
        <v>46099</v>
      </c>
      <c r="D529" s="41">
        <v>46139</v>
      </c>
      <c r="E529" s="40" t="s">
        <v>19</v>
      </c>
      <c r="F529" s="40" t="s">
        <v>1929</v>
      </c>
      <c r="G529" s="40"/>
      <c r="H529" s="40"/>
      <c r="I529" s="40" t="s">
        <v>49</v>
      </c>
      <c r="J529" s="40">
        <v>3080.82</v>
      </c>
      <c r="K529" s="40">
        <v>3080.82</v>
      </c>
      <c r="L529" s="40"/>
      <c r="M529" s="40">
        <v>3080.82</v>
      </c>
      <c r="N529" s="40" t="s">
        <v>11596</v>
      </c>
      <c r="O529" s="40" t="s">
        <v>234</v>
      </c>
    </row>
    <row r="530" spans="1:15" ht="29.25" customHeight="1" x14ac:dyDescent="0.2">
      <c r="A530" s="40" t="s">
        <v>11597</v>
      </c>
      <c r="B530" s="40" t="s">
        <v>11597</v>
      </c>
      <c r="C530" s="41">
        <v>46099</v>
      </c>
      <c r="D530" s="41">
        <v>46132</v>
      </c>
      <c r="E530" s="40" t="s">
        <v>19</v>
      </c>
      <c r="F530" s="40" t="s">
        <v>1929</v>
      </c>
      <c r="G530" s="40"/>
      <c r="H530" s="40"/>
      <c r="I530" s="40" t="s">
        <v>49</v>
      </c>
      <c r="J530" s="40">
        <v>3080.82</v>
      </c>
      <c r="K530" s="40">
        <v>3080.82</v>
      </c>
      <c r="L530" s="40"/>
      <c r="M530" s="40">
        <v>3080.82</v>
      </c>
      <c r="N530" s="40" t="s">
        <v>11598</v>
      </c>
      <c r="O530" s="40" t="s">
        <v>234</v>
      </c>
    </row>
    <row r="531" spans="1:15" ht="29.25" customHeight="1" x14ac:dyDescent="0.2">
      <c r="A531" s="40" t="s">
        <v>11599</v>
      </c>
      <c r="B531" s="40" t="s">
        <v>11599</v>
      </c>
      <c r="C531" s="41">
        <v>46099</v>
      </c>
      <c r="D531" s="41">
        <v>46160</v>
      </c>
      <c r="E531" s="40" t="s">
        <v>19</v>
      </c>
      <c r="F531" s="40" t="s">
        <v>1929</v>
      </c>
      <c r="G531" s="40"/>
      <c r="H531" s="40"/>
      <c r="I531" s="40" t="s">
        <v>49</v>
      </c>
      <c r="J531" s="40">
        <v>2108.3200000000002</v>
      </c>
      <c r="K531" s="40">
        <v>2108.3200000000002</v>
      </c>
      <c r="L531" s="40"/>
      <c r="M531" s="40">
        <v>2108.3200000000002</v>
      </c>
      <c r="N531" s="40" t="s">
        <v>11600</v>
      </c>
      <c r="O531" s="40" t="s">
        <v>234</v>
      </c>
    </row>
    <row r="532" spans="1:15" ht="29.25" customHeight="1" x14ac:dyDescent="0.2">
      <c r="A532" s="40" t="s">
        <v>11601</v>
      </c>
      <c r="B532" s="40" t="s">
        <v>11601</v>
      </c>
      <c r="C532" s="41">
        <v>46099</v>
      </c>
      <c r="D532" s="41">
        <v>46143</v>
      </c>
      <c r="E532" s="40" t="s">
        <v>19</v>
      </c>
      <c r="F532" s="40" t="s">
        <v>1929</v>
      </c>
      <c r="G532" s="40"/>
      <c r="H532" s="40"/>
      <c r="I532" s="40" t="s">
        <v>49</v>
      </c>
      <c r="J532" s="40">
        <v>2108.3200000000002</v>
      </c>
      <c r="K532" s="40">
        <v>2108.3200000000002</v>
      </c>
      <c r="L532" s="40"/>
      <c r="M532" s="40">
        <v>2108.3200000000002</v>
      </c>
      <c r="N532" s="40" t="s">
        <v>11602</v>
      </c>
      <c r="O532" s="40" t="s">
        <v>234</v>
      </c>
    </row>
    <row r="533" spans="1:15" ht="29.25" customHeight="1" x14ac:dyDescent="0.2">
      <c r="A533" s="40" t="s">
        <v>11603</v>
      </c>
      <c r="B533" s="40" t="s">
        <v>11603</v>
      </c>
      <c r="C533" s="41">
        <v>46099</v>
      </c>
      <c r="D533" s="41">
        <v>46136</v>
      </c>
      <c r="E533" s="40" t="s">
        <v>19</v>
      </c>
      <c r="F533" s="40" t="s">
        <v>1929</v>
      </c>
      <c r="G533" s="40"/>
      <c r="H533" s="40"/>
      <c r="I533" s="40" t="s">
        <v>49</v>
      </c>
      <c r="J533" s="40">
        <v>2108.3200000000002</v>
      </c>
      <c r="K533" s="40">
        <v>2108.3200000000002</v>
      </c>
      <c r="L533" s="40"/>
      <c r="M533" s="40">
        <v>2108.3200000000002</v>
      </c>
      <c r="N533" s="40" t="s">
        <v>11604</v>
      </c>
      <c r="O533" s="40" t="s">
        <v>234</v>
      </c>
    </row>
    <row r="534" spans="1:15" ht="29.25" customHeight="1" x14ac:dyDescent="0.2">
      <c r="A534" s="40" t="s">
        <v>11605</v>
      </c>
      <c r="B534" s="40" t="s">
        <v>11605</v>
      </c>
      <c r="C534" s="41">
        <v>46099</v>
      </c>
      <c r="D534" s="41">
        <v>46129</v>
      </c>
      <c r="E534" s="40" t="s">
        <v>19</v>
      </c>
      <c r="F534" s="40" t="s">
        <v>1929</v>
      </c>
      <c r="G534" s="40"/>
      <c r="H534" s="40"/>
      <c r="I534" s="40" t="s">
        <v>49</v>
      </c>
      <c r="J534" s="40">
        <v>2108.3200000000002</v>
      </c>
      <c r="K534" s="40">
        <v>2108.3200000000002</v>
      </c>
      <c r="L534" s="40"/>
      <c r="M534" s="40">
        <v>2108.3200000000002</v>
      </c>
      <c r="N534" s="40" t="s">
        <v>11606</v>
      </c>
      <c r="O534" s="40" t="s">
        <v>234</v>
      </c>
    </row>
    <row r="535" spans="1:15" ht="29.25" customHeight="1" x14ac:dyDescent="0.2">
      <c r="A535" s="40" t="s">
        <v>11607</v>
      </c>
      <c r="B535" s="40" t="s">
        <v>11607</v>
      </c>
      <c r="C535" s="41">
        <v>46099</v>
      </c>
      <c r="D535" s="41">
        <v>46122</v>
      </c>
      <c r="E535" s="40" t="s">
        <v>19</v>
      </c>
      <c r="F535" s="40" t="s">
        <v>1929</v>
      </c>
      <c r="G535" s="40"/>
      <c r="H535" s="40"/>
      <c r="I535" s="40" t="s">
        <v>49</v>
      </c>
      <c r="J535" s="40">
        <v>2108.3200000000002</v>
      </c>
      <c r="K535" s="40">
        <v>2108.3200000000002</v>
      </c>
      <c r="L535" s="40"/>
      <c r="M535" s="40">
        <v>2108.3200000000002</v>
      </c>
      <c r="N535" s="40" t="s">
        <v>11608</v>
      </c>
      <c r="O535" s="40" t="s">
        <v>234</v>
      </c>
    </row>
    <row r="536" spans="1:15" ht="29.25" customHeight="1" x14ac:dyDescent="0.2">
      <c r="A536" s="40" t="s">
        <v>11609</v>
      </c>
      <c r="B536" s="40" t="s">
        <v>11609</v>
      </c>
      <c r="C536" s="41">
        <v>46099</v>
      </c>
      <c r="D536" s="41">
        <v>46115</v>
      </c>
      <c r="E536" s="40" t="s">
        <v>19</v>
      </c>
      <c r="F536" s="40" t="s">
        <v>1929</v>
      </c>
      <c r="G536" s="40"/>
      <c r="H536" s="40"/>
      <c r="I536" s="40" t="s">
        <v>49</v>
      </c>
      <c r="J536" s="40">
        <v>2108.3200000000002</v>
      </c>
      <c r="K536" s="40">
        <v>2108.3200000000002</v>
      </c>
      <c r="L536" s="40"/>
      <c r="M536" s="40">
        <v>2108.3200000000002</v>
      </c>
      <c r="N536" s="40" t="s">
        <v>11610</v>
      </c>
      <c r="O536" s="40" t="s">
        <v>234</v>
      </c>
    </row>
    <row r="537" spans="1:15" ht="29.25" customHeight="1" x14ac:dyDescent="0.2">
      <c r="A537" s="40" t="s">
        <v>11611</v>
      </c>
      <c r="B537" s="40" t="s">
        <v>11611</v>
      </c>
      <c r="C537" s="41">
        <v>46099</v>
      </c>
      <c r="D537" s="41">
        <v>46168</v>
      </c>
      <c r="E537" s="40" t="s">
        <v>19</v>
      </c>
      <c r="F537" s="40" t="s">
        <v>588</v>
      </c>
      <c r="G537" s="40"/>
      <c r="H537" s="40"/>
      <c r="I537" s="40" t="s">
        <v>49</v>
      </c>
      <c r="J537" s="40">
        <v>2014.9</v>
      </c>
      <c r="K537" s="40">
        <v>2014.9</v>
      </c>
      <c r="L537" s="40"/>
      <c r="M537" s="40">
        <v>2014.9</v>
      </c>
      <c r="N537" s="40" t="s">
        <v>11612</v>
      </c>
      <c r="O537" s="40" t="s">
        <v>234</v>
      </c>
    </row>
    <row r="538" spans="1:15" ht="29.25" customHeight="1" x14ac:dyDescent="0.2">
      <c r="A538" s="40" t="s">
        <v>11613</v>
      </c>
      <c r="B538" s="40" t="s">
        <v>11613</v>
      </c>
      <c r="C538" s="41">
        <v>46099</v>
      </c>
      <c r="D538" s="41">
        <v>46153</v>
      </c>
      <c r="E538" s="40" t="s">
        <v>19</v>
      </c>
      <c r="F538" s="40" t="s">
        <v>588</v>
      </c>
      <c r="G538" s="40"/>
      <c r="H538" s="40"/>
      <c r="I538" s="40" t="s">
        <v>49</v>
      </c>
      <c r="J538" s="40">
        <v>2014.93</v>
      </c>
      <c r="K538" s="40">
        <v>2014.93</v>
      </c>
      <c r="L538" s="40"/>
      <c r="M538" s="40">
        <v>2014.93</v>
      </c>
      <c r="N538" s="40" t="s">
        <v>11614</v>
      </c>
      <c r="O538" s="40" t="s">
        <v>234</v>
      </c>
    </row>
    <row r="539" spans="1:15" ht="29.25" customHeight="1" x14ac:dyDescent="0.2">
      <c r="A539" s="40" t="s">
        <v>11615</v>
      </c>
      <c r="B539" s="40" t="s">
        <v>11615</v>
      </c>
      <c r="C539" s="41">
        <v>46099</v>
      </c>
      <c r="D539" s="41">
        <v>46146</v>
      </c>
      <c r="E539" s="40" t="s">
        <v>19</v>
      </c>
      <c r="F539" s="40" t="s">
        <v>588</v>
      </c>
      <c r="G539" s="40"/>
      <c r="H539" s="40"/>
      <c r="I539" s="40" t="s">
        <v>49</v>
      </c>
      <c r="J539" s="40">
        <v>2014.93</v>
      </c>
      <c r="K539" s="40">
        <v>2014.93</v>
      </c>
      <c r="L539" s="40"/>
      <c r="M539" s="40">
        <v>2014.93</v>
      </c>
      <c r="N539" s="40" t="s">
        <v>11616</v>
      </c>
      <c r="O539" s="40" t="s">
        <v>234</v>
      </c>
    </row>
    <row r="540" spans="1:15" ht="29.25" customHeight="1" x14ac:dyDescent="0.2">
      <c r="A540" s="40" t="s">
        <v>11617</v>
      </c>
      <c r="B540" s="40" t="s">
        <v>11617</v>
      </c>
      <c r="C540" s="41">
        <v>46099</v>
      </c>
      <c r="D540" s="41">
        <v>46139</v>
      </c>
      <c r="E540" s="40" t="s">
        <v>19</v>
      </c>
      <c r="F540" s="40" t="s">
        <v>588</v>
      </c>
      <c r="G540" s="40"/>
      <c r="H540" s="40"/>
      <c r="I540" s="40" t="s">
        <v>49</v>
      </c>
      <c r="J540" s="40">
        <v>2014.93</v>
      </c>
      <c r="K540" s="40">
        <v>2014.93</v>
      </c>
      <c r="L540" s="40"/>
      <c r="M540" s="40">
        <v>2014.93</v>
      </c>
      <c r="N540" s="40" t="s">
        <v>11618</v>
      </c>
      <c r="O540" s="40" t="s">
        <v>234</v>
      </c>
    </row>
    <row r="541" spans="1:15" ht="29.25" customHeight="1" x14ac:dyDescent="0.2">
      <c r="A541" s="40" t="s">
        <v>11619</v>
      </c>
      <c r="B541" s="40" t="s">
        <v>11619</v>
      </c>
      <c r="C541" s="41">
        <v>46099</v>
      </c>
      <c r="D541" s="41">
        <v>46132</v>
      </c>
      <c r="E541" s="40" t="s">
        <v>19</v>
      </c>
      <c r="F541" s="40" t="s">
        <v>588</v>
      </c>
      <c r="G541" s="40"/>
      <c r="H541" s="40"/>
      <c r="I541" s="40" t="s">
        <v>49</v>
      </c>
      <c r="J541" s="40">
        <v>2014.93</v>
      </c>
      <c r="K541" s="40">
        <v>2014.93</v>
      </c>
      <c r="L541" s="40"/>
      <c r="M541" s="40">
        <v>2014.93</v>
      </c>
      <c r="N541" s="40" t="s">
        <v>11620</v>
      </c>
      <c r="O541" s="40" t="s">
        <v>234</v>
      </c>
    </row>
    <row r="542" spans="1:15" ht="29.25" customHeight="1" x14ac:dyDescent="0.2">
      <c r="A542" s="40" t="s">
        <v>11621</v>
      </c>
      <c r="B542" s="40" t="s">
        <v>11621</v>
      </c>
      <c r="C542" s="41">
        <v>46099</v>
      </c>
      <c r="D542" s="41">
        <v>46125</v>
      </c>
      <c r="E542" s="40" t="s">
        <v>19</v>
      </c>
      <c r="F542" s="40" t="s">
        <v>588</v>
      </c>
      <c r="G542" s="40"/>
      <c r="H542" s="40"/>
      <c r="I542" s="40" t="s">
        <v>49</v>
      </c>
      <c r="J542" s="40">
        <v>2014.93</v>
      </c>
      <c r="K542" s="40">
        <v>2014.93</v>
      </c>
      <c r="L542" s="40"/>
      <c r="M542" s="40">
        <v>2014.93</v>
      </c>
      <c r="N542" s="40" t="s">
        <v>11622</v>
      </c>
      <c r="O542" s="40" t="s">
        <v>234</v>
      </c>
    </row>
    <row r="543" spans="1:15" ht="29.25" customHeight="1" x14ac:dyDescent="0.2">
      <c r="A543" s="40" t="s">
        <v>11623</v>
      </c>
      <c r="B543" s="40" t="s">
        <v>11623</v>
      </c>
      <c r="C543" s="41">
        <v>46099</v>
      </c>
      <c r="D543" s="41">
        <v>46169</v>
      </c>
      <c r="E543" s="40" t="s">
        <v>19</v>
      </c>
      <c r="F543" s="40" t="s">
        <v>588</v>
      </c>
      <c r="G543" s="40"/>
      <c r="H543" s="40"/>
      <c r="I543" s="40" t="s">
        <v>49</v>
      </c>
      <c r="J543" s="40">
        <v>1997.96</v>
      </c>
      <c r="K543" s="40">
        <v>1997.96</v>
      </c>
      <c r="L543" s="40"/>
      <c r="M543" s="40">
        <v>1997.96</v>
      </c>
      <c r="N543" s="40" t="s">
        <v>11624</v>
      </c>
      <c r="O543" s="40" t="s">
        <v>234</v>
      </c>
    </row>
    <row r="544" spans="1:15" ht="29.25" customHeight="1" x14ac:dyDescent="0.2">
      <c r="A544" s="40" t="s">
        <v>11625</v>
      </c>
      <c r="B544" s="40" t="s">
        <v>11625</v>
      </c>
      <c r="C544" s="41">
        <v>46099</v>
      </c>
      <c r="D544" s="41">
        <v>46153</v>
      </c>
      <c r="E544" s="40" t="s">
        <v>19</v>
      </c>
      <c r="F544" s="40" t="s">
        <v>588</v>
      </c>
      <c r="G544" s="40"/>
      <c r="H544" s="40"/>
      <c r="I544" s="40" t="s">
        <v>49</v>
      </c>
      <c r="J544" s="40">
        <v>1997.96</v>
      </c>
      <c r="K544" s="40">
        <v>1997.96</v>
      </c>
      <c r="L544" s="40"/>
      <c r="M544" s="40">
        <v>1997.96</v>
      </c>
      <c r="N544" s="40" t="s">
        <v>11626</v>
      </c>
      <c r="O544" s="40" t="s">
        <v>234</v>
      </c>
    </row>
    <row r="545" spans="1:15" ht="29.25" customHeight="1" x14ac:dyDescent="0.2">
      <c r="A545" s="40" t="s">
        <v>11627</v>
      </c>
      <c r="B545" s="40" t="s">
        <v>11627</v>
      </c>
      <c r="C545" s="41">
        <v>46099</v>
      </c>
      <c r="D545" s="41">
        <v>46146</v>
      </c>
      <c r="E545" s="40" t="s">
        <v>19</v>
      </c>
      <c r="F545" s="40" t="s">
        <v>588</v>
      </c>
      <c r="G545" s="40"/>
      <c r="H545" s="40"/>
      <c r="I545" s="40" t="s">
        <v>49</v>
      </c>
      <c r="J545" s="40">
        <v>1997.96</v>
      </c>
      <c r="K545" s="40">
        <v>1997.96</v>
      </c>
      <c r="L545" s="40"/>
      <c r="M545" s="40">
        <v>1997.96</v>
      </c>
      <c r="N545" s="40" t="s">
        <v>11628</v>
      </c>
      <c r="O545" s="40" t="s">
        <v>234</v>
      </c>
    </row>
    <row r="546" spans="1:15" ht="29.25" customHeight="1" x14ac:dyDescent="0.2">
      <c r="A546" s="40" t="s">
        <v>11629</v>
      </c>
      <c r="B546" s="40" t="s">
        <v>11629</v>
      </c>
      <c r="C546" s="41">
        <v>46099</v>
      </c>
      <c r="D546" s="41">
        <v>46139</v>
      </c>
      <c r="E546" s="40" t="s">
        <v>19</v>
      </c>
      <c r="F546" s="40" t="s">
        <v>588</v>
      </c>
      <c r="G546" s="40"/>
      <c r="H546" s="40"/>
      <c r="I546" s="40" t="s">
        <v>49</v>
      </c>
      <c r="J546" s="40">
        <v>1997.96</v>
      </c>
      <c r="K546" s="40">
        <v>1997.96</v>
      </c>
      <c r="L546" s="40"/>
      <c r="M546" s="40">
        <v>1997.96</v>
      </c>
      <c r="N546" s="40" t="s">
        <v>11630</v>
      </c>
      <c r="O546" s="40" t="s">
        <v>234</v>
      </c>
    </row>
    <row r="547" spans="1:15" ht="29.25" customHeight="1" x14ac:dyDescent="0.2">
      <c r="A547" s="40" t="s">
        <v>11631</v>
      </c>
      <c r="B547" s="40" t="s">
        <v>11631</v>
      </c>
      <c r="C547" s="41">
        <v>46099</v>
      </c>
      <c r="D547" s="41">
        <v>46132</v>
      </c>
      <c r="E547" s="40" t="s">
        <v>19</v>
      </c>
      <c r="F547" s="40" t="s">
        <v>588</v>
      </c>
      <c r="G547" s="40"/>
      <c r="H547" s="40"/>
      <c r="I547" s="40" t="s">
        <v>49</v>
      </c>
      <c r="J547" s="40">
        <v>1997.96</v>
      </c>
      <c r="K547" s="40">
        <v>1997.96</v>
      </c>
      <c r="L547" s="40"/>
      <c r="M547" s="40">
        <v>1997.96</v>
      </c>
      <c r="N547" s="40" t="s">
        <v>11632</v>
      </c>
      <c r="O547" s="40" t="s">
        <v>234</v>
      </c>
    </row>
    <row r="548" spans="1:15" ht="29.25" customHeight="1" x14ac:dyDescent="0.2">
      <c r="A548" s="40" t="s">
        <v>11633</v>
      </c>
      <c r="B548" s="40" t="s">
        <v>11633</v>
      </c>
      <c r="C548" s="41">
        <v>46099</v>
      </c>
      <c r="D548" s="41">
        <v>46125</v>
      </c>
      <c r="E548" s="40" t="s">
        <v>19</v>
      </c>
      <c r="F548" s="40" t="s">
        <v>588</v>
      </c>
      <c r="G548" s="40"/>
      <c r="H548" s="40"/>
      <c r="I548" s="40" t="s">
        <v>49</v>
      </c>
      <c r="J548" s="40">
        <v>1997.96</v>
      </c>
      <c r="K548" s="40">
        <v>1997.96</v>
      </c>
      <c r="L548" s="40"/>
      <c r="M548" s="40">
        <v>1997.96</v>
      </c>
      <c r="N548" s="40" t="s">
        <v>11634</v>
      </c>
      <c r="O548" s="40" t="s">
        <v>234</v>
      </c>
    </row>
    <row r="549" spans="1:15" ht="29.25" customHeight="1" x14ac:dyDescent="0.2">
      <c r="A549" s="40" t="s">
        <v>11635</v>
      </c>
      <c r="B549" s="40" t="s">
        <v>11635</v>
      </c>
      <c r="C549" s="41">
        <v>46099</v>
      </c>
      <c r="D549" s="41">
        <v>46160</v>
      </c>
      <c r="E549" s="40" t="s">
        <v>19</v>
      </c>
      <c r="F549" s="40" t="s">
        <v>2944</v>
      </c>
      <c r="G549" s="40"/>
      <c r="H549" s="40"/>
      <c r="I549" s="40" t="s">
        <v>49</v>
      </c>
      <c r="J549" s="40">
        <v>2055.3200000000002</v>
      </c>
      <c r="K549" s="40">
        <v>2055.3200000000002</v>
      </c>
      <c r="L549" s="40"/>
      <c r="M549" s="40">
        <v>2055.3200000000002</v>
      </c>
      <c r="N549" s="40" t="s">
        <v>11636</v>
      </c>
      <c r="O549" s="40" t="s">
        <v>234</v>
      </c>
    </row>
    <row r="550" spans="1:15" ht="29.25" customHeight="1" x14ac:dyDescent="0.2">
      <c r="A550" s="40" t="s">
        <v>11637</v>
      </c>
      <c r="B550" s="40" t="s">
        <v>11637</v>
      </c>
      <c r="C550" s="41">
        <v>46099</v>
      </c>
      <c r="D550" s="41">
        <v>46143</v>
      </c>
      <c r="E550" s="40" t="s">
        <v>19</v>
      </c>
      <c r="F550" s="40" t="s">
        <v>2944</v>
      </c>
      <c r="G550" s="40"/>
      <c r="H550" s="40"/>
      <c r="I550" s="40" t="s">
        <v>49</v>
      </c>
      <c r="J550" s="40">
        <v>2055.3200000000002</v>
      </c>
      <c r="K550" s="40">
        <v>2055.3200000000002</v>
      </c>
      <c r="L550" s="40"/>
      <c r="M550" s="40">
        <v>2055.3200000000002</v>
      </c>
      <c r="N550" s="40" t="s">
        <v>11638</v>
      </c>
      <c r="O550" s="40" t="s">
        <v>234</v>
      </c>
    </row>
    <row r="551" spans="1:15" ht="29.25" customHeight="1" x14ac:dyDescent="0.2">
      <c r="A551" s="40" t="s">
        <v>11639</v>
      </c>
      <c r="B551" s="40" t="s">
        <v>11639</v>
      </c>
      <c r="C551" s="41">
        <v>46099</v>
      </c>
      <c r="D551" s="41">
        <v>46136</v>
      </c>
      <c r="E551" s="40" t="s">
        <v>19</v>
      </c>
      <c r="F551" s="40" t="s">
        <v>2944</v>
      </c>
      <c r="G551" s="40"/>
      <c r="H551" s="40"/>
      <c r="I551" s="40" t="s">
        <v>49</v>
      </c>
      <c r="J551" s="40">
        <v>2055.3200000000002</v>
      </c>
      <c r="K551" s="40">
        <v>2055.3200000000002</v>
      </c>
      <c r="L551" s="40"/>
      <c r="M551" s="40">
        <v>2055.3200000000002</v>
      </c>
      <c r="N551" s="40" t="s">
        <v>11640</v>
      </c>
      <c r="O551" s="40" t="s">
        <v>234</v>
      </c>
    </row>
    <row r="552" spans="1:15" ht="29.25" customHeight="1" x14ac:dyDescent="0.2">
      <c r="A552" s="40" t="s">
        <v>11641</v>
      </c>
      <c r="B552" s="40" t="s">
        <v>11641</v>
      </c>
      <c r="C552" s="41">
        <v>46099</v>
      </c>
      <c r="D552" s="41">
        <v>46129</v>
      </c>
      <c r="E552" s="40" t="s">
        <v>19</v>
      </c>
      <c r="F552" s="40" t="s">
        <v>2944</v>
      </c>
      <c r="G552" s="40"/>
      <c r="H552" s="40"/>
      <c r="I552" s="40" t="s">
        <v>49</v>
      </c>
      <c r="J552" s="40">
        <v>2055.3200000000002</v>
      </c>
      <c r="K552" s="40">
        <v>2055.3200000000002</v>
      </c>
      <c r="L552" s="40"/>
      <c r="M552" s="40">
        <v>2055.3200000000002</v>
      </c>
      <c r="N552" s="40" t="s">
        <v>11642</v>
      </c>
      <c r="O552" s="40" t="s">
        <v>234</v>
      </c>
    </row>
    <row r="553" spans="1:15" ht="29.25" customHeight="1" x14ac:dyDescent="0.2">
      <c r="A553" s="40" t="s">
        <v>11643</v>
      </c>
      <c r="B553" s="40" t="s">
        <v>11643</v>
      </c>
      <c r="C553" s="41">
        <v>46099</v>
      </c>
      <c r="D553" s="41">
        <v>46122</v>
      </c>
      <c r="E553" s="40" t="s">
        <v>19</v>
      </c>
      <c r="F553" s="40" t="s">
        <v>2944</v>
      </c>
      <c r="G553" s="40"/>
      <c r="H553" s="40"/>
      <c r="I553" s="40" t="s">
        <v>49</v>
      </c>
      <c r="J553" s="40">
        <v>2055.3200000000002</v>
      </c>
      <c r="K553" s="40">
        <v>2055.3200000000002</v>
      </c>
      <c r="L553" s="40"/>
      <c r="M553" s="40">
        <v>2055.3200000000002</v>
      </c>
      <c r="N553" s="40" t="s">
        <v>11644</v>
      </c>
      <c r="O553" s="40" t="s">
        <v>234</v>
      </c>
    </row>
    <row r="554" spans="1:15" ht="29.25" customHeight="1" x14ac:dyDescent="0.2">
      <c r="A554" s="40" t="s">
        <v>11645</v>
      </c>
      <c r="B554" s="40" t="s">
        <v>11645</v>
      </c>
      <c r="C554" s="41">
        <v>46099</v>
      </c>
      <c r="D554" s="41">
        <v>46115</v>
      </c>
      <c r="E554" s="40" t="s">
        <v>19</v>
      </c>
      <c r="F554" s="40" t="s">
        <v>2944</v>
      </c>
      <c r="G554" s="40"/>
      <c r="H554" s="40"/>
      <c r="I554" s="40" t="s">
        <v>49</v>
      </c>
      <c r="J554" s="40">
        <v>2055.3200000000002</v>
      </c>
      <c r="K554" s="40">
        <v>2055.3200000000002</v>
      </c>
      <c r="L554" s="40"/>
      <c r="M554" s="40">
        <v>2055.3200000000002</v>
      </c>
      <c r="N554" s="40" t="s">
        <v>11646</v>
      </c>
      <c r="O554" s="40" t="s">
        <v>234</v>
      </c>
    </row>
    <row r="555" spans="1:15" ht="29.25" customHeight="1" x14ac:dyDescent="0.2">
      <c r="A555" s="40" t="s">
        <v>11647</v>
      </c>
      <c r="B555" s="40" t="s">
        <v>11647</v>
      </c>
      <c r="C555" s="41">
        <v>46099</v>
      </c>
      <c r="D555" s="41">
        <v>46167</v>
      </c>
      <c r="E555" s="40" t="s">
        <v>19</v>
      </c>
      <c r="F555" s="40" t="s">
        <v>2944</v>
      </c>
      <c r="G555" s="40"/>
      <c r="H555" s="40"/>
      <c r="I555" s="40" t="s">
        <v>49</v>
      </c>
      <c r="J555" s="40">
        <v>3087.63</v>
      </c>
      <c r="K555" s="40">
        <v>3087.63</v>
      </c>
      <c r="L555" s="40"/>
      <c r="M555" s="40">
        <v>3087.63</v>
      </c>
      <c r="N555" s="40" t="s">
        <v>11648</v>
      </c>
      <c r="O555" s="40" t="s">
        <v>234</v>
      </c>
    </row>
    <row r="556" spans="1:15" ht="29.25" customHeight="1" x14ac:dyDescent="0.2">
      <c r="A556" s="40" t="s">
        <v>11649</v>
      </c>
      <c r="B556" s="40" t="s">
        <v>11649</v>
      </c>
      <c r="C556" s="41">
        <v>46099</v>
      </c>
      <c r="D556" s="41">
        <v>46150</v>
      </c>
      <c r="E556" s="40" t="s">
        <v>19</v>
      </c>
      <c r="F556" s="40" t="s">
        <v>2944</v>
      </c>
      <c r="G556" s="40"/>
      <c r="H556" s="40"/>
      <c r="I556" s="40" t="s">
        <v>49</v>
      </c>
      <c r="J556" s="40">
        <v>3087.63</v>
      </c>
      <c r="K556" s="40">
        <v>3087.63</v>
      </c>
      <c r="L556" s="40"/>
      <c r="M556" s="40">
        <v>3087.63</v>
      </c>
      <c r="N556" s="40" t="s">
        <v>11650</v>
      </c>
      <c r="O556" s="40" t="s">
        <v>234</v>
      </c>
    </row>
    <row r="557" spans="1:15" ht="29.25" customHeight="1" x14ac:dyDescent="0.2">
      <c r="A557" s="40" t="s">
        <v>11651</v>
      </c>
      <c r="B557" s="40" t="s">
        <v>11651</v>
      </c>
      <c r="C557" s="41">
        <v>46099</v>
      </c>
      <c r="D557" s="41">
        <v>46143</v>
      </c>
      <c r="E557" s="40" t="s">
        <v>19</v>
      </c>
      <c r="F557" s="40" t="s">
        <v>2944</v>
      </c>
      <c r="G557" s="40"/>
      <c r="H557" s="40"/>
      <c r="I557" s="40" t="s">
        <v>49</v>
      </c>
      <c r="J557" s="40">
        <v>3087.63</v>
      </c>
      <c r="K557" s="40">
        <v>3087.63</v>
      </c>
      <c r="L557" s="40"/>
      <c r="M557" s="40">
        <v>3087.63</v>
      </c>
      <c r="N557" s="40" t="s">
        <v>11652</v>
      </c>
      <c r="O557" s="40" t="s">
        <v>234</v>
      </c>
    </row>
    <row r="558" spans="1:15" ht="29.25" customHeight="1" x14ac:dyDescent="0.2">
      <c r="A558" s="40" t="s">
        <v>11653</v>
      </c>
      <c r="B558" s="40" t="s">
        <v>11653</v>
      </c>
      <c r="C558" s="41">
        <v>46099</v>
      </c>
      <c r="D558" s="41">
        <v>46136</v>
      </c>
      <c r="E558" s="40" t="s">
        <v>19</v>
      </c>
      <c r="F558" s="40" t="s">
        <v>2944</v>
      </c>
      <c r="G558" s="40"/>
      <c r="H558" s="40"/>
      <c r="I558" s="40" t="s">
        <v>49</v>
      </c>
      <c r="J558" s="40">
        <v>3087.63</v>
      </c>
      <c r="K558" s="40">
        <v>3087.63</v>
      </c>
      <c r="L558" s="40"/>
      <c r="M558" s="40">
        <v>3087.63</v>
      </c>
      <c r="N558" s="40" t="s">
        <v>11654</v>
      </c>
      <c r="O558" s="40" t="s">
        <v>234</v>
      </c>
    </row>
    <row r="559" spans="1:15" ht="29.25" customHeight="1" x14ac:dyDescent="0.2">
      <c r="A559" s="40" t="s">
        <v>11655</v>
      </c>
      <c r="B559" s="40" t="s">
        <v>11655</v>
      </c>
      <c r="C559" s="41">
        <v>46099</v>
      </c>
      <c r="D559" s="41">
        <v>46129</v>
      </c>
      <c r="E559" s="40" t="s">
        <v>19</v>
      </c>
      <c r="F559" s="40" t="s">
        <v>2944</v>
      </c>
      <c r="G559" s="40"/>
      <c r="H559" s="40"/>
      <c r="I559" s="40" t="s">
        <v>49</v>
      </c>
      <c r="J559" s="40">
        <v>3087.63</v>
      </c>
      <c r="K559" s="40">
        <v>3087.63</v>
      </c>
      <c r="L559" s="40"/>
      <c r="M559" s="40">
        <v>3087.63</v>
      </c>
      <c r="N559" s="40" t="s">
        <v>11656</v>
      </c>
      <c r="O559" s="40" t="s">
        <v>234</v>
      </c>
    </row>
    <row r="560" spans="1:15" ht="29.25" customHeight="1" x14ac:dyDescent="0.2">
      <c r="A560" s="40" t="s">
        <v>11657</v>
      </c>
      <c r="B560" s="40" t="s">
        <v>11657</v>
      </c>
      <c r="C560" s="41">
        <v>46099</v>
      </c>
      <c r="D560" s="41">
        <v>46122</v>
      </c>
      <c r="E560" s="40" t="s">
        <v>19</v>
      </c>
      <c r="F560" s="40" t="s">
        <v>2944</v>
      </c>
      <c r="G560" s="40"/>
      <c r="H560" s="40"/>
      <c r="I560" s="40" t="s">
        <v>49</v>
      </c>
      <c r="J560" s="40">
        <v>3087.63</v>
      </c>
      <c r="K560" s="40">
        <v>3087.63</v>
      </c>
      <c r="L560" s="40"/>
      <c r="M560" s="40">
        <v>3087.63</v>
      </c>
      <c r="N560" s="40" t="s">
        <v>11658</v>
      </c>
      <c r="O560" s="40" t="s">
        <v>234</v>
      </c>
    </row>
    <row r="561" spans="1:15" ht="29.25" customHeight="1" x14ac:dyDescent="0.2">
      <c r="A561" s="40" t="s">
        <v>11659</v>
      </c>
      <c r="B561" s="40" t="s">
        <v>11659</v>
      </c>
      <c r="C561" s="41">
        <v>46099</v>
      </c>
      <c r="D561" s="41">
        <v>46153</v>
      </c>
      <c r="E561" s="40" t="s">
        <v>19</v>
      </c>
      <c r="F561" s="40" t="s">
        <v>1405</v>
      </c>
      <c r="G561" s="40"/>
      <c r="H561" s="40"/>
      <c r="I561" s="40" t="s">
        <v>49</v>
      </c>
      <c r="J561" s="40">
        <v>2945.83</v>
      </c>
      <c r="K561" s="40">
        <v>2945.83</v>
      </c>
      <c r="L561" s="40"/>
      <c r="M561" s="40">
        <v>2945.83</v>
      </c>
      <c r="N561" s="40" t="s">
        <v>11660</v>
      </c>
      <c r="O561" s="40" t="s">
        <v>234</v>
      </c>
    </row>
    <row r="562" spans="1:15" ht="29.25" customHeight="1" x14ac:dyDescent="0.2">
      <c r="A562" s="40" t="s">
        <v>11661</v>
      </c>
      <c r="B562" s="40" t="s">
        <v>11661</v>
      </c>
      <c r="C562" s="41">
        <v>46099</v>
      </c>
      <c r="D562" s="41">
        <v>46143</v>
      </c>
      <c r="E562" s="40" t="s">
        <v>19</v>
      </c>
      <c r="F562" s="40" t="s">
        <v>1405</v>
      </c>
      <c r="G562" s="40"/>
      <c r="H562" s="40"/>
      <c r="I562" s="40" t="s">
        <v>49</v>
      </c>
      <c r="J562" s="40">
        <v>2945.85</v>
      </c>
      <c r="K562" s="40">
        <v>2945.85</v>
      </c>
      <c r="L562" s="40"/>
      <c r="M562" s="40">
        <v>2945.85</v>
      </c>
      <c r="N562" s="40" t="s">
        <v>11662</v>
      </c>
      <c r="O562" s="40" t="s">
        <v>234</v>
      </c>
    </row>
    <row r="563" spans="1:15" ht="29.25" customHeight="1" x14ac:dyDescent="0.2">
      <c r="A563" s="40" t="s">
        <v>11663</v>
      </c>
      <c r="B563" s="40" t="s">
        <v>11663</v>
      </c>
      <c r="C563" s="41">
        <v>46099</v>
      </c>
      <c r="D563" s="41">
        <v>46139</v>
      </c>
      <c r="E563" s="40" t="s">
        <v>19</v>
      </c>
      <c r="F563" s="40" t="s">
        <v>1405</v>
      </c>
      <c r="G563" s="40"/>
      <c r="H563" s="40"/>
      <c r="I563" s="40" t="s">
        <v>49</v>
      </c>
      <c r="J563" s="40">
        <v>2945.85</v>
      </c>
      <c r="K563" s="40">
        <v>2945.85</v>
      </c>
      <c r="L563" s="40"/>
      <c r="M563" s="40">
        <v>2945.85</v>
      </c>
      <c r="N563" s="40" t="s">
        <v>11664</v>
      </c>
      <c r="O563" s="40" t="s">
        <v>234</v>
      </c>
    </row>
    <row r="564" spans="1:15" ht="29.25" customHeight="1" x14ac:dyDescent="0.2">
      <c r="A564" s="40" t="s">
        <v>11665</v>
      </c>
      <c r="B564" s="40" t="s">
        <v>11665</v>
      </c>
      <c r="C564" s="41">
        <v>46099</v>
      </c>
      <c r="D564" s="41">
        <v>46128</v>
      </c>
      <c r="E564" s="40" t="s">
        <v>19</v>
      </c>
      <c r="F564" s="40" t="s">
        <v>1405</v>
      </c>
      <c r="G564" s="40"/>
      <c r="H564" s="40"/>
      <c r="I564" s="40" t="s">
        <v>49</v>
      </c>
      <c r="J564" s="40">
        <v>2945.85</v>
      </c>
      <c r="K564" s="40">
        <v>2945.85</v>
      </c>
      <c r="L564" s="40"/>
      <c r="M564" s="40">
        <v>2945.85</v>
      </c>
      <c r="N564" s="40" t="s">
        <v>11666</v>
      </c>
      <c r="O564" s="40" t="s">
        <v>234</v>
      </c>
    </row>
    <row r="565" spans="1:15" ht="29.25" customHeight="1" x14ac:dyDescent="0.2">
      <c r="A565" s="40" t="s">
        <v>11667</v>
      </c>
      <c r="B565" s="40" t="s">
        <v>11667</v>
      </c>
      <c r="C565" s="41">
        <v>46099</v>
      </c>
      <c r="D565" s="41">
        <v>46125</v>
      </c>
      <c r="E565" s="40" t="s">
        <v>19</v>
      </c>
      <c r="F565" s="40" t="s">
        <v>1405</v>
      </c>
      <c r="G565" s="40"/>
      <c r="H565" s="40"/>
      <c r="I565" s="40" t="s">
        <v>49</v>
      </c>
      <c r="J565" s="40">
        <v>2945.85</v>
      </c>
      <c r="K565" s="40">
        <v>2945.85</v>
      </c>
      <c r="L565" s="40"/>
      <c r="M565" s="40">
        <v>2945.85</v>
      </c>
      <c r="N565" s="40" t="s">
        <v>11668</v>
      </c>
      <c r="O565" s="40" t="s">
        <v>234</v>
      </c>
    </row>
    <row r="566" spans="1:15" ht="29.25" customHeight="1" x14ac:dyDescent="0.2">
      <c r="A566" s="40" t="s">
        <v>11669</v>
      </c>
      <c r="B566" s="40" t="s">
        <v>11669</v>
      </c>
      <c r="C566" s="41">
        <v>46100</v>
      </c>
      <c r="D566" s="41">
        <v>46170</v>
      </c>
      <c r="E566" s="40" t="s">
        <v>19</v>
      </c>
      <c r="F566" s="40" t="s">
        <v>2681</v>
      </c>
      <c r="G566" s="40"/>
      <c r="H566" s="40"/>
      <c r="I566" s="40" t="s">
        <v>49</v>
      </c>
      <c r="J566" s="40">
        <v>2638.09</v>
      </c>
      <c r="K566" s="40">
        <v>2638.09</v>
      </c>
      <c r="L566" s="40"/>
      <c r="M566" s="40">
        <v>2638.09</v>
      </c>
      <c r="N566" s="40"/>
      <c r="O566" s="40" t="s">
        <v>234</v>
      </c>
    </row>
    <row r="567" spans="1:15" ht="29.25" customHeight="1" x14ac:dyDescent="0.2">
      <c r="A567" s="40" t="s">
        <v>11670</v>
      </c>
      <c r="B567" s="40" t="s">
        <v>11670</v>
      </c>
      <c r="C567" s="41">
        <v>46100</v>
      </c>
      <c r="D567" s="41">
        <v>46153</v>
      </c>
      <c r="E567" s="40" t="s">
        <v>19</v>
      </c>
      <c r="F567" s="40" t="s">
        <v>2681</v>
      </c>
      <c r="G567" s="40"/>
      <c r="H567" s="40"/>
      <c r="I567" s="40" t="s">
        <v>49</v>
      </c>
      <c r="J567" s="40">
        <v>2638.11</v>
      </c>
      <c r="K567" s="40">
        <v>2638.11</v>
      </c>
      <c r="L567" s="40"/>
      <c r="M567" s="40">
        <v>2638.11</v>
      </c>
      <c r="N567" s="40" t="s">
        <v>11671</v>
      </c>
      <c r="O567" s="40" t="s">
        <v>234</v>
      </c>
    </row>
    <row r="568" spans="1:15" ht="29.25" customHeight="1" x14ac:dyDescent="0.2">
      <c r="A568" s="40" t="s">
        <v>11672</v>
      </c>
      <c r="B568" s="40" t="s">
        <v>11672</v>
      </c>
      <c r="C568" s="41">
        <v>46100</v>
      </c>
      <c r="D568" s="41">
        <v>46146</v>
      </c>
      <c r="E568" s="40" t="s">
        <v>19</v>
      </c>
      <c r="F568" s="40" t="s">
        <v>2681</v>
      </c>
      <c r="G568" s="40"/>
      <c r="H568" s="40"/>
      <c r="I568" s="40" t="s">
        <v>49</v>
      </c>
      <c r="J568" s="40">
        <v>2638.11</v>
      </c>
      <c r="K568" s="40">
        <v>2638.11</v>
      </c>
      <c r="L568" s="40"/>
      <c r="M568" s="40">
        <v>2638.11</v>
      </c>
      <c r="N568" s="40" t="s">
        <v>11673</v>
      </c>
      <c r="O568" s="40" t="s">
        <v>234</v>
      </c>
    </row>
    <row r="569" spans="1:15" ht="29.25" customHeight="1" x14ac:dyDescent="0.2">
      <c r="A569" s="40" t="s">
        <v>11674</v>
      </c>
      <c r="B569" s="40" t="s">
        <v>11674</v>
      </c>
      <c r="C569" s="41">
        <v>46100</v>
      </c>
      <c r="D569" s="41">
        <v>46139</v>
      </c>
      <c r="E569" s="40" t="s">
        <v>19</v>
      </c>
      <c r="F569" s="40" t="s">
        <v>2681</v>
      </c>
      <c r="G569" s="40"/>
      <c r="H569" s="40"/>
      <c r="I569" s="40" t="s">
        <v>49</v>
      </c>
      <c r="J569" s="40">
        <v>2638.11</v>
      </c>
      <c r="K569" s="40">
        <v>2638.11</v>
      </c>
      <c r="L569" s="40"/>
      <c r="M569" s="40">
        <v>2638.11</v>
      </c>
      <c r="N569" s="40" t="s">
        <v>11675</v>
      </c>
      <c r="O569" s="40" t="s">
        <v>234</v>
      </c>
    </row>
    <row r="570" spans="1:15" ht="29.25" customHeight="1" x14ac:dyDescent="0.2">
      <c r="A570" s="40" t="s">
        <v>11676</v>
      </c>
      <c r="B570" s="40" t="s">
        <v>11676</v>
      </c>
      <c r="C570" s="41">
        <v>46100</v>
      </c>
      <c r="D570" s="41">
        <v>46132</v>
      </c>
      <c r="E570" s="40" t="s">
        <v>19</v>
      </c>
      <c r="F570" s="40" t="s">
        <v>2681</v>
      </c>
      <c r="G570" s="40"/>
      <c r="H570" s="40"/>
      <c r="I570" s="40" t="s">
        <v>49</v>
      </c>
      <c r="J570" s="40">
        <v>2638.11</v>
      </c>
      <c r="K570" s="40">
        <v>2638.11</v>
      </c>
      <c r="L570" s="40"/>
      <c r="M570" s="40">
        <v>2638.11</v>
      </c>
      <c r="N570" s="40" t="s">
        <v>11677</v>
      </c>
      <c r="O570" s="40" t="s">
        <v>234</v>
      </c>
    </row>
    <row r="571" spans="1:15" ht="29.25" customHeight="1" x14ac:dyDescent="0.2">
      <c r="A571" s="40" t="s">
        <v>11678</v>
      </c>
      <c r="B571" s="40" t="s">
        <v>11678</v>
      </c>
      <c r="C571" s="41">
        <v>46100</v>
      </c>
      <c r="D571" s="41">
        <v>46125</v>
      </c>
      <c r="E571" s="40" t="s">
        <v>19</v>
      </c>
      <c r="F571" s="40" t="s">
        <v>2681</v>
      </c>
      <c r="G571" s="40"/>
      <c r="H571" s="40"/>
      <c r="I571" s="40" t="s">
        <v>49</v>
      </c>
      <c r="J571" s="40">
        <v>2638.11</v>
      </c>
      <c r="K571" s="40">
        <v>2638.11</v>
      </c>
      <c r="L571" s="40"/>
      <c r="M571" s="40">
        <v>2638.11</v>
      </c>
      <c r="N571" s="40" t="s">
        <v>11679</v>
      </c>
      <c r="O571" s="40" t="s">
        <v>234</v>
      </c>
    </row>
    <row r="572" spans="1:15" ht="29.25" customHeight="1" x14ac:dyDescent="0.2">
      <c r="A572" s="40" t="s">
        <v>11680</v>
      </c>
      <c r="B572" s="40" t="s">
        <v>11680</v>
      </c>
      <c r="C572" s="41">
        <v>46100</v>
      </c>
      <c r="D572" s="41">
        <v>46170</v>
      </c>
      <c r="E572" s="40" t="s">
        <v>19</v>
      </c>
      <c r="F572" s="40" t="s">
        <v>2681</v>
      </c>
      <c r="G572" s="40"/>
      <c r="H572" s="40"/>
      <c r="I572" s="40" t="s">
        <v>49</v>
      </c>
      <c r="J572" s="40">
        <v>5804.8</v>
      </c>
      <c r="K572" s="40">
        <v>5804.8</v>
      </c>
      <c r="L572" s="40"/>
      <c r="M572" s="40">
        <v>5804.8</v>
      </c>
      <c r="N572" s="40"/>
      <c r="O572" s="40" t="s">
        <v>234</v>
      </c>
    </row>
    <row r="573" spans="1:15" ht="29.25" customHeight="1" x14ac:dyDescent="0.2">
      <c r="A573" s="40" t="s">
        <v>11681</v>
      </c>
      <c r="B573" s="40" t="s">
        <v>11681</v>
      </c>
      <c r="C573" s="41">
        <v>46100</v>
      </c>
      <c r="D573" s="41">
        <v>46160</v>
      </c>
      <c r="E573" s="40" t="s">
        <v>19</v>
      </c>
      <c r="F573" s="40" t="s">
        <v>2681</v>
      </c>
      <c r="G573" s="40"/>
      <c r="H573" s="40"/>
      <c r="I573" s="40" t="s">
        <v>49</v>
      </c>
      <c r="J573" s="40">
        <v>5804.8</v>
      </c>
      <c r="K573" s="40">
        <v>5804.8</v>
      </c>
      <c r="L573" s="40"/>
      <c r="M573" s="40">
        <v>5804.8</v>
      </c>
      <c r="N573" s="40" t="s">
        <v>11682</v>
      </c>
      <c r="O573" s="40" t="s">
        <v>234</v>
      </c>
    </row>
    <row r="574" spans="1:15" ht="29.25" customHeight="1" x14ac:dyDescent="0.2">
      <c r="A574" s="40" t="s">
        <v>11683</v>
      </c>
      <c r="B574" s="40" t="s">
        <v>11683</v>
      </c>
      <c r="C574" s="41">
        <v>46100</v>
      </c>
      <c r="D574" s="41">
        <v>46153</v>
      </c>
      <c r="E574" s="40" t="s">
        <v>19</v>
      </c>
      <c r="F574" s="40" t="s">
        <v>2681</v>
      </c>
      <c r="G574" s="40"/>
      <c r="H574" s="40"/>
      <c r="I574" s="40" t="s">
        <v>49</v>
      </c>
      <c r="J574" s="40">
        <v>5804.8</v>
      </c>
      <c r="K574" s="40">
        <v>5804.8</v>
      </c>
      <c r="L574" s="40"/>
      <c r="M574" s="40">
        <v>5804.8</v>
      </c>
      <c r="N574" s="40" t="s">
        <v>11684</v>
      </c>
      <c r="O574" s="40" t="s">
        <v>234</v>
      </c>
    </row>
    <row r="575" spans="1:15" ht="29.25" customHeight="1" x14ac:dyDescent="0.2">
      <c r="A575" s="40" t="s">
        <v>11685</v>
      </c>
      <c r="B575" s="40" t="s">
        <v>11685</v>
      </c>
      <c r="C575" s="41">
        <v>46100</v>
      </c>
      <c r="D575" s="41">
        <v>46146</v>
      </c>
      <c r="E575" s="40" t="s">
        <v>19</v>
      </c>
      <c r="F575" s="40" t="s">
        <v>2681</v>
      </c>
      <c r="G575" s="40"/>
      <c r="H575" s="40"/>
      <c r="I575" s="40" t="s">
        <v>49</v>
      </c>
      <c r="J575" s="40">
        <v>5804.8</v>
      </c>
      <c r="K575" s="40">
        <v>5804.8</v>
      </c>
      <c r="L575" s="40"/>
      <c r="M575" s="40">
        <v>5804.8</v>
      </c>
      <c r="N575" s="40" t="s">
        <v>11686</v>
      </c>
      <c r="O575" s="40" t="s">
        <v>234</v>
      </c>
    </row>
    <row r="576" spans="1:15" ht="29.25" customHeight="1" x14ac:dyDescent="0.2">
      <c r="A576" s="40" t="s">
        <v>11687</v>
      </c>
      <c r="B576" s="40" t="s">
        <v>11687</v>
      </c>
      <c r="C576" s="41">
        <v>46100</v>
      </c>
      <c r="D576" s="41">
        <v>46139</v>
      </c>
      <c r="E576" s="40" t="s">
        <v>19</v>
      </c>
      <c r="F576" s="40" t="s">
        <v>2681</v>
      </c>
      <c r="G576" s="40"/>
      <c r="H576" s="40"/>
      <c r="I576" s="40" t="s">
        <v>49</v>
      </c>
      <c r="J576" s="40">
        <v>5804.8</v>
      </c>
      <c r="K576" s="40">
        <v>5804.8</v>
      </c>
      <c r="L576" s="40"/>
      <c r="M576" s="40">
        <v>5804.8</v>
      </c>
      <c r="N576" s="40" t="s">
        <v>11688</v>
      </c>
      <c r="O576" s="40" t="s">
        <v>234</v>
      </c>
    </row>
    <row r="577" spans="1:15" ht="29.25" customHeight="1" x14ac:dyDescent="0.2">
      <c r="A577" s="40" t="s">
        <v>11689</v>
      </c>
      <c r="B577" s="40" t="s">
        <v>11689</v>
      </c>
      <c r="C577" s="41">
        <v>46100</v>
      </c>
      <c r="D577" s="41">
        <v>46132</v>
      </c>
      <c r="E577" s="40" t="s">
        <v>19</v>
      </c>
      <c r="F577" s="40" t="s">
        <v>2681</v>
      </c>
      <c r="G577" s="40"/>
      <c r="H577" s="40"/>
      <c r="I577" s="40" t="s">
        <v>49</v>
      </c>
      <c r="J577" s="40">
        <v>5804.8</v>
      </c>
      <c r="K577" s="40">
        <v>5804.8</v>
      </c>
      <c r="L577" s="40"/>
      <c r="M577" s="40">
        <v>5804.8</v>
      </c>
      <c r="N577" s="40" t="s">
        <v>11690</v>
      </c>
      <c r="O577" s="40" t="s">
        <v>234</v>
      </c>
    </row>
    <row r="578" spans="1:15" ht="29.25" customHeight="1" x14ac:dyDescent="0.2">
      <c r="A578" s="40" t="s">
        <v>11691</v>
      </c>
      <c r="B578" s="40" t="s">
        <v>11691</v>
      </c>
      <c r="C578" s="41">
        <v>46100</v>
      </c>
      <c r="D578" s="41">
        <v>46125</v>
      </c>
      <c r="E578" s="40" t="s">
        <v>19</v>
      </c>
      <c r="F578" s="40" t="s">
        <v>2681</v>
      </c>
      <c r="G578" s="40"/>
      <c r="H578" s="40"/>
      <c r="I578" s="40" t="s">
        <v>49</v>
      </c>
      <c r="J578" s="40">
        <v>5804.8</v>
      </c>
      <c r="K578" s="40">
        <v>5804.8</v>
      </c>
      <c r="L578" s="40"/>
      <c r="M578" s="40">
        <v>5804.8</v>
      </c>
      <c r="N578" s="40" t="s">
        <v>11692</v>
      </c>
      <c r="O578" s="40" t="s">
        <v>234</v>
      </c>
    </row>
    <row r="579" spans="1:15" ht="29.25" customHeight="1" x14ac:dyDescent="0.2">
      <c r="A579" s="40" t="s">
        <v>11693</v>
      </c>
      <c r="B579" s="40" t="s">
        <v>11693</v>
      </c>
      <c r="C579" s="41">
        <v>46100</v>
      </c>
      <c r="D579" s="41">
        <v>46176</v>
      </c>
      <c r="E579" s="40" t="s">
        <v>19</v>
      </c>
      <c r="F579" s="40" t="s">
        <v>2684</v>
      </c>
      <c r="G579" s="40"/>
      <c r="H579" s="40"/>
      <c r="I579" s="40" t="s">
        <v>49</v>
      </c>
      <c r="J579" s="40">
        <v>2572.4899999999998</v>
      </c>
      <c r="K579" s="40">
        <v>2572.4899999999998</v>
      </c>
      <c r="L579" s="40"/>
      <c r="M579" s="40">
        <v>2572.4899999999998</v>
      </c>
      <c r="N579" s="40"/>
      <c r="O579" s="40" t="s">
        <v>234</v>
      </c>
    </row>
    <row r="580" spans="1:15" ht="29.25" customHeight="1" x14ac:dyDescent="0.2">
      <c r="A580" s="40" t="s">
        <v>11694</v>
      </c>
      <c r="B580" s="40" t="s">
        <v>11694</v>
      </c>
      <c r="C580" s="41">
        <v>46100</v>
      </c>
      <c r="D580" s="41">
        <v>46160</v>
      </c>
      <c r="E580" s="40" t="s">
        <v>19</v>
      </c>
      <c r="F580" s="40" t="s">
        <v>2684</v>
      </c>
      <c r="G580" s="40"/>
      <c r="H580" s="40"/>
      <c r="I580" s="40" t="s">
        <v>49</v>
      </c>
      <c r="J580" s="40">
        <v>2572.4899999999998</v>
      </c>
      <c r="K580" s="40">
        <v>2572.4899999999998</v>
      </c>
      <c r="L580" s="40"/>
      <c r="M580" s="40">
        <v>2572.4899999999998</v>
      </c>
      <c r="N580" s="40" t="s">
        <v>11695</v>
      </c>
      <c r="O580" s="40" t="s">
        <v>234</v>
      </c>
    </row>
    <row r="581" spans="1:15" ht="29.25" customHeight="1" x14ac:dyDescent="0.2">
      <c r="A581" s="40" t="s">
        <v>11696</v>
      </c>
      <c r="B581" s="40" t="s">
        <v>11696</v>
      </c>
      <c r="C581" s="41">
        <v>46100</v>
      </c>
      <c r="D581" s="41">
        <v>46153</v>
      </c>
      <c r="E581" s="40" t="s">
        <v>19</v>
      </c>
      <c r="F581" s="40" t="s">
        <v>2684</v>
      </c>
      <c r="G581" s="40"/>
      <c r="H581" s="40"/>
      <c r="I581" s="40" t="s">
        <v>49</v>
      </c>
      <c r="J581" s="40">
        <v>2572.4899999999998</v>
      </c>
      <c r="K581" s="40">
        <v>2572.4899999999998</v>
      </c>
      <c r="L581" s="40"/>
      <c r="M581" s="40">
        <v>2572.4899999999998</v>
      </c>
      <c r="N581" s="40" t="s">
        <v>11697</v>
      </c>
      <c r="O581" s="40" t="s">
        <v>234</v>
      </c>
    </row>
    <row r="582" spans="1:15" ht="29.25" customHeight="1" x14ac:dyDescent="0.2">
      <c r="A582" s="40" t="s">
        <v>11698</v>
      </c>
      <c r="B582" s="40" t="s">
        <v>11698</v>
      </c>
      <c r="C582" s="41">
        <v>46100</v>
      </c>
      <c r="D582" s="41">
        <v>46146</v>
      </c>
      <c r="E582" s="40" t="s">
        <v>19</v>
      </c>
      <c r="F582" s="40" t="s">
        <v>2684</v>
      </c>
      <c r="G582" s="40"/>
      <c r="H582" s="40"/>
      <c r="I582" s="40" t="s">
        <v>49</v>
      </c>
      <c r="J582" s="40">
        <v>2572.4899999999998</v>
      </c>
      <c r="K582" s="40">
        <v>2572.4899999999998</v>
      </c>
      <c r="L582" s="40"/>
      <c r="M582" s="40">
        <v>2572.4899999999998</v>
      </c>
      <c r="N582" s="40" t="s">
        <v>11699</v>
      </c>
      <c r="O582" s="40" t="s">
        <v>234</v>
      </c>
    </row>
    <row r="583" spans="1:15" ht="29.25" customHeight="1" x14ac:dyDescent="0.2">
      <c r="A583" s="40" t="s">
        <v>11700</v>
      </c>
      <c r="B583" s="40" t="s">
        <v>11700</v>
      </c>
      <c r="C583" s="41">
        <v>46100</v>
      </c>
      <c r="D583" s="41">
        <v>46139</v>
      </c>
      <c r="E583" s="40" t="s">
        <v>19</v>
      </c>
      <c r="F583" s="40" t="s">
        <v>2684</v>
      </c>
      <c r="G583" s="40"/>
      <c r="H583" s="40"/>
      <c r="I583" s="40" t="s">
        <v>49</v>
      </c>
      <c r="J583" s="40">
        <v>2572.4899999999998</v>
      </c>
      <c r="K583" s="40">
        <v>2572.4899999999998</v>
      </c>
      <c r="L583" s="40"/>
      <c r="M583" s="40">
        <v>2572.4899999999998</v>
      </c>
      <c r="N583" s="40" t="s">
        <v>11701</v>
      </c>
      <c r="O583" s="40" t="s">
        <v>234</v>
      </c>
    </row>
    <row r="584" spans="1:15" ht="29.25" customHeight="1" x14ac:dyDescent="0.2">
      <c r="A584" s="40" t="s">
        <v>11702</v>
      </c>
      <c r="B584" s="40" t="s">
        <v>11702</v>
      </c>
      <c r="C584" s="41">
        <v>46100</v>
      </c>
      <c r="D584" s="41">
        <v>46132</v>
      </c>
      <c r="E584" s="40" t="s">
        <v>19</v>
      </c>
      <c r="F584" s="40" t="s">
        <v>2684</v>
      </c>
      <c r="G584" s="40"/>
      <c r="H584" s="40"/>
      <c r="I584" s="40" t="s">
        <v>49</v>
      </c>
      <c r="J584" s="40">
        <v>2572.4899999999998</v>
      </c>
      <c r="K584" s="40">
        <v>2572.4899999999998</v>
      </c>
      <c r="L584" s="40"/>
      <c r="M584" s="40">
        <v>2572.4899999999998</v>
      </c>
      <c r="N584" s="40" t="s">
        <v>11703</v>
      </c>
      <c r="O584" s="40" t="s">
        <v>234</v>
      </c>
    </row>
    <row r="585" spans="1:15" ht="16.5" customHeight="1" x14ac:dyDescent="0.2"/>
    <row r="586" spans="1:15" ht="29.25" customHeight="1" x14ac:dyDescent="0.2">
      <c r="M586" s="51">
        <f>SUM(M3:M585)</f>
        <v>4220304.4500000058</v>
      </c>
    </row>
  </sheetData>
  <mergeCells count="1">
    <mergeCell ref="A2:C2"/>
  </mergeCells>
  <conditionalFormatting sqref="N2:N1048576">
    <cfRule type="duplicateValues" dxfId="39" priority="2"/>
  </conditionalFormatting>
  <conditionalFormatting sqref="N1">
    <cfRule type="duplicateValues" dxfId="4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2422-8E43-42C8-991D-4FEA07AAD723}">
  <dimension ref="A1:O41"/>
  <sheetViews>
    <sheetView showGridLines="0" workbookViewId="0">
      <selection sqref="A1:XFD1"/>
    </sheetView>
  </sheetViews>
  <sheetFormatPr baseColWidth="10" defaultColWidth="14.5703125" defaultRowHeight="11.25" x14ac:dyDescent="0.2"/>
  <cols>
    <col min="1" max="12" width="14.5703125" style="8"/>
    <col min="13" max="13" width="14.5703125" style="9"/>
    <col min="14" max="16384" width="14.5703125" style="8"/>
  </cols>
  <sheetData>
    <row r="1" spans="1:15" s="18" customFormat="1" ht="36" customHeight="1" x14ac:dyDescent="0.25">
      <c r="A1" s="104" t="s">
        <v>33</v>
      </c>
      <c r="B1" s="104" t="s">
        <v>34</v>
      </c>
      <c r="C1" s="104" t="s">
        <v>35</v>
      </c>
      <c r="D1" s="104" t="s">
        <v>36</v>
      </c>
      <c r="E1" s="104" t="s">
        <v>37</v>
      </c>
      <c r="F1" s="104" t="s">
        <v>38</v>
      </c>
      <c r="G1" s="104" t="s">
        <v>39</v>
      </c>
      <c r="H1" s="104" t="s">
        <v>40</v>
      </c>
      <c r="I1" s="104" t="s">
        <v>41</v>
      </c>
      <c r="J1" s="104" t="s">
        <v>42</v>
      </c>
      <c r="K1" s="104" t="s">
        <v>3</v>
      </c>
      <c r="L1" s="104" t="s">
        <v>4</v>
      </c>
      <c r="M1" s="104" t="s">
        <v>43</v>
      </c>
      <c r="N1" s="104" t="s">
        <v>44</v>
      </c>
      <c r="O1" s="104" t="s">
        <v>45</v>
      </c>
    </row>
    <row r="2" spans="1:15" ht="33.75" customHeight="1" x14ac:dyDescent="0.2">
      <c r="A2" s="90" t="s">
        <v>11704</v>
      </c>
      <c r="B2" s="90"/>
      <c r="C2" s="90"/>
      <c r="D2" s="38"/>
      <c r="E2" s="38"/>
      <c r="F2" s="38"/>
      <c r="G2" s="38"/>
      <c r="H2" s="38"/>
      <c r="I2" s="38"/>
      <c r="J2" s="38"/>
      <c r="K2" s="38"/>
      <c r="L2" s="38"/>
      <c r="M2" s="39"/>
      <c r="N2" s="38"/>
      <c r="O2" s="38"/>
    </row>
    <row r="3" spans="1:15" ht="33.75" x14ac:dyDescent="0.2">
      <c r="A3" s="40" t="s">
        <v>11705</v>
      </c>
      <c r="B3" s="40" t="s">
        <v>11705</v>
      </c>
      <c r="C3" s="41">
        <v>46111</v>
      </c>
      <c r="D3" s="41">
        <v>46064</v>
      </c>
      <c r="E3" s="40" t="s">
        <v>20</v>
      </c>
      <c r="F3" s="40" t="s">
        <v>74</v>
      </c>
      <c r="G3" s="40"/>
      <c r="H3" s="40"/>
      <c r="I3" s="40" t="s">
        <v>49</v>
      </c>
      <c r="J3" s="40">
        <v>2042.15</v>
      </c>
      <c r="K3" s="40">
        <v>2042.15</v>
      </c>
      <c r="L3" s="40"/>
      <c r="M3" s="40">
        <v>2042.15</v>
      </c>
      <c r="N3" s="40"/>
      <c r="O3" s="40" t="s">
        <v>75</v>
      </c>
    </row>
    <row r="4" spans="1:15" ht="33.75" x14ac:dyDescent="0.2">
      <c r="A4" s="40" t="s">
        <v>11706</v>
      </c>
      <c r="B4" s="40" t="s">
        <v>11706</v>
      </c>
      <c r="C4" s="41">
        <v>46084</v>
      </c>
      <c r="D4" s="41">
        <v>46029</v>
      </c>
      <c r="E4" s="40" t="s">
        <v>20</v>
      </c>
      <c r="F4" s="40" t="s">
        <v>74</v>
      </c>
      <c r="G4" s="40"/>
      <c r="H4" s="40"/>
      <c r="I4" s="40" t="s">
        <v>49</v>
      </c>
      <c r="J4" s="40">
        <v>1976.66</v>
      </c>
      <c r="K4" s="40">
        <v>1976.66</v>
      </c>
      <c r="L4" s="40"/>
      <c r="M4" s="40">
        <v>1976.66</v>
      </c>
      <c r="N4" s="40" t="s">
        <v>11707</v>
      </c>
      <c r="O4" s="40" t="s">
        <v>75</v>
      </c>
    </row>
    <row r="5" spans="1:15" ht="33.75" x14ac:dyDescent="0.2">
      <c r="A5" s="40" t="s">
        <v>11708</v>
      </c>
      <c r="B5" s="40" t="s">
        <v>11708</v>
      </c>
      <c r="C5" s="41">
        <v>46084</v>
      </c>
      <c r="D5" s="41">
        <v>46029</v>
      </c>
      <c r="E5" s="40" t="s">
        <v>20</v>
      </c>
      <c r="F5" s="40" t="s">
        <v>74</v>
      </c>
      <c r="G5" s="40"/>
      <c r="H5" s="40"/>
      <c r="I5" s="40" t="s">
        <v>49</v>
      </c>
      <c r="J5" s="40">
        <v>1970.28</v>
      </c>
      <c r="K5" s="40">
        <v>1970.28</v>
      </c>
      <c r="L5" s="40"/>
      <c r="M5" s="40">
        <v>1970.28</v>
      </c>
      <c r="N5" s="40" t="s">
        <v>11709</v>
      </c>
      <c r="O5" s="40" t="s">
        <v>75</v>
      </c>
    </row>
    <row r="6" spans="1:15" ht="33.75" x14ac:dyDescent="0.2">
      <c r="A6" s="40" t="s">
        <v>11710</v>
      </c>
      <c r="B6" s="40" t="s">
        <v>11710</v>
      </c>
      <c r="C6" s="41">
        <v>46083</v>
      </c>
      <c r="D6" s="41">
        <v>46014</v>
      </c>
      <c r="E6" s="40" t="s">
        <v>20</v>
      </c>
      <c r="F6" s="40" t="s">
        <v>74</v>
      </c>
      <c r="G6" s="40"/>
      <c r="H6" s="40"/>
      <c r="I6" s="40" t="s">
        <v>49</v>
      </c>
      <c r="J6" s="40">
        <v>2296.7399999999998</v>
      </c>
      <c r="K6" s="40">
        <v>2296.7399999999998</v>
      </c>
      <c r="L6" s="40"/>
      <c r="M6" s="40">
        <v>2296.7399999999998</v>
      </c>
      <c r="N6" s="40"/>
      <c r="O6" s="40" t="s">
        <v>75</v>
      </c>
    </row>
    <row r="7" spans="1:15" ht="33.75" x14ac:dyDescent="0.2">
      <c r="A7" s="40" t="s">
        <v>11711</v>
      </c>
      <c r="B7" s="40" t="s">
        <v>11711</v>
      </c>
      <c r="C7" s="41">
        <v>46078</v>
      </c>
      <c r="D7" s="41">
        <v>46048</v>
      </c>
      <c r="E7" s="40" t="s">
        <v>20</v>
      </c>
      <c r="F7" s="40" t="s">
        <v>74</v>
      </c>
      <c r="G7" s="40"/>
      <c r="H7" s="40"/>
      <c r="I7" s="40" t="s">
        <v>49</v>
      </c>
      <c r="J7" s="40">
        <v>2049.52</v>
      </c>
      <c r="K7" s="40">
        <v>2049.52</v>
      </c>
      <c r="L7" s="40"/>
      <c r="M7" s="40">
        <v>2049.52</v>
      </c>
      <c r="N7" s="40"/>
      <c r="O7" s="40" t="s">
        <v>75</v>
      </c>
    </row>
    <row r="8" spans="1:15" ht="33.75" x14ac:dyDescent="0.2">
      <c r="A8" s="40" t="s">
        <v>11712</v>
      </c>
      <c r="B8" s="40" t="s">
        <v>11712</v>
      </c>
      <c r="C8" s="41">
        <v>46077</v>
      </c>
      <c r="D8" s="41">
        <v>46029</v>
      </c>
      <c r="E8" s="40" t="s">
        <v>20</v>
      </c>
      <c r="F8" s="40" t="s">
        <v>74</v>
      </c>
      <c r="G8" s="40"/>
      <c r="H8" s="40"/>
      <c r="I8" s="40" t="s">
        <v>49</v>
      </c>
      <c r="J8" s="40">
        <v>1970.28</v>
      </c>
      <c r="K8" s="40">
        <v>1970.28</v>
      </c>
      <c r="L8" s="40"/>
      <c r="M8" s="40">
        <v>1970.28</v>
      </c>
      <c r="N8" s="40"/>
      <c r="O8" s="40" t="s">
        <v>75</v>
      </c>
    </row>
    <row r="9" spans="1:15" ht="33.75" x14ac:dyDescent="0.2">
      <c r="A9" s="40" t="s">
        <v>11713</v>
      </c>
      <c r="B9" s="40" t="s">
        <v>11713</v>
      </c>
      <c r="C9" s="41">
        <v>46073</v>
      </c>
      <c r="D9" s="41">
        <v>46014</v>
      </c>
      <c r="E9" s="40" t="s">
        <v>20</v>
      </c>
      <c r="F9" s="40" t="s">
        <v>74</v>
      </c>
      <c r="G9" s="40"/>
      <c r="H9" s="40"/>
      <c r="I9" s="40" t="s">
        <v>49</v>
      </c>
      <c r="J9" s="40">
        <v>2296.77</v>
      </c>
      <c r="K9" s="40">
        <v>2296.77</v>
      </c>
      <c r="L9" s="40"/>
      <c r="M9" s="40">
        <v>2296.77</v>
      </c>
      <c r="N9" s="40"/>
      <c r="O9" s="40" t="s">
        <v>75</v>
      </c>
    </row>
    <row r="10" spans="1:15" ht="33.75" x14ac:dyDescent="0.2">
      <c r="A10" s="40" t="s">
        <v>11714</v>
      </c>
      <c r="B10" s="40" t="s">
        <v>11714</v>
      </c>
      <c r="C10" s="41">
        <v>46072</v>
      </c>
      <c r="D10" s="41">
        <v>46029</v>
      </c>
      <c r="E10" s="40" t="s">
        <v>20</v>
      </c>
      <c r="F10" s="40" t="s">
        <v>74</v>
      </c>
      <c r="G10" s="40"/>
      <c r="H10" s="40"/>
      <c r="I10" s="40" t="s">
        <v>49</v>
      </c>
      <c r="J10" s="40">
        <v>1976.64</v>
      </c>
      <c r="K10" s="40">
        <v>1976.64</v>
      </c>
      <c r="L10" s="40"/>
      <c r="M10" s="40">
        <v>1976.64</v>
      </c>
      <c r="N10" s="40"/>
      <c r="O10" s="40" t="s">
        <v>75</v>
      </c>
    </row>
    <row r="11" spans="1:15" ht="33.75" x14ac:dyDescent="0.2">
      <c r="A11" s="40" t="s">
        <v>11715</v>
      </c>
      <c r="B11" s="40" t="s">
        <v>11715</v>
      </c>
      <c r="C11" s="41">
        <v>46071</v>
      </c>
      <c r="D11" s="41">
        <v>46048</v>
      </c>
      <c r="E11" s="40" t="s">
        <v>20</v>
      </c>
      <c r="F11" s="40" t="s">
        <v>74</v>
      </c>
      <c r="G11" s="40"/>
      <c r="H11" s="40"/>
      <c r="I11" s="40" t="s">
        <v>49</v>
      </c>
      <c r="J11" s="40">
        <v>2049.52</v>
      </c>
      <c r="K11" s="40">
        <v>2049.52</v>
      </c>
      <c r="L11" s="40"/>
      <c r="M11" s="40">
        <v>2049.52</v>
      </c>
      <c r="N11" s="40"/>
      <c r="O11" s="40" t="s">
        <v>75</v>
      </c>
    </row>
    <row r="12" spans="1:15" ht="33.75" x14ac:dyDescent="0.2">
      <c r="A12" s="40" t="s">
        <v>11716</v>
      </c>
      <c r="B12" s="40" t="s">
        <v>11716</v>
      </c>
      <c r="C12" s="41">
        <v>46070</v>
      </c>
      <c r="D12" s="41">
        <v>46014</v>
      </c>
      <c r="E12" s="40" t="s">
        <v>20</v>
      </c>
      <c r="F12" s="40" t="s">
        <v>74</v>
      </c>
      <c r="G12" s="40"/>
      <c r="H12" s="40"/>
      <c r="I12" s="40" t="s">
        <v>49</v>
      </c>
      <c r="J12" s="40">
        <v>2048</v>
      </c>
      <c r="K12" s="40">
        <v>2048</v>
      </c>
      <c r="L12" s="40"/>
      <c r="M12" s="40">
        <v>2048</v>
      </c>
      <c r="N12" s="40"/>
      <c r="O12" s="40" t="s">
        <v>75</v>
      </c>
    </row>
    <row r="13" spans="1:15" ht="33.75" x14ac:dyDescent="0.2">
      <c r="A13" s="40" t="s">
        <v>11717</v>
      </c>
      <c r="B13" s="40" t="s">
        <v>11717</v>
      </c>
      <c r="C13" s="41">
        <v>46069</v>
      </c>
      <c r="D13" s="41">
        <v>46029</v>
      </c>
      <c r="E13" s="40" t="s">
        <v>20</v>
      </c>
      <c r="F13" s="40" t="s">
        <v>74</v>
      </c>
      <c r="G13" s="40"/>
      <c r="H13" s="40"/>
      <c r="I13" s="40" t="s">
        <v>49</v>
      </c>
      <c r="J13" s="40">
        <v>2088.69</v>
      </c>
      <c r="K13" s="40">
        <v>2088.69</v>
      </c>
      <c r="L13" s="40"/>
      <c r="M13" s="40">
        <v>2088.69</v>
      </c>
      <c r="N13" s="40"/>
      <c r="O13" s="40" t="s">
        <v>75</v>
      </c>
    </row>
    <row r="14" spans="1:15" ht="33.75" x14ac:dyDescent="0.2">
      <c r="A14" s="40" t="s">
        <v>11718</v>
      </c>
      <c r="B14" s="40" t="s">
        <v>11718</v>
      </c>
      <c r="C14" s="41">
        <v>46069</v>
      </c>
      <c r="D14" s="41">
        <v>46029</v>
      </c>
      <c r="E14" s="40" t="s">
        <v>20</v>
      </c>
      <c r="F14" s="40" t="s">
        <v>74</v>
      </c>
      <c r="G14" s="40"/>
      <c r="H14" s="40"/>
      <c r="I14" s="40" t="s">
        <v>49</v>
      </c>
      <c r="J14" s="40">
        <v>1976.64</v>
      </c>
      <c r="K14" s="40">
        <v>1976.64</v>
      </c>
      <c r="L14" s="40"/>
      <c r="M14" s="40">
        <v>1976.64</v>
      </c>
      <c r="N14" s="40"/>
      <c r="O14" s="40" t="s">
        <v>75</v>
      </c>
    </row>
    <row r="15" spans="1:15" ht="33.75" x14ac:dyDescent="0.2">
      <c r="A15" s="40" t="s">
        <v>11719</v>
      </c>
      <c r="B15" s="40" t="s">
        <v>11719</v>
      </c>
      <c r="C15" s="41">
        <v>46064</v>
      </c>
      <c r="D15" s="41">
        <v>46014</v>
      </c>
      <c r="E15" s="40" t="s">
        <v>20</v>
      </c>
      <c r="F15" s="40" t="s">
        <v>74</v>
      </c>
      <c r="G15" s="40"/>
      <c r="H15" s="40"/>
      <c r="I15" s="40" t="s">
        <v>49</v>
      </c>
      <c r="J15" s="40">
        <v>2043.82</v>
      </c>
      <c r="K15" s="40">
        <v>2043.82</v>
      </c>
      <c r="L15" s="40"/>
      <c r="M15" s="40">
        <v>2043.82</v>
      </c>
      <c r="N15" s="40"/>
      <c r="O15" s="40" t="s">
        <v>75</v>
      </c>
    </row>
    <row r="16" spans="1:15" ht="33.75" x14ac:dyDescent="0.2">
      <c r="A16" s="40" t="s">
        <v>11720</v>
      </c>
      <c r="B16" s="40" t="s">
        <v>11720</v>
      </c>
      <c r="C16" s="41">
        <v>46051</v>
      </c>
      <c r="D16" s="41">
        <v>46014</v>
      </c>
      <c r="E16" s="40" t="s">
        <v>20</v>
      </c>
      <c r="F16" s="40" t="s">
        <v>74</v>
      </c>
      <c r="G16" s="40"/>
      <c r="H16" s="40"/>
      <c r="I16" s="40" t="s">
        <v>49</v>
      </c>
      <c r="J16" s="40">
        <v>2150.73</v>
      </c>
      <c r="K16" s="40">
        <v>2150.73</v>
      </c>
      <c r="L16" s="40"/>
      <c r="M16" s="40">
        <v>2150.73</v>
      </c>
      <c r="N16" s="40"/>
      <c r="O16" s="40" t="s">
        <v>75</v>
      </c>
    </row>
    <row r="17" spans="1:15" ht="56.25" x14ac:dyDescent="0.2">
      <c r="A17" s="40" t="s">
        <v>11721</v>
      </c>
      <c r="B17" s="40" t="s">
        <v>11722</v>
      </c>
      <c r="C17" s="41">
        <v>46104</v>
      </c>
      <c r="D17" s="41">
        <v>46104</v>
      </c>
      <c r="E17" s="40" t="s">
        <v>20</v>
      </c>
      <c r="F17" s="40" t="s">
        <v>74</v>
      </c>
      <c r="G17" s="40" t="s">
        <v>11723</v>
      </c>
      <c r="H17" s="40" t="s">
        <v>11724</v>
      </c>
      <c r="I17" s="40" t="s">
        <v>49</v>
      </c>
      <c r="J17" s="40">
        <v>-78.180000000000007</v>
      </c>
      <c r="K17" s="40"/>
      <c r="L17" s="40">
        <v>78.180000000000007</v>
      </c>
      <c r="M17" s="42">
        <v>-78.180000000000007</v>
      </c>
      <c r="N17" s="40" t="s">
        <v>11725</v>
      </c>
      <c r="O17" s="40" t="s">
        <v>2000</v>
      </c>
    </row>
    <row r="18" spans="1:15" ht="33.75" x14ac:dyDescent="0.2">
      <c r="A18" s="40" t="s">
        <v>11724</v>
      </c>
      <c r="B18" s="40" t="s">
        <v>11724</v>
      </c>
      <c r="C18" s="41">
        <v>46056</v>
      </c>
      <c r="D18" s="41">
        <v>46014</v>
      </c>
      <c r="E18" s="40" t="s">
        <v>20</v>
      </c>
      <c r="F18" s="40" t="s">
        <v>74</v>
      </c>
      <c r="G18" s="40"/>
      <c r="H18" s="40"/>
      <c r="I18" s="40" t="s">
        <v>49</v>
      </c>
      <c r="J18" s="40">
        <v>2048</v>
      </c>
      <c r="K18" s="40">
        <v>2048</v>
      </c>
      <c r="L18" s="40"/>
      <c r="M18" s="42">
        <v>2048</v>
      </c>
      <c r="N18" s="40" t="s">
        <v>11725</v>
      </c>
      <c r="O18" s="40" t="s">
        <v>75</v>
      </c>
    </row>
    <row r="19" spans="1:15" ht="56.25" x14ac:dyDescent="0.2">
      <c r="A19" s="40" t="s">
        <v>11726</v>
      </c>
      <c r="B19" s="40" t="s">
        <v>11727</v>
      </c>
      <c r="C19" s="41">
        <v>45687</v>
      </c>
      <c r="D19" s="41">
        <v>45687</v>
      </c>
      <c r="E19" s="40" t="s">
        <v>20</v>
      </c>
      <c r="F19" s="40" t="s">
        <v>74</v>
      </c>
      <c r="G19" s="40" t="s">
        <v>11728</v>
      </c>
      <c r="H19" s="40" t="s">
        <v>11729</v>
      </c>
      <c r="I19" s="40" t="s">
        <v>49</v>
      </c>
      <c r="J19" s="40">
        <v>-2148.3000000000002</v>
      </c>
      <c r="K19" s="40"/>
      <c r="L19" s="40">
        <v>2148.3000000000002</v>
      </c>
      <c r="M19" s="40">
        <v>-2148.3000000000002</v>
      </c>
      <c r="N19" s="40"/>
      <c r="O19" s="40" t="s">
        <v>2000</v>
      </c>
    </row>
    <row r="20" spans="1:15" ht="56.25" x14ac:dyDescent="0.2">
      <c r="A20" s="40" t="s">
        <v>11730</v>
      </c>
      <c r="B20" s="40" t="s">
        <v>11731</v>
      </c>
      <c r="C20" s="41">
        <v>45687</v>
      </c>
      <c r="D20" s="40"/>
      <c r="E20" s="40" t="s">
        <v>20</v>
      </c>
      <c r="F20" s="40"/>
      <c r="G20" s="40"/>
      <c r="H20" s="40" t="s">
        <v>11732</v>
      </c>
      <c r="I20" s="40" t="s">
        <v>49</v>
      </c>
      <c r="J20" s="40">
        <v>2148.3000000000002</v>
      </c>
      <c r="K20" s="40">
        <v>2148.3000000000002</v>
      </c>
      <c r="L20" s="40"/>
      <c r="M20" s="40">
        <v>2148.3000000000002</v>
      </c>
      <c r="N20" s="40"/>
      <c r="O20" s="40" t="s">
        <v>234</v>
      </c>
    </row>
    <row r="21" spans="1:15" ht="45" x14ac:dyDescent="0.2">
      <c r="A21" s="40" t="s">
        <v>11733</v>
      </c>
      <c r="B21" s="40" t="s">
        <v>11734</v>
      </c>
      <c r="C21" s="41">
        <v>45658</v>
      </c>
      <c r="D21" s="41">
        <v>45367</v>
      </c>
      <c r="E21" s="40" t="s">
        <v>20</v>
      </c>
      <c r="F21" s="40" t="s">
        <v>5108</v>
      </c>
      <c r="G21" s="40" t="s">
        <v>11735</v>
      </c>
      <c r="H21" s="40" t="s">
        <v>11736</v>
      </c>
      <c r="I21" s="40" t="s">
        <v>49</v>
      </c>
      <c r="J21" s="40">
        <v>3302.03</v>
      </c>
      <c r="K21" s="40">
        <v>3302.03</v>
      </c>
      <c r="L21" s="40"/>
      <c r="M21" s="40">
        <v>3302.03</v>
      </c>
      <c r="N21" s="40"/>
      <c r="O21" s="40" t="s">
        <v>234</v>
      </c>
    </row>
    <row r="22" spans="1:15" ht="45" x14ac:dyDescent="0.2">
      <c r="A22" s="40" t="s">
        <v>11737</v>
      </c>
      <c r="B22" s="40" t="s">
        <v>11738</v>
      </c>
      <c r="C22" s="41">
        <v>45658</v>
      </c>
      <c r="D22" s="41">
        <v>45395</v>
      </c>
      <c r="E22" s="40" t="s">
        <v>20</v>
      </c>
      <c r="F22" s="40" t="s">
        <v>5108</v>
      </c>
      <c r="G22" s="40" t="s">
        <v>11739</v>
      </c>
      <c r="H22" s="40" t="s">
        <v>11740</v>
      </c>
      <c r="I22" s="40" t="s">
        <v>49</v>
      </c>
      <c r="J22" s="40">
        <v>3302.03</v>
      </c>
      <c r="K22" s="40">
        <v>3302.03</v>
      </c>
      <c r="L22" s="40"/>
      <c r="M22" s="40">
        <v>3302.03</v>
      </c>
      <c r="N22" s="40"/>
      <c r="O22" s="40" t="s">
        <v>234</v>
      </c>
    </row>
    <row r="23" spans="1:15" ht="45" x14ac:dyDescent="0.2">
      <c r="A23" s="40" t="s">
        <v>11741</v>
      </c>
      <c r="B23" s="40" t="s">
        <v>11742</v>
      </c>
      <c r="C23" s="41">
        <v>45658</v>
      </c>
      <c r="D23" s="41">
        <v>45381</v>
      </c>
      <c r="E23" s="40" t="s">
        <v>20</v>
      </c>
      <c r="F23" s="40" t="s">
        <v>5108</v>
      </c>
      <c r="G23" s="40" t="s">
        <v>11743</v>
      </c>
      <c r="H23" s="40" t="s">
        <v>11744</v>
      </c>
      <c r="I23" s="40" t="s">
        <v>49</v>
      </c>
      <c r="J23" s="40">
        <v>3302.03</v>
      </c>
      <c r="K23" s="40">
        <v>3302.03</v>
      </c>
      <c r="L23" s="40"/>
      <c r="M23" s="40">
        <v>3302.03</v>
      </c>
      <c r="N23" s="40"/>
      <c r="O23" s="40" t="s">
        <v>234</v>
      </c>
    </row>
    <row r="24" spans="1:15" ht="45" x14ac:dyDescent="0.2">
      <c r="A24" s="40" t="s">
        <v>11745</v>
      </c>
      <c r="B24" s="40" t="s">
        <v>11746</v>
      </c>
      <c r="C24" s="41">
        <v>45658</v>
      </c>
      <c r="D24" s="41">
        <v>45363</v>
      </c>
      <c r="E24" s="40" t="s">
        <v>20</v>
      </c>
      <c r="F24" s="40" t="s">
        <v>5108</v>
      </c>
      <c r="G24" s="40" t="s">
        <v>11747</v>
      </c>
      <c r="H24" s="40" t="s">
        <v>11748</v>
      </c>
      <c r="I24" s="40" t="s">
        <v>49</v>
      </c>
      <c r="J24" s="40">
        <v>2347.67</v>
      </c>
      <c r="K24" s="40">
        <v>2347.67</v>
      </c>
      <c r="L24" s="40"/>
      <c r="M24" s="40">
        <v>2347.67</v>
      </c>
      <c r="N24" s="40"/>
      <c r="O24" s="40" t="s">
        <v>234</v>
      </c>
    </row>
    <row r="25" spans="1:15" ht="45" x14ac:dyDescent="0.2">
      <c r="A25" s="40" t="s">
        <v>11749</v>
      </c>
      <c r="B25" s="40" t="s">
        <v>11750</v>
      </c>
      <c r="C25" s="41">
        <v>45658</v>
      </c>
      <c r="D25" s="41">
        <v>45362</v>
      </c>
      <c r="E25" s="40" t="s">
        <v>20</v>
      </c>
      <c r="F25" s="40" t="s">
        <v>5108</v>
      </c>
      <c r="G25" s="40" t="s">
        <v>11751</v>
      </c>
      <c r="H25" s="40" t="s">
        <v>11752</v>
      </c>
      <c r="I25" s="40" t="s">
        <v>49</v>
      </c>
      <c r="J25" s="40">
        <v>2347.67</v>
      </c>
      <c r="K25" s="40">
        <v>2347.67</v>
      </c>
      <c r="L25" s="40"/>
      <c r="M25" s="40">
        <v>2347.67</v>
      </c>
      <c r="N25" s="40"/>
      <c r="O25" s="40" t="s">
        <v>234</v>
      </c>
    </row>
    <row r="26" spans="1:15" ht="45" x14ac:dyDescent="0.2">
      <c r="A26" s="40" t="s">
        <v>11753</v>
      </c>
      <c r="B26" s="40" t="s">
        <v>11754</v>
      </c>
      <c r="C26" s="41">
        <v>45658</v>
      </c>
      <c r="D26" s="41">
        <v>45364</v>
      </c>
      <c r="E26" s="40" t="s">
        <v>20</v>
      </c>
      <c r="F26" s="40" t="s">
        <v>5108</v>
      </c>
      <c r="G26" s="40" t="s">
        <v>11755</v>
      </c>
      <c r="H26" s="40" t="s">
        <v>11756</v>
      </c>
      <c r="I26" s="40" t="s">
        <v>49</v>
      </c>
      <c r="J26" s="40">
        <v>2096.91</v>
      </c>
      <c r="K26" s="40">
        <v>2096.91</v>
      </c>
      <c r="L26" s="40"/>
      <c r="M26" s="40">
        <v>2096.91</v>
      </c>
      <c r="N26" s="40"/>
      <c r="O26" s="40" t="s">
        <v>234</v>
      </c>
    </row>
    <row r="27" spans="1:15" ht="45" x14ac:dyDescent="0.2">
      <c r="A27" s="40" t="s">
        <v>11757</v>
      </c>
      <c r="B27" s="40" t="s">
        <v>11758</v>
      </c>
      <c r="C27" s="41">
        <v>45658</v>
      </c>
      <c r="D27" s="41">
        <v>45366</v>
      </c>
      <c r="E27" s="40" t="s">
        <v>20</v>
      </c>
      <c r="F27" s="40" t="s">
        <v>5108</v>
      </c>
      <c r="G27" s="40" t="s">
        <v>11759</v>
      </c>
      <c r="H27" s="40" t="s">
        <v>11760</v>
      </c>
      <c r="I27" s="40" t="s">
        <v>49</v>
      </c>
      <c r="J27" s="40">
        <v>2096.91</v>
      </c>
      <c r="K27" s="40">
        <v>2096.91</v>
      </c>
      <c r="L27" s="40"/>
      <c r="M27" s="40">
        <v>2096.91</v>
      </c>
      <c r="N27" s="40"/>
      <c r="O27" s="40" t="s">
        <v>234</v>
      </c>
    </row>
    <row r="28" spans="1:15" ht="45" x14ac:dyDescent="0.2">
      <c r="A28" s="40" t="s">
        <v>11761</v>
      </c>
      <c r="B28" s="40" t="s">
        <v>11762</v>
      </c>
      <c r="C28" s="41">
        <v>45658</v>
      </c>
      <c r="D28" s="41">
        <v>45367</v>
      </c>
      <c r="E28" s="40" t="s">
        <v>20</v>
      </c>
      <c r="F28" s="40" t="s">
        <v>5108</v>
      </c>
      <c r="G28" s="40" t="s">
        <v>11763</v>
      </c>
      <c r="H28" s="40" t="s">
        <v>11764</v>
      </c>
      <c r="I28" s="40" t="s">
        <v>49</v>
      </c>
      <c r="J28" s="40">
        <v>2096.91</v>
      </c>
      <c r="K28" s="40">
        <v>2096.91</v>
      </c>
      <c r="L28" s="40"/>
      <c r="M28" s="40">
        <v>2096.91</v>
      </c>
      <c r="N28" s="40"/>
      <c r="O28" s="40" t="s">
        <v>234</v>
      </c>
    </row>
    <row r="29" spans="1:15" ht="45" x14ac:dyDescent="0.2">
      <c r="A29" s="40" t="s">
        <v>11765</v>
      </c>
      <c r="B29" s="40" t="s">
        <v>11766</v>
      </c>
      <c r="C29" s="41">
        <v>45658</v>
      </c>
      <c r="D29" s="41">
        <v>45360</v>
      </c>
      <c r="E29" s="40" t="s">
        <v>20</v>
      </c>
      <c r="F29" s="40" t="s">
        <v>5108</v>
      </c>
      <c r="G29" s="40" t="s">
        <v>11767</v>
      </c>
      <c r="H29" s="40" t="s">
        <v>11768</v>
      </c>
      <c r="I29" s="40" t="s">
        <v>49</v>
      </c>
      <c r="J29" s="40">
        <v>2083.27</v>
      </c>
      <c r="K29" s="40">
        <v>2083.27</v>
      </c>
      <c r="L29" s="40"/>
      <c r="M29" s="40">
        <v>2083.27</v>
      </c>
      <c r="N29" s="40"/>
      <c r="O29" s="40" t="s">
        <v>234</v>
      </c>
    </row>
    <row r="30" spans="1:15" ht="45" x14ac:dyDescent="0.2">
      <c r="A30" s="40" t="s">
        <v>11769</v>
      </c>
      <c r="B30" s="40" t="s">
        <v>11770</v>
      </c>
      <c r="C30" s="41">
        <v>45658</v>
      </c>
      <c r="D30" s="41">
        <v>45362</v>
      </c>
      <c r="E30" s="40" t="s">
        <v>20</v>
      </c>
      <c r="F30" s="40" t="s">
        <v>5108</v>
      </c>
      <c r="G30" s="40" t="s">
        <v>11771</v>
      </c>
      <c r="H30" s="40" t="s">
        <v>11772</v>
      </c>
      <c r="I30" s="40" t="s">
        <v>49</v>
      </c>
      <c r="J30" s="40">
        <v>2083.25</v>
      </c>
      <c r="K30" s="40">
        <v>2083.25</v>
      </c>
      <c r="L30" s="40"/>
      <c r="M30" s="40">
        <v>2083.25</v>
      </c>
      <c r="N30" s="40"/>
      <c r="O30" s="40" t="s">
        <v>234</v>
      </c>
    </row>
    <row r="31" spans="1:15" ht="45" x14ac:dyDescent="0.2">
      <c r="A31" s="40" t="s">
        <v>11773</v>
      </c>
      <c r="B31" s="40" t="s">
        <v>11774</v>
      </c>
      <c r="C31" s="41">
        <v>45658</v>
      </c>
      <c r="D31" s="41">
        <v>45357</v>
      </c>
      <c r="E31" s="40" t="s">
        <v>20</v>
      </c>
      <c r="F31" s="40" t="s">
        <v>5108</v>
      </c>
      <c r="G31" s="40" t="s">
        <v>11775</v>
      </c>
      <c r="H31" s="40" t="s">
        <v>11776</v>
      </c>
      <c r="I31" s="40" t="s">
        <v>49</v>
      </c>
      <c r="J31" s="40">
        <v>1392.8</v>
      </c>
      <c r="K31" s="40">
        <v>1392.8</v>
      </c>
      <c r="L31" s="40"/>
      <c r="M31" s="40">
        <v>1392.8</v>
      </c>
      <c r="N31" s="40"/>
      <c r="O31" s="40" t="s">
        <v>234</v>
      </c>
    </row>
    <row r="32" spans="1:15" ht="45" x14ac:dyDescent="0.2">
      <c r="A32" s="40" t="s">
        <v>11777</v>
      </c>
      <c r="B32" s="40" t="s">
        <v>11778</v>
      </c>
      <c r="C32" s="41">
        <v>45658</v>
      </c>
      <c r="D32" s="41">
        <v>44683</v>
      </c>
      <c r="E32" s="40" t="s">
        <v>20</v>
      </c>
      <c r="F32" s="40" t="s">
        <v>5121</v>
      </c>
      <c r="G32" s="40" t="s">
        <v>11779</v>
      </c>
      <c r="H32" s="40" t="s">
        <v>11780</v>
      </c>
      <c r="I32" s="40" t="s">
        <v>49</v>
      </c>
      <c r="J32" s="40">
        <v>2505.96</v>
      </c>
      <c r="K32" s="40">
        <v>2505.96</v>
      </c>
      <c r="L32" s="40"/>
      <c r="M32" s="40">
        <v>2505.96</v>
      </c>
      <c r="N32" s="40"/>
      <c r="O32" s="40" t="s">
        <v>234</v>
      </c>
    </row>
    <row r="33" spans="1:15" ht="45" x14ac:dyDescent="0.2">
      <c r="A33" s="40" t="s">
        <v>11781</v>
      </c>
      <c r="B33" s="40" t="s">
        <v>11782</v>
      </c>
      <c r="C33" s="41">
        <v>45658</v>
      </c>
      <c r="D33" s="41">
        <v>44718</v>
      </c>
      <c r="E33" s="40" t="s">
        <v>20</v>
      </c>
      <c r="F33" s="40" t="s">
        <v>5121</v>
      </c>
      <c r="G33" s="40" t="s">
        <v>11783</v>
      </c>
      <c r="H33" s="40" t="s">
        <v>11784</v>
      </c>
      <c r="I33" s="40" t="s">
        <v>49</v>
      </c>
      <c r="J33" s="40">
        <v>2502.5</v>
      </c>
      <c r="K33" s="40">
        <v>2502.5</v>
      </c>
      <c r="L33" s="40"/>
      <c r="M33" s="40">
        <v>2502.5</v>
      </c>
      <c r="N33" s="40"/>
      <c r="O33" s="40" t="s">
        <v>234</v>
      </c>
    </row>
    <row r="34" spans="1:15" ht="45" x14ac:dyDescent="0.2">
      <c r="A34" s="40" t="s">
        <v>11785</v>
      </c>
      <c r="B34" s="40" t="s">
        <v>11786</v>
      </c>
      <c r="C34" s="41">
        <v>45658</v>
      </c>
      <c r="D34" s="41">
        <v>44739</v>
      </c>
      <c r="E34" s="40" t="s">
        <v>20</v>
      </c>
      <c r="F34" s="40" t="s">
        <v>5121</v>
      </c>
      <c r="G34" s="40" t="s">
        <v>11787</v>
      </c>
      <c r="H34" s="40" t="s">
        <v>11788</v>
      </c>
      <c r="I34" s="40" t="s">
        <v>49</v>
      </c>
      <c r="J34" s="40">
        <v>2502.4899999999998</v>
      </c>
      <c r="K34" s="40">
        <v>2502.4899999999998</v>
      </c>
      <c r="L34" s="40"/>
      <c r="M34" s="40">
        <v>2502.4899999999998</v>
      </c>
      <c r="N34" s="40"/>
      <c r="O34" s="40" t="s">
        <v>234</v>
      </c>
    </row>
    <row r="35" spans="1:15" ht="45" x14ac:dyDescent="0.2">
      <c r="A35" s="40" t="s">
        <v>11789</v>
      </c>
      <c r="B35" s="40" t="s">
        <v>11790</v>
      </c>
      <c r="C35" s="41">
        <v>45658</v>
      </c>
      <c r="D35" s="41">
        <v>44704</v>
      </c>
      <c r="E35" s="40" t="s">
        <v>20</v>
      </c>
      <c r="F35" s="40" t="s">
        <v>5121</v>
      </c>
      <c r="G35" s="40" t="s">
        <v>11791</v>
      </c>
      <c r="H35" s="40" t="s">
        <v>11792</v>
      </c>
      <c r="I35" s="40" t="s">
        <v>49</v>
      </c>
      <c r="J35" s="40">
        <v>2127.19</v>
      </c>
      <c r="K35" s="40">
        <v>2127.19</v>
      </c>
      <c r="L35" s="40"/>
      <c r="M35" s="40">
        <v>2127.19</v>
      </c>
      <c r="N35" s="40"/>
      <c r="O35" s="40" t="s">
        <v>234</v>
      </c>
    </row>
    <row r="36" spans="1:15" ht="45" x14ac:dyDescent="0.2">
      <c r="A36" s="40" t="s">
        <v>11793</v>
      </c>
      <c r="B36" s="40" t="s">
        <v>11794</v>
      </c>
      <c r="C36" s="41">
        <v>45658</v>
      </c>
      <c r="D36" s="41">
        <v>44711</v>
      </c>
      <c r="E36" s="40" t="s">
        <v>20</v>
      </c>
      <c r="F36" s="40" t="s">
        <v>5121</v>
      </c>
      <c r="G36" s="40" t="s">
        <v>11795</v>
      </c>
      <c r="H36" s="40" t="s">
        <v>11796</v>
      </c>
      <c r="I36" s="40" t="s">
        <v>49</v>
      </c>
      <c r="J36" s="40">
        <v>2127.19</v>
      </c>
      <c r="K36" s="40">
        <v>2127.19</v>
      </c>
      <c r="L36" s="40"/>
      <c r="M36" s="40">
        <v>2127.19</v>
      </c>
      <c r="N36" s="40"/>
      <c r="O36" s="40" t="s">
        <v>234</v>
      </c>
    </row>
    <row r="37" spans="1:15" ht="45" x14ac:dyDescent="0.2">
      <c r="A37" s="40" t="s">
        <v>11797</v>
      </c>
      <c r="B37" s="40" t="s">
        <v>11798</v>
      </c>
      <c r="C37" s="41">
        <v>45658</v>
      </c>
      <c r="D37" s="41">
        <v>44732</v>
      </c>
      <c r="E37" s="40" t="s">
        <v>20</v>
      </c>
      <c r="F37" s="40" t="s">
        <v>5121</v>
      </c>
      <c r="G37" s="40" t="s">
        <v>11799</v>
      </c>
      <c r="H37" s="40" t="s">
        <v>11800</v>
      </c>
      <c r="I37" s="40" t="s">
        <v>49</v>
      </c>
      <c r="J37" s="40">
        <v>2127.19</v>
      </c>
      <c r="K37" s="40">
        <v>2127.19</v>
      </c>
      <c r="L37" s="40"/>
      <c r="M37" s="40">
        <v>2127.19</v>
      </c>
      <c r="N37" s="40"/>
      <c r="O37" s="40" t="s">
        <v>234</v>
      </c>
    </row>
    <row r="38" spans="1:15" ht="45" x14ac:dyDescent="0.2">
      <c r="A38" s="40" t="s">
        <v>11801</v>
      </c>
      <c r="B38" s="40" t="s">
        <v>11802</v>
      </c>
      <c r="C38" s="41">
        <v>45658</v>
      </c>
      <c r="D38" s="41">
        <v>44748</v>
      </c>
      <c r="E38" s="40" t="s">
        <v>20</v>
      </c>
      <c r="F38" s="40" t="s">
        <v>5121</v>
      </c>
      <c r="G38" s="40" t="s">
        <v>11803</v>
      </c>
      <c r="H38" s="40" t="s">
        <v>11804</v>
      </c>
      <c r="I38" s="40" t="s">
        <v>49</v>
      </c>
      <c r="J38" s="40">
        <v>2127.19</v>
      </c>
      <c r="K38" s="40">
        <v>2127.19</v>
      </c>
      <c r="L38" s="40"/>
      <c r="M38" s="40">
        <v>2127.19</v>
      </c>
      <c r="N38" s="40"/>
      <c r="O38" s="40" t="s">
        <v>234</v>
      </c>
    </row>
    <row r="39" spans="1:15" ht="45" x14ac:dyDescent="0.2">
      <c r="A39" s="40" t="s">
        <v>11805</v>
      </c>
      <c r="B39" s="40" t="s">
        <v>11806</v>
      </c>
      <c r="C39" s="41">
        <v>45658</v>
      </c>
      <c r="D39" s="41">
        <v>44718</v>
      </c>
      <c r="E39" s="40" t="s">
        <v>20</v>
      </c>
      <c r="F39" s="40" t="s">
        <v>5121</v>
      </c>
      <c r="G39" s="40" t="s">
        <v>11807</v>
      </c>
      <c r="H39" s="40" t="s">
        <v>11808</v>
      </c>
      <c r="I39" s="40" t="s">
        <v>49</v>
      </c>
      <c r="J39" s="40">
        <v>2127.19</v>
      </c>
      <c r="K39" s="40">
        <v>2127.19</v>
      </c>
      <c r="L39" s="40"/>
      <c r="M39" s="40">
        <v>2127.19</v>
      </c>
      <c r="N39" s="40"/>
      <c r="O39" s="40" t="s">
        <v>234</v>
      </c>
    </row>
    <row r="41" spans="1:15" x14ac:dyDescent="0.2">
      <c r="M41" s="10">
        <f>SUM(M3:M40)</f>
        <v>75504.639999999999</v>
      </c>
    </row>
  </sheetData>
  <mergeCells count="1">
    <mergeCell ref="A2:C2"/>
  </mergeCells>
  <conditionalFormatting sqref="N2:N1048576">
    <cfRule type="duplicateValues" dxfId="38" priority="2"/>
  </conditionalFormatting>
  <conditionalFormatting sqref="N1">
    <cfRule type="duplicateValues" dxfId="3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32A4A-EA6A-40AE-9300-9BF6B4A9FEEB}">
  <dimension ref="A1:O144"/>
  <sheetViews>
    <sheetView showGridLines="0" topLeftCell="E135" workbookViewId="0">
      <selection activeCell="L146" sqref="L146"/>
    </sheetView>
  </sheetViews>
  <sheetFormatPr baseColWidth="10" defaultColWidth="19.85546875" defaultRowHeight="11.25" x14ac:dyDescent="0.2"/>
  <cols>
    <col min="1" max="4" width="19.85546875" style="8"/>
    <col min="5" max="5" width="17.140625" style="8" customWidth="1"/>
    <col min="6" max="6" width="16.5703125" style="8" customWidth="1"/>
    <col min="7" max="7" width="12.85546875" style="8" customWidth="1"/>
    <col min="8" max="8" width="10.28515625" style="8" customWidth="1"/>
    <col min="9" max="9" width="11.42578125" style="8" customWidth="1"/>
    <col min="10" max="10" width="13.7109375" style="8" customWidth="1"/>
    <col min="11" max="11" width="11.7109375" style="8" customWidth="1"/>
    <col min="12" max="12" width="13.28515625" style="8" customWidth="1"/>
    <col min="13" max="13" width="15.140625" style="9" customWidth="1"/>
    <col min="14" max="16384" width="19.85546875" style="8"/>
  </cols>
  <sheetData>
    <row r="1" spans="1:15" s="5" customFormat="1" ht="27" customHeight="1" x14ac:dyDescent="0.25">
      <c r="A1" s="36" t="s">
        <v>33</v>
      </c>
      <c r="B1" s="36" t="s">
        <v>34</v>
      </c>
      <c r="C1" s="36" t="s">
        <v>35</v>
      </c>
      <c r="D1" s="36" t="s">
        <v>36</v>
      </c>
      <c r="E1" s="36" t="s">
        <v>37</v>
      </c>
      <c r="F1" s="36" t="s">
        <v>38</v>
      </c>
      <c r="G1" s="36" t="s">
        <v>39</v>
      </c>
      <c r="H1" s="36" t="s">
        <v>40</v>
      </c>
      <c r="I1" s="36" t="s">
        <v>41</v>
      </c>
      <c r="J1" s="36" t="s">
        <v>42</v>
      </c>
      <c r="K1" s="36" t="s">
        <v>3</v>
      </c>
      <c r="L1" s="36" t="s">
        <v>4</v>
      </c>
      <c r="M1" s="37" t="s">
        <v>43</v>
      </c>
      <c r="N1" s="36" t="s">
        <v>44</v>
      </c>
      <c r="O1" s="36" t="s">
        <v>45</v>
      </c>
    </row>
    <row r="2" spans="1:15" ht="33.75" customHeight="1" x14ac:dyDescent="0.2">
      <c r="A2" s="90" t="s">
        <v>9885</v>
      </c>
      <c r="B2" s="90"/>
      <c r="C2" s="90"/>
      <c r="D2" s="90"/>
      <c r="E2" s="38"/>
      <c r="F2" s="38"/>
      <c r="G2" s="38"/>
      <c r="H2" s="38"/>
      <c r="I2" s="38"/>
      <c r="J2" s="38"/>
      <c r="K2" s="38"/>
      <c r="L2" s="38"/>
      <c r="M2" s="39"/>
      <c r="N2" s="38"/>
      <c r="O2" s="38"/>
    </row>
    <row r="3" spans="1:15" ht="45" x14ac:dyDescent="0.2">
      <c r="A3" s="40" t="s">
        <v>9886</v>
      </c>
      <c r="B3" s="40" t="s">
        <v>9887</v>
      </c>
      <c r="C3" s="41">
        <v>46112</v>
      </c>
      <c r="D3" s="40"/>
      <c r="E3" s="40" t="s">
        <v>22</v>
      </c>
      <c r="F3" s="40"/>
      <c r="G3" s="40" t="s">
        <v>78</v>
      </c>
      <c r="H3" s="40" t="s">
        <v>79</v>
      </c>
      <c r="I3" s="40" t="s">
        <v>80</v>
      </c>
      <c r="J3" s="40"/>
      <c r="K3" s="40">
        <v>19.100000000000001</v>
      </c>
      <c r="L3" s="43"/>
      <c r="M3" s="55">
        <v>19.100000000000001</v>
      </c>
      <c r="N3" s="40" t="s">
        <v>9888</v>
      </c>
      <c r="O3" s="40" t="s">
        <v>82</v>
      </c>
    </row>
    <row r="4" spans="1:15" ht="33.75" x14ac:dyDescent="0.2">
      <c r="A4" s="40" t="s">
        <v>9889</v>
      </c>
      <c r="B4" s="40" t="s">
        <v>9889</v>
      </c>
      <c r="C4" s="41">
        <v>46111</v>
      </c>
      <c r="D4" s="41">
        <v>46141</v>
      </c>
      <c r="E4" s="40" t="s">
        <v>22</v>
      </c>
      <c r="F4" s="40" t="s">
        <v>9890</v>
      </c>
      <c r="G4" s="40" t="s">
        <v>9889</v>
      </c>
      <c r="H4" s="40"/>
      <c r="I4" s="40" t="s">
        <v>49</v>
      </c>
      <c r="J4" s="40">
        <v>174.12</v>
      </c>
      <c r="K4" s="40">
        <v>174.12</v>
      </c>
      <c r="L4" s="40"/>
      <c r="M4" s="40">
        <v>174.12</v>
      </c>
      <c r="N4" s="40" t="s">
        <v>9891</v>
      </c>
      <c r="O4" s="40" t="s">
        <v>50</v>
      </c>
    </row>
    <row r="5" spans="1:15" ht="33.75" x14ac:dyDescent="0.2">
      <c r="A5" s="40" t="s">
        <v>9892</v>
      </c>
      <c r="B5" s="40" t="s">
        <v>9892</v>
      </c>
      <c r="C5" s="41">
        <v>46111</v>
      </c>
      <c r="D5" s="41">
        <v>46201</v>
      </c>
      <c r="E5" s="40" t="s">
        <v>22</v>
      </c>
      <c r="F5" s="40" t="s">
        <v>9890</v>
      </c>
      <c r="G5" s="40" t="s">
        <v>9892</v>
      </c>
      <c r="H5" s="40"/>
      <c r="I5" s="40" t="s">
        <v>49</v>
      </c>
      <c r="J5" s="40">
        <v>84582.399999999994</v>
      </c>
      <c r="K5" s="40">
        <v>84582.399999999994</v>
      </c>
      <c r="L5" s="40"/>
      <c r="M5" s="40">
        <v>84582.399999999994</v>
      </c>
      <c r="N5" s="40"/>
      <c r="O5" s="40" t="s">
        <v>50</v>
      </c>
    </row>
    <row r="6" spans="1:15" ht="33.75" x14ac:dyDescent="0.2">
      <c r="A6" s="40" t="s">
        <v>9893</v>
      </c>
      <c r="B6" s="40" t="s">
        <v>9893</v>
      </c>
      <c r="C6" s="41">
        <v>46111</v>
      </c>
      <c r="D6" s="41">
        <v>46201</v>
      </c>
      <c r="E6" s="40" t="s">
        <v>22</v>
      </c>
      <c r="F6" s="40" t="s">
        <v>9890</v>
      </c>
      <c r="G6" s="40" t="s">
        <v>9893</v>
      </c>
      <c r="H6" s="40"/>
      <c r="I6" s="40" t="s">
        <v>49</v>
      </c>
      <c r="J6" s="40">
        <v>17888.330000000002</v>
      </c>
      <c r="K6" s="40">
        <v>17888.330000000002</v>
      </c>
      <c r="L6" s="40"/>
      <c r="M6" s="40">
        <v>17888.330000000002</v>
      </c>
      <c r="N6" s="40"/>
      <c r="O6" s="40" t="s">
        <v>50</v>
      </c>
    </row>
    <row r="7" spans="1:15" ht="33.75" x14ac:dyDescent="0.2">
      <c r="A7" s="40" t="s">
        <v>9894</v>
      </c>
      <c r="B7" s="40" t="s">
        <v>9894</v>
      </c>
      <c r="C7" s="41">
        <v>46108</v>
      </c>
      <c r="D7" s="41">
        <v>46108</v>
      </c>
      <c r="E7" s="40" t="s">
        <v>22</v>
      </c>
      <c r="F7" s="40" t="s">
        <v>9895</v>
      </c>
      <c r="G7" s="40" t="s">
        <v>9894</v>
      </c>
      <c r="H7" s="40"/>
      <c r="I7" s="40" t="s">
        <v>49</v>
      </c>
      <c r="J7" s="40">
        <v>25.99</v>
      </c>
      <c r="K7" s="40">
        <v>25.99</v>
      </c>
      <c r="L7" s="40"/>
      <c r="M7" s="40">
        <v>25.99</v>
      </c>
      <c r="N7" s="40"/>
      <c r="O7" s="40" t="s">
        <v>50</v>
      </c>
    </row>
    <row r="8" spans="1:15" ht="33.75" x14ac:dyDescent="0.2">
      <c r="A8" s="40" t="s">
        <v>9896</v>
      </c>
      <c r="B8" s="40" t="s">
        <v>9896</v>
      </c>
      <c r="C8" s="41">
        <v>46092</v>
      </c>
      <c r="D8" s="41">
        <v>46092</v>
      </c>
      <c r="E8" s="40" t="s">
        <v>22</v>
      </c>
      <c r="F8" s="40" t="s">
        <v>9895</v>
      </c>
      <c r="G8" s="40" t="s">
        <v>9896</v>
      </c>
      <c r="H8" s="40"/>
      <c r="I8" s="40" t="s">
        <v>49</v>
      </c>
      <c r="J8" s="40">
        <v>10977.43</v>
      </c>
      <c r="K8" s="40">
        <v>10977.43</v>
      </c>
      <c r="L8" s="40"/>
      <c r="M8" s="40">
        <v>10977.43</v>
      </c>
      <c r="N8" s="40"/>
      <c r="O8" s="40" t="s">
        <v>50</v>
      </c>
    </row>
    <row r="9" spans="1:15" ht="33.75" x14ac:dyDescent="0.2">
      <c r="A9" s="40" t="s">
        <v>9897</v>
      </c>
      <c r="B9" s="40" t="s">
        <v>9897</v>
      </c>
      <c r="C9" s="41">
        <v>46092</v>
      </c>
      <c r="D9" s="41">
        <v>46182</v>
      </c>
      <c r="E9" s="40" t="s">
        <v>22</v>
      </c>
      <c r="F9" s="40" t="s">
        <v>9890</v>
      </c>
      <c r="G9" s="40" t="s">
        <v>9897</v>
      </c>
      <c r="H9" s="40"/>
      <c r="I9" s="40" t="s">
        <v>49</v>
      </c>
      <c r="J9" s="40">
        <v>39194.879999999997</v>
      </c>
      <c r="K9" s="40">
        <v>39194.879999999997</v>
      </c>
      <c r="L9" s="40"/>
      <c r="M9" s="40">
        <v>39194.879999999997</v>
      </c>
      <c r="N9" s="40"/>
      <c r="O9" s="40" t="s">
        <v>50</v>
      </c>
    </row>
    <row r="10" spans="1:15" ht="33.75" x14ac:dyDescent="0.2">
      <c r="A10" s="40" t="s">
        <v>9898</v>
      </c>
      <c r="B10" s="40" t="s">
        <v>9898</v>
      </c>
      <c r="C10" s="41">
        <v>46092</v>
      </c>
      <c r="D10" s="41">
        <v>46182</v>
      </c>
      <c r="E10" s="40" t="s">
        <v>22</v>
      </c>
      <c r="F10" s="40" t="s">
        <v>9890</v>
      </c>
      <c r="G10" s="40" t="s">
        <v>9898</v>
      </c>
      <c r="H10" s="40"/>
      <c r="I10" s="40" t="s">
        <v>49</v>
      </c>
      <c r="J10" s="40">
        <v>218238.64</v>
      </c>
      <c r="K10" s="40">
        <v>218238.64</v>
      </c>
      <c r="L10" s="40"/>
      <c r="M10" s="40">
        <v>218238.64</v>
      </c>
      <c r="N10" s="40"/>
      <c r="O10" s="40" t="s">
        <v>50</v>
      </c>
    </row>
    <row r="11" spans="1:15" ht="33.75" x14ac:dyDescent="0.2">
      <c r="A11" s="40" t="s">
        <v>9899</v>
      </c>
      <c r="B11" s="40" t="s">
        <v>9899</v>
      </c>
      <c r="C11" s="41">
        <v>46092</v>
      </c>
      <c r="D11" s="41">
        <v>46182</v>
      </c>
      <c r="E11" s="40" t="s">
        <v>22</v>
      </c>
      <c r="F11" s="40" t="s">
        <v>9890</v>
      </c>
      <c r="G11" s="40" t="s">
        <v>9899</v>
      </c>
      <c r="H11" s="40"/>
      <c r="I11" s="40" t="s">
        <v>49</v>
      </c>
      <c r="J11" s="40">
        <v>21523.200000000001</v>
      </c>
      <c r="K11" s="40">
        <v>21523.200000000001</v>
      </c>
      <c r="L11" s="40"/>
      <c r="M11" s="40">
        <v>21523.200000000001</v>
      </c>
      <c r="N11" s="40"/>
      <c r="O11" s="40" t="s">
        <v>50</v>
      </c>
    </row>
    <row r="12" spans="1:15" ht="33.75" x14ac:dyDescent="0.2">
      <c r="A12" s="40" t="s">
        <v>9900</v>
      </c>
      <c r="B12" s="40" t="s">
        <v>9900</v>
      </c>
      <c r="C12" s="41">
        <v>46090</v>
      </c>
      <c r="D12" s="41">
        <v>46180</v>
      </c>
      <c r="E12" s="40" t="s">
        <v>22</v>
      </c>
      <c r="F12" s="40" t="s">
        <v>9890</v>
      </c>
      <c r="G12" s="40" t="s">
        <v>9900</v>
      </c>
      <c r="H12" s="40"/>
      <c r="I12" s="40" t="s">
        <v>49</v>
      </c>
      <c r="J12" s="40">
        <v>58735.68</v>
      </c>
      <c r="K12" s="40">
        <v>58735.68</v>
      </c>
      <c r="L12" s="40"/>
      <c r="M12" s="40">
        <v>58735.68</v>
      </c>
      <c r="N12" s="40"/>
      <c r="O12" s="40" t="s">
        <v>50</v>
      </c>
    </row>
    <row r="13" spans="1:15" ht="33.75" x14ac:dyDescent="0.2">
      <c r="A13" s="40" t="s">
        <v>9901</v>
      </c>
      <c r="B13" s="40" t="s">
        <v>9901</v>
      </c>
      <c r="C13" s="41">
        <v>46090</v>
      </c>
      <c r="D13" s="41">
        <v>46180</v>
      </c>
      <c r="E13" s="40" t="s">
        <v>22</v>
      </c>
      <c r="F13" s="40" t="s">
        <v>9890</v>
      </c>
      <c r="G13" s="40" t="s">
        <v>9901</v>
      </c>
      <c r="H13" s="40"/>
      <c r="I13" s="40" t="s">
        <v>49</v>
      </c>
      <c r="J13" s="40">
        <v>12865.07</v>
      </c>
      <c r="K13" s="40">
        <v>12865.07</v>
      </c>
      <c r="L13" s="40"/>
      <c r="M13" s="40">
        <v>12865.07</v>
      </c>
      <c r="N13" s="40"/>
      <c r="O13" s="40" t="s">
        <v>50</v>
      </c>
    </row>
    <row r="14" spans="1:15" ht="33.75" x14ac:dyDescent="0.2">
      <c r="A14" s="40" t="s">
        <v>9902</v>
      </c>
      <c r="B14" s="40" t="s">
        <v>9902</v>
      </c>
      <c r="C14" s="41">
        <v>46087</v>
      </c>
      <c r="D14" s="41">
        <v>46177</v>
      </c>
      <c r="E14" s="40" t="s">
        <v>22</v>
      </c>
      <c r="F14" s="40" t="s">
        <v>9890</v>
      </c>
      <c r="G14" s="40" t="s">
        <v>9902</v>
      </c>
      <c r="H14" s="40"/>
      <c r="I14" s="40" t="s">
        <v>49</v>
      </c>
      <c r="J14" s="40">
        <v>42196.800000000003</v>
      </c>
      <c r="K14" s="40">
        <v>42196.800000000003</v>
      </c>
      <c r="L14" s="40"/>
      <c r="M14" s="40">
        <v>42196.800000000003</v>
      </c>
      <c r="N14" s="40"/>
      <c r="O14" s="40" t="s">
        <v>50</v>
      </c>
    </row>
    <row r="15" spans="1:15" ht="33.75" x14ac:dyDescent="0.2">
      <c r="A15" s="40" t="s">
        <v>9903</v>
      </c>
      <c r="B15" s="40" t="s">
        <v>9903</v>
      </c>
      <c r="C15" s="41">
        <v>46087</v>
      </c>
      <c r="D15" s="41">
        <v>46177</v>
      </c>
      <c r="E15" s="40" t="s">
        <v>22</v>
      </c>
      <c r="F15" s="40" t="s">
        <v>9890</v>
      </c>
      <c r="G15" s="40" t="s">
        <v>9903</v>
      </c>
      <c r="H15" s="40"/>
      <c r="I15" s="40" t="s">
        <v>49</v>
      </c>
      <c r="J15" s="40">
        <v>39308.160000000003</v>
      </c>
      <c r="K15" s="40">
        <v>39308.160000000003</v>
      </c>
      <c r="L15" s="40"/>
      <c r="M15" s="40">
        <v>39308.160000000003</v>
      </c>
      <c r="N15" s="40"/>
      <c r="O15" s="40" t="s">
        <v>50</v>
      </c>
    </row>
    <row r="16" spans="1:15" ht="33.75" x14ac:dyDescent="0.2">
      <c r="A16" s="40" t="s">
        <v>9904</v>
      </c>
      <c r="B16" s="40" t="s">
        <v>9904</v>
      </c>
      <c r="C16" s="41">
        <v>46087</v>
      </c>
      <c r="D16" s="41">
        <v>46177</v>
      </c>
      <c r="E16" s="40" t="s">
        <v>22</v>
      </c>
      <c r="F16" s="40" t="s">
        <v>9890</v>
      </c>
      <c r="G16" s="40" t="s">
        <v>9904</v>
      </c>
      <c r="H16" s="40"/>
      <c r="I16" s="40" t="s">
        <v>49</v>
      </c>
      <c r="J16" s="40">
        <v>209186.86</v>
      </c>
      <c r="K16" s="40">
        <v>209186.86</v>
      </c>
      <c r="L16" s="40"/>
      <c r="M16" s="40">
        <v>209186.86</v>
      </c>
      <c r="N16" s="40"/>
      <c r="O16" s="40" t="s">
        <v>50</v>
      </c>
    </row>
    <row r="17" spans="1:15" ht="33.75" x14ac:dyDescent="0.2">
      <c r="A17" s="40" t="s">
        <v>9905</v>
      </c>
      <c r="B17" s="40" t="s">
        <v>9905</v>
      </c>
      <c r="C17" s="41">
        <v>46080</v>
      </c>
      <c r="D17" s="41">
        <v>46170</v>
      </c>
      <c r="E17" s="40" t="s">
        <v>22</v>
      </c>
      <c r="F17" s="40" t="s">
        <v>9890</v>
      </c>
      <c r="G17" s="40" t="s">
        <v>9905</v>
      </c>
      <c r="H17" s="40"/>
      <c r="I17" s="40" t="s">
        <v>49</v>
      </c>
      <c r="J17" s="40">
        <v>119821.92</v>
      </c>
      <c r="K17" s="40">
        <v>119821.92</v>
      </c>
      <c r="L17" s="40"/>
      <c r="M17" s="40">
        <v>119821.92</v>
      </c>
      <c r="N17" s="40"/>
      <c r="O17" s="40" t="s">
        <v>50</v>
      </c>
    </row>
    <row r="18" spans="1:15" ht="33.75" x14ac:dyDescent="0.2">
      <c r="A18" s="40" t="s">
        <v>9906</v>
      </c>
      <c r="B18" s="40" t="s">
        <v>9906</v>
      </c>
      <c r="C18" s="41">
        <v>46079</v>
      </c>
      <c r="D18" s="41">
        <v>46169</v>
      </c>
      <c r="E18" s="40" t="s">
        <v>22</v>
      </c>
      <c r="F18" s="40" t="s">
        <v>9890</v>
      </c>
      <c r="G18" s="40" t="s">
        <v>9906</v>
      </c>
      <c r="H18" s="40"/>
      <c r="I18" s="40" t="s">
        <v>49</v>
      </c>
      <c r="J18" s="40">
        <v>75685.2</v>
      </c>
      <c r="K18" s="40">
        <v>75685.2</v>
      </c>
      <c r="L18" s="40"/>
      <c r="M18" s="40">
        <v>75685.2</v>
      </c>
      <c r="N18" s="40"/>
      <c r="O18" s="40" t="s">
        <v>50</v>
      </c>
    </row>
    <row r="19" spans="1:15" ht="33.75" x14ac:dyDescent="0.2">
      <c r="A19" s="40" t="s">
        <v>9907</v>
      </c>
      <c r="B19" s="40" t="s">
        <v>9907</v>
      </c>
      <c r="C19" s="41">
        <v>46079</v>
      </c>
      <c r="D19" s="41">
        <v>46169</v>
      </c>
      <c r="E19" s="40" t="s">
        <v>22</v>
      </c>
      <c r="F19" s="40" t="s">
        <v>9890</v>
      </c>
      <c r="G19" s="40" t="s">
        <v>9907</v>
      </c>
      <c r="H19" s="40"/>
      <c r="I19" s="40" t="s">
        <v>49</v>
      </c>
      <c r="J19" s="40">
        <v>135822.72</v>
      </c>
      <c r="K19" s="40">
        <v>135822.72</v>
      </c>
      <c r="L19" s="40"/>
      <c r="M19" s="40">
        <v>135822.72</v>
      </c>
      <c r="N19" s="40"/>
      <c r="O19" s="40" t="s">
        <v>50</v>
      </c>
    </row>
    <row r="20" spans="1:15" ht="33.75" x14ac:dyDescent="0.2">
      <c r="A20" s="40" t="s">
        <v>9908</v>
      </c>
      <c r="B20" s="40" t="s">
        <v>9908</v>
      </c>
      <c r="C20" s="41">
        <v>46079</v>
      </c>
      <c r="D20" s="41">
        <v>46169</v>
      </c>
      <c r="E20" s="40" t="s">
        <v>22</v>
      </c>
      <c r="F20" s="40" t="s">
        <v>9890</v>
      </c>
      <c r="G20" s="40" t="s">
        <v>9908</v>
      </c>
      <c r="H20" s="40"/>
      <c r="I20" s="40" t="s">
        <v>49</v>
      </c>
      <c r="J20" s="40">
        <v>102039.32</v>
      </c>
      <c r="K20" s="40">
        <v>102039.32</v>
      </c>
      <c r="L20" s="40"/>
      <c r="M20" s="40">
        <v>102039.32</v>
      </c>
      <c r="N20" s="40"/>
      <c r="O20" s="40" t="s">
        <v>50</v>
      </c>
    </row>
    <row r="21" spans="1:15" ht="33.75" x14ac:dyDescent="0.2">
      <c r="A21" s="40" t="s">
        <v>9909</v>
      </c>
      <c r="B21" s="40" t="s">
        <v>9909</v>
      </c>
      <c r="C21" s="41">
        <v>46078</v>
      </c>
      <c r="D21" s="41">
        <v>46168</v>
      </c>
      <c r="E21" s="40" t="s">
        <v>22</v>
      </c>
      <c r="F21" s="40" t="s">
        <v>9890</v>
      </c>
      <c r="G21" s="40" t="s">
        <v>9909</v>
      </c>
      <c r="H21" s="40"/>
      <c r="I21" s="40" t="s">
        <v>49</v>
      </c>
      <c r="J21" s="40">
        <v>32969.199999999997</v>
      </c>
      <c r="K21" s="40">
        <v>32969.199999999997</v>
      </c>
      <c r="L21" s="40"/>
      <c r="M21" s="40">
        <v>32969.199999999997</v>
      </c>
      <c r="N21" s="40"/>
      <c r="O21" s="40" t="s">
        <v>50</v>
      </c>
    </row>
    <row r="22" spans="1:15" ht="33.75" x14ac:dyDescent="0.2">
      <c r="A22" s="40" t="s">
        <v>9910</v>
      </c>
      <c r="B22" s="40" t="s">
        <v>9910</v>
      </c>
      <c r="C22" s="41">
        <v>46078</v>
      </c>
      <c r="D22" s="41">
        <v>46168</v>
      </c>
      <c r="E22" s="40" t="s">
        <v>22</v>
      </c>
      <c r="F22" s="40" t="s">
        <v>9890</v>
      </c>
      <c r="G22" s="40" t="s">
        <v>9910</v>
      </c>
      <c r="H22" s="40"/>
      <c r="I22" s="40" t="s">
        <v>49</v>
      </c>
      <c r="J22" s="40">
        <v>33304.32</v>
      </c>
      <c r="K22" s="40">
        <v>33304.32</v>
      </c>
      <c r="L22" s="40"/>
      <c r="M22" s="40">
        <v>33304.32</v>
      </c>
      <c r="N22" s="40"/>
      <c r="O22" s="40" t="s">
        <v>50</v>
      </c>
    </row>
    <row r="23" spans="1:15" ht="33.75" x14ac:dyDescent="0.2">
      <c r="A23" s="40" t="s">
        <v>9911</v>
      </c>
      <c r="B23" s="40" t="s">
        <v>9911</v>
      </c>
      <c r="C23" s="41">
        <v>46078</v>
      </c>
      <c r="D23" s="41">
        <v>46168</v>
      </c>
      <c r="E23" s="40" t="s">
        <v>22</v>
      </c>
      <c r="F23" s="40" t="s">
        <v>9890</v>
      </c>
      <c r="G23" s="40" t="s">
        <v>9911</v>
      </c>
      <c r="H23" s="40"/>
      <c r="I23" s="40" t="s">
        <v>49</v>
      </c>
      <c r="J23" s="40">
        <v>29679.360000000001</v>
      </c>
      <c r="K23" s="40">
        <v>29679.360000000001</v>
      </c>
      <c r="L23" s="40"/>
      <c r="M23" s="40">
        <v>29679.360000000001</v>
      </c>
      <c r="N23" s="40"/>
      <c r="O23" s="40" t="s">
        <v>50</v>
      </c>
    </row>
    <row r="24" spans="1:15" ht="33.75" x14ac:dyDescent="0.2">
      <c r="A24" s="40" t="s">
        <v>9912</v>
      </c>
      <c r="B24" s="40" t="s">
        <v>9912</v>
      </c>
      <c r="C24" s="41">
        <v>46072</v>
      </c>
      <c r="D24" s="41">
        <v>46072</v>
      </c>
      <c r="E24" s="40" t="s">
        <v>22</v>
      </c>
      <c r="F24" s="40" t="s">
        <v>9895</v>
      </c>
      <c r="G24" s="40" t="s">
        <v>9912</v>
      </c>
      <c r="H24" s="40"/>
      <c r="I24" s="40" t="s">
        <v>49</v>
      </c>
      <c r="J24" s="40">
        <v>13934.52</v>
      </c>
      <c r="K24" s="40">
        <v>13934.52</v>
      </c>
      <c r="L24" s="40"/>
      <c r="M24" s="40">
        <v>13934.52</v>
      </c>
      <c r="N24" s="40"/>
      <c r="O24" s="40" t="s">
        <v>50</v>
      </c>
    </row>
    <row r="25" spans="1:15" ht="33.75" x14ac:dyDescent="0.2">
      <c r="A25" s="40" t="s">
        <v>9913</v>
      </c>
      <c r="B25" s="40" t="s">
        <v>9913</v>
      </c>
      <c r="C25" s="41">
        <v>46064</v>
      </c>
      <c r="D25" s="41">
        <v>46154</v>
      </c>
      <c r="E25" s="40" t="s">
        <v>22</v>
      </c>
      <c r="F25" s="40" t="s">
        <v>9890</v>
      </c>
      <c r="G25" s="40" t="s">
        <v>9913</v>
      </c>
      <c r="H25" s="40"/>
      <c r="I25" s="40" t="s">
        <v>49</v>
      </c>
      <c r="J25" s="40">
        <v>15738.84</v>
      </c>
      <c r="K25" s="40">
        <v>15738.84</v>
      </c>
      <c r="L25" s="40"/>
      <c r="M25" s="40">
        <v>15738.84</v>
      </c>
      <c r="N25" s="40" t="s">
        <v>9914</v>
      </c>
      <c r="O25" s="40" t="s">
        <v>75</v>
      </c>
    </row>
    <row r="26" spans="1:15" ht="33.75" x14ac:dyDescent="0.2">
      <c r="A26" s="40" t="s">
        <v>9915</v>
      </c>
      <c r="B26" s="40" t="s">
        <v>9915</v>
      </c>
      <c r="C26" s="41">
        <v>46062</v>
      </c>
      <c r="D26" s="41">
        <v>46152</v>
      </c>
      <c r="E26" s="40" t="s">
        <v>22</v>
      </c>
      <c r="F26" s="40" t="s">
        <v>9890</v>
      </c>
      <c r="G26" s="40" t="s">
        <v>9915</v>
      </c>
      <c r="H26" s="40"/>
      <c r="I26" s="40" t="s">
        <v>49</v>
      </c>
      <c r="J26" s="40">
        <v>8881.01</v>
      </c>
      <c r="K26" s="40">
        <v>8881.01</v>
      </c>
      <c r="L26" s="40"/>
      <c r="M26" s="40">
        <v>8881.01</v>
      </c>
      <c r="N26" s="40" t="s">
        <v>9916</v>
      </c>
      <c r="O26" s="40" t="s">
        <v>75</v>
      </c>
    </row>
    <row r="27" spans="1:15" ht="33.75" x14ac:dyDescent="0.2">
      <c r="A27" s="40" t="s">
        <v>9917</v>
      </c>
      <c r="B27" s="40" t="s">
        <v>9917</v>
      </c>
      <c r="C27" s="41">
        <v>46059</v>
      </c>
      <c r="D27" s="41">
        <v>46059</v>
      </c>
      <c r="E27" s="40" t="s">
        <v>22</v>
      </c>
      <c r="F27" s="40" t="s">
        <v>9895</v>
      </c>
      <c r="G27" s="40" t="s">
        <v>9917</v>
      </c>
      <c r="H27" s="40"/>
      <c r="I27" s="40" t="s">
        <v>49</v>
      </c>
      <c r="J27" s="40">
        <v>27.97</v>
      </c>
      <c r="K27" s="40">
        <v>27.97</v>
      </c>
      <c r="L27" s="40"/>
      <c r="M27" s="40">
        <v>27.97</v>
      </c>
      <c r="N27" s="40"/>
      <c r="O27" s="40" t="s">
        <v>75</v>
      </c>
    </row>
    <row r="28" spans="1:15" ht="33.75" x14ac:dyDescent="0.2">
      <c r="A28" s="40" t="s">
        <v>9918</v>
      </c>
      <c r="B28" s="40" t="s">
        <v>9918</v>
      </c>
      <c r="C28" s="41">
        <v>46056</v>
      </c>
      <c r="D28" s="41">
        <v>46056</v>
      </c>
      <c r="E28" s="40" t="s">
        <v>22</v>
      </c>
      <c r="F28" s="40" t="s">
        <v>9895</v>
      </c>
      <c r="G28" s="40" t="s">
        <v>9918</v>
      </c>
      <c r="H28" s="40"/>
      <c r="I28" s="40" t="s">
        <v>49</v>
      </c>
      <c r="J28" s="40">
        <v>45.32</v>
      </c>
      <c r="K28" s="40">
        <v>45.32</v>
      </c>
      <c r="L28" s="40"/>
      <c r="M28" s="40">
        <v>45.32</v>
      </c>
      <c r="N28" s="40"/>
      <c r="O28" s="40" t="s">
        <v>75</v>
      </c>
    </row>
    <row r="29" spans="1:15" ht="33.75" x14ac:dyDescent="0.2">
      <c r="A29" s="40" t="s">
        <v>9919</v>
      </c>
      <c r="B29" s="40" t="s">
        <v>9919</v>
      </c>
      <c r="C29" s="41">
        <v>46051</v>
      </c>
      <c r="D29" s="41">
        <v>46141</v>
      </c>
      <c r="E29" s="40" t="s">
        <v>22</v>
      </c>
      <c r="F29" s="40" t="s">
        <v>9890</v>
      </c>
      <c r="G29" s="40" t="s">
        <v>9919</v>
      </c>
      <c r="H29" s="40"/>
      <c r="I29" s="40" t="s">
        <v>49</v>
      </c>
      <c r="J29" s="40">
        <v>5603.58</v>
      </c>
      <c r="K29" s="40">
        <v>5603.58</v>
      </c>
      <c r="L29" s="40"/>
      <c r="M29" s="40">
        <v>5603.58</v>
      </c>
      <c r="N29" s="40" t="s">
        <v>9920</v>
      </c>
      <c r="O29" s="40" t="s">
        <v>50</v>
      </c>
    </row>
    <row r="30" spans="1:15" ht="33.75" x14ac:dyDescent="0.2">
      <c r="A30" s="40" t="s">
        <v>9921</v>
      </c>
      <c r="B30" s="40" t="s">
        <v>9921</v>
      </c>
      <c r="C30" s="41">
        <v>46050</v>
      </c>
      <c r="D30" s="41">
        <v>46140</v>
      </c>
      <c r="E30" s="40" t="s">
        <v>22</v>
      </c>
      <c r="F30" s="40" t="s">
        <v>9890</v>
      </c>
      <c r="G30" s="40" t="s">
        <v>9921</v>
      </c>
      <c r="H30" s="40"/>
      <c r="I30" s="40" t="s">
        <v>49</v>
      </c>
      <c r="J30" s="40">
        <v>1957.48</v>
      </c>
      <c r="K30" s="40">
        <v>1957.48</v>
      </c>
      <c r="L30" s="40"/>
      <c r="M30" s="40">
        <v>1957.48</v>
      </c>
      <c r="N30" s="40" t="s">
        <v>9922</v>
      </c>
      <c r="O30" s="40" t="s">
        <v>50</v>
      </c>
    </row>
    <row r="31" spans="1:15" ht="33.75" x14ac:dyDescent="0.2">
      <c r="A31" s="40" t="s">
        <v>9923</v>
      </c>
      <c r="B31" s="40" t="s">
        <v>9923</v>
      </c>
      <c r="C31" s="41">
        <v>46043</v>
      </c>
      <c r="D31" s="41">
        <v>46043</v>
      </c>
      <c r="E31" s="40" t="s">
        <v>22</v>
      </c>
      <c r="F31" s="40" t="s">
        <v>9895</v>
      </c>
      <c r="G31" s="40" t="s">
        <v>9923</v>
      </c>
      <c r="H31" s="40"/>
      <c r="I31" s="40" t="s">
        <v>80</v>
      </c>
      <c r="J31" s="40">
        <v>155.26</v>
      </c>
      <c r="K31" s="40">
        <v>522.14</v>
      </c>
      <c r="L31" s="40"/>
      <c r="M31" s="40">
        <v>522.14</v>
      </c>
      <c r="N31" s="40"/>
      <c r="O31" s="40" t="s">
        <v>50</v>
      </c>
    </row>
    <row r="32" spans="1:15" ht="33.75" x14ac:dyDescent="0.2">
      <c r="A32" s="40" t="s">
        <v>9924</v>
      </c>
      <c r="B32" s="40" t="s">
        <v>9924</v>
      </c>
      <c r="C32" s="41">
        <v>46031</v>
      </c>
      <c r="D32" s="41">
        <v>46121</v>
      </c>
      <c r="E32" s="40" t="s">
        <v>22</v>
      </c>
      <c r="F32" s="40" t="s">
        <v>9890</v>
      </c>
      <c r="G32" s="40" t="s">
        <v>9924</v>
      </c>
      <c r="H32" s="40"/>
      <c r="I32" s="40" t="s">
        <v>49</v>
      </c>
      <c r="J32" s="40">
        <v>4078.08</v>
      </c>
      <c r="K32" s="40">
        <v>4078.08</v>
      </c>
      <c r="L32" s="40"/>
      <c r="M32" s="40">
        <v>4078.08</v>
      </c>
      <c r="N32" s="40" t="s">
        <v>9925</v>
      </c>
      <c r="O32" s="40" t="s">
        <v>50</v>
      </c>
    </row>
    <row r="33" spans="1:15" ht="33.75" x14ac:dyDescent="0.2">
      <c r="A33" s="40" t="s">
        <v>9926</v>
      </c>
      <c r="B33" s="40" t="s">
        <v>9926</v>
      </c>
      <c r="C33" s="41">
        <v>46031</v>
      </c>
      <c r="D33" s="41">
        <v>46121</v>
      </c>
      <c r="E33" s="40" t="s">
        <v>22</v>
      </c>
      <c r="F33" s="40" t="s">
        <v>9890</v>
      </c>
      <c r="G33" s="40" t="s">
        <v>9926</v>
      </c>
      <c r="H33" s="40"/>
      <c r="I33" s="40" t="s">
        <v>49</v>
      </c>
      <c r="J33" s="40">
        <v>3555.58</v>
      </c>
      <c r="K33" s="40">
        <v>3555.58</v>
      </c>
      <c r="L33" s="40"/>
      <c r="M33" s="40">
        <v>3555.58</v>
      </c>
      <c r="N33" s="40" t="s">
        <v>9927</v>
      </c>
      <c r="O33" s="40" t="s">
        <v>50</v>
      </c>
    </row>
    <row r="34" spans="1:15" ht="33.75" x14ac:dyDescent="0.2">
      <c r="A34" s="40" t="s">
        <v>9928</v>
      </c>
      <c r="B34" s="40" t="s">
        <v>9928</v>
      </c>
      <c r="C34" s="41">
        <v>46022</v>
      </c>
      <c r="D34" s="41">
        <v>46112</v>
      </c>
      <c r="E34" s="40" t="s">
        <v>22</v>
      </c>
      <c r="F34" s="40" t="s">
        <v>9890</v>
      </c>
      <c r="G34" s="40" t="s">
        <v>9928</v>
      </c>
      <c r="H34" s="40"/>
      <c r="I34" s="40" t="s">
        <v>49</v>
      </c>
      <c r="J34" s="40">
        <v>120090.96</v>
      </c>
      <c r="K34" s="40">
        <v>120090.96</v>
      </c>
      <c r="L34" s="40"/>
      <c r="M34" s="40">
        <v>120090.96</v>
      </c>
      <c r="N34" s="40" t="s">
        <v>9929</v>
      </c>
      <c r="O34" s="40" t="s">
        <v>50</v>
      </c>
    </row>
    <row r="35" spans="1:15" ht="33.75" x14ac:dyDescent="0.2">
      <c r="A35" s="40" t="s">
        <v>9930</v>
      </c>
      <c r="B35" s="40" t="s">
        <v>9930</v>
      </c>
      <c r="C35" s="41">
        <v>46020</v>
      </c>
      <c r="D35" s="41">
        <v>46110</v>
      </c>
      <c r="E35" s="40" t="s">
        <v>22</v>
      </c>
      <c r="F35" s="40" t="s">
        <v>9890</v>
      </c>
      <c r="G35" s="40" t="s">
        <v>9930</v>
      </c>
      <c r="H35" s="40"/>
      <c r="I35" s="40" t="s">
        <v>49</v>
      </c>
      <c r="J35" s="40">
        <v>14984.71</v>
      </c>
      <c r="K35" s="40">
        <v>14984.71</v>
      </c>
      <c r="L35" s="40"/>
      <c r="M35" s="40">
        <v>14984.71</v>
      </c>
      <c r="N35" s="40" t="s">
        <v>9931</v>
      </c>
      <c r="O35" s="40" t="s">
        <v>50</v>
      </c>
    </row>
    <row r="36" spans="1:15" ht="33.75" x14ac:dyDescent="0.2">
      <c r="A36" s="40" t="s">
        <v>9932</v>
      </c>
      <c r="B36" s="40" t="s">
        <v>9932</v>
      </c>
      <c r="C36" s="41">
        <v>46020</v>
      </c>
      <c r="D36" s="41">
        <v>46110</v>
      </c>
      <c r="E36" s="40" t="s">
        <v>22</v>
      </c>
      <c r="F36" s="40" t="s">
        <v>9890</v>
      </c>
      <c r="G36" s="40" t="s">
        <v>9932</v>
      </c>
      <c r="H36" s="40"/>
      <c r="I36" s="40" t="s">
        <v>49</v>
      </c>
      <c r="J36" s="40">
        <v>34413.519999999997</v>
      </c>
      <c r="K36" s="40">
        <v>34413.519999999997</v>
      </c>
      <c r="L36" s="40"/>
      <c r="M36" s="40">
        <v>34413.519999999997</v>
      </c>
      <c r="N36" s="40" t="s">
        <v>9933</v>
      </c>
      <c r="O36" s="40" t="s">
        <v>50</v>
      </c>
    </row>
    <row r="37" spans="1:15" ht="33.75" x14ac:dyDescent="0.2">
      <c r="A37" s="40" t="s">
        <v>9934</v>
      </c>
      <c r="B37" s="40" t="s">
        <v>9934</v>
      </c>
      <c r="C37" s="41">
        <v>46003</v>
      </c>
      <c r="D37" s="41">
        <v>46093</v>
      </c>
      <c r="E37" s="40" t="s">
        <v>22</v>
      </c>
      <c r="F37" s="40" t="s">
        <v>9890</v>
      </c>
      <c r="G37" s="40" t="s">
        <v>9934</v>
      </c>
      <c r="H37" s="40"/>
      <c r="I37" s="40" t="s">
        <v>49</v>
      </c>
      <c r="J37" s="40">
        <v>45377.14</v>
      </c>
      <c r="K37" s="40">
        <v>45377.14</v>
      </c>
      <c r="L37" s="40"/>
      <c r="M37" s="40">
        <v>45377.14</v>
      </c>
      <c r="N37" s="40" t="s">
        <v>9935</v>
      </c>
      <c r="O37" s="40" t="s">
        <v>50</v>
      </c>
    </row>
    <row r="38" spans="1:15" ht="33.75" x14ac:dyDescent="0.2">
      <c r="A38" s="40" t="s">
        <v>9936</v>
      </c>
      <c r="B38" s="40" t="s">
        <v>9936</v>
      </c>
      <c r="C38" s="41">
        <v>46003</v>
      </c>
      <c r="D38" s="41">
        <v>46003</v>
      </c>
      <c r="E38" s="40" t="s">
        <v>22</v>
      </c>
      <c r="F38" s="40" t="s">
        <v>9890</v>
      </c>
      <c r="G38" s="40"/>
      <c r="H38" s="40"/>
      <c r="I38" s="40" t="s">
        <v>49</v>
      </c>
      <c r="J38" s="40">
        <v>-1911.6</v>
      </c>
      <c r="K38" s="40"/>
      <c r="L38" s="40">
        <v>1911.6</v>
      </c>
      <c r="M38" s="40">
        <v>-1911.6</v>
      </c>
      <c r="N38" s="40" t="s">
        <v>9937</v>
      </c>
      <c r="O38" s="40" t="s">
        <v>50</v>
      </c>
    </row>
    <row r="39" spans="1:15" ht="33.75" x14ac:dyDescent="0.2">
      <c r="A39" s="40" t="s">
        <v>9938</v>
      </c>
      <c r="B39" s="40" t="s">
        <v>9938</v>
      </c>
      <c r="C39" s="41">
        <v>46002</v>
      </c>
      <c r="D39" s="41">
        <v>46092</v>
      </c>
      <c r="E39" s="40" t="s">
        <v>22</v>
      </c>
      <c r="F39" s="40" t="s">
        <v>9890</v>
      </c>
      <c r="G39" s="40" t="s">
        <v>9938</v>
      </c>
      <c r="H39" s="40"/>
      <c r="I39" s="40" t="s">
        <v>49</v>
      </c>
      <c r="J39" s="40">
        <v>129951.03999999999</v>
      </c>
      <c r="K39" s="40">
        <v>129951.03999999999</v>
      </c>
      <c r="L39" s="40"/>
      <c r="M39" s="40">
        <v>129951.03999999999</v>
      </c>
      <c r="N39" s="40" t="s">
        <v>9939</v>
      </c>
      <c r="O39" s="40" t="s">
        <v>50</v>
      </c>
    </row>
    <row r="40" spans="1:15" ht="33.75" x14ac:dyDescent="0.2">
      <c r="A40" s="40" t="s">
        <v>9940</v>
      </c>
      <c r="B40" s="40" t="s">
        <v>9940</v>
      </c>
      <c r="C40" s="41">
        <v>45658</v>
      </c>
      <c r="D40" s="41">
        <v>43337</v>
      </c>
      <c r="E40" s="40" t="s">
        <v>22</v>
      </c>
      <c r="F40" s="40" t="s">
        <v>9941</v>
      </c>
      <c r="G40" s="40" t="s">
        <v>9940</v>
      </c>
      <c r="H40" s="40"/>
      <c r="I40" s="40" t="s">
        <v>49</v>
      </c>
      <c r="J40" s="40">
        <v>2142.69</v>
      </c>
      <c r="K40" s="40">
        <v>2142.69</v>
      </c>
      <c r="L40" s="40"/>
      <c r="M40" s="40">
        <v>2142.69</v>
      </c>
      <c r="N40" s="40"/>
      <c r="O40" s="40" t="s">
        <v>234</v>
      </c>
    </row>
    <row r="41" spans="1:15" ht="33.75" x14ac:dyDescent="0.2">
      <c r="A41" s="40" t="s">
        <v>9942</v>
      </c>
      <c r="B41" s="40" t="s">
        <v>9942</v>
      </c>
      <c r="C41" s="41">
        <v>45658</v>
      </c>
      <c r="D41" s="41">
        <v>43264</v>
      </c>
      <c r="E41" s="40" t="s">
        <v>22</v>
      </c>
      <c r="F41" s="40" t="s">
        <v>9941</v>
      </c>
      <c r="G41" s="40" t="s">
        <v>9942</v>
      </c>
      <c r="H41" s="40"/>
      <c r="I41" s="40" t="s">
        <v>49</v>
      </c>
      <c r="J41" s="40">
        <v>708.71</v>
      </c>
      <c r="K41" s="40">
        <v>708.71</v>
      </c>
      <c r="L41" s="40"/>
      <c r="M41" s="40">
        <v>708.71</v>
      </c>
      <c r="N41" s="40"/>
      <c r="O41" s="40" t="s">
        <v>234</v>
      </c>
    </row>
    <row r="42" spans="1:15" ht="33.75" x14ac:dyDescent="0.2">
      <c r="A42" s="40" t="s">
        <v>9943</v>
      </c>
      <c r="B42" s="40" t="s">
        <v>9943</v>
      </c>
      <c r="C42" s="41">
        <v>45658</v>
      </c>
      <c r="D42" s="41">
        <v>43275</v>
      </c>
      <c r="E42" s="40" t="s">
        <v>22</v>
      </c>
      <c r="F42" s="40" t="s">
        <v>9941</v>
      </c>
      <c r="G42" s="40" t="s">
        <v>9943</v>
      </c>
      <c r="H42" s="40"/>
      <c r="I42" s="40" t="s">
        <v>49</v>
      </c>
      <c r="J42" s="40">
        <v>2558.6799999999998</v>
      </c>
      <c r="K42" s="40">
        <v>2558.6799999999998</v>
      </c>
      <c r="L42" s="40"/>
      <c r="M42" s="40">
        <v>2558.6799999999998</v>
      </c>
      <c r="N42" s="40"/>
      <c r="O42" s="40" t="s">
        <v>234</v>
      </c>
    </row>
    <row r="43" spans="1:15" ht="33.75" x14ac:dyDescent="0.2">
      <c r="A43" s="40" t="s">
        <v>9944</v>
      </c>
      <c r="B43" s="40" t="s">
        <v>9944</v>
      </c>
      <c r="C43" s="41">
        <v>45658</v>
      </c>
      <c r="D43" s="41">
        <v>43252</v>
      </c>
      <c r="E43" s="40" t="s">
        <v>22</v>
      </c>
      <c r="F43" s="40" t="s">
        <v>9941</v>
      </c>
      <c r="G43" s="40" t="s">
        <v>9944</v>
      </c>
      <c r="H43" s="40"/>
      <c r="I43" s="40" t="s">
        <v>49</v>
      </c>
      <c r="J43" s="40">
        <v>1840.8</v>
      </c>
      <c r="K43" s="40">
        <v>1840.8</v>
      </c>
      <c r="L43" s="40"/>
      <c r="M43" s="40">
        <v>1840.8</v>
      </c>
      <c r="N43" s="40"/>
      <c r="O43" s="40" t="s">
        <v>234</v>
      </c>
    </row>
    <row r="44" spans="1:15" ht="33.75" x14ac:dyDescent="0.2">
      <c r="A44" s="40" t="s">
        <v>9945</v>
      </c>
      <c r="B44" s="40" t="s">
        <v>9945</v>
      </c>
      <c r="C44" s="41">
        <v>45658</v>
      </c>
      <c r="D44" s="41">
        <v>43270</v>
      </c>
      <c r="E44" s="40" t="s">
        <v>22</v>
      </c>
      <c r="F44" s="40" t="s">
        <v>9941</v>
      </c>
      <c r="G44" s="40" t="s">
        <v>9945</v>
      </c>
      <c r="H44" s="40"/>
      <c r="I44" s="40" t="s">
        <v>49</v>
      </c>
      <c r="J44" s="40">
        <v>3703.85</v>
      </c>
      <c r="K44" s="40">
        <v>3703.85</v>
      </c>
      <c r="L44" s="40"/>
      <c r="M44" s="40">
        <v>3703.85</v>
      </c>
      <c r="N44" s="40"/>
      <c r="O44" s="40" t="s">
        <v>234</v>
      </c>
    </row>
    <row r="45" spans="1:15" ht="33.75" x14ac:dyDescent="0.2">
      <c r="A45" s="40" t="s">
        <v>9946</v>
      </c>
      <c r="B45" s="40" t="s">
        <v>9946</v>
      </c>
      <c r="C45" s="41">
        <v>45658</v>
      </c>
      <c r="D45" s="41">
        <v>43270</v>
      </c>
      <c r="E45" s="40" t="s">
        <v>22</v>
      </c>
      <c r="F45" s="40" t="s">
        <v>9941</v>
      </c>
      <c r="G45" s="40" t="s">
        <v>9946</v>
      </c>
      <c r="H45" s="40"/>
      <c r="I45" s="40" t="s">
        <v>49</v>
      </c>
      <c r="J45" s="40">
        <v>3086.84</v>
      </c>
      <c r="K45" s="40">
        <v>3086.84</v>
      </c>
      <c r="L45" s="40"/>
      <c r="M45" s="40">
        <v>3086.84</v>
      </c>
      <c r="N45" s="40"/>
      <c r="O45" s="40" t="s">
        <v>234</v>
      </c>
    </row>
    <row r="46" spans="1:15" ht="33.75" x14ac:dyDescent="0.2">
      <c r="A46" s="40" t="s">
        <v>9947</v>
      </c>
      <c r="B46" s="40" t="s">
        <v>9947</v>
      </c>
      <c r="C46" s="41">
        <v>45658</v>
      </c>
      <c r="D46" s="41">
        <v>43253</v>
      </c>
      <c r="E46" s="40" t="s">
        <v>22</v>
      </c>
      <c r="F46" s="40" t="s">
        <v>9941</v>
      </c>
      <c r="G46" s="40" t="s">
        <v>9947</v>
      </c>
      <c r="H46" s="40"/>
      <c r="I46" s="40" t="s">
        <v>49</v>
      </c>
      <c r="J46" s="40">
        <v>836.12</v>
      </c>
      <c r="K46" s="40">
        <v>836.12</v>
      </c>
      <c r="L46" s="40"/>
      <c r="M46" s="40">
        <v>836.12</v>
      </c>
      <c r="N46" s="40"/>
      <c r="O46" s="40" t="s">
        <v>234</v>
      </c>
    </row>
    <row r="47" spans="1:15" ht="33.75" x14ac:dyDescent="0.2">
      <c r="A47" s="40" t="s">
        <v>9948</v>
      </c>
      <c r="B47" s="40" t="s">
        <v>9948</v>
      </c>
      <c r="C47" s="41">
        <v>45658</v>
      </c>
      <c r="D47" s="41">
        <v>43253</v>
      </c>
      <c r="E47" s="40" t="s">
        <v>22</v>
      </c>
      <c r="F47" s="40" t="s">
        <v>9941</v>
      </c>
      <c r="G47" s="40" t="s">
        <v>9948</v>
      </c>
      <c r="H47" s="40"/>
      <c r="I47" s="40" t="s">
        <v>49</v>
      </c>
      <c r="J47" s="40">
        <v>1641.98</v>
      </c>
      <c r="K47" s="40">
        <v>1641.98</v>
      </c>
      <c r="L47" s="40"/>
      <c r="M47" s="40">
        <v>1641.98</v>
      </c>
      <c r="N47" s="40"/>
      <c r="O47" s="40" t="s">
        <v>234</v>
      </c>
    </row>
    <row r="48" spans="1:15" ht="33.75" x14ac:dyDescent="0.2">
      <c r="A48" s="40" t="s">
        <v>9949</v>
      </c>
      <c r="B48" s="40" t="s">
        <v>9949</v>
      </c>
      <c r="C48" s="41">
        <v>45658</v>
      </c>
      <c r="D48" s="41">
        <v>43167</v>
      </c>
      <c r="E48" s="40" t="s">
        <v>22</v>
      </c>
      <c r="F48" s="40" t="s">
        <v>9941</v>
      </c>
      <c r="G48" s="40" t="s">
        <v>9949</v>
      </c>
      <c r="H48" s="40"/>
      <c r="I48" s="40" t="s">
        <v>49</v>
      </c>
      <c r="J48" s="40">
        <v>190.84</v>
      </c>
      <c r="K48" s="40">
        <v>190.84</v>
      </c>
      <c r="L48" s="40"/>
      <c r="M48" s="40">
        <v>190.84</v>
      </c>
      <c r="N48" s="40"/>
      <c r="O48" s="40" t="s">
        <v>234</v>
      </c>
    </row>
    <row r="49" spans="1:15" ht="33.75" x14ac:dyDescent="0.2">
      <c r="A49" s="40" t="s">
        <v>9950</v>
      </c>
      <c r="B49" s="40" t="s">
        <v>9950</v>
      </c>
      <c r="C49" s="41">
        <v>45658</v>
      </c>
      <c r="D49" s="41">
        <v>40221</v>
      </c>
      <c r="E49" s="40" t="s">
        <v>22</v>
      </c>
      <c r="F49" s="40" t="s">
        <v>9941</v>
      </c>
      <c r="G49" s="40" t="s">
        <v>9950</v>
      </c>
      <c r="H49" s="40"/>
      <c r="I49" s="40" t="s">
        <v>49</v>
      </c>
      <c r="J49" s="40">
        <v>1854.19</v>
      </c>
      <c r="K49" s="40">
        <v>1854.19</v>
      </c>
      <c r="L49" s="40"/>
      <c r="M49" s="40">
        <v>1854.19</v>
      </c>
      <c r="N49" s="40"/>
      <c r="O49" s="40" t="s">
        <v>234</v>
      </c>
    </row>
    <row r="50" spans="1:15" ht="33.75" x14ac:dyDescent="0.2">
      <c r="A50" s="40" t="s">
        <v>9951</v>
      </c>
      <c r="B50" s="40" t="s">
        <v>9951</v>
      </c>
      <c r="C50" s="41">
        <v>45658</v>
      </c>
      <c r="D50" s="41">
        <v>39868</v>
      </c>
      <c r="E50" s="40" t="s">
        <v>22</v>
      </c>
      <c r="F50" s="40" t="s">
        <v>9941</v>
      </c>
      <c r="G50" s="40" t="s">
        <v>9951</v>
      </c>
      <c r="H50" s="40"/>
      <c r="I50" s="40" t="s">
        <v>49</v>
      </c>
      <c r="J50" s="40">
        <v>1554.97</v>
      </c>
      <c r="K50" s="40">
        <v>1554.97</v>
      </c>
      <c r="L50" s="40"/>
      <c r="M50" s="40">
        <v>1554.97</v>
      </c>
      <c r="N50" s="40"/>
      <c r="O50" s="40" t="s">
        <v>234</v>
      </c>
    </row>
    <row r="51" spans="1:15" ht="33.75" x14ac:dyDescent="0.2">
      <c r="A51" s="40" t="s">
        <v>9952</v>
      </c>
      <c r="B51" s="40" t="s">
        <v>9952</v>
      </c>
      <c r="C51" s="41">
        <v>45658</v>
      </c>
      <c r="D51" s="41">
        <v>39796</v>
      </c>
      <c r="E51" s="40" t="s">
        <v>22</v>
      </c>
      <c r="F51" s="40" t="s">
        <v>9941</v>
      </c>
      <c r="G51" s="40" t="s">
        <v>9952</v>
      </c>
      <c r="H51" s="40"/>
      <c r="I51" s="40" t="s">
        <v>49</v>
      </c>
      <c r="J51" s="40">
        <v>1438.34</v>
      </c>
      <c r="K51" s="40">
        <v>1438.34</v>
      </c>
      <c r="L51" s="40"/>
      <c r="M51" s="40">
        <v>1438.34</v>
      </c>
      <c r="N51" s="40"/>
      <c r="O51" s="40" t="s">
        <v>234</v>
      </c>
    </row>
    <row r="52" spans="1:15" ht="33.75" x14ac:dyDescent="0.2">
      <c r="A52" s="40" t="s">
        <v>9953</v>
      </c>
      <c r="B52" s="40" t="s">
        <v>9953</v>
      </c>
      <c r="C52" s="41">
        <v>45658</v>
      </c>
      <c r="D52" s="41">
        <v>39761</v>
      </c>
      <c r="E52" s="40" t="s">
        <v>22</v>
      </c>
      <c r="F52" s="40" t="s">
        <v>9941</v>
      </c>
      <c r="G52" s="40" t="s">
        <v>9953</v>
      </c>
      <c r="H52" s="40"/>
      <c r="I52" s="40" t="s">
        <v>49</v>
      </c>
      <c r="J52" s="40">
        <v>1635.19</v>
      </c>
      <c r="K52" s="40">
        <v>1635.19</v>
      </c>
      <c r="L52" s="40"/>
      <c r="M52" s="40">
        <v>1635.19</v>
      </c>
      <c r="N52" s="40"/>
      <c r="O52" s="40" t="s">
        <v>234</v>
      </c>
    </row>
    <row r="53" spans="1:15" ht="33.75" x14ac:dyDescent="0.2">
      <c r="A53" s="40" t="s">
        <v>9954</v>
      </c>
      <c r="B53" s="40" t="s">
        <v>9954</v>
      </c>
      <c r="C53" s="41">
        <v>45658</v>
      </c>
      <c r="D53" s="41">
        <v>39687</v>
      </c>
      <c r="E53" s="40" t="s">
        <v>22</v>
      </c>
      <c r="F53" s="40" t="s">
        <v>9941</v>
      </c>
      <c r="G53" s="40" t="s">
        <v>9954</v>
      </c>
      <c r="H53" s="40"/>
      <c r="I53" s="40" t="s">
        <v>49</v>
      </c>
      <c r="J53" s="40">
        <v>1560.79</v>
      </c>
      <c r="K53" s="40">
        <v>1560.79</v>
      </c>
      <c r="L53" s="40"/>
      <c r="M53" s="40">
        <v>1560.79</v>
      </c>
      <c r="N53" s="40"/>
      <c r="O53" s="40" t="s">
        <v>234</v>
      </c>
    </row>
    <row r="54" spans="1:15" ht="33.75" x14ac:dyDescent="0.2">
      <c r="A54" s="40" t="s">
        <v>9955</v>
      </c>
      <c r="B54" s="40" t="s">
        <v>9955</v>
      </c>
      <c r="C54" s="41">
        <v>45658</v>
      </c>
      <c r="D54" s="41">
        <v>39744</v>
      </c>
      <c r="E54" s="40" t="s">
        <v>22</v>
      </c>
      <c r="F54" s="40" t="s">
        <v>9941</v>
      </c>
      <c r="G54" s="40" t="s">
        <v>9955</v>
      </c>
      <c r="H54" s="40"/>
      <c r="I54" s="40" t="s">
        <v>49</v>
      </c>
      <c r="J54" s="40">
        <v>2716.22</v>
      </c>
      <c r="K54" s="40">
        <v>2716.22</v>
      </c>
      <c r="L54" s="40"/>
      <c r="M54" s="40">
        <v>2716.22</v>
      </c>
      <c r="N54" s="40"/>
      <c r="O54" s="40" t="s">
        <v>234</v>
      </c>
    </row>
    <row r="55" spans="1:15" ht="33.75" x14ac:dyDescent="0.2">
      <c r="A55" s="40" t="s">
        <v>9956</v>
      </c>
      <c r="B55" s="40" t="s">
        <v>9956</v>
      </c>
      <c r="C55" s="41">
        <v>45658</v>
      </c>
      <c r="D55" s="41">
        <v>41955</v>
      </c>
      <c r="E55" s="40" t="s">
        <v>22</v>
      </c>
      <c r="F55" s="40" t="s">
        <v>9941</v>
      </c>
      <c r="G55" s="40" t="s">
        <v>9956</v>
      </c>
      <c r="H55" s="40"/>
      <c r="I55" s="40" t="s">
        <v>49</v>
      </c>
      <c r="J55" s="40">
        <v>1492.39</v>
      </c>
      <c r="K55" s="40">
        <v>1492.39</v>
      </c>
      <c r="L55" s="40"/>
      <c r="M55" s="40">
        <v>1492.39</v>
      </c>
      <c r="N55" s="40"/>
      <c r="O55" s="40" t="s">
        <v>234</v>
      </c>
    </row>
    <row r="56" spans="1:15" ht="33.75" x14ac:dyDescent="0.2">
      <c r="A56" s="40" t="s">
        <v>9957</v>
      </c>
      <c r="B56" s="40" t="s">
        <v>9957</v>
      </c>
      <c r="C56" s="41">
        <v>45658</v>
      </c>
      <c r="D56" s="41">
        <v>41949</v>
      </c>
      <c r="E56" s="40" t="s">
        <v>22</v>
      </c>
      <c r="F56" s="40" t="s">
        <v>9941</v>
      </c>
      <c r="G56" s="40" t="s">
        <v>9957</v>
      </c>
      <c r="H56" s="40"/>
      <c r="I56" s="40" t="s">
        <v>49</v>
      </c>
      <c r="J56" s="40">
        <v>1980.51</v>
      </c>
      <c r="K56" s="40">
        <v>1980.51</v>
      </c>
      <c r="L56" s="40"/>
      <c r="M56" s="40">
        <v>1980.51</v>
      </c>
      <c r="N56" s="40"/>
      <c r="O56" s="40" t="s">
        <v>234</v>
      </c>
    </row>
    <row r="57" spans="1:15" ht="33.75" x14ac:dyDescent="0.2">
      <c r="A57" s="40" t="s">
        <v>9958</v>
      </c>
      <c r="B57" s="40" t="s">
        <v>9958</v>
      </c>
      <c r="C57" s="41">
        <v>45658</v>
      </c>
      <c r="D57" s="41">
        <v>41947</v>
      </c>
      <c r="E57" s="40" t="s">
        <v>22</v>
      </c>
      <c r="F57" s="40" t="s">
        <v>9941</v>
      </c>
      <c r="G57" s="40" t="s">
        <v>9958</v>
      </c>
      <c r="H57" s="40"/>
      <c r="I57" s="40" t="s">
        <v>49</v>
      </c>
      <c r="J57" s="40">
        <v>885.12</v>
      </c>
      <c r="K57" s="40">
        <v>885.12</v>
      </c>
      <c r="L57" s="40"/>
      <c r="M57" s="40">
        <v>885.12</v>
      </c>
      <c r="N57" s="40"/>
      <c r="O57" s="40" t="s">
        <v>234</v>
      </c>
    </row>
    <row r="58" spans="1:15" ht="33.75" x14ac:dyDescent="0.2">
      <c r="A58" s="40" t="s">
        <v>9959</v>
      </c>
      <c r="B58" s="40" t="s">
        <v>9959</v>
      </c>
      <c r="C58" s="41">
        <v>45658</v>
      </c>
      <c r="D58" s="41">
        <v>41509</v>
      </c>
      <c r="E58" s="40" t="s">
        <v>22</v>
      </c>
      <c r="F58" s="40" t="s">
        <v>9941</v>
      </c>
      <c r="G58" s="40" t="s">
        <v>9959</v>
      </c>
      <c r="H58" s="40"/>
      <c r="I58" s="40" t="s">
        <v>49</v>
      </c>
      <c r="J58" s="40">
        <v>1429.33</v>
      </c>
      <c r="K58" s="40">
        <v>1429.33</v>
      </c>
      <c r="L58" s="40"/>
      <c r="M58" s="40">
        <v>1429.33</v>
      </c>
      <c r="N58" s="40"/>
      <c r="O58" s="40" t="s">
        <v>234</v>
      </c>
    </row>
    <row r="59" spans="1:15" ht="33.75" x14ac:dyDescent="0.2">
      <c r="A59" s="40" t="s">
        <v>9960</v>
      </c>
      <c r="B59" s="40" t="s">
        <v>9960</v>
      </c>
      <c r="C59" s="41">
        <v>45658</v>
      </c>
      <c r="D59" s="41">
        <v>41508</v>
      </c>
      <c r="E59" s="40" t="s">
        <v>22</v>
      </c>
      <c r="F59" s="40" t="s">
        <v>9941</v>
      </c>
      <c r="G59" s="40" t="s">
        <v>9960</v>
      </c>
      <c r="H59" s="40"/>
      <c r="I59" s="40" t="s">
        <v>49</v>
      </c>
      <c r="J59" s="40">
        <v>1329.86</v>
      </c>
      <c r="K59" s="40">
        <v>1329.86</v>
      </c>
      <c r="L59" s="40"/>
      <c r="M59" s="40">
        <v>1329.86</v>
      </c>
      <c r="N59" s="40"/>
      <c r="O59" s="40" t="s">
        <v>234</v>
      </c>
    </row>
    <row r="60" spans="1:15" ht="33.75" x14ac:dyDescent="0.2">
      <c r="A60" s="40" t="s">
        <v>9961</v>
      </c>
      <c r="B60" s="40" t="s">
        <v>9961</v>
      </c>
      <c r="C60" s="41">
        <v>45658</v>
      </c>
      <c r="D60" s="41">
        <v>41507</v>
      </c>
      <c r="E60" s="40" t="s">
        <v>22</v>
      </c>
      <c r="F60" s="40" t="s">
        <v>9941</v>
      </c>
      <c r="G60" s="40" t="s">
        <v>9961</v>
      </c>
      <c r="H60" s="40"/>
      <c r="I60" s="40" t="s">
        <v>49</v>
      </c>
      <c r="J60" s="40">
        <v>1439.6</v>
      </c>
      <c r="K60" s="40">
        <v>1439.6</v>
      </c>
      <c r="L60" s="40"/>
      <c r="M60" s="40">
        <v>1439.6</v>
      </c>
      <c r="N60" s="40"/>
      <c r="O60" s="40" t="s">
        <v>234</v>
      </c>
    </row>
    <row r="61" spans="1:15" ht="33.75" x14ac:dyDescent="0.2">
      <c r="A61" s="40" t="s">
        <v>9962</v>
      </c>
      <c r="B61" s="40" t="s">
        <v>9962</v>
      </c>
      <c r="C61" s="41">
        <v>45658</v>
      </c>
      <c r="D61" s="41">
        <v>41503</v>
      </c>
      <c r="E61" s="40" t="s">
        <v>22</v>
      </c>
      <c r="F61" s="40" t="s">
        <v>9941</v>
      </c>
      <c r="G61" s="40" t="s">
        <v>9962</v>
      </c>
      <c r="H61" s="40"/>
      <c r="I61" s="40" t="s">
        <v>49</v>
      </c>
      <c r="J61" s="40">
        <v>651.36</v>
      </c>
      <c r="K61" s="40">
        <v>651.36</v>
      </c>
      <c r="L61" s="40"/>
      <c r="M61" s="40">
        <v>651.36</v>
      </c>
      <c r="N61" s="40"/>
      <c r="O61" s="40" t="s">
        <v>234</v>
      </c>
    </row>
    <row r="62" spans="1:15" ht="33.75" x14ac:dyDescent="0.2">
      <c r="A62" s="40" t="s">
        <v>9963</v>
      </c>
      <c r="B62" s="40" t="s">
        <v>9963</v>
      </c>
      <c r="C62" s="41">
        <v>45658</v>
      </c>
      <c r="D62" s="41">
        <v>41503</v>
      </c>
      <c r="E62" s="40" t="s">
        <v>22</v>
      </c>
      <c r="F62" s="40" t="s">
        <v>9941</v>
      </c>
      <c r="G62" s="40" t="s">
        <v>9963</v>
      </c>
      <c r="H62" s="40"/>
      <c r="I62" s="40" t="s">
        <v>49</v>
      </c>
      <c r="J62" s="40">
        <v>866.59</v>
      </c>
      <c r="K62" s="40">
        <v>866.59</v>
      </c>
      <c r="L62" s="40"/>
      <c r="M62" s="40">
        <v>866.59</v>
      </c>
      <c r="N62" s="40"/>
      <c r="O62" s="40" t="s">
        <v>234</v>
      </c>
    </row>
    <row r="63" spans="1:15" ht="33.75" x14ac:dyDescent="0.2">
      <c r="A63" s="40" t="s">
        <v>9964</v>
      </c>
      <c r="B63" s="40" t="s">
        <v>9964</v>
      </c>
      <c r="C63" s="41">
        <v>45658</v>
      </c>
      <c r="D63" s="41">
        <v>41502</v>
      </c>
      <c r="E63" s="40" t="s">
        <v>22</v>
      </c>
      <c r="F63" s="40" t="s">
        <v>9941</v>
      </c>
      <c r="G63" s="40" t="s">
        <v>9964</v>
      </c>
      <c r="H63" s="40"/>
      <c r="I63" s="40" t="s">
        <v>49</v>
      </c>
      <c r="J63" s="40">
        <v>795.7</v>
      </c>
      <c r="K63" s="40">
        <v>795.7</v>
      </c>
      <c r="L63" s="40"/>
      <c r="M63" s="40">
        <v>795.7</v>
      </c>
      <c r="N63" s="40"/>
      <c r="O63" s="40" t="s">
        <v>234</v>
      </c>
    </row>
    <row r="64" spans="1:15" ht="33.75" x14ac:dyDescent="0.2">
      <c r="A64" s="40" t="s">
        <v>9965</v>
      </c>
      <c r="B64" s="40" t="s">
        <v>9965</v>
      </c>
      <c r="C64" s="41">
        <v>45658</v>
      </c>
      <c r="D64" s="41">
        <v>41501</v>
      </c>
      <c r="E64" s="40" t="s">
        <v>22</v>
      </c>
      <c r="F64" s="40" t="s">
        <v>9941</v>
      </c>
      <c r="G64" s="40" t="s">
        <v>9965</v>
      </c>
      <c r="H64" s="40"/>
      <c r="I64" s="40" t="s">
        <v>49</v>
      </c>
      <c r="J64" s="40">
        <v>1314.43</v>
      </c>
      <c r="K64" s="40">
        <v>1314.43</v>
      </c>
      <c r="L64" s="40"/>
      <c r="M64" s="40">
        <v>1314.43</v>
      </c>
      <c r="N64" s="40"/>
      <c r="O64" s="40" t="s">
        <v>234</v>
      </c>
    </row>
    <row r="65" spans="1:15" ht="33.75" x14ac:dyDescent="0.2">
      <c r="A65" s="40" t="s">
        <v>9966</v>
      </c>
      <c r="B65" s="40" t="s">
        <v>9966</v>
      </c>
      <c r="C65" s="41">
        <v>45658</v>
      </c>
      <c r="D65" s="41">
        <v>41499</v>
      </c>
      <c r="E65" s="40" t="s">
        <v>22</v>
      </c>
      <c r="F65" s="40" t="s">
        <v>9941</v>
      </c>
      <c r="G65" s="40" t="s">
        <v>9966</v>
      </c>
      <c r="H65" s="40"/>
      <c r="I65" s="40" t="s">
        <v>49</v>
      </c>
      <c r="J65" s="40">
        <v>1550.99</v>
      </c>
      <c r="K65" s="40">
        <v>1550.99</v>
      </c>
      <c r="L65" s="40"/>
      <c r="M65" s="40">
        <v>1550.99</v>
      </c>
      <c r="N65" s="40"/>
      <c r="O65" s="40" t="s">
        <v>234</v>
      </c>
    </row>
    <row r="66" spans="1:15" ht="33.75" x14ac:dyDescent="0.2">
      <c r="A66" s="40" t="s">
        <v>9967</v>
      </c>
      <c r="B66" s="40" t="s">
        <v>9967</v>
      </c>
      <c r="C66" s="41">
        <v>45658</v>
      </c>
      <c r="D66" s="41">
        <v>41499</v>
      </c>
      <c r="E66" s="40" t="s">
        <v>22</v>
      </c>
      <c r="F66" s="40" t="s">
        <v>9941</v>
      </c>
      <c r="G66" s="40" t="s">
        <v>9967</v>
      </c>
      <c r="H66" s="40"/>
      <c r="I66" s="40" t="s">
        <v>49</v>
      </c>
      <c r="J66" s="40">
        <v>1127.75</v>
      </c>
      <c r="K66" s="40">
        <v>1127.75</v>
      </c>
      <c r="L66" s="40"/>
      <c r="M66" s="40">
        <v>1127.75</v>
      </c>
      <c r="N66" s="40"/>
      <c r="O66" s="40" t="s">
        <v>234</v>
      </c>
    </row>
    <row r="67" spans="1:15" ht="33.75" x14ac:dyDescent="0.2">
      <c r="A67" s="40" t="s">
        <v>9968</v>
      </c>
      <c r="B67" s="40" t="s">
        <v>9968</v>
      </c>
      <c r="C67" s="41">
        <v>45658</v>
      </c>
      <c r="D67" s="41">
        <v>41499</v>
      </c>
      <c r="E67" s="40" t="s">
        <v>22</v>
      </c>
      <c r="F67" s="40" t="s">
        <v>9941</v>
      </c>
      <c r="G67" s="40" t="s">
        <v>9968</v>
      </c>
      <c r="H67" s="40"/>
      <c r="I67" s="40" t="s">
        <v>49</v>
      </c>
      <c r="J67" s="40">
        <v>1982.4</v>
      </c>
      <c r="K67" s="40">
        <v>1982.4</v>
      </c>
      <c r="L67" s="40"/>
      <c r="M67" s="40">
        <v>1982.4</v>
      </c>
      <c r="N67" s="40"/>
      <c r="O67" s="40" t="s">
        <v>234</v>
      </c>
    </row>
    <row r="68" spans="1:15" ht="33.75" x14ac:dyDescent="0.2">
      <c r="A68" s="40" t="s">
        <v>9969</v>
      </c>
      <c r="B68" s="40" t="s">
        <v>9969</v>
      </c>
      <c r="C68" s="41">
        <v>45658</v>
      </c>
      <c r="D68" s="41">
        <v>41495</v>
      </c>
      <c r="E68" s="40" t="s">
        <v>22</v>
      </c>
      <c r="F68" s="40" t="s">
        <v>9941</v>
      </c>
      <c r="G68" s="40" t="s">
        <v>9969</v>
      </c>
      <c r="H68" s="40"/>
      <c r="I68" s="40" t="s">
        <v>49</v>
      </c>
      <c r="J68" s="40">
        <v>879.53</v>
      </c>
      <c r="K68" s="40">
        <v>879.53</v>
      </c>
      <c r="L68" s="40"/>
      <c r="M68" s="40">
        <v>879.53</v>
      </c>
      <c r="N68" s="40"/>
      <c r="O68" s="40" t="s">
        <v>234</v>
      </c>
    </row>
    <row r="69" spans="1:15" ht="33.75" x14ac:dyDescent="0.2">
      <c r="A69" s="40" t="s">
        <v>9970</v>
      </c>
      <c r="B69" s="40" t="s">
        <v>9970</v>
      </c>
      <c r="C69" s="41">
        <v>45658</v>
      </c>
      <c r="D69" s="41">
        <v>41495</v>
      </c>
      <c r="E69" s="40" t="s">
        <v>22</v>
      </c>
      <c r="F69" s="40" t="s">
        <v>9941</v>
      </c>
      <c r="G69" s="40" t="s">
        <v>9970</v>
      </c>
      <c r="H69" s="40"/>
      <c r="I69" s="40" t="s">
        <v>49</v>
      </c>
      <c r="J69" s="40">
        <v>1590.64</v>
      </c>
      <c r="K69" s="40">
        <v>1590.64</v>
      </c>
      <c r="L69" s="40"/>
      <c r="M69" s="40">
        <v>1590.64</v>
      </c>
      <c r="N69" s="40"/>
      <c r="O69" s="40" t="s">
        <v>234</v>
      </c>
    </row>
    <row r="70" spans="1:15" ht="33.75" x14ac:dyDescent="0.2">
      <c r="A70" s="40" t="s">
        <v>9971</v>
      </c>
      <c r="B70" s="40" t="s">
        <v>9971</v>
      </c>
      <c r="C70" s="41">
        <v>45658</v>
      </c>
      <c r="D70" s="41">
        <v>41489</v>
      </c>
      <c r="E70" s="40" t="s">
        <v>22</v>
      </c>
      <c r="F70" s="40" t="s">
        <v>9941</v>
      </c>
      <c r="G70" s="40" t="s">
        <v>9971</v>
      </c>
      <c r="H70" s="40"/>
      <c r="I70" s="40" t="s">
        <v>49</v>
      </c>
      <c r="J70" s="40">
        <v>524.86</v>
      </c>
      <c r="K70" s="40">
        <v>524.86</v>
      </c>
      <c r="L70" s="40"/>
      <c r="M70" s="40">
        <v>524.86</v>
      </c>
      <c r="N70" s="40"/>
      <c r="O70" s="40" t="s">
        <v>234</v>
      </c>
    </row>
    <row r="71" spans="1:15" ht="33.75" x14ac:dyDescent="0.2">
      <c r="A71" s="40" t="s">
        <v>9972</v>
      </c>
      <c r="B71" s="40" t="s">
        <v>9972</v>
      </c>
      <c r="C71" s="41">
        <v>45658</v>
      </c>
      <c r="D71" s="41">
        <v>41485</v>
      </c>
      <c r="E71" s="40" t="s">
        <v>22</v>
      </c>
      <c r="F71" s="40" t="s">
        <v>9941</v>
      </c>
      <c r="G71" s="40" t="s">
        <v>9972</v>
      </c>
      <c r="H71" s="40"/>
      <c r="I71" s="40" t="s">
        <v>49</v>
      </c>
      <c r="J71" s="40">
        <v>2102.96</v>
      </c>
      <c r="K71" s="40">
        <v>2102.96</v>
      </c>
      <c r="L71" s="40"/>
      <c r="M71" s="40">
        <v>2102.96</v>
      </c>
      <c r="N71" s="40"/>
      <c r="O71" s="40" t="s">
        <v>234</v>
      </c>
    </row>
    <row r="72" spans="1:15" ht="33.75" x14ac:dyDescent="0.2">
      <c r="A72" s="40" t="s">
        <v>9973</v>
      </c>
      <c r="B72" s="40" t="s">
        <v>9973</v>
      </c>
      <c r="C72" s="41">
        <v>45658</v>
      </c>
      <c r="D72" s="41">
        <v>41484</v>
      </c>
      <c r="E72" s="40" t="s">
        <v>22</v>
      </c>
      <c r="F72" s="40" t="s">
        <v>9941</v>
      </c>
      <c r="G72" s="40" t="s">
        <v>9973</v>
      </c>
      <c r="H72" s="40"/>
      <c r="I72" s="40" t="s">
        <v>49</v>
      </c>
      <c r="J72" s="40">
        <v>630.14</v>
      </c>
      <c r="K72" s="40">
        <v>630.14</v>
      </c>
      <c r="L72" s="40"/>
      <c r="M72" s="40">
        <v>630.14</v>
      </c>
      <c r="N72" s="40"/>
      <c r="O72" s="40" t="s">
        <v>234</v>
      </c>
    </row>
    <row r="73" spans="1:15" ht="33.75" x14ac:dyDescent="0.2">
      <c r="A73" s="40" t="s">
        <v>9974</v>
      </c>
      <c r="B73" s="40" t="s">
        <v>9974</v>
      </c>
      <c r="C73" s="41">
        <v>45658</v>
      </c>
      <c r="D73" s="41">
        <v>41481</v>
      </c>
      <c r="E73" s="40" t="s">
        <v>22</v>
      </c>
      <c r="F73" s="40" t="s">
        <v>9941</v>
      </c>
      <c r="G73" s="40" t="s">
        <v>9974</v>
      </c>
      <c r="H73" s="40"/>
      <c r="I73" s="40" t="s">
        <v>49</v>
      </c>
      <c r="J73" s="40">
        <v>1118.6400000000001</v>
      </c>
      <c r="K73" s="40">
        <v>1118.6400000000001</v>
      </c>
      <c r="L73" s="40"/>
      <c r="M73" s="40">
        <v>1118.6400000000001</v>
      </c>
      <c r="N73" s="40"/>
      <c r="O73" s="40" t="s">
        <v>234</v>
      </c>
    </row>
    <row r="74" spans="1:15" ht="33.75" x14ac:dyDescent="0.2">
      <c r="A74" s="40" t="s">
        <v>9975</v>
      </c>
      <c r="B74" s="40" t="s">
        <v>9975</v>
      </c>
      <c r="C74" s="41">
        <v>45658</v>
      </c>
      <c r="D74" s="41">
        <v>41480</v>
      </c>
      <c r="E74" s="40" t="s">
        <v>22</v>
      </c>
      <c r="F74" s="40" t="s">
        <v>9941</v>
      </c>
      <c r="G74" s="40" t="s">
        <v>9975</v>
      </c>
      <c r="H74" s="40"/>
      <c r="I74" s="40" t="s">
        <v>49</v>
      </c>
      <c r="J74" s="40">
        <v>1152.23</v>
      </c>
      <c r="K74" s="40">
        <v>1152.23</v>
      </c>
      <c r="L74" s="40"/>
      <c r="M74" s="40">
        <v>1152.23</v>
      </c>
      <c r="N74" s="40"/>
      <c r="O74" s="40" t="s">
        <v>234</v>
      </c>
    </row>
    <row r="75" spans="1:15" ht="33.75" x14ac:dyDescent="0.2">
      <c r="A75" s="40" t="s">
        <v>9976</v>
      </c>
      <c r="B75" s="40" t="s">
        <v>9976</v>
      </c>
      <c r="C75" s="41">
        <v>45658</v>
      </c>
      <c r="D75" s="41">
        <v>41478</v>
      </c>
      <c r="E75" s="40" t="s">
        <v>22</v>
      </c>
      <c r="F75" s="40" t="s">
        <v>9941</v>
      </c>
      <c r="G75" s="40" t="s">
        <v>9976</v>
      </c>
      <c r="H75" s="40"/>
      <c r="I75" s="40" t="s">
        <v>49</v>
      </c>
      <c r="J75" s="40">
        <v>628.69000000000005</v>
      </c>
      <c r="K75" s="40">
        <v>628.69000000000005</v>
      </c>
      <c r="L75" s="40"/>
      <c r="M75" s="40">
        <v>628.69000000000005</v>
      </c>
      <c r="N75" s="40"/>
      <c r="O75" s="40" t="s">
        <v>234</v>
      </c>
    </row>
    <row r="76" spans="1:15" ht="33.75" x14ac:dyDescent="0.2">
      <c r="A76" s="40" t="s">
        <v>9977</v>
      </c>
      <c r="B76" s="40" t="s">
        <v>9977</v>
      </c>
      <c r="C76" s="41">
        <v>45658</v>
      </c>
      <c r="D76" s="41">
        <v>41475</v>
      </c>
      <c r="E76" s="40" t="s">
        <v>22</v>
      </c>
      <c r="F76" s="40" t="s">
        <v>9941</v>
      </c>
      <c r="G76" s="40" t="s">
        <v>9977</v>
      </c>
      <c r="H76" s="40"/>
      <c r="I76" s="40" t="s">
        <v>49</v>
      </c>
      <c r="J76" s="40">
        <v>1103.21</v>
      </c>
      <c r="K76" s="40">
        <v>1103.21</v>
      </c>
      <c r="L76" s="40"/>
      <c r="M76" s="40">
        <v>1103.21</v>
      </c>
      <c r="N76" s="40"/>
      <c r="O76" s="40" t="s">
        <v>234</v>
      </c>
    </row>
    <row r="77" spans="1:15" ht="33.75" x14ac:dyDescent="0.2">
      <c r="A77" s="40" t="s">
        <v>9978</v>
      </c>
      <c r="B77" s="40" t="s">
        <v>9978</v>
      </c>
      <c r="C77" s="41">
        <v>45658</v>
      </c>
      <c r="D77" s="41">
        <v>41474</v>
      </c>
      <c r="E77" s="40" t="s">
        <v>22</v>
      </c>
      <c r="F77" s="40" t="s">
        <v>9941</v>
      </c>
      <c r="G77" s="40" t="s">
        <v>9978</v>
      </c>
      <c r="H77" s="40"/>
      <c r="I77" s="40" t="s">
        <v>49</v>
      </c>
      <c r="J77" s="40">
        <v>1529.09</v>
      </c>
      <c r="K77" s="40">
        <v>1529.09</v>
      </c>
      <c r="L77" s="40"/>
      <c r="M77" s="40">
        <v>1529.09</v>
      </c>
      <c r="N77" s="40"/>
      <c r="O77" s="40" t="s">
        <v>234</v>
      </c>
    </row>
    <row r="78" spans="1:15" ht="33.75" x14ac:dyDescent="0.2">
      <c r="A78" s="40" t="s">
        <v>9979</v>
      </c>
      <c r="B78" s="40" t="s">
        <v>9979</v>
      </c>
      <c r="C78" s="41">
        <v>45658</v>
      </c>
      <c r="D78" s="41">
        <v>41472</v>
      </c>
      <c r="E78" s="40" t="s">
        <v>22</v>
      </c>
      <c r="F78" s="40" t="s">
        <v>9941</v>
      </c>
      <c r="G78" s="40" t="s">
        <v>9979</v>
      </c>
      <c r="H78" s="40"/>
      <c r="I78" s="40" t="s">
        <v>49</v>
      </c>
      <c r="J78" s="40">
        <v>903.17</v>
      </c>
      <c r="K78" s="40">
        <v>903.17</v>
      </c>
      <c r="L78" s="40"/>
      <c r="M78" s="40">
        <v>903.17</v>
      </c>
      <c r="N78" s="40"/>
      <c r="O78" s="40" t="s">
        <v>234</v>
      </c>
    </row>
    <row r="79" spans="1:15" ht="33.75" x14ac:dyDescent="0.2">
      <c r="A79" s="40" t="s">
        <v>9980</v>
      </c>
      <c r="B79" s="40" t="s">
        <v>9980</v>
      </c>
      <c r="C79" s="41">
        <v>45658</v>
      </c>
      <c r="D79" s="41">
        <v>41471</v>
      </c>
      <c r="E79" s="40" t="s">
        <v>22</v>
      </c>
      <c r="F79" s="40" t="s">
        <v>9941</v>
      </c>
      <c r="G79" s="40" t="s">
        <v>9980</v>
      </c>
      <c r="H79" s="40"/>
      <c r="I79" s="40" t="s">
        <v>49</v>
      </c>
      <c r="J79" s="40">
        <v>731.84</v>
      </c>
      <c r="K79" s="40">
        <v>731.84</v>
      </c>
      <c r="L79" s="40"/>
      <c r="M79" s="40">
        <v>731.84</v>
      </c>
      <c r="N79" s="40"/>
      <c r="O79" s="40" t="s">
        <v>234</v>
      </c>
    </row>
    <row r="80" spans="1:15" ht="33.75" x14ac:dyDescent="0.2">
      <c r="A80" s="40" t="s">
        <v>9981</v>
      </c>
      <c r="B80" s="40" t="s">
        <v>9981</v>
      </c>
      <c r="C80" s="41">
        <v>45658</v>
      </c>
      <c r="D80" s="41">
        <v>41467</v>
      </c>
      <c r="E80" s="40" t="s">
        <v>22</v>
      </c>
      <c r="F80" s="40" t="s">
        <v>9941</v>
      </c>
      <c r="G80" s="40" t="s">
        <v>9981</v>
      </c>
      <c r="H80" s="40"/>
      <c r="I80" s="40" t="s">
        <v>49</v>
      </c>
      <c r="J80" s="40">
        <v>750.54</v>
      </c>
      <c r="K80" s="40">
        <v>750.54</v>
      </c>
      <c r="L80" s="40"/>
      <c r="M80" s="40">
        <v>750.54</v>
      </c>
      <c r="N80" s="40"/>
      <c r="O80" s="40" t="s">
        <v>234</v>
      </c>
    </row>
    <row r="81" spans="1:15" ht="33.75" x14ac:dyDescent="0.2">
      <c r="A81" s="40" t="s">
        <v>9982</v>
      </c>
      <c r="B81" s="40" t="s">
        <v>9982</v>
      </c>
      <c r="C81" s="41">
        <v>45658</v>
      </c>
      <c r="D81" s="41">
        <v>41465</v>
      </c>
      <c r="E81" s="40" t="s">
        <v>22</v>
      </c>
      <c r="F81" s="40" t="s">
        <v>9941</v>
      </c>
      <c r="G81" s="40" t="s">
        <v>9982</v>
      </c>
      <c r="H81" s="40"/>
      <c r="I81" s="40" t="s">
        <v>49</v>
      </c>
      <c r="J81" s="40">
        <v>775.7</v>
      </c>
      <c r="K81" s="40">
        <v>775.7</v>
      </c>
      <c r="L81" s="40"/>
      <c r="M81" s="40">
        <v>775.7</v>
      </c>
      <c r="N81" s="40"/>
      <c r="O81" s="40" t="s">
        <v>234</v>
      </c>
    </row>
    <row r="82" spans="1:15" ht="33.75" x14ac:dyDescent="0.2">
      <c r="A82" s="40" t="s">
        <v>9983</v>
      </c>
      <c r="B82" s="40" t="s">
        <v>9983</v>
      </c>
      <c r="C82" s="41">
        <v>45658</v>
      </c>
      <c r="D82" s="41">
        <v>41464</v>
      </c>
      <c r="E82" s="40" t="s">
        <v>22</v>
      </c>
      <c r="F82" s="40" t="s">
        <v>9941</v>
      </c>
      <c r="G82" s="40" t="s">
        <v>9983</v>
      </c>
      <c r="H82" s="40"/>
      <c r="I82" s="40" t="s">
        <v>49</v>
      </c>
      <c r="J82" s="40">
        <v>716.02</v>
      </c>
      <c r="K82" s="40">
        <v>716.02</v>
      </c>
      <c r="L82" s="40"/>
      <c r="M82" s="40">
        <v>716.02</v>
      </c>
      <c r="N82" s="40"/>
      <c r="O82" s="40" t="s">
        <v>234</v>
      </c>
    </row>
    <row r="83" spans="1:15" ht="33.75" x14ac:dyDescent="0.2">
      <c r="A83" s="40" t="s">
        <v>9984</v>
      </c>
      <c r="B83" s="40" t="s">
        <v>9984</v>
      </c>
      <c r="C83" s="41">
        <v>45658</v>
      </c>
      <c r="D83" s="41">
        <v>41461</v>
      </c>
      <c r="E83" s="40" t="s">
        <v>22</v>
      </c>
      <c r="F83" s="40" t="s">
        <v>9941</v>
      </c>
      <c r="G83" s="40" t="s">
        <v>9984</v>
      </c>
      <c r="H83" s="40"/>
      <c r="I83" s="40" t="s">
        <v>49</v>
      </c>
      <c r="J83" s="40">
        <v>1201.8800000000001</v>
      </c>
      <c r="K83" s="40">
        <v>1201.8800000000001</v>
      </c>
      <c r="L83" s="40"/>
      <c r="M83" s="40">
        <v>1201.8800000000001</v>
      </c>
      <c r="N83" s="40"/>
      <c r="O83" s="40" t="s">
        <v>234</v>
      </c>
    </row>
    <row r="84" spans="1:15" ht="33.75" x14ac:dyDescent="0.2">
      <c r="A84" s="40" t="s">
        <v>9985</v>
      </c>
      <c r="B84" s="40" t="s">
        <v>9985</v>
      </c>
      <c r="C84" s="41">
        <v>45658</v>
      </c>
      <c r="D84" s="41">
        <v>41460</v>
      </c>
      <c r="E84" s="40" t="s">
        <v>22</v>
      </c>
      <c r="F84" s="40" t="s">
        <v>9941</v>
      </c>
      <c r="G84" s="40" t="s">
        <v>9985</v>
      </c>
      <c r="H84" s="40"/>
      <c r="I84" s="40" t="s">
        <v>49</v>
      </c>
      <c r="J84" s="40">
        <v>1623.7</v>
      </c>
      <c r="K84" s="40">
        <v>1623.7</v>
      </c>
      <c r="L84" s="40"/>
      <c r="M84" s="40">
        <v>1623.7</v>
      </c>
      <c r="N84" s="40"/>
      <c r="O84" s="40" t="s">
        <v>234</v>
      </c>
    </row>
    <row r="85" spans="1:15" ht="33.75" x14ac:dyDescent="0.2">
      <c r="A85" s="40" t="s">
        <v>9986</v>
      </c>
      <c r="B85" s="40" t="s">
        <v>9986</v>
      </c>
      <c r="C85" s="41">
        <v>45658</v>
      </c>
      <c r="D85" s="41">
        <v>41457</v>
      </c>
      <c r="E85" s="40" t="s">
        <v>22</v>
      </c>
      <c r="F85" s="40" t="s">
        <v>9941</v>
      </c>
      <c r="G85" s="40" t="s">
        <v>9986</v>
      </c>
      <c r="H85" s="40"/>
      <c r="I85" s="40" t="s">
        <v>49</v>
      </c>
      <c r="J85" s="40">
        <v>425.27</v>
      </c>
      <c r="K85" s="40">
        <v>425.27</v>
      </c>
      <c r="L85" s="40"/>
      <c r="M85" s="40">
        <v>425.27</v>
      </c>
      <c r="N85" s="40"/>
      <c r="O85" s="40" t="s">
        <v>234</v>
      </c>
    </row>
    <row r="86" spans="1:15" ht="33.75" x14ac:dyDescent="0.2">
      <c r="A86" s="40" t="s">
        <v>9987</v>
      </c>
      <c r="B86" s="40" t="s">
        <v>9987</v>
      </c>
      <c r="C86" s="41">
        <v>45658</v>
      </c>
      <c r="D86" s="41">
        <v>41456</v>
      </c>
      <c r="E86" s="40" t="s">
        <v>22</v>
      </c>
      <c r="F86" s="40" t="s">
        <v>9941</v>
      </c>
      <c r="G86" s="40" t="s">
        <v>9987</v>
      </c>
      <c r="H86" s="40"/>
      <c r="I86" s="40" t="s">
        <v>49</v>
      </c>
      <c r="J86" s="40">
        <v>970.07</v>
      </c>
      <c r="K86" s="40">
        <v>970.07</v>
      </c>
      <c r="L86" s="40"/>
      <c r="M86" s="40">
        <v>970.07</v>
      </c>
      <c r="N86" s="40"/>
      <c r="O86" s="40" t="s">
        <v>234</v>
      </c>
    </row>
    <row r="87" spans="1:15" ht="33.75" x14ac:dyDescent="0.2">
      <c r="A87" s="40" t="s">
        <v>9988</v>
      </c>
      <c r="B87" s="40" t="s">
        <v>9988</v>
      </c>
      <c r="C87" s="41">
        <v>45658</v>
      </c>
      <c r="D87" s="41">
        <v>41455</v>
      </c>
      <c r="E87" s="40" t="s">
        <v>22</v>
      </c>
      <c r="F87" s="40" t="s">
        <v>9941</v>
      </c>
      <c r="G87" s="40" t="s">
        <v>9988</v>
      </c>
      <c r="H87" s="40"/>
      <c r="I87" s="40" t="s">
        <v>49</v>
      </c>
      <c r="J87" s="40">
        <v>922.3</v>
      </c>
      <c r="K87" s="40">
        <v>922.3</v>
      </c>
      <c r="L87" s="40"/>
      <c r="M87" s="40">
        <v>922.3</v>
      </c>
      <c r="N87" s="40"/>
      <c r="O87" s="40" t="s">
        <v>234</v>
      </c>
    </row>
    <row r="88" spans="1:15" ht="33.75" x14ac:dyDescent="0.2">
      <c r="A88" s="40" t="s">
        <v>9989</v>
      </c>
      <c r="B88" s="40" t="s">
        <v>9989</v>
      </c>
      <c r="C88" s="41">
        <v>45658</v>
      </c>
      <c r="D88" s="41">
        <v>41452</v>
      </c>
      <c r="E88" s="40" t="s">
        <v>22</v>
      </c>
      <c r="F88" s="40" t="s">
        <v>9941</v>
      </c>
      <c r="G88" s="40" t="s">
        <v>9989</v>
      </c>
      <c r="H88" s="40"/>
      <c r="I88" s="40" t="s">
        <v>49</v>
      </c>
      <c r="J88" s="40">
        <v>3604.07</v>
      </c>
      <c r="K88" s="40">
        <v>3604.07</v>
      </c>
      <c r="L88" s="40"/>
      <c r="M88" s="40">
        <v>3604.07</v>
      </c>
      <c r="N88" s="40"/>
      <c r="O88" s="40" t="s">
        <v>234</v>
      </c>
    </row>
    <row r="89" spans="1:15" ht="33.75" x14ac:dyDescent="0.2">
      <c r="A89" s="40" t="s">
        <v>9990</v>
      </c>
      <c r="B89" s="40" t="s">
        <v>9990</v>
      </c>
      <c r="C89" s="41">
        <v>45658</v>
      </c>
      <c r="D89" s="41">
        <v>41451</v>
      </c>
      <c r="E89" s="40" t="s">
        <v>22</v>
      </c>
      <c r="F89" s="40" t="s">
        <v>9941</v>
      </c>
      <c r="G89" s="40" t="s">
        <v>9990</v>
      </c>
      <c r="H89" s="40"/>
      <c r="I89" s="40" t="s">
        <v>49</v>
      </c>
      <c r="J89" s="40">
        <v>926.06</v>
      </c>
      <c r="K89" s="40">
        <v>926.06</v>
      </c>
      <c r="L89" s="40"/>
      <c r="M89" s="40">
        <v>926.06</v>
      </c>
      <c r="N89" s="40"/>
      <c r="O89" s="40" t="s">
        <v>234</v>
      </c>
    </row>
    <row r="90" spans="1:15" ht="33.75" x14ac:dyDescent="0.2">
      <c r="A90" s="40" t="s">
        <v>9991</v>
      </c>
      <c r="B90" s="40" t="s">
        <v>9991</v>
      </c>
      <c r="C90" s="41">
        <v>45658</v>
      </c>
      <c r="D90" s="41">
        <v>41450</v>
      </c>
      <c r="E90" s="40" t="s">
        <v>22</v>
      </c>
      <c r="F90" s="40" t="s">
        <v>9941</v>
      </c>
      <c r="G90" s="40" t="s">
        <v>9991</v>
      </c>
      <c r="H90" s="40"/>
      <c r="I90" s="40" t="s">
        <v>49</v>
      </c>
      <c r="J90" s="40">
        <v>122.16</v>
      </c>
      <c r="K90" s="40">
        <v>122.16</v>
      </c>
      <c r="L90" s="40"/>
      <c r="M90" s="40">
        <v>122.16</v>
      </c>
      <c r="N90" s="40"/>
      <c r="O90" s="40" t="s">
        <v>234</v>
      </c>
    </row>
    <row r="91" spans="1:15" ht="33.75" x14ac:dyDescent="0.2">
      <c r="A91" s="40" t="s">
        <v>9992</v>
      </c>
      <c r="B91" s="40" t="s">
        <v>9992</v>
      </c>
      <c r="C91" s="41">
        <v>45658</v>
      </c>
      <c r="D91" s="41">
        <v>41448</v>
      </c>
      <c r="E91" s="40" t="s">
        <v>22</v>
      </c>
      <c r="F91" s="40" t="s">
        <v>9941</v>
      </c>
      <c r="G91" s="40" t="s">
        <v>9992</v>
      </c>
      <c r="H91" s="40"/>
      <c r="I91" s="40" t="s">
        <v>49</v>
      </c>
      <c r="J91" s="40">
        <v>1513.77</v>
      </c>
      <c r="K91" s="40">
        <v>1513.77</v>
      </c>
      <c r="L91" s="40"/>
      <c r="M91" s="40">
        <v>1513.77</v>
      </c>
      <c r="N91" s="40"/>
      <c r="O91" s="40" t="s">
        <v>234</v>
      </c>
    </row>
    <row r="92" spans="1:15" ht="33.75" x14ac:dyDescent="0.2">
      <c r="A92" s="40" t="s">
        <v>9993</v>
      </c>
      <c r="B92" s="40" t="s">
        <v>9993</v>
      </c>
      <c r="C92" s="41">
        <v>45658</v>
      </c>
      <c r="D92" s="41">
        <v>41446</v>
      </c>
      <c r="E92" s="40" t="s">
        <v>22</v>
      </c>
      <c r="F92" s="40" t="s">
        <v>9941</v>
      </c>
      <c r="G92" s="40" t="s">
        <v>9993</v>
      </c>
      <c r="H92" s="40"/>
      <c r="I92" s="40" t="s">
        <v>49</v>
      </c>
      <c r="J92" s="40">
        <v>2305.61</v>
      </c>
      <c r="K92" s="40">
        <v>2305.61</v>
      </c>
      <c r="L92" s="40"/>
      <c r="M92" s="40">
        <v>2305.61</v>
      </c>
      <c r="N92" s="40"/>
      <c r="O92" s="40" t="s">
        <v>234</v>
      </c>
    </row>
    <row r="93" spans="1:15" ht="33.75" x14ac:dyDescent="0.2">
      <c r="A93" s="40" t="s">
        <v>9994</v>
      </c>
      <c r="B93" s="40" t="s">
        <v>9994</v>
      </c>
      <c r="C93" s="41">
        <v>45658</v>
      </c>
      <c r="D93" s="41">
        <v>41446</v>
      </c>
      <c r="E93" s="40" t="s">
        <v>22</v>
      </c>
      <c r="F93" s="40" t="s">
        <v>9941</v>
      </c>
      <c r="G93" s="40" t="s">
        <v>9994</v>
      </c>
      <c r="H93" s="40"/>
      <c r="I93" s="40" t="s">
        <v>49</v>
      </c>
      <c r="J93" s="40">
        <v>1368.8</v>
      </c>
      <c r="K93" s="40">
        <v>1368.8</v>
      </c>
      <c r="L93" s="40"/>
      <c r="M93" s="40">
        <v>1368.8</v>
      </c>
      <c r="N93" s="40"/>
      <c r="O93" s="40" t="s">
        <v>234</v>
      </c>
    </row>
    <row r="94" spans="1:15" ht="33.75" x14ac:dyDescent="0.2">
      <c r="A94" s="40" t="s">
        <v>9995</v>
      </c>
      <c r="B94" s="40" t="s">
        <v>9995</v>
      </c>
      <c r="C94" s="41">
        <v>45658</v>
      </c>
      <c r="D94" s="41">
        <v>41446</v>
      </c>
      <c r="E94" s="40" t="s">
        <v>22</v>
      </c>
      <c r="F94" s="40" t="s">
        <v>9941</v>
      </c>
      <c r="G94" s="40" t="s">
        <v>9995</v>
      </c>
      <c r="H94" s="40"/>
      <c r="I94" s="40" t="s">
        <v>49</v>
      </c>
      <c r="J94" s="40">
        <v>970.24</v>
      </c>
      <c r="K94" s="40">
        <v>970.24</v>
      </c>
      <c r="L94" s="40"/>
      <c r="M94" s="40">
        <v>970.24</v>
      </c>
      <c r="N94" s="40"/>
      <c r="O94" s="40" t="s">
        <v>234</v>
      </c>
    </row>
    <row r="95" spans="1:15" ht="33.75" x14ac:dyDescent="0.2">
      <c r="A95" s="40" t="s">
        <v>9996</v>
      </c>
      <c r="B95" s="40" t="s">
        <v>9996</v>
      </c>
      <c r="C95" s="41">
        <v>45658</v>
      </c>
      <c r="D95" s="41">
        <v>41444</v>
      </c>
      <c r="E95" s="40" t="s">
        <v>22</v>
      </c>
      <c r="F95" s="40" t="s">
        <v>9941</v>
      </c>
      <c r="G95" s="40" t="s">
        <v>9996</v>
      </c>
      <c r="H95" s="40"/>
      <c r="I95" s="40" t="s">
        <v>49</v>
      </c>
      <c r="J95" s="40">
        <v>653.92999999999995</v>
      </c>
      <c r="K95" s="40">
        <v>653.92999999999995</v>
      </c>
      <c r="L95" s="40"/>
      <c r="M95" s="40">
        <v>653.92999999999995</v>
      </c>
      <c r="N95" s="40"/>
      <c r="O95" s="40" t="s">
        <v>234</v>
      </c>
    </row>
    <row r="96" spans="1:15" ht="33.75" x14ac:dyDescent="0.2">
      <c r="A96" s="40" t="s">
        <v>9997</v>
      </c>
      <c r="B96" s="40" t="s">
        <v>9997</v>
      </c>
      <c r="C96" s="41">
        <v>45658</v>
      </c>
      <c r="D96" s="41">
        <v>41443</v>
      </c>
      <c r="E96" s="40" t="s">
        <v>22</v>
      </c>
      <c r="F96" s="40" t="s">
        <v>9941</v>
      </c>
      <c r="G96" s="40" t="s">
        <v>9997</v>
      </c>
      <c r="H96" s="40"/>
      <c r="I96" s="40" t="s">
        <v>49</v>
      </c>
      <c r="J96" s="40">
        <v>1808.29</v>
      </c>
      <c r="K96" s="40">
        <v>1808.29</v>
      </c>
      <c r="L96" s="40"/>
      <c r="M96" s="40">
        <v>1808.29</v>
      </c>
      <c r="N96" s="40"/>
      <c r="O96" s="40" t="s">
        <v>234</v>
      </c>
    </row>
    <row r="97" spans="1:15" ht="33.75" x14ac:dyDescent="0.2">
      <c r="A97" s="40" t="s">
        <v>9998</v>
      </c>
      <c r="B97" s="40" t="s">
        <v>9998</v>
      </c>
      <c r="C97" s="41">
        <v>45658</v>
      </c>
      <c r="D97" s="41">
        <v>41436</v>
      </c>
      <c r="E97" s="40" t="s">
        <v>22</v>
      </c>
      <c r="F97" s="40" t="s">
        <v>9941</v>
      </c>
      <c r="G97" s="40" t="s">
        <v>9998</v>
      </c>
      <c r="H97" s="40"/>
      <c r="I97" s="40" t="s">
        <v>49</v>
      </c>
      <c r="J97" s="40">
        <v>613.15</v>
      </c>
      <c r="K97" s="40">
        <v>613.15</v>
      </c>
      <c r="L97" s="40"/>
      <c r="M97" s="40">
        <v>613.15</v>
      </c>
      <c r="N97" s="40"/>
      <c r="O97" s="40" t="s">
        <v>234</v>
      </c>
    </row>
    <row r="98" spans="1:15" ht="33.75" x14ac:dyDescent="0.2">
      <c r="A98" s="40" t="s">
        <v>9999</v>
      </c>
      <c r="B98" s="40" t="s">
        <v>9999</v>
      </c>
      <c r="C98" s="41">
        <v>45658</v>
      </c>
      <c r="D98" s="41">
        <v>41436</v>
      </c>
      <c r="E98" s="40" t="s">
        <v>22</v>
      </c>
      <c r="F98" s="40" t="s">
        <v>9941</v>
      </c>
      <c r="G98" s="40" t="s">
        <v>9999</v>
      </c>
      <c r="H98" s="40"/>
      <c r="I98" s="40" t="s">
        <v>49</v>
      </c>
      <c r="J98" s="40">
        <v>612.79999999999995</v>
      </c>
      <c r="K98" s="40">
        <v>612.79999999999995</v>
      </c>
      <c r="L98" s="40"/>
      <c r="M98" s="40">
        <v>612.79999999999995</v>
      </c>
      <c r="N98" s="40"/>
      <c r="O98" s="40" t="s">
        <v>234</v>
      </c>
    </row>
    <row r="99" spans="1:15" ht="33.75" x14ac:dyDescent="0.2">
      <c r="A99" s="40" t="s">
        <v>10000</v>
      </c>
      <c r="B99" s="40" t="s">
        <v>10000</v>
      </c>
      <c r="C99" s="41">
        <v>45658</v>
      </c>
      <c r="D99" s="41">
        <v>41433</v>
      </c>
      <c r="E99" s="40" t="s">
        <v>22</v>
      </c>
      <c r="F99" s="40" t="s">
        <v>9941</v>
      </c>
      <c r="G99" s="40" t="s">
        <v>10000</v>
      </c>
      <c r="H99" s="40"/>
      <c r="I99" s="40" t="s">
        <v>49</v>
      </c>
      <c r="J99" s="40">
        <v>655.64</v>
      </c>
      <c r="K99" s="40">
        <v>655.64</v>
      </c>
      <c r="L99" s="40"/>
      <c r="M99" s="40">
        <v>655.64</v>
      </c>
      <c r="N99" s="40"/>
      <c r="O99" s="40" t="s">
        <v>234</v>
      </c>
    </row>
    <row r="100" spans="1:15" ht="33.75" x14ac:dyDescent="0.2">
      <c r="A100" s="40" t="s">
        <v>10001</v>
      </c>
      <c r="B100" s="40" t="s">
        <v>10001</v>
      </c>
      <c r="C100" s="41">
        <v>45658</v>
      </c>
      <c r="D100" s="41">
        <v>41433</v>
      </c>
      <c r="E100" s="40" t="s">
        <v>22</v>
      </c>
      <c r="F100" s="40" t="s">
        <v>9941</v>
      </c>
      <c r="G100" s="40" t="s">
        <v>10001</v>
      </c>
      <c r="H100" s="40"/>
      <c r="I100" s="40" t="s">
        <v>49</v>
      </c>
      <c r="J100" s="40">
        <v>792.48</v>
      </c>
      <c r="K100" s="40">
        <v>792.48</v>
      </c>
      <c r="L100" s="40"/>
      <c r="M100" s="40">
        <v>792.48</v>
      </c>
      <c r="N100" s="40"/>
      <c r="O100" s="40" t="s">
        <v>234</v>
      </c>
    </row>
    <row r="101" spans="1:15" ht="33.75" x14ac:dyDescent="0.2">
      <c r="A101" s="40" t="s">
        <v>10002</v>
      </c>
      <c r="B101" s="40" t="s">
        <v>10002</v>
      </c>
      <c r="C101" s="41">
        <v>45658</v>
      </c>
      <c r="D101" s="41">
        <v>41431</v>
      </c>
      <c r="E101" s="40" t="s">
        <v>22</v>
      </c>
      <c r="F101" s="40" t="s">
        <v>9941</v>
      </c>
      <c r="G101" s="40" t="s">
        <v>10002</v>
      </c>
      <c r="H101" s="40"/>
      <c r="I101" s="40" t="s">
        <v>49</v>
      </c>
      <c r="J101" s="40">
        <v>1289.2</v>
      </c>
      <c r="K101" s="40">
        <v>1289.2</v>
      </c>
      <c r="L101" s="40"/>
      <c r="M101" s="40">
        <v>1289.2</v>
      </c>
      <c r="N101" s="40"/>
      <c r="O101" s="40" t="s">
        <v>234</v>
      </c>
    </row>
    <row r="102" spans="1:15" ht="33.75" x14ac:dyDescent="0.2">
      <c r="A102" s="40" t="s">
        <v>10003</v>
      </c>
      <c r="B102" s="40" t="s">
        <v>10003</v>
      </c>
      <c r="C102" s="41">
        <v>45658</v>
      </c>
      <c r="D102" s="41">
        <v>41431</v>
      </c>
      <c r="E102" s="40" t="s">
        <v>22</v>
      </c>
      <c r="F102" s="40" t="s">
        <v>9941</v>
      </c>
      <c r="G102" s="40" t="s">
        <v>10003</v>
      </c>
      <c r="H102" s="40"/>
      <c r="I102" s="40" t="s">
        <v>49</v>
      </c>
      <c r="J102" s="40">
        <v>613.34</v>
      </c>
      <c r="K102" s="40">
        <v>613.34</v>
      </c>
      <c r="L102" s="40"/>
      <c r="M102" s="40">
        <v>613.34</v>
      </c>
      <c r="N102" s="40"/>
      <c r="O102" s="40" t="s">
        <v>234</v>
      </c>
    </row>
    <row r="103" spans="1:15" ht="33.75" x14ac:dyDescent="0.2">
      <c r="A103" s="40" t="s">
        <v>10004</v>
      </c>
      <c r="B103" s="40" t="s">
        <v>10004</v>
      </c>
      <c r="C103" s="41">
        <v>45658</v>
      </c>
      <c r="D103" s="41">
        <v>41430</v>
      </c>
      <c r="E103" s="40" t="s">
        <v>22</v>
      </c>
      <c r="F103" s="40" t="s">
        <v>9941</v>
      </c>
      <c r="G103" s="40" t="s">
        <v>10004</v>
      </c>
      <c r="H103" s="40"/>
      <c r="I103" s="40" t="s">
        <v>49</v>
      </c>
      <c r="J103" s="40">
        <v>731.43</v>
      </c>
      <c r="K103" s="40">
        <v>731.43</v>
      </c>
      <c r="L103" s="40"/>
      <c r="M103" s="40">
        <v>731.43</v>
      </c>
      <c r="N103" s="40"/>
      <c r="O103" s="40" t="s">
        <v>234</v>
      </c>
    </row>
    <row r="104" spans="1:15" ht="33.75" x14ac:dyDescent="0.2">
      <c r="A104" s="40" t="s">
        <v>10005</v>
      </c>
      <c r="B104" s="40" t="s">
        <v>10005</v>
      </c>
      <c r="C104" s="41">
        <v>45658</v>
      </c>
      <c r="D104" s="41">
        <v>41429</v>
      </c>
      <c r="E104" s="40" t="s">
        <v>22</v>
      </c>
      <c r="F104" s="40" t="s">
        <v>9941</v>
      </c>
      <c r="G104" s="40" t="s">
        <v>10005</v>
      </c>
      <c r="H104" s="40"/>
      <c r="I104" s="40" t="s">
        <v>49</v>
      </c>
      <c r="J104" s="40">
        <v>443.87</v>
      </c>
      <c r="K104" s="40">
        <v>443.87</v>
      </c>
      <c r="L104" s="40"/>
      <c r="M104" s="40">
        <v>443.87</v>
      </c>
      <c r="N104" s="40"/>
      <c r="O104" s="40" t="s">
        <v>234</v>
      </c>
    </row>
    <row r="105" spans="1:15" ht="33.75" x14ac:dyDescent="0.2">
      <c r="A105" s="40" t="s">
        <v>10006</v>
      </c>
      <c r="B105" s="40" t="s">
        <v>10006</v>
      </c>
      <c r="C105" s="41">
        <v>45658</v>
      </c>
      <c r="D105" s="41">
        <v>41426</v>
      </c>
      <c r="E105" s="40" t="s">
        <v>22</v>
      </c>
      <c r="F105" s="40" t="s">
        <v>9941</v>
      </c>
      <c r="G105" s="40" t="s">
        <v>10006</v>
      </c>
      <c r="H105" s="40"/>
      <c r="I105" s="40" t="s">
        <v>49</v>
      </c>
      <c r="J105" s="40">
        <v>1253.3499999999999</v>
      </c>
      <c r="K105" s="40">
        <v>1253.3499999999999</v>
      </c>
      <c r="L105" s="40"/>
      <c r="M105" s="40">
        <v>1253.3499999999999</v>
      </c>
      <c r="N105" s="40"/>
      <c r="O105" s="40" t="s">
        <v>234</v>
      </c>
    </row>
    <row r="106" spans="1:15" ht="33.75" x14ac:dyDescent="0.2">
      <c r="A106" s="40" t="s">
        <v>10007</v>
      </c>
      <c r="B106" s="40" t="s">
        <v>10007</v>
      </c>
      <c r="C106" s="41">
        <v>45658</v>
      </c>
      <c r="D106" s="41">
        <v>41421</v>
      </c>
      <c r="E106" s="40" t="s">
        <v>22</v>
      </c>
      <c r="F106" s="40" t="s">
        <v>9941</v>
      </c>
      <c r="G106" s="40" t="s">
        <v>10007</v>
      </c>
      <c r="H106" s="40"/>
      <c r="I106" s="40" t="s">
        <v>49</v>
      </c>
      <c r="J106" s="40">
        <v>1059.6199999999999</v>
      </c>
      <c r="K106" s="40">
        <v>1059.6199999999999</v>
      </c>
      <c r="L106" s="40"/>
      <c r="M106" s="40">
        <v>1059.6199999999999</v>
      </c>
      <c r="N106" s="40"/>
      <c r="O106" s="40" t="s">
        <v>234</v>
      </c>
    </row>
    <row r="107" spans="1:15" ht="33.75" x14ac:dyDescent="0.2">
      <c r="A107" s="40" t="s">
        <v>10008</v>
      </c>
      <c r="B107" s="40" t="s">
        <v>10008</v>
      </c>
      <c r="C107" s="41">
        <v>45658</v>
      </c>
      <c r="D107" s="41">
        <v>41420</v>
      </c>
      <c r="E107" s="40" t="s">
        <v>22</v>
      </c>
      <c r="F107" s="40" t="s">
        <v>9941</v>
      </c>
      <c r="G107" s="40" t="s">
        <v>10008</v>
      </c>
      <c r="H107" s="40"/>
      <c r="I107" s="40" t="s">
        <v>49</v>
      </c>
      <c r="J107" s="40">
        <v>944.98</v>
      </c>
      <c r="K107" s="40">
        <v>944.98</v>
      </c>
      <c r="L107" s="40"/>
      <c r="M107" s="40">
        <v>944.98</v>
      </c>
      <c r="N107" s="40"/>
      <c r="O107" s="40" t="s">
        <v>234</v>
      </c>
    </row>
    <row r="108" spans="1:15" ht="33.75" x14ac:dyDescent="0.2">
      <c r="A108" s="40" t="s">
        <v>10009</v>
      </c>
      <c r="B108" s="40" t="s">
        <v>10009</v>
      </c>
      <c r="C108" s="41">
        <v>45658</v>
      </c>
      <c r="D108" s="41">
        <v>41420</v>
      </c>
      <c r="E108" s="40" t="s">
        <v>22</v>
      </c>
      <c r="F108" s="40" t="s">
        <v>9941</v>
      </c>
      <c r="G108" s="40" t="s">
        <v>10009</v>
      </c>
      <c r="H108" s="40"/>
      <c r="I108" s="40" t="s">
        <v>49</v>
      </c>
      <c r="J108" s="40">
        <v>623.89</v>
      </c>
      <c r="K108" s="40">
        <v>623.89</v>
      </c>
      <c r="L108" s="40"/>
      <c r="M108" s="40">
        <v>623.89</v>
      </c>
      <c r="N108" s="40"/>
      <c r="O108" s="40" t="s">
        <v>234</v>
      </c>
    </row>
    <row r="109" spans="1:15" ht="33.75" x14ac:dyDescent="0.2">
      <c r="A109" s="40" t="s">
        <v>10010</v>
      </c>
      <c r="B109" s="40" t="s">
        <v>10010</v>
      </c>
      <c r="C109" s="41">
        <v>45658</v>
      </c>
      <c r="D109" s="41">
        <v>41419</v>
      </c>
      <c r="E109" s="40" t="s">
        <v>22</v>
      </c>
      <c r="F109" s="40" t="s">
        <v>9941</v>
      </c>
      <c r="G109" s="40" t="s">
        <v>10010</v>
      </c>
      <c r="H109" s="40"/>
      <c r="I109" s="40" t="s">
        <v>49</v>
      </c>
      <c r="J109" s="40">
        <v>679.64</v>
      </c>
      <c r="K109" s="40">
        <v>679.64</v>
      </c>
      <c r="L109" s="40"/>
      <c r="M109" s="40">
        <v>679.64</v>
      </c>
      <c r="N109" s="40"/>
      <c r="O109" s="40" t="s">
        <v>234</v>
      </c>
    </row>
    <row r="110" spans="1:15" ht="33.75" x14ac:dyDescent="0.2">
      <c r="A110" s="40" t="s">
        <v>10011</v>
      </c>
      <c r="B110" s="40" t="s">
        <v>10011</v>
      </c>
      <c r="C110" s="41">
        <v>45658</v>
      </c>
      <c r="D110" s="41">
        <v>41419</v>
      </c>
      <c r="E110" s="40" t="s">
        <v>22</v>
      </c>
      <c r="F110" s="40" t="s">
        <v>9941</v>
      </c>
      <c r="G110" s="40" t="s">
        <v>10011</v>
      </c>
      <c r="H110" s="40"/>
      <c r="I110" s="40" t="s">
        <v>49</v>
      </c>
      <c r="J110" s="40">
        <v>823.22</v>
      </c>
      <c r="K110" s="40">
        <v>823.22</v>
      </c>
      <c r="L110" s="40"/>
      <c r="M110" s="40">
        <v>823.22</v>
      </c>
      <c r="N110" s="40"/>
      <c r="O110" s="40" t="s">
        <v>234</v>
      </c>
    </row>
    <row r="111" spans="1:15" ht="33.75" x14ac:dyDescent="0.2">
      <c r="A111" s="40" t="s">
        <v>10012</v>
      </c>
      <c r="B111" s="40" t="s">
        <v>10012</v>
      </c>
      <c r="C111" s="41">
        <v>45658</v>
      </c>
      <c r="D111" s="41">
        <v>41416</v>
      </c>
      <c r="E111" s="40" t="s">
        <v>22</v>
      </c>
      <c r="F111" s="40" t="s">
        <v>9941</v>
      </c>
      <c r="G111" s="40" t="s">
        <v>10012</v>
      </c>
      <c r="H111" s="40"/>
      <c r="I111" s="40" t="s">
        <v>49</v>
      </c>
      <c r="J111" s="40">
        <v>1589.02</v>
      </c>
      <c r="K111" s="40">
        <v>1589.02</v>
      </c>
      <c r="L111" s="40"/>
      <c r="M111" s="40">
        <v>1589.02</v>
      </c>
      <c r="N111" s="40"/>
      <c r="O111" s="40" t="s">
        <v>234</v>
      </c>
    </row>
    <row r="112" spans="1:15" ht="33.75" x14ac:dyDescent="0.2">
      <c r="A112" s="40" t="s">
        <v>10013</v>
      </c>
      <c r="B112" s="40" t="s">
        <v>10013</v>
      </c>
      <c r="C112" s="41">
        <v>45658</v>
      </c>
      <c r="D112" s="41">
        <v>41415</v>
      </c>
      <c r="E112" s="40" t="s">
        <v>22</v>
      </c>
      <c r="F112" s="40" t="s">
        <v>9941</v>
      </c>
      <c r="G112" s="40" t="s">
        <v>10013</v>
      </c>
      <c r="H112" s="40"/>
      <c r="I112" s="40" t="s">
        <v>49</v>
      </c>
      <c r="J112" s="40">
        <v>1077.0999999999999</v>
      </c>
      <c r="K112" s="40">
        <v>1077.0999999999999</v>
      </c>
      <c r="L112" s="40"/>
      <c r="M112" s="40">
        <v>1077.0999999999999</v>
      </c>
      <c r="N112" s="40"/>
      <c r="O112" s="40" t="s">
        <v>234</v>
      </c>
    </row>
    <row r="113" spans="1:15" ht="33.75" x14ac:dyDescent="0.2">
      <c r="A113" s="40" t="s">
        <v>10014</v>
      </c>
      <c r="B113" s="40" t="s">
        <v>10014</v>
      </c>
      <c r="C113" s="41">
        <v>45658</v>
      </c>
      <c r="D113" s="41">
        <v>41414</v>
      </c>
      <c r="E113" s="40" t="s">
        <v>22</v>
      </c>
      <c r="F113" s="40" t="s">
        <v>9941</v>
      </c>
      <c r="G113" s="40" t="s">
        <v>10014</v>
      </c>
      <c r="H113" s="40"/>
      <c r="I113" s="40" t="s">
        <v>49</v>
      </c>
      <c r="J113" s="40">
        <v>1568.42</v>
      </c>
      <c r="K113" s="40">
        <v>1568.42</v>
      </c>
      <c r="L113" s="40"/>
      <c r="M113" s="40">
        <v>1568.42</v>
      </c>
      <c r="N113" s="40"/>
      <c r="O113" s="40" t="s">
        <v>234</v>
      </c>
    </row>
    <row r="114" spans="1:15" ht="33.75" x14ac:dyDescent="0.2">
      <c r="A114" s="40" t="s">
        <v>10015</v>
      </c>
      <c r="B114" s="40" t="s">
        <v>10015</v>
      </c>
      <c r="C114" s="41">
        <v>45658</v>
      </c>
      <c r="D114" s="41">
        <v>41413</v>
      </c>
      <c r="E114" s="40" t="s">
        <v>22</v>
      </c>
      <c r="F114" s="40" t="s">
        <v>9941</v>
      </c>
      <c r="G114" s="40" t="s">
        <v>10015</v>
      </c>
      <c r="H114" s="40"/>
      <c r="I114" s="40" t="s">
        <v>49</v>
      </c>
      <c r="J114" s="40">
        <v>596.94000000000005</v>
      </c>
      <c r="K114" s="40">
        <v>596.94000000000005</v>
      </c>
      <c r="L114" s="40"/>
      <c r="M114" s="40">
        <v>596.94000000000005</v>
      </c>
      <c r="N114" s="40"/>
      <c r="O114" s="40" t="s">
        <v>234</v>
      </c>
    </row>
    <row r="115" spans="1:15" ht="33.75" x14ac:dyDescent="0.2">
      <c r="A115" s="40" t="s">
        <v>10016</v>
      </c>
      <c r="B115" s="40" t="s">
        <v>10016</v>
      </c>
      <c r="C115" s="41">
        <v>45658</v>
      </c>
      <c r="D115" s="41">
        <v>41409</v>
      </c>
      <c r="E115" s="40" t="s">
        <v>22</v>
      </c>
      <c r="F115" s="40" t="s">
        <v>9941</v>
      </c>
      <c r="G115" s="40" t="s">
        <v>10016</v>
      </c>
      <c r="H115" s="40"/>
      <c r="I115" s="40" t="s">
        <v>49</v>
      </c>
      <c r="J115" s="40">
        <v>707.19</v>
      </c>
      <c r="K115" s="40">
        <v>707.19</v>
      </c>
      <c r="L115" s="40"/>
      <c r="M115" s="40">
        <v>707.19</v>
      </c>
      <c r="N115" s="40"/>
      <c r="O115" s="40" t="s">
        <v>234</v>
      </c>
    </row>
    <row r="116" spans="1:15" ht="33.75" x14ac:dyDescent="0.2">
      <c r="A116" s="40" t="s">
        <v>10017</v>
      </c>
      <c r="B116" s="40" t="s">
        <v>10017</v>
      </c>
      <c r="C116" s="41">
        <v>45658</v>
      </c>
      <c r="D116" s="41">
        <v>41409</v>
      </c>
      <c r="E116" s="40" t="s">
        <v>22</v>
      </c>
      <c r="F116" s="40" t="s">
        <v>9941</v>
      </c>
      <c r="G116" s="40" t="s">
        <v>10017</v>
      </c>
      <c r="H116" s="40"/>
      <c r="I116" s="40" t="s">
        <v>49</v>
      </c>
      <c r="J116" s="40">
        <v>903.6</v>
      </c>
      <c r="K116" s="40">
        <v>903.6</v>
      </c>
      <c r="L116" s="40"/>
      <c r="M116" s="40">
        <v>903.6</v>
      </c>
      <c r="N116" s="40"/>
      <c r="O116" s="40" t="s">
        <v>234</v>
      </c>
    </row>
    <row r="117" spans="1:15" ht="33.75" x14ac:dyDescent="0.2">
      <c r="A117" s="40" t="s">
        <v>10018</v>
      </c>
      <c r="B117" s="40" t="s">
        <v>10018</v>
      </c>
      <c r="C117" s="41">
        <v>45658</v>
      </c>
      <c r="D117" s="41">
        <v>41408</v>
      </c>
      <c r="E117" s="40" t="s">
        <v>22</v>
      </c>
      <c r="F117" s="40" t="s">
        <v>9941</v>
      </c>
      <c r="G117" s="40" t="s">
        <v>10018</v>
      </c>
      <c r="H117" s="40"/>
      <c r="I117" s="40" t="s">
        <v>49</v>
      </c>
      <c r="J117" s="40">
        <v>619.38</v>
      </c>
      <c r="K117" s="40">
        <v>619.38</v>
      </c>
      <c r="L117" s="40"/>
      <c r="M117" s="40">
        <v>619.38</v>
      </c>
      <c r="N117" s="40"/>
      <c r="O117" s="40" t="s">
        <v>234</v>
      </c>
    </row>
    <row r="118" spans="1:15" ht="33.75" x14ac:dyDescent="0.2">
      <c r="A118" s="40" t="s">
        <v>10019</v>
      </c>
      <c r="B118" s="40" t="s">
        <v>10019</v>
      </c>
      <c r="C118" s="41">
        <v>45658</v>
      </c>
      <c r="D118" s="41">
        <v>41407</v>
      </c>
      <c r="E118" s="40" t="s">
        <v>22</v>
      </c>
      <c r="F118" s="40" t="s">
        <v>9941</v>
      </c>
      <c r="G118" s="40" t="s">
        <v>10019</v>
      </c>
      <c r="H118" s="40"/>
      <c r="I118" s="40" t="s">
        <v>49</v>
      </c>
      <c r="J118" s="40">
        <v>753.69</v>
      </c>
      <c r="K118" s="40">
        <v>753.69</v>
      </c>
      <c r="L118" s="40"/>
      <c r="M118" s="40">
        <v>753.69</v>
      </c>
      <c r="N118" s="40"/>
      <c r="O118" s="40" t="s">
        <v>234</v>
      </c>
    </row>
    <row r="119" spans="1:15" ht="33.75" x14ac:dyDescent="0.2">
      <c r="A119" s="40" t="s">
        <v>10020</v>
      </c>
      <c r="B119" s="40" t="s">
        <v>10020</v>
      </c>
      <c r="C119" s="41">
        <v>45658</v>
      </c>
      <c r="D119" s="41">
        <v>41406</v>
      </c>
      <c r="E119" s="40" t="s">
        <v>22</v>
      </c>
      <c r="F119" s="40" t="s">
        <v>9941</v>
      </c>
      <c r="G119" s="40" t="s">
        <v>10020</v>
      </c>
      <c r="H119" s="40"/>
      <c r="I119" s="40" t="s">
        <v>49</v>
      </c>
      <c r="J119" s="40">
        <v>681.8</v>
      </c>
      <c r="K119" s="40">
        <v>681.8</v>
      </c>
      <c r="L119" s="40"/>
      <c r="M119" s="40">
        <v>681.8</v>
      </c>
      <c r="N119" s="40"/>
      <c r="O119" s="40" t="s">
        <v>234</v>
      </c>
    </row>
    <row r="120" spans="1:15" ht="33.75" x14ac:dyDescent="0.2">
      <c r="A120" s="40" t="s">
        <v>10021</v>
      </c>
      <c r="B120" s="40" t="s">
        <v>10021</v>
      </c>
      <c r="C120" s="41">
        <v>45658</v>
      </c>
      <c r="D120" s="41">
        <v>41401</v>
      </c>
      <c r="E120" s="40" t="s">
        <v>22</v>
      </c>
      <c r="F120" s="40" t="s">
        <v>9941</v>
      </c>
      <c r="G120" s="40" t="s">
        <v>10021</v>
      </c>
      <c r="H120" s="40"/>
      <c r="I120" s="40" t="s">
        <v>49</v>
      </c>
      <c r="J120" s="40">
        <v>967.61</v>
      </c>
      <c r="K120" s="40">
        <v>967.61</v>
      </c>
      <c r="L120" s="40"/>
      <c r="M120" s="40">
        <v>967.61</v>
      </c>
      <c r="N120" s="40"/>
      <c r="O120" s="40" t="s">
        <v>234</v>
      </c>
    </row>
    <row r="121" spans="1:15" ht="33.75" x14ac:dyDescent="0.2">
      <c r="A121" s="40" t="s">
        <v>10022</v>
      </c>
      <c r="B121" s="40" t="s">
        <v>10022</v>
      </c>
      <c r="C121" s="41">
        <v>45658</v>
      </c>
      <c r="D121" s="41">
        <v>41399</v>
      </c>
      <c r="E121" s="40" t="s">
        <v>22</v>
      </c>
      <c r="F121" s="40" t="s">
        <v>9941</v>
      </c>
      <c r="G121" s="40" t="s">
        <v>10022</v>
      </c>
      <c r="H121" s="40"/>
      <c r="I121" s="40" t="s">
        <v>49</v>
      </c>
      <c r="J121" s="40">
        <v>847.43</v>
      </c>
      <c r="K121" s="40">
        <v>847.43</v>
      </c>
      <c r="L121" s="40"/>
      <c r="M121" s="40">
        <v>847.43</v>
      </c>
      <c r="N121" s="40"/>
      <c r="O121" s="40" t="s">
        <v>234</v>
      </c>
    </row>
    <row r="122" spans="1:15" ht="33.75" x14ac:dyDescent="0.2">
      <c r="A122" s="40" t="s">
        <v>10023</v>
      </c>
      <c r="B122" s="40" t="s">
        <v>10023</v>
      </c>
      <c r="C122" s="41">
        <v>45658</v>
      </c>
      <c r="D122" s="41">
        <v>41394</v>
      </c>
      <c r="E122" s="40" t="s">
        <v>22</v>
      </c>
      <c r="F122" s="40" t="s">
        <v>9941</v>
      </c>
      <c r="G122" s="40" t="s">
        <v>10023</v>
      </c>
      <c r="H122" s="40"/>
      <c r="I122" s="40" t="s">
        <v>49</v>
      </c>
      <c r="J122" s="40">
        <v>1484.4</v>
      </c>
      <c r="K122" s="40">
        <v>1484.4</v>
      </c>
      <c r="L122" s="40"/>
      <c r="M122" s="40">
        <v>1484.4</v>
      </c>
      <c r="N122" s="40"/>
      <c r="O122" s="40" t="s">
        <v>234</v>
      </c>
    </row>
    <row r="123" spans="1:15" ht="33.75" x14ac:dyDescent="0.2">
      <c r="A123" s="40" t="s">
        <v>10024</v>
      </c>
      <c r="B123" s="40" t="s">
        <v>10024</v>
      </c>
      <c r="C123" s="41">
        <v>45658</v>
      </c>
      <c r="D123" s="41">
        <v>41394</v>
      </c>
      <c r="E123" s="40" t="s">
        <v>22</v>
      </c>
      <c r="F123" s="40" t="s">
        <v>9941</v>
      </c>
      <c r="G123" s="40" t="s">
        <v>10024</v>
      </c>
      <c r="H123" s="40"/>
      <c r="I123" s="40" t="s">
        <v>49</v>
      </c>
      <c r="J123" s="40">
        <v>1690.07</v>
      </c>
      <c r="K123" s="40">
        <v>1690.07</v>
      </c>
      <c r="L123" s="40"/>
      <c r="M123" s="40">
        <v>1690.07</v>
      </c>
      <c r="N123" s="40"/>
      <c r="O123" s="40" t="s">
        <v>234</v>
      </c>
    </row>
    <row r="124" spans="1:15" ht="33.75" x14ac:dyDescent="0.2">
      <c r="A124" s="40" t="s">
        <v>10025</v>
      </c>
      <c r="B124" s="40" t="s">
        <v>10025</v>
      </c>
      <c r="C124" s="41">
        <v>45658</v>
      </c>
      <c r="D124" s="41">
        <v>41394</v>
      </c>
      <c r="E124" s="40" t="s">
        <v>22</v>
      </c>
      <c r="F124" s="40" t="s">
        <v>9941</v>
      </c>
      <c r="G124" s="40" t="s">
        <v>10025</v>
      </c>
      <c r="H124" s="40"/>
      <c r="I124" s="40" t="s">
        <v>49</v>
      </c>
      <c r="J124" s="40">
        <v>574.58000000000004</v>
      </c>
      <c r="K124" s="40">
        <v>574.58000000000004</v>
      </c>
      <c r="L124" s="40"/>
      <c r="M124" s="40">
        <v>574.58000000000004</v>
      </c>
      <c r="N124" s="40"/>
      <c r="O124" s="40" t="s">
        <v>234</v>
      </c>
    </row>
    <row r="125" spans="1:15" ht="33.75" x14ac:dyDescent="0.2">
      <c r="A125" s="40" t="s">
        <v>10026</v>
      </c>
      <c r="B125" s="40" t="s">
        <v>10026</v>
      </c>
      <c r="C125" s="41">
        <v>45658</v>
      </c>
      <c r="D125" s="41">
        <v>41394</v>
      </c>
      <c r="E125" s="40" t="s">
        <v>22</v>
      </c>
      <c r="F125" s="40" t="s">
        <v>9941</v>
      </c>
      <c r="G125" s="40" t="s">
        <v>10026</v>
      </c>
      <c r="H125" s="40"/>
      <c r="I125" s="40" t="s">
        <v>49</v>
      </c>
      <c r="J125" s="40">
        <v>1201.76</v>
      </c>
      <c r="K125" s="40">
        <v>1201.76</v>
      </c>
      <c r="L125" s="40"/>
      <c r="M125" s="40">
        <v>1201.76</v>
      </c>
      <c r="N125" s="40"/>
      <c r="O125" s="40" t="s">
        <v>234</v>
      </c>
    </row>
    <row r="126" spans="1:15" ht="33.75" x14ac:dyDescent="0.2">
      <c r="A126" s="40" t="s">
        <v>10027</v>
      </c>
      <c r="B126" s="40" t="s">
        <v>10027</v>
      </c>
      <c r="C126" s="41">
        <v>45658</v>
      </c>
      <c r="D126" s="41">
        <v>41392</v>
      </c>
      <c r="E126" s="40" t="s">
        <v>22</v>
      </c>
      <c r="F126" s="40" t="s">
        <v>9941</v>
      </c>
      <c r="G126" s="40" t="s">
        <v>10027</v>
      </c>
      <c r="H126" s="40"/>
      <c r="I126" s="40" t="s">
        <v>49</v>
      </c>
      <c r="J126" s="40">
        <v>850.36</v>
      </c>
      <c r="K126" s="40">
        <v>850.36</v>
      </c>
      <c r="L126" s="40"/>
      <c r="M126" s="40">
        <v>850.36</v>
      </c>
      <c r="N126" s="40"/>
      <c r="O126" s="40" t="s">
        <v>234</v>
      </c>
    </row>
    <row r="127" spans="1:15" ht="33.75" x14ac:dyDescent="0.2">
      <c r="A127" s="40" t="s">
        <v>10028</v>
      </c>
      <c r="B127" s="40" t="s">
        <v>10028</v>
      </c>
      <c r="C127" s="41">
        <v>45658</v>
      </c>
      <c r="D127" s="41">
        <v>41390</v>
      </c>
      <c r="E127" s="40" t="s">
        <v>22</v>
      </c>
      <c r="F127" s="40" t="s">
        <v>9941</v>
      </c>
      <c r="G127" s="40" t="s">
        <v>10028</v>
      </c>
      <c r="H127" s="40"/>
      <c r="I127" s="40" t="s">
        <v>49</v>
      </c>
      <c r="J127" s="40">
        <v>929.24</v>
      </c>
      <c r="K127" s="40">
        <v>929.24</v>
      </c>
      <c r="L127" s="40"/>
      <c r="M127" s="40">
        <v>929.24</v>
      </c>
      <c r="N127" s="40"/>
      <c r="O127" s="40" t="s">
        <v>234</v>
      </c>
    </row>
    <row r="128" spans="1:15" ht="33.75" x14ac:dyDescent="0.2">
      <c r="A128" s="40" t="s">
        <v>10029</v>
      </c>
      <c r="B128" s="40" t="s">
        <v>10029</v>
      </c>
      <c r="C128" s="41">
        <v>45658</v>
      </c>
      <c r="D128" s="41">
        <v>41387</v>
      </c>
      <c r="E128" s="40" t="s">
        <v>22</v>
      </c>
      <c r="F128" s="40" t="s">
        <v>9941</v>
      </c>
      <c r="G128" s="40" t="s">
        <v>10029</v>
      </c>
      <c r="H128" s="40"/>
      <c r="I128" s="40" t="s">
        <v>49</v>
      </c>
      <c r="J128" s="40">
        <v>1788.87</v>
      </c>
      <c r="K128" s="40">
        <v>1788.87</v>
      </c>
      <c r="L128" s="40"/>
      <c r="M128" s="40">
        <v>1788.87</v>
      </c>
      <c r="N128" s="40"/>
      <c r="O128" s="40" t="s">
        <v>234</v>
      </c>
    </row>
    <row r="129" spans="1:15" ht="33.75" x14ac:dyDescent="0.2">
      <c r="A129" s="40" t="s">
        <v>10030</v>
      </c>
      <c r="B129" s="40" t="s">
        <v>10030</v>
      </c>
      <c r="C129" s="41">
        <v>45658</v>
      </c>
      <c r="D129" s="41">
        <v>41386</v>
      </c>
      <c r="E129" s="40" t="s">
        <v>22</v>
      </c>
      <c r="F129" s="40" t="s">
        <v>9941</v>
      </c>
      <c r="G129" s="40" t="s">
        <v>10030</v>
      </c>
      <c r="H129" s="40"/>
      <c r="I129" s="40" t="s">
        <v>49</v>
      </c>
      <c r="J129" s="40">
        <v>1368.54</v>
      </c>
      <c r="K129" s="40">
        <v>1368.54</v>
      </c>
      <c r="L129" s="40"/>
      <c r="M129" s="40">
        <v>1368.54</v>
      </c>
      <c r="N129" s="40"/>
      <c r="O129" s="40" t="s">
        <v>234</v>
      </c>
    </row>
    <row r="130" spans="1:15" ht="33.75" x14ac:dyDescent="0.2">
      <c r="A130" s="40" t="s">
        <v>10031</v>
      </c>
      <c r="B130" s="40" t="s">
        <v>10031</v>
      </c>
      <c r="C130" s="41">
        <v>45658</v>
      </c>
      <c r="D130" s="41">
        <v>41386</v>
      </c>
      <c r="E130" s="40" t="s">
        <v>22</v>
      </c>
      <c r="F130" s="40" t="s">
        <v>9941</v>
      </c>
      <c r="G130" s="40" t="s">
        <v>10031</v>
      </c>
      <c r="H130" s="40"/>
      <c r="I130" s="40" t="s">
        <v>49</v>
      </c>
      <c r="J130" s="40">
        <v>1191.1400000000001</v>
      </c>
      <c r="K130" s="40">
        <v>1191.1400000000001</v>
      </c>
      <c r="L130" s="40"/>
      <c r="M130" s="40">
        <v>1191.1400000000001</v>
      </c>
      <c r="N130" s="40"/>
      <c r="O130" s="40" t="s">
        <v>234</v>
      </c>
    </row>
    <row r="131" spans="1:15" ht="33.75" x14ac:dyDescent="0.2">
      <c r="A131" s="40" t="s">
        <v>10032</v>
      </c>
      <c r="B131" s="40" t="s">
        <v>10032</v>
      </c>
      <c r="C131" s="41">
        <v>45658</v>
      </c>
      <c r="D131" s="41">
        <v>41381</v>
      </c>
      <c r="E131" s="40" t="s">
        <v>22</v>
      </c>
      <c r="F131" s="40" t="s">
        <v>9941</v>
      </c>
      <c r="G131" s="40" t="s">
        <v>10032</v>
      </c>
      <c r="H131" s="40"/>
      <c r="I131" s="40" t="s">
        <v>49</v>
      </c>
      <c r="J131" s="40">
        <v>481.13</v>
      </c>
      <c r="K131" s="40">
        <v>481.13</v>
      </c>
      <c r="L131" s="40"/>
      <c r="M131" s="40">
        <v>481.13</v>
      </c>
      <c r="N131" s="40"/>
      <c r="O131" s="40" t="s">
        <v>234</v>
      </c>
    </row>
    <row r="132" spans="1:15" ht="33.75" x14ac:dyDescent="0.2">
      <c r="A132" s="40" t="s">
        <v>10033</v>
      </c>
      <c r="B132" s="40" t="s">
        <v>10033</v>
      </c>
      <c r="C132" s="41">
        <v>45658</v>
      </c>
      <c r="D132" s="41">
        <v>41379</v>
      </c>
      <c r="E132" s="40" t="s">
        <v>22</v>
      </c>
      <c r="F132" s="40" t="s">
        <v>9941</v>
      </c>
      <c r="G132" s="40" t="s">
        <v>10033</v>
      </c>
      <c r="H132" s="40"/>
      <c r="I132" s="40" t="s">
        <v>49</v>
      </c>
      <c r="J132" s="40">
        <v>864.11</v>
      </c>
      <c r="K132" s="40">
        <v>864.11</v>
      </c>
      <c r="L132" s="40"/>
      <c r="M132" s="40">
        <v>864.11</v>
      </c>
      <c r="N132" s="40"/>
      <c r="O132" s="40" t="s">
        <v>234</v>
      </c>
    </row>
    <row r="133" spans="1:15" ht="33.75" x14ac:dyDescent="0.2">
      <c r="A133" s="40" t="s">
        <v>10034</v>
      </c>
      <c r="B133" s="40" t="s">
        <v>10034</v>
      </c>
      <c r="C133" s="41">
        <v>45658</v>
      </c>
      <c r="D133" s="41">
        <v>41364</v>
      </c>
      <c r="E133" s="40" t="s">
        <v>22</v>
      </c>
      <c r="F133" s="40" t="s">
        <v>9941</v>
      </c>
      <c r="G133" s="40" t="s">
        <v>10034</v>
      </c>
      <c r="H133" s="40"/>
      <c r="I133" s="40" t="s">
        <v>49</v>
      </c>
      <c r="J133" s="40">
        <v>3507.59</v>
      </c>
      <c r="K133" s="40">
        <v>3507.59</v>
      </c>
      <c r="L133" s="40"/>
      <c r="M133" s="40">
        <v>3507.59</v>
      </c>
      <c r="N133" s="40"/>
      <c r="O133" s="40" t="s">
        <v>234</v>
      </c>
    </row>
    <row r="134" spans="1:15" ht="33.75" x14ac:dyDescent="0.2">
      <c r="A134" s="40" t="s">
        <v>10035</v>
      </c>
      <c r="B134" s="40" t="s">
        <v>10035</v>
      </c>
      <c r="C134" s="41">
        <v>45658</v>
      </c>
      <c r="D134" s="41">
        <v>41360</v>
      </c>
      <c r="E134" s="40" t="s">
        <v>22</v>
      </c>
      <c r="F134" s="40" t="s">
        <v>9941</v>
      </c>
      <c r="G134" s="40" t="s">
        <v>10035</v>
      </c>
      <c r="H134" s="40"/>
      <c r="I134" s="40" t="s">
        <v>49</v>
      </c>
      <c r="J134" s="40">
        <v>957.25</v>
      </c>
      <c r="K134" s="40">
        <v>957.25</v>
      </c>
      <c r="L134" s="40"/>
      <c r="M134" s="40">
        <v>957.25</v>
      </c>
      <c r="N134" s="40"/>
      <c r="O134" s="40" t="s">
        <v>234</v>
      </c>
    </row>
    <row r="135" spans="1:15" ht="33.75" x14ac:dyDescent="0.2">
      <c r="A135" s="40" t="s">
        <v>10036</v>
      </c>
      <c r="B135" s="40" t="s">
        <v>10036</v>
      </c>
      <c r="C135" s="41">
        <v>45658</v>
      </c>
      <c r="D135" s="41">
        <v>41354</v>
      </c>
      <c r="E135" s="40" t="s">
        <v>22</v>
      </c>
      <c r="F135" s="40" t="s">
        <v>9941</v>
      </c>
      <c r="G135" s="40" t="s">
        <v>10036</v>
      </c>
      <c r="H135" s="40"/>
      <c r="I135" s="40" t="s">
        <v>49</v>
      </c>
      <c r="J135" s="40">
        <v>1429.49</v>
      </c>
      <c r="K135" s="40">
        <v>1429.49</v>
      </c>
      <c r="L135" s="40"/>
      <c r="M135" s="40">
        <v>1429.49</v>
      </c>
      <c r="N135" s="40"/>
      <c r="O135" s="40" t="s">
        <v>234</v>
      </c>
    </row>
    <row r="136" spans="1:15" ht="33.75" x14ac:dyDescent="0.2">
      <c r="A136" s="40" t="s">
        <v>10037</v>
      </c>
      <c r="B136" s="40" t="s">
        <v>10037</v>
      </c>
      <c r="C136" s="41">
        <v>45658</v>
      </c>
      <c r="D136" s="41">
        <v>41353</v>
      </c>
      <c r="E136" s="40" t="s">
        <v>22</v>
      </c>
      <c r="F136" s="40" t="s">
        <v>9941</v>
      </c>
      <c r="G136" s="40" t="s">
        <v>10037</v>
      </c>
      <c r="H136" s="40"/>
      <c r="I136" s="40" t="s">
        <v>49</v>
      </c>
      <c r="J136" s="40">
        <v>1111.5</v>
      </c>
      <c r="K136" s="40">
        <v>1111.5</v>
      </c>
      <c r="L136" s="40"/>
      <c r="M136" s="40">
        <v>1111.5</v>
      </c>
      <c r="N136" s="40"/>
      <c r="O136" s="40" t="s">
        <v>234</v>
      </c>
    </row>
    <row r="137" spans="1:15" ht="33.75" x14ac:dyDescent="0.2">
      <c r="A137" s="40" t="s">
        <v>10038</v>
      </c>
      <c r="B137" s="40" t="s">
        <v>10038</v>
      </c>
      <c r="C137" s="41">
        <v>45658</v>
      </c>
      <c r="D137" s="41">
        <v>41352</v>
      </c>
      <c r="E137" s="40" t="s">
        <v>22</v>
      </c>
      <c r="F137" s="40" t="s">
        <v>9941</v>
      </c>
      <c r="G137" s="40" t="s">
        <v>10038</v>
      </c>
      <c r="H137" s="40"/>
      <c r="I137" s="40" t="s">
        <v>49</v>
      </c>
      <c r="J137" s="40">
        <v>1408.71</v>
      </c>
      <c r="K137" s="40">
        <v>1408.71</v>
      </c>
      <c r="L137" s="40"/>
      <c r="M137" s="40">
        <v>1408.71</v>
      </c>
      <c r="N137" s="40"/>
      <c r="O137" s="40" t="s">
        <v>234</v>
      </c>
    </row>
    <row r="138" spans="1:15" ht="33.75" x14ac:dyDescent="0.2">
      <c r="A138" s="40" t="s">
        <v>10039</v>
      </c>
      <c r="B138" s="40" t="s">
        <v>10039</v>
      </c>
      <c r="C138" s="41">
        <v>45658</v>
      </c>
      <c r="D138" s="41">
        <v>41351</v>
      </c>
      <c r="E138" s="40" t="s">
        <v>22</v>
      </c>
      <c r="F138" s="40" t="s">
        <v>9941</v>
      </c>
      <c r="G138" s="40" t="s">
        <v>10039</v>
      </c>
      <c r="H138" s="40"/>
      <c r="I138" s="40" t="s">
        <v>49</v>
      </c>
      <c r="J138" s="40">
        <v>1134.02</v>
      </c>
      <c r="K138" s="40">
        <v>1134.02</v>
      </c>
      <c r="L138" s="40"/>
      <c r="M138" s="40">
        <v>1134.02</v>
      </c>
      <c r="N138" s="40"/>
      <c r="O138" s="40" t="s">
        <v>234</v>
      </c>
    </row>
    <row r="139" spans="1:15" ht="33.75" x14ac:dyDescent="0.2">
      <c r="A139" s="40" t="s">
        <v>10040</v>
      </c>
      <c r="B139" s="40" t="s">
        <v>10040</v>
      </c>
      <c r="C139" s="41">
        <v>45658</v>
      </c>
      <c r="D139" s="41">
        <v>41346</v>
      </c>
      <c r="E139" s="40" t="s">
        <v>22</v>
      </c>
      <c r="F139" s="40" t="s">
        <v>9941</v>
      </c>
      <c r="G139" s="40" t="s">
        <v>10040</v>
      </c>
      <c r="H139" s="40"/>
      <c r="I139" s="40" t="s">
        <v>49</v>
      </c>
      <c r="J139" s="40">
        <v>694.21</v>
      </c>
      <c r="K139" s="40">
        <v>694.21</v>
      </c>
      <c r="L139" s="40"/>
      <c r="M139" s="40">
        <v>694.21</v>
      </c>
      <c r="N139" s="40"/>
      <c r="O139" s="40" t="s">
        <v>234</v>
      </c>
    </row>
    <row r="140" spans="1:15" ht="33.75" x14ac:dyDescent="0.2">
      <c r="A140" s="40" t="s">
        <v>10041</v>
      </c>
      <c r="B140" s="40" t="s">
        <v>10041</v>
      </c>
      <c r="C140" s="41">
        <v>45658</v>
      </c>
      <c r="D140" s="41">
        <v>41305</v>
      </c>
      <c r="E140" s="40" t="s">
        <v>22</v>
      </c>
      <c r="F140" s="40" t="s">
        <v>9941</v>
      </c>
      <c r="G140" s="40" t="s">
        <v>10041</v>
      </c>
      <c r="H140" s="40"/>
      <c r="I140" s="40" t="s">
        <v>49</v>
      </c>
      <c r="J140" s="40">
        <v>3070.09</v>
      </c>
      <c r="K140" s="40">
        <v>3070.09</v>
      </c>
      <c r="L140" s="40"/>
      <c r="M140" s="40">
        <v>3070.09</v>
      </c>
      <c r="N140" s="40"/>
      <c r="O140" s="40" t="s">
        <v>234</v>
      </c>
    </row>
    <row r="141" spans="1:15" x14ac:dyDescent="0.2">
      <c r="A141" s="86"/>
      <c r="B141" s="86"/>
      <c r="C141" s="87"/>
      <c r="D141" s="87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</row>
    <row r="142" spans="1:15" x14ac:dyDescent="0.2">
      <c r="M142" s="51">
        <f>SUM(M3:M140)</f>
        <v>1806544.4900000007</v>
      </c>
    </row>
    <row r="143" spans="1:15" ht="12" x14ac:dyDescent="0.2">
      <c r="J143" s="27">
        <v>3.4860000000000002</v>
      </c>
    </row>
    <row r="144" spans="1:15" x14ac:dyDescent="0.2">
      <c r="J144" s="53">
        <f>+J31*J143</f>
        <v>541.23635999999999</v>
      </c>
      <c r="L144" s="54">
        <f>+J144-M144</f>
        <v>19.096360000000004</v>
      </c>
      <c r="M144" s="35">
        <f>+M31</f>
        <v>522.14</v>
      </c>
    </row>
  </sheetData>
  <mergeCells count="1">
    <mergeCell ref="A2:D2"/>
  </mergeCells>
  <conditionalFormatting sqref="N1:N1048576">
    <cfRule type="duplicateValues" dxfId="37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571FF-763C-4D82-8FE9-A9CEBB52D526}">
  <dimension ref="A1:O50"/>
  <sheetViews>
    <sheetView showGridLines="0" workbookViewId="0">
      <selection sqref="A1:XFD1"/>
    </sheetView>
  </sheetViews>
  <sheetFormatPr baseColWidth="10" defaultColWidth="11.85546875" defaultRowHeight="11.25" x14ac:dyDescent="0.2"/>
  <cols>
    <col min="1" max="16384" width="11.85546875" style="8"/>
  </cols>
  <sheetData>
    <row r="1" spans="1:15" s="18" customFormat="1" ht="36" customHeight="1" x14ac:dyDescent="0.25">
      <c r="A1" s="104" t="s">
        <v>33</v>
      </c>
      <c r="B1" s="104" t="s">
        <v>34</v>
      </c>
      <c r="C1" s="104" t="s">
        <v>35</v>
      </c>
      <c r="D1" s="104" t="s">
        <v>36</v>
      </c>
      <c r="E1" s="104" t="s">
        <v>37</v>
      </c>
      <c r="F1" s="104" t="s">
        <v>38</v>
      </c>
      <c r="G1" s="104" t="s">
        <v>39</v>
      </c>
      <c r="H1" s="104" t="s">
        <v>40</v>
      </c>
      <c r="I1" s="104" t="s">
        <v>41</v>
      </c>
      <c r="J1" s="104" t="s">
        <v>42</v>
      </c>
      <c r="K1" s="104" t="s">
        <v>3</v>
      </c>
      <c r="L1" s="104" t="s">
        <v>4</v>
      </c>
      <c r="M1" s="104" t="s">
        <v>43</v>
      </c>
      <c r="N1" s="104" t="s">
        <v>44</v>
      </c>
      <c r="O1" s="104" t="s">
        <v>45</v>
      </c>
    </row>
    <row r="2" spans="1:15" ht="21.75" customHeight="1" x14ac:dyDescent="0.2">
      <c r="A2" s="92" t="s">
        <v>11809</v>
      </c>
      <c r="B2" s="93"/>
      <c r="C2" s="94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ht="21.75" customHeight="1" x14ac:dyDescent="0.2">
      <c r="A3" s="40" t="s">
        <v>5166</v>
      </c>
      <c r="B3" s="40" t="s">
        <v>5167</v>
      </c>
      <c r="C3" s="41">
        <v>46112</v>
      </c>
      <c r="D3" s="40"/>
      <c r="E3" s="40" t="s">
        <v>23</v>
      </c>
      <c r="F3" s="40"/>
      <c r="G3" s="40" t="s">
        <v>5168</v>
      </c>
      <c r="H3" s="40" t="s">
        <v>5168</v>
      </c>
      <c r="I3" s="40" t="s">
        <v>80</v>
      </c>
      <c r="J3" s="40"/>
      <c r="K3" s="40"/>
      <c r="L3" s="40">
        <v>136</v>
      </c>
      <c r="M3" s="40">
        <v>-136</v>
      </c>
      <c r="N3" s="40" t="s">
        <v>11810</v>
      </c>
      <c r="O3" s="40" t="s">
        <v>82</v>
      </c>
    </row>
    <row r="4" spans="1:15" ht="21.75" customHeight="1" x14ac:dyDescent="0.2">
      <c r="A4" s="40" t="s">
        <v>11811</v>
      </c>
      <c r="B4" s="40" t="s">
        <v>11811</v>
      </c>
      <c r="C4" s="41">
        <v>45658</v>
      </c>
      <c r="D4" s="41">
        <v>45291</v>
      </c>
      <c r="E4" s="40" t="s">
        <v>23</v>
      </c>
      <c r="F4" s="40" t="s">
        <v>9895</v>
      </c>
      <c r="G4" s="40" t="s">
        <v>11811</v>
      </c>
      <c r="H4" s="40"/>
      <c r="I4" s="40" t="s">
        <v>80</v>
      </c>
      <c r="J4" s="40">
        <v>500</v>
      </c>
      <c r="K4" s="40">
        <v>1879</v>
      </c>
      <c r="L4" s="40"/>
      <c r="M4" s="40">
        <v>1879</v>
      </c>
      <c r="N4" s="40"/>
      <c r="O4" s="40" t="s">
        <v>234</v>
      </c>
    </row>
    <row r="5" spans="1:15" ht="12" customHeight="1" x14ac:dyDescent="0.2"/>
    <row r="6" spans="1:15" ht="15" customHeight="1" x14ac:dyDescent="0.2">
      <c r="I6" s="8" t="s">
        <v>5381</v>
      </c>
      <c r="J6" s="17">
        <v>3.4860000000000002</v>
      </c>
    </row>
    <row r="7" spans="1:15" ht="10.5" customHeight="1" x14ac:dyDescent="0.2"/>
    <row r="8" spans="1:15" ht="21.75" customHeight="1" x14ac:dyDescent="0.2">
      <c r="J8" s="10">
        <f>+J4*J6</f>
        <v>1743</v>
      </c>
      <c r="M8" s="56">
        <f>SUM(M3:M7)</f>
        <v>1743</v>
      </c>
    </row>
    <row r="9" spans="1:15" ht="21.75" customHeight="1" x14ac:dyDescent="0.2"/>
    <row r="10" spans="1:15" ht="21.75" customHeight="1" x14ac:dyDescent="0.2"/>
    <row r="11" spans="1:15" ht="21.75" customHeight="1" x14ac:dyDescent="0.2"/>
    <row r="12" spans="1:15" ht="21.75" customHeight="1" x14ac:dyDescent="0.2"/>
    <row r="13" spans="1:15" ht="21.75" customHeight="1" x14ac:dyDescent="0.2"/>
    <row r="14" spans="1:15" ht="21.75" customHeight="1" x14ac:dyDescent="0.2"/>
    <row r="15" spans="1:15" ht="21.75" customHeight="1" x14ac:dyDescent="0.2"/>
    <row r="16" spans="1:15" ht="21.75" customHeight="1" x14ac:dyDescent="0.2"/>
    <row r="17" ht="21.75" customHeight="1" x14ac:dyDescent="0.2"/>
    <row r="18" ht="21.75" customHeight="1" x14ac:dyDescent="0.2"/>
    <row r="19" ht="21.75" customHeight="1" x14ac:dyDescent="0.2"/>
    <row r="20" ht="21.75" customHeight="1" x14ac:dyDescent="0.2"/>
    <row r="21" ht="21.75" customHeight="1" x14ac:dyDescent="0.2"/>
    <row r="22" ht="21.75" customHeight="1" x14ac:dyDescent="0.2"/>
    <row r="23" ht="21.75" customHeight="1" x14ac:dyDescent="0.2"/>
    <row r="24" ht="21.75" customHeight="1" x14ac:dyDescent="0.2"/>
    <row r="25" ht="21.75" customHeight="1" x14ac:dyDescent="0.2"/>
    <row r="26" ht="21.75" customHeight="1" x14ac:dyDescent="0.2"/>
    <row r="27" ht="21.75" customHeight="1" x14ac:dyDescent="0.2"/>
    <row r="28" ht="21.75" customHeight="1" x14ac:dyDescent="0.2"/>
    <row r="29" ht="21.75" customHeight="1" x14ac:dyDescent="0.2"/>
    <row r="30" ht="21.75" customHeight="1" x14ac:dyDescent="0.2"/>
    <row r="31" ht="21.75" customHeight="1" x14ac:dyDescent="0.2"/>
    <row r="32" ht="21.75" customHeight="1" x14ac:dyDescent="0.2"/>
    <row r="33" ht="21.75" customHeight="1" x14ac:dyDescent="0.2"/>
    <row r="34" ht="21.75" customHeight="1" x14ac:dyDescent="0.2"/>
    <row r="35" ht="21.75" customHeight="1" x14ac:dyDescent="0.2"/>
    <row r="36" ht="21.75" customHeight="1" x14ac:dyDescent="0.2"/>
    <row r="37" ht="21.75" customHeight="1" x14ac:dyDescent="0.2"/>
    <row r="38" ht="21.75" customHeight="1" x14ac:dyDescent="0.2"/>
    <row r="39" ht="21.75" customHeight="1" x14ac:dyDescent="0.2"/>
    <row r="40" ht="21.75" customHeight="1" x14ac:dyDescent="0.2"/>
    <row r="41" ht="21.75" customHeight="1" x14ac:dyDescent="0.2"/>
    <row r="42" ht="21.75" customHeight="1" x14ac:dyDescent="0.2"/>
    <row r="43" ht="21.75" customHeight="1" x14ac:dyDescent="0.2"/>
    <row r="44" ht="21.75" customHeight="1" x14ac:dyDescent="0.2"/>
    <row r="45" ht="21.75" customHeight="1" x14ac:dyDescent="0.2"/>
    <row r="46" ht="21.75" customHeight="1" x14ac:dyDescent="0.2"/>
    <row r="47" ht="21.75" customHeight="1" x14ac:dyDescent="0.2"/>
    <row r="48" ht="21.75" customHeight="1" x14ac:dyDescent="0.2"/>
    <row r="49" ht="21.75" customHeight="1" x14ac:dyDescent="0.2"/>
    <row r="50" ht="21.75" customHeight="1" x14ac:dyDescent="0.2"/>
  </sheetData>
  <mergeCells count="1">
    <mergeCell ref="A2:C2"/>
  </mergeCells>
  <conditionalFormatting sqref="N1">
    <cfRule type="duplicateValues" dxfId="2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02FF2-BECF-4E69-9ECD-EF972A45A06B}">
  <dimension ref="A1:O59"/>
  <sheetViews>
    <sheetView showGridLines="0" workbookViewId="0">
      <selection sqref="A1:XFD1"/>
    </sheetView>
  </sheetViews>
  <sheetFormatPr baseColWidth="10" defaultColWidth="11.5703125" defaultRowHeight="11.25" x14ac:dyDescent="0.2"/>
  <cols>
    <col min="1" max="1" width="23.28515625" style="8" customWidth="1"/>
    <col min="2" max="4" width="11.5703125" style="8"/>
    <col min="5" max="5" width="26" style="8" customWidth="1"/>
    <col min="6" max="6" width="25" style="8" customWidth="1"/>
    <col min="7" max="7" width="17.7109375" style="8" customWidth="1"/>
    <col min="8" max="8" width="21.85546875" style="8" customWidth="1"/>
    <col min="9" max="12" width="11.5703125" style="8"/>
    <col min="13" max="13" width="11.5703125" style="9"/>
    <col min="14" max="16384" width="11.5703125" style="8"/>
  </cols>
  <sheetData>
    <row r="1" spans="1:15" s="18" customFormat="1" ht="36" customHeight="1" x14ac:dyDescent="0.25">
      <c r="A1" s="104" t="s">
        <v>33</v>
      </c>
      <c r="B1" s="104" t="s">
        <v>34</v>
      </c>
      <c r="C1" s="104" t="s">
        <v>35</v>
      </c>
      <c r="D1" s="104" t="s">
        <v>36</v>
      </c>
      <c r="E1" s="104" t="s">
        <v>37</v>
      </c>
      <c r="F1" s="104" t="s">
        <v>38</v>
      </c>
      <c r="G1" s="104" t="s">
        <v>39</v>
      </c>
      <c r="H1" s="104" t="s">
        <v>40</v>
      </c>
      <c r="I1" s="104" t="s">
        <v>41</v>
      </c>
      <c r="J1" s="104" t="s">
        <v>42</v>
      </c>
      <c r="K1" s="104" t="s">
        <v>3</v>
      </c>
      <c r="L1" s="104" t="s">
        <v>4</v>
      </c>
      <c r="M1" s="104" t="s">
        <v>43</v>
      </c>
      <c r="N1" s="104" t="s">
        <v>44</v>
      </c>
      <c r="O1" s="104" t="s">
        <v>45</v>
      </c>
    </row>
    <row r="2" spans="1:15" ht="22.5" customHeight="1" x14ac:dyDescent="0.2">
      <c r="A2" s="90" t="s">
        <v>11812</v>
      </c>
      <c r="B2" s="90"/>
      <c r="C2" s="90"/>
      <c r="D2" s="38"/>
      <c r="E2" s="38"/>
      <c r="F2" s="38"/>
      <c r="G2" s="38"/>
      <c r="H2" s="38"/>
      <c r="I2" s="38"/>
      <c r="J2" s="38"/>
      <c r="K2" s="38"/>
      <c r="L2" s="38"/>
      <c r="M2" s="39"/>
      <c r="N2" s="38"/>
      <c r="O2" s="38"/>
    </row>
    <row r="3" spans="1:15" ht="29.25" customHeight="1" x14ac:dyDescent="0.2">
      <c r="A3" s="40" t="s">
        <v>11813</v>
      </c>
      <c r="B3" s="40" t="s">
        <v>11814</v>
      </c>
      <c r="C3" s="41">
        <v>46112</v>
      </c>
      <c r="D3" s="40"/>
      <c r="E3" s="40" t="s">
        <v>24</v>
      </c>
      <c r="F3" s="40"/>
      <c r="G3" s="40" t="s">
        <v>78</v>
      </c>
      <c r="H3" s="40" t="s">
        <v>79</v>
      </c>
      <c r="I3" s="40" t="s">
        <v>80</v>
      </c>
      <c r="J3" s="40"/>
      <c r="K3" s="40">
        <v>18.920000000000002</v>
      </c>
      <c r="L3" s="40"/>
      <c r="M3" s="40">
        <v>18.920000000000002</v>
      </c>
      <c r="N3" s="40" t="s">
        <v>11815</v>
      </c>
      <c r="O3" s="40" t="s">
        <v>82</v>
      </c>
    </row>
    <row r="4" spans="1:15" ht="29.25" customHeight="1" x14ac:dyDescent="0.2">
      <c r="A4" s="40" t="s">
        <v>5166</v>
      </c>
      <c r="B4" s="40" t="s">
        <v>5167</v>
      </c>
      <c r="C4" s="41">
        <v>46112</v>
      </c>
      <c r="D4" s="40"/>
      <c r="E4" s="40" t="s">
        <v>24</v>
      </c>
      <c r="F4" s="40"/>
      <c r="G4" s="40" t="s">
        <v>5168</v>
      </c>
      <c r="H4" s="40" t="s">
        <v>5168</v>
      </c>
      <c r="I4" s="40" t="s">
        <v>80</v>
      </c>
      <c r="J4" s="40"/>
      <c r="K4" s="40">
        <v>127950.15</v>
      </c>
      <c r="L4" s="40"/>
      <c r="M4" s="40">
        <v>127950.15</v>
      </c>
      <c r="N4" s="40" t="s">
        <v>11816</v>
      </c>
      <c r="O4" s="40" t="s">
        <v>82</v>
      </c>
    </row>
    <row r="5" spans="1:15" ht="29.25" customHeight="1" x14ac:dyDescent="0.2">
      <c r="A5" s="40" t="s">
        <v>11817</v>
      </c>
      <c r="B5" s="40" t="s">
        <v>11817</v>
      </c>
      <c r="C5" s="41">
        <v>46108</v>
      </c>
      <c r="D5" s="41">
        <v>46213</v>
      </c>
      <c r="E5" s="40" t="s">
        <v>24</v>
      </c>
      <c r="F5" s="40" t="s">
        <v>11818</v>
      </c>
      <c r="G5" s="40" t="s">
        <v>11817</v>
      </c>
      <c r="H5" s="40"/>
      <c r="I5" s="40" t="s">
        <v>80</v>
      </c>
      <c r="J5" s="40">
        <v>151432.78</v>
      </c>
      <c r="K5" s="40">
        <v>524866.01</v>
      </c>
      <c r="L5" s="40"/>
      <c r="M5" s="40">
        <v>524866.01</v>
      </c>
      <c r="N5" s="40"/>
      <c r="O5" s="40" t="s">
        <v>5396</v>
      </c>
    </row>
    <row r="6" spans="1:15" ht="29.25" customHeight="1" x14ac:dyDescent="0.2">
      <c r="A6" s="40" t="s">
        <v>11819</v>
      </c>
      <c r="B6" s="40" t="s">
        <v>11820</v>
      </c>
      <c r="C6" s="41">
        <v>46101</v>
      </c>
      <c r="D6" s="40"/>
      <c r="E6" s="40" t="s">
        <v>24</v>
      </c>
      <c r="F6" s="40" t="s">
        <v>11821</v>
      </c>
      <c r="G6" s="40" t="s">
        <v>11822</v>
      </c>
      <c r="H6" s="40" t="s">
        <v>11823</v>
      </c>
      <c r="I6" s="40" t="s">
        <v>80</v>
      </c>
      <c r="J6" s="40">
        <v>-591.14</v>
      </c>
      <c r="K6" s="40"/>
      <c r="L6" s="40">
        <v>2041.8</v>
      </c>
      <c r="M6" s="40">
        <v>-2041.8</v>
      </c>
      <c r="N6" s="40"/>
      <c r="O6" s="40" t="s">
        <v>2706</v>
      </c>
    </row>
    <row r="7" spans="1:15" ht="29.25" customHeight="1" x14ac:dyDescent="0.2">
      <c r="A7" s="40" t="s">
        <v>11824</v>
      </c>
      <c r="B7" s="40" t="s">
        <v>11824</v>
      </c>
      <c r="C7" s="41">
        <v>46101</v>
      </c>
      <c r="D7" s="40"/>
      <c r="E7" s="40" t="s">
        <v>24</v>
      </c>
      <c r="F7" s="40" t="s">
        <v>11821</v>
      </c>
      <c r="G7" s="40" t="s">
        <v>5345</v>
      </c>
      <c r="H7" s="40"/>
      <c r="I7" s="40" t="s">
        <v>80</v>
      </c>
      <c r="J7" s="40"/>
      <c r="K7" s="40">
        <v>48.48</v>
      </c>
      <c r="L7" s="40"/>
      <c r="M7" s="40">
        <v>48.48</v>
      </c>
      <c r="N7" s="40"/>
      <c r="O7" s="40" t="s">
        <v>2706</v>
      </c>
    </row>
    <row r="8" spans="1:15" ht="29.25" customHeight="1" x14ac:dyDescent="0.2">
      <c r="A8" s="40" t="s">
        <v>11825</v>
      </c>
      <c r="B8" s="40" t="s">
        <v>11825</v>
      </c>
      <c r="C8" s="41">
        <v>46093</v>
      </c>
      <c r="D8" s="41">
        <v>46198</v>
      </c>
      <c r="E8" s="40" t="s">
        <v>24</v>
      </c>
      <c r="F8" s="40" t="s">
        <v>11818</v>
      </c>
      <c r="G8" s="40" t="s">
        <v>11825</v>
      </c>
      <c r="H8" s="40"/>
      <c r="I8" s="40" t="s">
        <v>80</v>
      </c>
      <c r="J8" s="40">
        <v>7358.4</v>
      </c>
      <c r="K8" s="40">
        <v>25217.24</v>
      </c>
      <c r="L8" s="40"/>
      <c r="M8" s="40">
        <v>25217.24</v>
      </c>
      <c r="N8" s="40"/>
      <c r="O8" s="40" t="s">
        <v>5396</v>
      </c>
    </row>
    <row r="9" spans="1:15" ht="29.25" customHeight="1" x14ac:dyDescent="0.2">
      <c r="A9" s="40" t="s">
        <v>11826</v>
      </c>
      <c r="B9" s="40" t="s">
        <v>11826</v>
      </c>
      <c r="C9" s="41">
        <v>46072</v>
      </c>
      <c r="D9" s="41">
        <v>46072</v>
      </c>
      <c r="E9" s="40" t="s">
        <v>24</v>
      </c>
      <c r="F9" s="40" t="s">
        <v>11821</v>
      </c>
      <c r="G9" s="40" t="s">
        <v>11826</v>
      </c>
      <c r="H9" s="40"/>
      <c r="I9" s="40" t="s">
        <v>80</v>
      </c>
      <c r="J9" s="40">
        <v>10690.1</v>
      </c>
      <c r="K9" s="40">
        <v>35843.89</v>
      </c>
      <c r="L9" s="40"/>
      <c r="M9" s="40">
        <v>35843.89</v>
      </c>
      <c r="N9" s="40"/>
      <c r="O9" s="40" t="s">
        <v>5396</v>
      </c>
    </row>
    <row r="10" spans="1:15" ht="29.25" customHeight="1" x14ac:dyDescent="0.2">
      <c r="A10" s="40" t="s">
        <v>11827</v>
      </c>
      <c r="B10" s="40" t="s">
        <v>11827</v>
      </c>
      <c r="C10" s="41">
        <v>46072</v>
      </c>
      <c r="D10" s="40"/>
      <c r="E10" s="40" t="s">
        <v>24</v>
      </c>
      <c r="F10" s="40" t="s">
        <v>11821</v>
      </c>
      <c r="G10" s="40" t="s">
        <v>5345</v>
      </c>
      <c r="H10" s="40"/>
      <c r="I10" s="40" t="s">
        <v>80</v>
      </c>
      <c r="J10" s="40"/>
      <c r="K10" s="40"/>
      <c r="L10" s="40">
        <v>0.66</v>
      </c>
      <c r="M10" s="40">
        <v>-0.66</v>
      </c>
      <c r="N10" s="40"/>
      <c r="O10" s="40" t="s">
        <v>2706</v>
      </c>
    </row>
    <row r="11" spans="1:15" ht="29.25" customHeight="1" x14ac:dyDescent="0.2">
      <c r="A11" s="40" t="s">
        <v>11828</v>
      </c>
      <c r="B11" s="40" t="s">
        <v>11828</v>
      </c>
      <c r="C11" s="41">
        <v>46072</v>
      </c>
      <c r="D11" s="40"/>
      <c r="E11" s="40" t="s">
        <v>24</v>
      </c>
      <c r="F11" s="40" t="s">
        <v>11821</v>
      </c>
      <c r="G11" s="40" t="s">
        <v>11822</v>
      </c>
      <c r="H11" s="40"/>
      <c r="I11" s="40" t="s">
        <v>80</v>
      </c>
      <c r="J11" s="40">
        <v>-35</v>
      </c>
      <c r="K11" s="40"/>
      <c r="L11" s="40">
        <v>117.35</v>
      </c>
      <c r="M11" s="40">
        <v>-117.35</v>
      </c>
      <c r="N11" s="40"/>
      <c r="O11" s="40" t="s">
        <v>2706</v>
      </c>
    </row>
    <row r="12" spans="1:15" ht="29.25" customHeight="1" x14ac:dyDescent="0.2">
      <c r="A12" s="40" t="s">
        <v>11829</v>
      </c>
      <c r="B12" s="40" t="s">
        <v>11829</v>
      </c>
      <c r="C12" s="41">
        <v>46069</v>
      </c>
      <c r="D12" s="41">
        <v>46174</v>
      </c>
      <c r="E12" s="40" t="s">
        <v>24</v>
      </c>
      <c r="F12" s="40" t="s">
        <v>11818</v>
      </c>
      <c r="G12" s="40" t="s">
        <v>11829</v>
      </c>
      <c r="H12" s="40"/>
      <c r="I12" s="40" t="s">
        <v>80</v>
      </c>
      <c r="J12" s="40">
        <v>9200</v>
      </c>
      <c r="K12" s="40">
        <v>30893.599999999999</v>
      </c>
      <c r="L12" s="40"/>
      <c r="M12" s="40">
        <v>30893.599999999999</v>
      </c>
      <c r="N12" s="40"/>
      <c r="O12" s="40" t="s">
        <v>5396</v>
      </c>
    </row>
    <row r="13" spans="1:15" ht="29.25" customHeight="1" x14ac:dyDescent="0.2">
      <c r="A13" s="40" t="s">
        <v>11830</v>
      </c>
      <c r="B13" s="40" t="s">
        <v>11830</v>
      </c>
      <c r="C13" s="41">
        <v>46052</v>
      </c>
      <c r="D13" s="40"/>
      <c r="E13" s="40" t="s">
        <v>24</v>
      </c>
      <c r="F13" s="40" t="s">
        <v>11821</v>
      </c>
      <c r="G13" s="40" t="s">
        <v>5345</v>
      </c>
      <c r="H13" s="40"/>
      <c r="I13" s="40" t="s">
        <v>80</v>
      </c>
      <c r="J13" s="40"/>
      <c r="K13" s="40"/>
      <c r="L13" s="40">
        <v>27.74</v>
      </c>
      <c r="M13" s="40">
        <v>-27.74</v>
      </c>
      <c r="N13" s="40"/>
      <c r="O13" s="40" t="s">
        <v>2706</v>
      </c>
    </row>
    <row r="14" spans="1:15" ht="29.25" customHeight="1" x14ac:dyDescent="0.2">
      <c r="A14" s="40" t="s">
        <v>11831</v>
      </c>
      <c r="B14" s="40" t="s">
        <v>11831</v>
      </c>
      <c r="C14" s="41">
        <v>46052</v>
      </c>
      <c r="D14" s="40"/>
      <c r="E14" s="40" t="s">
        <v>24</v>
      </c>
      <c r="F14" s="40" t="s">
        <v>11821</v>
      </c>
      <c r="G14" s="40" t="s">
        <v>11822</v>
      </c>
      <c r="H14" s="40"/>
      <c r="I14" s="40" t="s">
        <v>80</v>
      </c>
      <c r="J14" s="40">
        <v>-1027.5999999999999</v>
      </c>
      <c r="K14" s="40"/>
      <c r="L14" s="40">
        <v>3437.32</v>
      </c>
      <c r="M14" s="40">
        <v>-3437.32</v>
      </c>
      <c r="N14" s="40"/>
      <c r="O14" s="40" t="s">
        <v>2706</v>
      </c>
    </row>
    <row r="15" spans="1:15" ht="29.25" customHeight="1" x14ac:dyDescent="0.2">
      <c r="A15" s="40" t="s">
        <v>11832</v>
      </c>
      <c r="B15" s="40" t="s">
        <v>11832</v>
      </c>
      <c r="C15" s="41">
        <v>46035</v>
      </c>
      <c r="D15" s="40"/>
      <c r="E15" s="40" t="s">
        <v>24</v>
      </c>
      <c r="F15" s="40" t="s">
        <v>11821</v>
      </c>
      <c r="G15" s="40" t="s">
        <v>5345</v>
      </c>
      <c r="H15" s="40"/>
      <c r="I15" s="40" t="s">
        <v>80</v>
      </c>
      <c r="J15" s="40"/>
      <c r="K15" s="40"/>
      <c r="L15" s="40">
        <v>0.11</v>
      </c>
      <c r="M15" s="40">
        <v>-0.11</v>
      </c>
      <c r="N15" s="40"/>
      <c r="O15" s="40" t="s">
        <v>2706</v>
      </c>
    </row>
    <row r="16" spans="1:15" ht="29.25" customHeight="1" x14ac:dyDescent="0.2">
      <c r="A16" s="40" t="s">
        <v>11833</v>
      </c>
      <c r="B16" s="40" t="s">
        <v>11833</v>
      </c>
      <c r="C16" s="41">
        <v>46035</v>
      </c>
      <c r="D16" s="40"/>
      <c r="E16" s="40" t="s">
        <v>24</v>
      </c>
      <c r="F16" s="40" t="s">
        <v>11821</v>
      </c>
      <c r="G16" s="40" t="s">
        <v>11822</v>
      </c>
      <c r="H16" s="40"/>
      <c r="I16" s="40" t="s">
        <v>80</v>
      </c>
      <c r="J16" s="40">
        <v>-28</v>
      </c>
      <c r="K16" s="40"/>
      <c r="L16" s="40">
        <v>94.3</v>
      </c>
      <c r="M16" s="40">
        <v>-94.3</v>
      </c>
      <c r="N16" s="40"/>
      <c r="O16" s="40" t="s">
        <v>2706</v>
      </c>
    </row>
    <row r="17" spans="1:15" ht="29.25" customHeight="1" x14ac:dyDescent="0.2">
      <c r="A17" s="40" t="s">
        <v>11822</v>
      </c>
      <c r="B17" s="40" t="s">
        <v>11822</v>
      </c>
      <c r="C17" s="41">
        <v>46021</v>
      </c>
      <c r="D17" s="41">
        <v>46021</v>
      </c>
      <c r="E17" s="40" t="s">
        <v>24</v>
      </c>
      <c r="F17" s="40" t="s">
        <v>11821</v>
      </c>
      <c r="G17" s="40" t="s">
        <v>11822</v>
      </c>
      <c r="H17" s="40"/>
      <c r="I17" s="40" t="s">
        <v>80</v>
      </c>
      <c r="J17" s="40">
        <v>1354184.49</v>
      </c>
      <c r="K17" s="40">
        <v>4566310.08</v>
      </c>
      <c r="L17" s="40"/>
      <c r="M17" s="40">
        <v>4566310.08</v>
      </c>
      <c r="N17" s="40"/>
      <c r="O17" s="40" t="s">
        <v>5396</v>
      </c>
    </row>
    <row r="18" spans="1:15" ht="29.25" customHeight="1" x14ac:dyDescent="0.2">
      <c r="A18" s="40" t="s">
        <v>11834</v>
      </c>
      <c r="B18" s="40" t="s">
        <v>11834</v>
      </c>
      <c r="C18" s="41">
        <v>46021</v>
      </c>
      <c r="D18" s="41">
        <v>46126</v>
      </c>
      <c r="E18" s="40" t="s">
        <v>24</v>
      </c>
      <c r="F18" s="40" t="s">
        <v>11818</v>
      </c>
      <c r="G18" s="40" t="s">
        <v>11834</v>
      </c>
      <c r="H18" s="40"/>
      <c r="I18" s="40" t="s">
        <v>80</v>
      </c>
      <c r="J18" s="40">
        <v>179768</v>
      </c>
      <c r="K18" s="40">
        <v>606177.68999999994</v>
      </c>
      <c r="L18" s="40"/>
      <c r="M18" s="40">
        <v>606177.68999999994</v>
      </c>
      <c r="N18" s="40"/>
      <c r="O18" s="40" t="s">
        <v>5396</v>
      </c>
    </row>
    <row r="19" spans="1:15" ht="29.25" customHeight="1" x14ac:dyDescent="0.2">
      <c r="A19" s="40" t="s">
        <v>11835</v>
      </c>
      <c r="B19" s="40" t="s">
        <v>11835</v>
      </c>
      <c r="C19" s="41">
        <v>46021</v>
      </c>
      <c r="D19" s="41">
        <v>46126</v>
      </c>
      <c r="E19" s="40" t="s">
        <v>24</v>
      </c>
      <c r="F19" s="40" t="s">
        <v>11818</v>
      </c>
      <c r="G19" s="40" t="s">
        <v>11835</v>
      </c>
      <c r="H19" s="40"/>
      <c r="I19" s="40" t="s">
        <v>80</v>
      </c>
      <c r="J19" s="40">
        <v>156930</v>
      </c>
      <c r="K19" s="40">
        <v>529167.98</v>
      </c>
      <c r="L19" s="40"/>
      <c r="M19" s="40">
        <v>529167.98</v>
      </c>
      <c r="N19" s="40"/>
      <c r="O19" s="40" t="s">
        <v>5396</v>
      </c>
    </row>
    <row r="20" spans="1:15" ht="29.25" customHeight="1" x14ac:dyDescent="0.2">
      <c r="A20" s="40" t="s">
        <v>11836</v>
      </c>
      <c r="B20" s="40" t="s">
        <v>11836</v>
      </c>
      <c r="C20" s="41">
        <v>46021</v>
      </c>
      <c r="D20" s="41">
        <v>46126</v>
      </c>
      <c r="E20" s="40" t="s">
        <v>24</v>
      </c>
      <c r="F20" s="40" t="s">
        <v>11818</v>
      </c>
      <c r="G20" s="40" t="s">
        <v>11836</v>
      </c>
      <c r="H20" s="40"/>
      <c r="I20" s="40" t="s">
        <v>80</v>
      </c>
      <c r="J20" s="40">
        <v>182072.3</v>
      </c>
      <c r="K20" s="40">
        <v>613947.79</v>
      </c>
      <c r="L20" s="40"/>
      <c r="M20" s="40">
        <v>613947.79</v>
      </c>
      <c r="N20" s="40"/>
      <c r="O20" s="40" t="s">
        <v>5396</v>
      </c>
    </row>
    <row r="21" spans="1:15" ht="29.25" customHeight="1" x14ac:dyDescent="0.2">
      <c r="A21" s="40" t="s">
        <v>11837</v>
      </c>
      <c r="B21" s="40" t="s">
        <v>11837</v>
      </c>
      <c r="C21" s="41">
        <v>46009</v>
      </c>
      <c r="D21" s="41">
        <v>46114</v>
      </c>
      <c r="E21" s="40" t="s">
        <v>24</v>
      </c>
      <c r="F21" s="40" t="s">
        <v>11818</v>
      </c>
      <c r="G21" s="40" t="s">
        <v>11837</v>
      </c>
      <c r="H21" s="40"/>
      <c r="I21" s="40" t="s">
        <v>80</v>
      </c>
      <c r="J21" s="40">
        <v>150087.28</v>
      </c>
      <c r="K21" s="40">
        <v>506094.31</v>
      </c>
      <c r="L21" s="40"/>
      <c r="M21" s="40">
        <v>506094.31</v>
      </c>
      <c r="N21" s="40"/>
      <c r="O21" s="40" t="s">
        <v>5396</v>
      </c>
    </row>
    <row r="22" spans="1:15" ht="29.25" customHeight="1" x14ac:dyDescent="0.2">
      <c r="A22" s="40" t="s">
        <v>11838</v>
      </c>
      <c r="B22" s="40" t="s">
        <v>11838</v>
      </c>
      <c r="C22" s="41">
        <v>46001</v>
      </c>
      <c r="D22" s="41">
        <v>46106</v>
      </c>
      <c r="E22" s="40" t="s">
        <v>24</v>
      </c>
      <c r="F22" s="40" t="s">
        <v>11818</v>
      </c>
      <c r="G22" s="40" t="s">
        <v>11838</v>
      </c>
      <c r="H22" s="40"/>
      <c r="I22" s="40" t="s">
        <v>80</v>
      </c>
      <c r="J22" s="40">
        <v>73852.600000000006</v>
      </c>
      <c r="K22" s="40">
        <v>248809.41</v>
      </c>
      <c r="L22" s="40"/>
      <c r="M22" s="40">
        <v>248809.41</v>
      </c>
      <c r="N22" s="40"/>
      <c r="O22" s="40" t="s">
        <v>5396</v>
      </c>
    </row>
    <row r="23" spans="1:15" ht="29.25" customHeight="1" x14ac:dyDescent="0.2">
      <c r="A23" s="40" t="s">
        <v>11839</v>
      </c>
      <c r="B23" s="40" t="s">
        <v>11839</v>
      </c>
      <c r="C23" s="41">
        <v>46085</v>
      </c>
      <c r="D23" s="40"/>
      <c r="E23" s="40" t="s">
        <v>24</v>
      </c>
      <c r="F23" s="40" t="s">
        <v>11818</v>
      </c>
      <c r="G23" s="40" t="s">
        <v>11840</v>
      </c>
      <c r="H23" s="40"/>
      <c r="I23" s="40" t="s">
        <v>80</v>
      </c>
      <c r="J23" s="40">
        <v>-55190</v>
      </c>
      <c r="K23" s="40"/>
      <c r="L23" s="40">
        <v>188087.52</v>
      </c>
      <c r="M23" s="40">
        <v>-188087.52</v>
      </c>
      <c r="N23" s="40" t="s">
        <v>11841</v>
      </c>
      <c r="O23" s="40" t="s">
        <v>2706</v>
      </c>
    </row>
    <row r="24" spans="1:15" ht="29.25" customHeight="1" x14ac:dyDescent="0.2">
      <c r="A24" s="40" t="s">
        <v>11842</v>
      </c>
      <c r="B24" s="40" t="s">
        <v>11842</v>
      </c>
      <c r="C24" s="41">
        <v>46085</v>
      </c>
      <c r="D24" s="40"/>
      <c r="E24" s="40" t="s">
        <v>24</v>
      </c>
      <c r="F24" s="40" t="s">
        <v>11818</v>
      </c>
      <c r="G24" s="40" t="s">
        <v>5345</v>
      </c>
      <c r="H24" s="40"/>
      <c r="I24" s="40" t="s">
        <v>80</v>
      </c>
      <c r="J24" s="40"/>
      <c r="K24" s="40"/>
      <c r="L24" s="40">
        <v>19316.5</v>
      </c>
      <c r="M24" s="40">
        <v>-19316.5</v>
      </c>
      <c r="N24" s="40" t="s">
        <v>11841</v>
      </c>
      <c r="O24" s="40" t="s">
        <v>2706</v>
      </c>
    </row>
    <row r="25" spans="1:15" ht="29.25" customHeight="1" x14ac:dyDescent="0.2">
      <c r="A25" s="40" t="s">
        <v>11843</v>
      </c>
      <c r="B25" s="40" t="s">
        <v>11843</v>
      </c>
      <c r="C25" s="41">
        <v>46083</v>
      </c>
      <c r="D25" s="40"/>
      <c r="E25" s="40" t="s">
        <v>24</v>
      </c>
      <c r="F25" s="40" t="s">
        <v>11818</v>
      </c>
      <c r="G25" s="40" t="s">
        <v>11840</v>
      </c>
      <c r="H25" s="40"/>
      <c r="I25" s="40" t="s">
        <v>80</v>
      </c>
      <c r="J25" s="40">
        <v>-65190</v>
      </c>
      <c r="K25" s="40"/>
      <c r="L25" s="40">
        <v>219103.59</v>
      </c>
      <c r="M25" s="40">
        <v>-219103.59</v>
      </c>
      <c r="N25" s="40" t="s">
        <v>11841</v>
      </c>
      <c r="O25" s="40" t="s">
        <v>2706</v>
      </c>
    </row>
    <row r="26" spans="1:15" ht="29.25" customHeight="1" x14ac:dyDescent="0.2">
      <c r="A26" s="40" t="s">
        <v>11844</v>
      </c>
      <c r="B26" s="40" t="s">
        <v>11844</v>
      </c>
      <c r="C26" s="41">
        <v>46083</v>
      </c>
      <c r="D26" s="40"/>
      <c r="E26" s="40" t="s">
        <v>24</v>
      </c>
      <c r="F26" s="40" t="s">
        <v>11818</v>
      </c>
      <c r="G26" s="40" t="s">
        <v>5345</v>
      </c>
      <c r="H26" s="40"/>
      <c r="I26" s="40" t="s">
        <v>80</v>
      </c>
      <c r="J26" s="40"/>
      <c r="K26" s="40"/>
      <c r="L26" s="40">
        <v>25880.43</v>
      </c>
      <c r="M26" s="40">
        <v>-25880.43</v>
      </c>
      <c r="N26" s="40" t="s">
        <v>11841</v>
      </c>
      <c r="O26" s="40" t="s">
        <v>2706</v>
      </c>
    </row>
    <row r="27" spans="1:15" ht="29.25" customHeight="1" x14ac:dyDescent="0.2">
      <c r="A27" s="40" t="s">
        <v>11845</v>
      </c>
      <c r="B27" s="40" t="s">
        <v>11845</v>
      </c>
      <c r="C27" s="41">
        <v>46056</v>
      </c>
      <c r="D27" s="40"/>
      <c r="E27" s="40" t="s">
        <v>24</v>
      </c>
      <c r="F27" s="40" t="s">
        <v>11818</v>
      </c>
      <c r="G27" s="40" t="s">
        <v>11840</v>
      </c>
      <c r="H27" s="40"/>
      <c r="I27" s="40" t="s">
        <v>80</v>
      </c>
      <c r="J27" s="40">
        <v>-80178</v>
      </c>
      <c r="K27" s="40"/>
      <c r="L27" s="40">
        <v>270119.67999999999</v>
      </c>
      <c r="M27" s="40">
        <v>-270119.67999999999</v>
      </c>
      <c r="N27" s="40" t="s">
        <v>11841</v>
      </c>
      <c r="O27" s="40" t="s">
        <v>2706</v>
      </c>
    </row>
    <row r="28" spans="1:15" ht="29.25" customHeight="1" x14ac:dyDescent="0.2">
      <c r="A28" s="40" t="s">
        <v>11846</v>
      </c>
      <c r="B28" s="40" t="s">
        <v>11846</v>
      </c>
      <c r="C28" s="41">
        <v>46056</v>
      </c>
      <c r="D28" s="40"/>
      <c r="E28" s="40" t="s">
        <v>24</v>
      </c>
      <c r="F28" s="40" t="s">
        <v>11818</v>
      </c>
      <c r="G28" s="40" t="s">
        <v>5345</v>
      </c>
      <c r="H28" s="40"/>
      <c r="I28" s="40" t="s">
        <v>80</v>
      </c>
      <c r="J28" s="40"/>
      <c r="K28" s="40"/>
      <c r="L28" s="40">
        <v>31189.24</v>
      </c>
      <c r="M28" s="40">
        <v>-31189.24</v>
      </c>
      <c r="N28" s="40" t="s">
        <v>11841</v>
      </c>
      <c r="O28" s="40" t="s">
        <v>2706</v>
      </c>
    </row>
    <row r="29" spans="1:15" ht="29.25" customHeight="1" x14ac:dyDescent="0.2">
      <c r="A29" s="40" t="s">
        <v>11847</v>
      </c>
      <c r="B29" s="40" t="s">
        <v>11847</v>
      </c>
      <c r="C29" s="41">
        <v>46028</v>
      </c>
      <c r="D29" s="40"/>
      <c r="E29" s="40" t="s">
        <v>24</v>
      </c>
      <c r="F29" s="40" t="s">
        <v>11818</v>
      </c>
      <c r="G29" s="40" t="s">
        <v>11840</v>
      </c>
      <c r="H29" s="40"/>
      <c r="I29" s="40" t="s">
        <v>80</v>
      </c>
      <c r="J29" s="40">
        <v>-90396.09</v>
      </c>
      <c r="K29" s="40"/>
      <c r="L29" s="40">
        <v>304815.62</v>
      </c>
      <c r="M29" s="40">
        <v>-304815.62</v>
      </c>
      <c r="N29" s="40" t="s">
        <v>11841</v>
      </c>
      <c r="O29" s="40" t="s">
        <v>2706</v>
      </c>
    </row>
    <row r="30" spans="1:15" ht="29.25" customHeight="1" x14ac:dyDescent="0.2">
      <c r="A30" s="40" t="s">
        <v>11848</v>
      </c>
      <c r="B30" s="40" t="s">
        <v>11848</v>
      </c>
      <c r="C30" s="41">
        <v>45985</v>
      </c>
      <c r="D30" s="41">
        <v>46090</v>
      </c>
      <c r="E30" s="40" t="s">
        <v>24</v>
      </c>
      <c r="F30" s="40" t="s">
        <v>11818</v>
      </c>
      <c r="G30" s="40" t="s">
        <v>11848</v>
      </c>
      <c r="H30" s="40"/>
      <c r="I30" s="40" t="s">
        <v>80</v>
      </c>
      <c r="J30" s="40">
        <v>160118.39999999999</v>
      </c>
      <c r="K30" s="40">
        <v>542961.5</v>
      </c>
      <c r="L30" s="40"/>
      <c r="M30" s="40">
        <v>542961.5</v>
      </c>
      <c r="N30" s="40"/>
      <c r="O30" s="40" t="s">
        <v>5396</v>
      </c>
    </row>
    <row r="31" spans="1:15" ht="29.25" customHeight="1" x14ac:dyDescent="0.2">
      <c r="A31" s="40" t="s">
        <v>11849</v>
      </c>
      <c r="B31" s="40" t="s">
        <v>11849</v>
      </c>
      <c r="C31" s="41">
        <v>46028</v>
      </c>
      <c r="D31" s="40"/>
      <c r="E31" s="40" t="s">
        <v>24</v>
      </c>
      <c r="F31" s="40" t="s">
        <v>11818</v>
      </c>
      <c r="G31" s="40" t="s">
        <v>5345</v>
      </c>
      <c r="H31" s="40"/>
      <c r="I31" s="40" t="s">
        <v>80</v>
      </c>
      <c r="J31" s="40"/>
      <c r="K31" s="40"/>
      <c r="L31" s="40">
        <v>34892.89</v>
      </c>
      <c r="M31" s="40">
        <v>-34892.89</v>
      </c>
      <c r="N31" s="40" t="s">
        <v>11841</v>
      </c>
      <c r="O31" s="40" t="s">
        <v>2706</v>
      </c>
    </row>
    <row r="32" spans="1:15" ht="29.25" customHeight="1" x14ac:dyDescent="0.2">
      <c r="A32" s="40" t="s">
        <v>11850</v>
      </c>
      <c r="B32" s="40" t="s">
        <v>11850</v>
      </c>
      <c r="C32" s="41">
        <v>45993</v>
      </c>
      <c r="D32" s="40"/>
      <c r="E32" s="40" t="s">
        <v>24</v>
      </c>
      <c r="F32" s="40" t="s">
        <v>11818</v>
      </c>
      <c r="G32" s="40" t="s">
        <v>11840</v>
      </c>
      <c r="H32" s="40"/>
      <c r="I32" s="40" t="s">
        <v>80</v>
      </c>
      <c r="J32" s="40">
        <v>-59320.62</v>
      </c>
      <c r="K32" s="40"/>
      <c r="L32" s="40">
        <v>200325.74</v>
      </c>
      <c r="M32" s="40">
        <v>-200325.74</v>
      </c>
      <c r="N32" s="40" t="s">
        <v>11841</v>
      </c>
      <c r="O32" s="40" t="s">
        <v>2706</v>
      </c>
    </row>
    <row r="33" spans="1:15" ht="29.25" customHeight="1" x14ac:dyDescent="0.2">
      <c r="A33" s="40" t="s">
        <v>11851</v>
      </c>
      <c r="B33" s="40" t="s">
        <v>11851</v>
      </c>
      <c r="C33" s="41">
        <v>45993</v>
      </c>
      <c r="D33" s="40"/>
      <c r="E33" s="40" t="s">
        <v>24</v>
      </c>
      <c r="F33" s="40" t="s">
        <v>11818</v>
      </c>
      <c r="G33" s="40" t="s">
        <v>5345</v>
      </c>
      <c r="H33" s="40"/>
      <c r="I33" s="40" t="s">
        <v>80</v>
      </c>
      <c r="J33" s="40"/>
      <c r="K33" s="40"/>
      <c r="L33" s="40">
        <v>22601.15</v>
      </c>
      <c r="M33" s="40">
        <v>-22601.15</v>
      </c>
      <c r="N33" s="40" t="s">
        <v>11841</v>
      </c>
      <c r="O33" s="40" t="s">
        <v>2706</v>
      </c>
    </row>
    <row r="34" spans="1:15" ht="29.25" customHeight="1" x14ac:dyDescent="0.2">
      <c r="A34" s="40" t="s">
        <v>11852</v>
      </c>
      <c r="B34" s="40" t="s">
        <v>11852</v>
      </c>
      <c r="C34" s="41">
        <v>45964</v>
      </c>
      <c r="D34" s="40"/>
      <c r="E34" s="40" t="s">
        <v>24</v>
      </c>
      <c r="F34" s="40" t="s">
        <v>11818</v>
      </c>
      <c r="G34" s="40" t="s">
        <v>11840</v>
      </c>
      <c r="H34" s="40"/>
      <c r="I34" s="40" t="s">
        <v>80</v>
      </c>
      <c r="J34" s="40">
        <v>-80190</v>
      </c>
      <c r="K34" s="40"/>
      <c r="L34" s="40">
        <v>270962.01</v>
      </c>
      <c r="M34" s="40">
        <v>-270962.01</v>
      </c>
      <c r="N34" s="40" t="s">
        <v>11841</v>
      </c>
      <c r="O34" s="40" t="s">
        <v>234</v>
      </c>
    </row>
    <row r="35" spans="1:15" ht="29.25" customHeight="1" x14ac:dyDescent="0.2">
      <c r="A35" s="40" t="s">
        <v>11853</v>
      </c>
      <c r="B35" s="40" t="s">
        <v>11853</v>
      </c>
      <c r="C35" s="41">
        <v>45964</v>
      </c>
      <c r="D35" s="40"/>
      <c r="E35" s="40" t="s">
        <v>24</v>
      </c>
      <c r="F35" s="40" t="s">
        <v>11818</v>
      </c>
      <c r="G35" s="40" t="s">
        <v>5345</v>
      </c>
      <c r="H35" s="40"/>
      <c r="I35" s="40" t="s">
        <v>80</v>
      </c>
      <c r="J35" s="40"/>
      <c r="K35" s="40"/>
      <c r="L35" s="40">
        <v>30392.01</v>
      </c>
      <c r="M35" s="40">
        <v>-30392.01</v>
      </c>
      <c r="N35" s="40" t="s">
        <v>11841</v>
      </c>
      <c r="O35" s="40" t="s">
        <v>234</v>
      </c>
    </row>
    <row r="36" spans="1:15" ht="29.25" customHeight="1" x14ac:dyDescent="0.2">
      <c r="A36" s="40" t="s">
        <v>11854</v>
      </c>
      <c r="B36" s="40" t="s">
        <v>11854</v>
      </c>
      <c r="C36" s="41">
        <v>45709</v>
      </c>
      <c r="D36" s="41">
        <v>45709</v>
      </c>
      <c r="E36" s="40" t="s">
        <v>24</v>
      </c>
      <c r="F36" s="40" t="s">
        <v>11818</v>
      </c>
      <c r="G36" s="40"/>
      <c r="H36" s="40"/>
      <c r="I36" s="40" t="s">
        <v>80</v>
      </c>
      <c r="J36" s="40">
        <v>-4700</v>
      </c>
      <c r="K36" s="40"/>
      <c r="L36" s="40">
        <v>17719</v>
      </c>
      <c r="M36" s="40">
        <v>-17719</v>
      </c>
      <c r="N36" s="40" t="s">
        <v>11841</v>
      </c>
      <c r="O36" s="40" t="s">
        <v>75</v>
      </c>
    </row>
    <row r="37" spans="1:15" ht="29.25" customHeight="1" x14ac:dyDescent="0.2">
      <c r="A37" s="40" t="s">
        <v>11855</v>
      </c>
      <c r="B37" s="40" t="s">
        <v>11855</v>
      </c>
      <c r="C37" s="41">
        <v>45709</v>
      </c>
      <c r="D37" s="40"/>
      <c r="E37" s="40" t="s">
        <v>24</v>
      </c>
      <c r="F37" s="40" t="s">
        <v>11818</v>
      </c>
      <c r="G37" s="40" t="s">
        <v>5345</v>
      </c>
      <c r="H37" s="40"/>
      <c r="I37" s="40" t="s">
        <v>80</v>
      </c>
      <c r="J37" s="40"/>
      <c r="K37" s="40">
        <v>56.4</v>
      </c>
      <c r="L37" s="40"/>
      <c r="M37" s="40">
        <v>56.4</v>
      </c>
      <c r="N37" s="40" t="s">
        <v>11841</v>
      </c>
      <c r="O37" s="40" t="s">
        <v>234</v>
      </c>
    </row>
    <row r="38" spans="1:15" ht="29.25" customHeight="1" x14ac:dyDescent="0.2">
      <c r="A38" s="40" t="s">
        <v>11856</v>
      </c>
      <c r="B38" s="40" t="s">
        <v>11856</v>
      </c>
      <c r="C38" s="41">
        <v>45972</v>
      </c>
      <c r="D38" s="41">
        <v>46062</v>
      </c>
      <c r="E38" s="40" t="s">
        <v>24</v>
      </c>
      <c r="F38" s="40" t="s">
        <v>11818</v>
      </c>
      <c r="G38" s="40" t="s">
        <v>11856</v>
      </c>
      <c r="H38" s="40"/>
      <c r="I38" s="40" t="s">
        <v>80</v>
      </c>
      <c r="J38" s="40">
        <v>4200</v>
      </c>
      <c r="K38" s="40">
        <v>14196</v>
      </c>
      <c r="L38" s="40"/>
      <c r="M38" s="40">
        <v>14196</v>
      </c>
      <c r="N38" s="40"/>
      <c r="O38" s="40" t="s">
        <v>5396</v>
      </c>
    </row>
    <row r="39" spans="1:15" ht="29.25" customHeight="1" x14ac:dyDescent="0.2">
      <c r="A39" s="40" t="s">
        <v>11857</v>
      </c>
      <c r="B39" s="40" t="s">
        <v>11857</v>
      </c>
      <c r="C39" s="41">
        <v>45968</v>
      </c>
      <c r="D39" s="41">
        <v>46073</v>
      </c>
      <c r="E39" s="40" t="s">
        <v>24</v>
      </c>
      <c r="F39" s="40" t="s">
        <v>11818</v>
      </c>
      <c r="G39" s="40" t="s">
        <v>11857</v>
      </c>
      <c r="H39" s="40"/>
      <c r="I39" s="40" t="s">
        <v>80</v>
      </c>
      <c r="J39" s="40">
        <v>30709.8</v>
      </c>
      <c r="K39" s="40">
        <v>103707</v>
      </c>
      <c r="L39" s="40"/>
      <c r="M39" s="40">
        <v>103707</v>
      </c>
      <c r="N39" s="40"/>
      <c r="O39" s="40" t="s">
        <v>5396</v>
      </c>
    </row>
    <row r="40" spans="1:15" ht="29.25" customHeight="1" x14ac:dyDescent="0.2">
      <c r="A40" s="40" t="s">
        <v>11858</v>
      </c>
      <c r="B40" s="40" t="s">
        <v>11858</v>
      </c>
      <c r="C40" s="41">
        <v>45967</v>
      </c>
      <c r="D40" s="41">
        <v>46072</v>
      </c>
      <c r="E40" s="40" t="s">
        <v>24</v>
      </c>
      <c r="F40" s="40" t="s">
        <v>11818</v>
      </c>
      <c r="G40" s="40" t="s">
        <v>11858</v>
      </c>
      <c r="H40" s="40"/>
      <c r="I40" s="40" t="s">
        <v>80</v>
      </c>
      <c r="J40" s="40">
        <v>138111.29999999999</v>
      </c>
      <c r="K40" s="40">
        <v>466954.31</v>
      </c>
      <c r="L40" s="40"/>
      <c r="M40" s="40">
        <v>466954.31</v>
      </c>
      <c r="N40" s="40"/>
      <c r="O40" s="40" t="s">
        <v>5396</v>
      </c>
    </row>
    <row r="41" spans="1:15" ht="29.25" customHeight="1" x14ac:dyDescent="0.2">
      <c r="A41" s="40" t="s">
        <v>11840</v>
      </c>
      <c r="B41" s="40" t="s">
        <v>11840</v>
      </c>
      <c r="C41" s="41">
        <v>45658</v>
      </c>
      <c r="D41" s="41">
        <v>45657</v>
      </c>
      <c r="E41" s="40" t="s">
        <v>24</v>
      </c>
      <c r="F41" s="40" t="s">
        <v>11818</v>
      </c>
      <c r="G41" s="40" t="s">
        <v>11840</v>
      </c>
      <c r="H41" s="40"/>
      <c r="I41" s="40" t="s">
        <v>80</v>
      </c>
      <c r="J41" s="40">
        <v>435742.16</v>
      </c>
      <c r="K41" s="40">
        <v>1637519.04</v>
      </c>
      <c r="L41" s="40"/>
      <c r="M41" s="40">
        <v>1637519.04</v>
      </c>
      <c r="N41" s="40" t="s">
        <v>11841</v>
      </c>
      <c r="O41" s="40" t="s">
        <v>234</v>
      </c>
    </row>
    <row r="42" spans="1:15" ht="29.25" customHeight="1" x14ac:dyDescent="0.2">
      <c r="A42" s="40" t="s">
        <v>11859</v>
      </c>
      <c r="B42" s="40" t="s">
        <v>11859</v>
      </c>
      <c r="C42" s="41">
        <v>45958</v>
      </c>
      <c r="D42" s="41">
        <v>46048</v>
      </c>
      <c r="E42" s="40" t="s">
        <v>24</v>
      </c>
      <c r="F42" s="40" t="s">
        <v>11818</v>
      </c>
      <c r="G42" s="40" t="s">
        <v>11859</v>
      </c>
      <c r="H42" s="40"/>
      <c r="I42" s="40" t="s">
        <v>80</v>
      </c>
      <c r="J42" s="40">
        <v>30158.400000000001</v>
      </c>
      <c r="K42" s="40">
        <v>102146.5</v>
      </c>
      <c r="L42" s="40"/>
      <c r="M42" s="40">
        <v>102146.5</v>
      </c>
      <c r="N42" s="40"/>
      <c r="O42" s="40" t="s">
        <v>5396</v>
      </c>
    </row>
    <row r="43" spans="1:15" ht="29.25" customHeight="1" x14ac:dyDescent="0.2">
      <c r="A43" s="40" t="s">
        <v>11860</v>
      </c>
      <c r="B43" s="40" t="s">
        <v>11860</v>
      </c>
      <c r="C43" s="41">
        <v>45922</v>
      </c>
      <c r="D43" s="41">
        <v>46027</v>
      </c>
      <c r="E43" s="40" t="s">
        <v>24</v>
      </c>
      <c r="F43" s="40" t="s">
        <v>11818</v>
      </c>
      <c r="G43" s="40" t="s">
        <v>11860</v>
      </c>
      <c r="H43" s="40"/>
      <c r="I43" s="40" t="s">
        <v>80</v>
      </c>
      <c r="J43" s="40">
        <v>114370.48</v>
      </c>
      <c r="K43" s="40">
        <v>399610.44</v>
      </c>
      <c r="L43" s="40"/>
      <c r="M43" s="40">
        <v>399610.44</v>
      </c>
      <c r="N43" s="40"/>
      <c r="O43" s="40" t="s">
        <v>5396</v>
      </c>
    </row>
    <row r="44" spans="1:15" ht="29.25" customHeight="1" x14ac:dyDescent="0.2">
      <c r="A44" s="40" t="s">
        <v>11861</v>
      </c>
      <c r="B44" s="40" t="s">
        <v>11861</v>
      </c>
      <c r="C44" s="41">
        <v>45880</v>
      </c>
      <c r="D44" s="41">
        <v>45985</v>
      </c>
      <c r="E44" s="40" t="s">
        <v>24</v>
      </c>
      <c r="F44" s="40" t="s">
        <v>11818</v>
      </c>
      <c r="G44" s="40" t="s">
        <v>11861</v>
      </c>
      <c r="H44" s="40"/>
      <c r="I44" s="40" t="s">
        <v>80</v>
      </c>
      <c r="J44" s="40">
        <v>122015.16</v>
      </c>
      <c r="K44" s="40">
        <v>431323.58</v>
      </c>
      <c r="L44" s="40"/>
      <c r="M44" s="40">
        <v>431323.58</v>
      </c>
      <c r="N44" s="40"/>
      <c r="O44" s="40" t="s">
        <v>5396</v>
      </c>
    </row>
    <row r="45" spans="1:15" ht="29.25" customHeight="1" x14ac:dyDescent="0.2">
      <c r="A45" s="40" t="s">
        <v>11862</v>
      </c>
      <c r="B45" s="40" t="s">
        <v>11862</v>
      </c>
      <c r="C45" s="41">
        <v>45880</v>
      </c>
      <c r="D45" s="41">
        <v>45985</v>
      </c>
      <c r="E45" s="40" t="s">
        <v>24</v>
      </c>
      <c r="F45" s="40" t="s">
        <v>11818</v>
      </c>
      <c r="G45" s="40" t="s">
        <v>11862</v>
      </c>
      <c r="H45" s="40"/>
      <c r="I45" s="40" t="s">
        <v>80</v>
      </c>
      <c r="J45" s="40">
        <v>24307.200000000001</v>
      </c>
      <c r="K45" s="40">
        <v>85925.95</v>
      </c>
      <c r="L45" s="40"/>
      <c r="M45" s="40">
        <v>85925.95</v>
      </c>
      <c r="N45" s="40"/>
      <c r="O45" s="40" t="s">
        <v>5396</v>
      </c>
    </row>
    <row r="46" spans="1:15" ht="29.25" customHeight="1" x14ac:dyDescent="0.2">
      <c r="A46" s="40" t="s">
        <v>11863</v>
      </c>
      <c r="B46" s="40" t="s">
        <v>11863</v>
      </c>
      <c r="C46" s="41">
        <v>45880</v>
      </c>
      <c r="D46" s="41">
        <v>45985</v>
      </c>
      <c r="E46" s="40" t="s">
        <v>24</v>
      </c>
      <c r="F46" s="40" t="s">
        <v>11818</v>
      </c>
      <c r="G46" s="40" t="s">
        <v>11863</v>
      </c>
      <c r="H46" s="40"/>
      <c r="I46" s="40" t="s">
        <v>80</v>
      </c>
      <c r="J46" s="40">
        <v>5100</v>
      </c>
      <c r="K46" s="40">
        <v>18028.5</v>
      </c>
      <c r="L46" s="40"/>
      <c r="M46" s="40">
        <v>18028.5</v>
      </c>
      <c r="N46" s="40"/>
      <c r="O46" s="40" t="s">
        <v>5396</v>
      </c>
    </row>
    <row r="47" spans="1:15" ht="29.25" customHeight="1" x14ac:dyDescent="0.2">
      <c r="A47" s="40" t="s">
        <v>11864</v>
      </c>
      <c r="B47" s="40" t="s">
        <v>11864</v>
      </c>
      <c r="C47" s="41">
        <v>45827</v>
      </c>
      <c r="D47" s="41">
        <v>45932</v>
      </c>
      <c r="E47" s="40" t="s">
        <v>24</v>
      </c>
      <c r="F47" s="40" t="s">
        <v>11818</v>
      </c>
      <c r="G47" s="40" t="s">
        <v>11864</v>
      </c>
      <c r="H47" s="40"/>
      <c r="I47" s="40" t="s">
        <v>80</v>
      </c>
      <c r="J47" s="40">
        <v>20188.080000000002</v>
      </c>
      <c r="K47" s="40">
        <v>72757.850000000006</v>
      </c>
      <c r="L47" s="40"/>
      <c r="M47" s="40">
        <v>72757.850000000006</v>
      </c>
      <c r="N47" s="40"/>
      <c r="O47" s="40" t="s">
        <v>5396</v>
      </c>
    </row>
    <row r="48" spans="1:15" ht="29.25" customHeight="1" x14ac:dyDescent="0.2">
      <c r="A48" s="40" t="s">
        <v>11865</v>
      </c>
      <c r="B48" s="40" t="s">
        <v>11865</v>
      </c>
      <c r="C48" s="41">
        <v>45827</v>
      </c>
      <c r="D48" s="41">
        <v>45932</v>
      </c>
      <c r="E48" s="40" t="s">
        <v>24</v>
      </c>
      <c r="F48" s="40" t="s">
        <v>11818</v>
      </c>
      <c r="G48" s="40" t="s">
        <v>11865</v>
      </c>
      <c r="H48" s="40"/>
      <c r="I48" s="40" t="s">
        <v>80</v>
      </c>
      <c r="J48" s="40">
        <v>101337.60000000001</v>
      </c>
      <c r="K48" s="40">
        <v>365220.68</v>
      </c>
      <c r="L48" s="40"/>
      <c r="M48" s="40">
        <v>365220.68</v>
      </c>
      <c r="N48" s="40"/>
      <c r="O48" s="40" t="s">
        <v>5396</v>
      </c>
    </row>
    <row r="49" spans="1:15" ht="29.25" customHeight="1" x14ac:dyDescent="0.2">
      <c r="A49" s="40" t="s">
        <v>11866</v>
      </c>
      <c r="B49" s="40" t="s">
        <v>11866</v>
      </c>
      <c r="C49" s="41">
        <v>45827</v>
      </c>
      <c r="D49" s="41">
        <v>45932</v>
      </c>
      <c r="E49" s="40" t="s">
        <v>24</v>
      </c>
      <c r="F49" s="40" t="s">
        <v>11818</v>
      </c>
      <c r="G49" s="40" t="s">
        <v>11866</v>
      </c>
      <c r="H49" s="40"/>
      <c r="I49" s="40" t="s">
        <v>80</v>
      </c>
      <c r="J49" s="40">
        <v>7863.6</v>
      </c>
      <c r="K49" s="40">
        <v>28340.43</v>
      </c>
      <c r="L49" s="40"/>
      <c r="M49" s="40">
        <v>28340.43</v>
      </c>
      <c r="N49" s="40"/>
      <c r="O49" s="40" t="s">
        <v>5396</v>
      </c>
    </row>
    <row r="50" spans="1:15" ht="29.25" customHeight="1" x14ac:dyDescent="0.2">
      <c r="A50" s="40" t="s">
        <v>11867</v>
      </c>
      <c r="B50" s="40" t="s">
        <v>11867</v>
      </c>
      <c r="C50" s="41">
        <v>45826</v>
      </c>
      <c r="D50" s="41">
        <v>45826</v>
      </c>
      <c r="E50" s="40" t="s">
        <v>24</v>
      </c>
      <c r="F50" s="40" t="s">
        <v>11818</v>
      </c>
      <c r="G50" s="40" t="s">
        <v>11867</v>
      </c>
      <c r="H50" s="40"/>
      <c r="I50" s="40" t="s">
        <v>80</v>
      </c>
      <c r="J50" s="40">
        <v>513.51</v>
      </c>
      <c r="K50" s="40">
        <v>1858.91</v>
      </c>
      <c r="L50" s="40"/>
      <c r="M50" s="40">
        <v>1858.91</v>
      </c>
      <c r="N50" s="40"/>
      <c r="O50" s="40" t="s">
        <v>50</v>
      </c>
    </row>
    <row r="51" spans="1:15" ht="29.25" customHeight="1" x14ac:dyDescent="0.2">
      <c r="A51" s="40" t="s">
        <v>11868</v>
      </c>
      <c r="B51" s="40" t="s">
        <v>11868</v>
      </c>
      <c r="C51" s="41">
        <v>45826</v>
      </c>
      <c r="D51" s="41">
        <v>45931</v>
      </c>
      <c r="E51" s="40" t="s">
        <v>24</v>
      </c>
      <c r="F51" s="40" t="s">
        <v>11818</v>
      </c>
      <c r="G51" s="40" t="s">
        <v>11868</v>
      </c>
      <c r="H51" s="40"/>
      <c r="I51" s="40" t="s">
        <v>80</v>
      </c>
      <c r="J51" s="40">
        <v>141339</v>
      </c>
      <c r="K51" s="40">
        <v>511647.17</v>
      </c>
      <c r="L51" s="40"/>
      <c r="M51" s="40">
        <v>511647.17</v>
      </c>
      <c r="N51" s="40"/>
      <c r="O51" s="40" t="s">
        <v>5396</v>
      </c>
    </row>
    <row r="52" spans="1:15" ht="29.25" customHeight="1" x14ac:dyDescent="0.2">
      <c r="A52" s="40" t="s">
        <v>11869</v>
      </c>
      <c r="B52" s="40" t="s">
        <v>11869</v>
      </c>
      <c r="C52" s="41">
        <v>45797</v>
      </c>
      <c r="D52" s="41">
        <v>45902</v>
      </c>
      <c r="E52" s="40" t="s">
        <v>24</v>
      </c>
      <c r="F52" s="40" t="s">
        <v>11818</v>
      </c>
      <c r="G52" s="40" t="s">
        <v>11869</v>
      </c>
      <c r="H52" s="40"/>
      <c r="I52" s="40" t="s">
        <v>80</v>
      </c>
      <c r="J52" s="40">
        <v>55338.400000000001</v>
      </c>
      <c r="K52" s="40">
        <v>204364.71</v>
      </c>
      <c r="L52" s="40"/>
      <c r="M52" s="40">
        <v>204364.71</v>
      </c>
      <c r="N52" s="40"/>
      <c r="O52" s="40" t="s">
        <v>11870</v>
      </c>
    </row>
    <row r="53" spans="1:15" ht="29.25" customHeight="1" x14ac:dyDescent="0.2">
      <c r="A53" s="40" t="s">
        <v>11871</v>
      </c>
      <c r="B53" s="40" t="s">
        <v>11871</v>
      </c>
      <c r="C53" s="41">
        <v>45658</v>
      </c>
      <c r="D53" s="41">
        <v>45867</v>
      </c>
      <c r="E53" s="40" t="s">
        <v>24</v>
      </c>
      <c r="F53" s="40" t="s">
        <v>11818</v>
      </c>
      <c r="G53" s="40" t="s">
        <v>11871</v>
      </c>
      <c r="H53" s="40"/>
      <c r="I53" s="40" t="s">
        <v>80</v>
      </c>
      <c r="J53" s="40">
        <v>104374</v>
      </c>
      <c r="K53" s="40">
        <v>392237.49</v>
      </c>
      <c r="L53" s="40"/>
      <c r="M53" s="40">
        <v>392237.49</v>
      </c>
      <c r="N53" s="40"/>
      <c r="O53" s="40" t="s">
        <v>234</v>
      </c>
    </row>
    <row r="54" spans="1:15" ht="29.25" customHeight="1" x14ac:dyDescent="0.2">
      <c r="A54" s="40" t="s">
        <v>11872</v>
      </c>
      <c r="B54" s="40" t="s">
        <v>11872</v>
      </c>
      <c r="C54" s="41">
        <v>45658</v>
      </c>
      <c r="D54" s="41">
        <v>45867</v>
      </c>
      <c r="E54" s="40" t="s">
        <v>24</v>
      </c>
      <c r="F54" s="40" t="s">
        <v>11818</v>
      </c>
      <c r="G54" s="40" t="s">
        <v>11872</v>
      </c>
      <c r="H54" s="40"/>
      <c r="I54" s="40" t="s">
        <v>80</v>
      </c>
      <c r="J54" s="40">
        <v>189779</v>
      </c>
      <c r="K54" s="40">
        <v>713189.48</v>
      </c>
      <c r="L54" s="40"/>
      <c r="M54" s="40">
        <v>713189.48</v>
      </c>
      <c r="N54" s="40" t="s">
        <v>11873</v>
      </c>
      <c r="O54" s="40" t="s">
        <v>234</v>
      </c>
    </row>
    <row r="55" spans="1:15" ht="29.25" customHeight="1" x14ac:dyDescent="0.2">
      <c r="A55" s="40" t="s">
        <v>11874</v>
      </c>
      <c r="B55" s="40" t="s">
        <v>11874</v>
      </c>
      <c r="C55" s="41">
        <v>45658</v>
      </c>
      <c r="D55" s="41">
        <v>45824</v>
      </c>
      <c r="E55" s="40" t="s">
        <v>24</v>
      </c>
      <c r="F55" s="40" t="s">
        <v>11818</v>
      </c>
      <c r="G55" s="40" t="s">
        <v>11874</v>
      </c>
      <c r="H55" s="40"/>
      <c r="I55" s="40" t="s">
        <v>80</v>
      </c>
      <c r="J55" s="40">
        <v>71425</v>
      </c>
      <c r="K55" s="40">
        <v>268415.15000000002</v>
      </c>
      <c r="L55" s="40"/>
      <c r="M55" s="40">
        <v>268415.15000000002</v>
      </c>
      <c r="N55" s="40" t="s">
        <v>11875</v>
      </c>
      <c r="O55" s="40" t="s">
        <v>234</v>
      </c>
    </row>
    <row r="57" spans="1:15" x14ac:dyDescent="0.2">
      <c r="J57" s="35">
        <f>SUM(J3:J56)</f>
        <v>3595720.5900000003</v>
      </c>
      <c r="M57" s="10">
        <f>SUM(M3:M56)</f>
        <v>12534681.98</v>
      </c>
    </row>
    <row r="58" spans="1:15" ht="12" x14ac:dyDescent="0.2">
      <c r="J58" s="27">
        <v>3.4860000000000002</v>
      </c>
    </row>
    <row r="59" spans="1:15" x14ac:dyDescent="0.2">
      <c r="J59" s="57">
        <f>+J57*J58</f>
        <v>12534681.976740003</v>
      </c>
    </row>
  </sheetData>
  <mergeCells count="1">
    <mergeCell ref="A2:C2"/>
  </mergeCells>
  <conditionalFormatting sqref="N2:N1048576">
    <cfRule type="duplicateValues" dxfId="36" priority="2"/>
  </conditionalFormatting>
  <conditionalFormatting sqref="N1">
    <cfRule type="duplicateValues" dxfId="1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AF24-129D-4601-977B-D8DC836888A9}">
  <dimension ref="A1:O5"/>
  <sheetViews>
    <sheetView showGridLines="0" workbookViewId="0">
      <selection sqref="A1:XFD1"/>
    </sheetView>
  </sheetViews>
  <sheetFormatPr baseColWidth="10" defaultColWidth="14.28515625" defaultRowHeight="11.25" x14ac:dyDescent="0.2"/>
  <cols>
    <col min="1" max="8" width="14.28515625" style="8"/>
    <col min="9" max="9" width="9.28515625" style="8" customWidth="1"/>
    <col min="10" max="10" width="10.5703125" style="8" customWidth="1"/>
    <col min="11" max="11" width="11.140625" style="8" customWidth="1"/>
    <col min="12" max="16384" width="14.28515625" style="8"/>
  </cols>
  <sheetData>
    <row r="1" spans="1:15" s="18" customFormat="1" ht="36" customHeight="1" x14ac:dyDescent="0.25">
      <c r="A1" s="104" t="s">
        <v>33</v>
      </c>
      <c r="B1" s="104" t="s">
        <v>34</v>
      </c>
      <c r="C1" s="104" t="s">
        <v>35</v>
      </c>
      <c r="D1" s="104" t="s">
        <v>36</v>
      </c>
      <c r="E1" s="104" t="s">
        <v>37</v>
      </c>
      <c r="F1" s="104" t="s">
        <v>38</v>
      </c>
      <c r="G1" s="104" t="s">
        <v>39</v>
      </c>
      <c r="H1" s="104" t="s">
        <v>40</v>
      </c>
      <c r="I1" s="104" t="s">
        <v>41</v>
      </c>
      <c r="J1" s="104" t="s">
        <v>42</v>
      </c>
      <c r="K1" s="104" t="s">
        <v>3</v>
      </c>
      <c r="L1" s="104" t="s">
        <v>4</v>
      </c>
      <c r="M1" s="104" t="s">
        <v>43</v>
      </c>
      <c r="N1" s="104" t="s">
        <v>44</v>
      </c>
      <c r="O1" s="104" t="s">
        <v>45</v>
      </c>
    </row>
    <row r="2" spans="1:15" ht="13.5" customHeight="1" x14ac:dyDescent="0.2">
      <c r="A2" s="90" t="s">
        <v>11876</v>
      </c>
      <c r="B2" s="90"/>
      <c r="C2" s="90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s="13" customFormat="1" ht="33.75" x14ac:dyDescent="0.25">
      <c r="A3" s="58" t="s">
        <v>11877</v>
      </c>
      <c r="B3" s="58" t="s">
        <v>11877</v>
      </c>
      <c r="C3" s="59">
        <v>46111</v>
      </c>
      <c r="D3" s="60"/>
      <c r="E3" s="60" t="s">
        <v>25</v>
      </c>
      <c r="F3" s="60" t="s">
        <v>9890</v>
      </c>
      <c r="G3" s="60" t="s">
        <v>5513</v>
      </c>
      <c r="H3" s="60"/>
      <c r="I3" s="60" t="s">
        <v>49</v>
      </c>
      <c r="J3" s="60">
        <v>-78.849999999999994</v>
      </c>
      <c r="K3" s="60"/>
      <c r="L3" s="60">
        <v>78.849999999999994</v>
      </c>
      <c r="M3" s="60">
        <v>-78.849999999999994</v>
      </c>
      <c r="N3" s="60" t="s">
        <v>11878</v>
      </c>
      <c r="O3" s="60" t="s">
        <v>234</v>
      </c>
    </row>
    <row r="5" spans="1:15" x14ac:dyDescent="0.2">
      <c r="M5" s="56">
        <f>SUM(M3:M4)</f>
        <v>-78.849999999999994</v>
      </c>
    </row>
  </sheetData>
  <mergeCells count="1">
    <mergeCell ref="A2:C2"/>
  </mergeCells>
  <conditionalFormatting sqref="N1">
    <cfRule type="duplicateValues" dxfId="0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9170-9825-402D-BB23-488995111378}">
  <dimension ref="A1:AR11"/>
  <sheetViews>
    <sheetView showGridLines="0" workbookViewId="0">
      <selection activeCell="A2" sqref="A2:C2"/>
    </sheetView>
  </sheetViews>
  <sheetFormatPr baseColWidth="10" defaultColWidth="9.140625" defaultRowHeight="11.25" x14ac:dyDescent="0.2"/>
  <cols>
    <col min="1" max="1" width="30.7109375" style="8" customWidth="1"/>
    <col min="2" max="2" width="17" style="8" customWidth="1"/>
    <col min="3" max="3" width="13.7109375" style="8" customWidth="1"/>
    <col min="4" max="4" width="11.140625" style="8" customWidth="1"/>
    <col min="5" max="5" width="30.7109375" style="8" customWidth="1"/>
    <col min="6" max="6" width="14.42578125" style="8" customWidth="1"/>
    <col min="7" max="7" width="10.140625" style="8" customWidth="1"/>
    <col min="8" max="8" width="14.85546875" style="8" customWidth="1"/>
    <col min="9" max="9" width="4.42578125" style="8" customWidth="1"/>
    <col min="10" max="10" width="6.85546875" style="8" customWidth="1"/>
    <col min="11" max="11" width="9.140625" style="8" customWidth="1"/>
    <col min="12" max="12" width="10.28515625" style="8" customWidth="1"/>
    <col min="13" max="13" width="15" style="8" customWidth="1"/>
    <col min="14" max="14" width="11.42578125" style="8" customWidth="1"/>
    <col min="15" max="15" width="30.7109375" style="8" customWidth="1"/>
    <col min="16" max="16384" width="9.140625" style="8"/>
  </cols>
  <sheetData>
    <row r="1" spans="1:44" x14ac:dyDescent="0.2">
      <c r="A1" s="67" t="s">
        <v>11879</v>
      </c>
      <c r="B1" s="68"/>
      <c r="C1" s="69"/>
      <c r="M1" s="9"/>
    </row>
    <row r="2" spans="1:44" x14ac:dyDescent="0.2">
      <c r="A2" s="98" t="s">
        <v>12265</v>
      </c>
      <c r="B2" s="99"/>
      <c r="C2" s="100"/>
    </row>
    <row r="3" spans="1:44" x14ac:dyDescent="0.2">
      <c r="A3" s="101" t="s">
        <v>11880</v>
      </c>
      <c r="B3" s="102"/>
      <c r="C3" s="103"/>
    </row>
    <row r="4" spans="1:44" s="75" customFormat="1" ht="56.25" x14ac:dyDescent="0.2">
      <c r="A4" s="70" t="s">
        <v>33</v>
      </c>
      <c r="B4" s="71" t="s">
        <v>34</v>
      </c>
      <c r="C4" s="72" t="s">
        <v>35</v>
      </c>
      <c r="D4" s="72" t="s">
        <v>36</v>
      </c>
      <c r="E4" s="71" t="s">
        <v>37</v>
      </c>
      <c r="F4" s="71" t="s">
        <v>38</v>
      </c>
      <c r="G4" s="71" t="s">
        <v>39</v>
      </c>
      <c r="H4" s="71" t="s">
        <v>40</v>
      </c>
      <c r="I4" s="71" t="s">
        <v>41</v>
      </c>
      <c r="J4" s="73" t="s">
        <v>42</v>
      </c>
      <c r="K4" s="73" t="s">
        <v>3</v>
      </c>
      <c r="L4" s="73" t="s">
        <v>4</v>
      </c>
      <c r="M4" s="73" t="s">
        <v>43</v>
      </c>
      <c r="N4" s="71" t="s">
        <v>44</v>
      </c>
      <c r="O4" s="74" t="s">
        <v>45</v>
      </c>
    </row>
    <row r="5" spans="1:44" x14ac:dyDescent="0.2">
      <c r="A5" s="76" t="s">
        <v>11881</v>
      </c>
      <c r="B5" s="77"/>
      <c r="C5" s="78" t="s">
        <v>5165</v>
      </c>
      <c r="D5" s="78"/>
      <c r="E5" s="77"/>
      <c r="F5" s="77"/>
      <c r="G5" s="79"/>
      <c r="H5" s="76"/>
      <c r="I5" s="77"/>
      <c r="J5" s="80"/>
      <c r="K5" s="81"/>
      <c r="L5" s="80"/>
      <c r="M5" s="81"/>
      <c r="N5" s="77"/>
      <c r="O5" s="77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</row>
    <row r="6" spans="1:44" ht="33.75" x14ac:dyDescent="0.2">
      <c r="A6" s="83" t="s">
        <v>11882</v>
      </c>
      <c r="B6" s="83" t="s">
        <v>11883</v>
      </c>
      <c r="C6" s="84">
        <v>45658</v>
      </c>
      <c r="D6" s="84">
        <v>45230</v>
      </c>
      <c r="E6" s="83" t="s">
        <v>27</v>
      </c>
      <c r="F6" s="83" t="s">
        <v>9941</v>
      </c>
      <c r="G6" s="83" t="s">
        <v>11884</v>
      </c>
      <c r="H6" s="83" t="s">
        <v>11885</v>
      </c>
      <c r="I6" s="83" t="s">
        <v>49</v>
      </c>
      <c r="J6" s="83">
        <v>3367.17</v>
      </c>
      <c r="K6" s="83">
        <v>3367.17</v>
      </c>
      <c r="L6" s="83"/>
      <c r="M6" s="83">
        <v>3367.17</v>
      </c>
      <c r="N6" s="83"/>
      <c r="O6" s="83" t="s">
        <v>234</v>
      </c>
    </row>
    <row r="7" spans="1:44" ht="33.75" x14ac:dyDescent="0.2">
      <c r="A7" s="83" t="s">
        <v>11886</v>
      </c>
      <c r="B7" s="83" t="s">
        <v>11887</v>
      </c>
      <c r="C7" s="84">
        <v>45658</v>
      </c>
      <c r="D7" s="84">
        <v>45230</v>
      </c>
      <c r="E7" s="83" t="s">
        <v>27</v>
      </c>
      <c r="F7" s="83" t="s">
        <v>9941</v>
      </c>
      <c r="G7" s="83" t="s">
        <v>11888</v>
      </c>
      <c r="H7" s="83" t="s">
        <v>11889</v>
      </c>
      <c r="I7" s="83" t="s">
        <v>49</v>
      </c>
      <c r="J7" s="83">
        <v>3367.17</v>
      </c>
      <c r="K7" s="83">
        <v>3367.17</v>
      </c>
      <c r="L7" s="83"/>
      <c r="M7" s="83">
        <v>3367.17</v>
      </c>
      <c r="N7" s="83"/>
      <c r="O7" s="83" t="s">
        <v>234</v>
      </c>
    </row>
    <row r="8" spans="1:44" ht="33.75" x14ac:dyDescent="0.2">
      <c r="A8" s="83" t="s">
        <v>11890</v>
      </c>
      <c r="B8" s="83" t="s">
        <v>11891</v>
      </c>
      <c r="C8" s="84">
        <v>45658</v>
      </c>
      <c r="D8" s="84">
        <v>45230</v>
      </c>
      <c r="E8" s="83" t="s">
        <v>27</v>
      </c>
      <c r="F8" s="83" t="s">
        <v>9941</v>
      </c>
      <c r="G8" s="83" t="s">
        <v>11892</v>
      </c>
      <c r="H8" s="83" t="s">
        <v>11893</v>
      </c>
      <c r="I8" s="83" t="s">
        <v>49</v>
      </c>
      <c r="J8" s="83">
        <v>3367.17</v>
      </c>
      <c r="K8" s="83">
        <v>3367.17</v>
      </c>
      <c r="L8" s="83"/>
      <c r="M8" s="83">
        <v>3367.17</v>
      </c>
      <c r="N8" s="83"/>
      <c r="O8" s="83" t="s">
        <v>234</v>
      </c>
    </row>
    <row r="9" spans="1:44" ht="33.75" x14ac:dyDescent="0.2">
      <c r="A9" s="83" t="s">
        <v>11894</v>
      </c>
      <c r="B9" s="83" t="s">
        <v>11895</v>
      </c>
      <c r="C9" s="84">
        <v>45658</v>
      </c>
      <c r="D9" s="84">
        <v>45230</v>
      </c>
      <c r="E9" s="83" t="s">
        <v>27</v>
      </c>
      <c r="F9" s="83" t="s">
        <v>9941</v>
      </c>
      <c r="G9" s="83" t="s">
        <v>11896</v>
      </c>
      <c r="H9" s="83" t="s">
        <v>11897</v>
      </c>
      <c r="I9" s="83" t="s">
        <v>49</v>
      </c>
      <c r="J9" s="83">
        <v>2064.9699999999998</v>
      </c>
      <c r="K9" s="83">
        <v>2064.9699999999998</v>
      </c>
      <c r="L9" s="83"/>
      <c r="M9" s="83">
        <v>2064.9699999999998</v>
      </c>
      <c r="N9" s="83"/>
      <c r="O9" s="83" t="s">
        <v>234</v>
      </c>
    </row>
    <row r="11" spans="1:44" x14ac:dyDescent="0.2">
      <c r="M11" s="10">
        <f>SUM(M6:M10)</f>
        <v>12166.48</v>
      </c>
    </row>
  </sheetData>
  <mergeCells count="2">
    <mergeCell ref="A2:C2"/>
    <mergeCell ref="A3:C3"/>
  </mergeCells>
  <conditionalFormatting sqref="N1:N3">
    <cfRule type="duplicateValues" dxfId="35" priority="5"/>
    <cfRule type="duplicateValues" dxfId="34" priority="6"/>
    <cfRule type="duplicateValues" dxfId="33" priority="7"/>
    <cfRule type="duplicateValues" dxfId="32" priority="8"/>
  </conditionalFormatting>
  <conditionalFormatting sqref="N4">
    <cfRule type="duplicateValues" dxfId="31" priority="2"/>
    <cfRule type="duplicateValues" dxfId="30" priority="3"/>
    <cfRule type="duplicateValues" dxfId="29" priority="4"/>
  </conditionalFormatting>
  <conditionalFormatting sqref="N4:N9">
    <cfRule type="duplicateValues" dxfId="28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ECD6-39FA-4120-A4C7-98D4EDF942ED}">
  <dimension ref="A1:AR14"/>
  <sheetViews>
    <sheetView showGridLines="0" topLeftCell="A9" workbookViewId="0">
      <selection activeCell="C12" sqref="C12"/>
    </sheetView>
  </sheetViews>
  <sheetFormatPr baseColWidth="10" defaultColWidth="11.42578125" defaultRowHeight="12" x14ac:dyDescent="0.2"/>
  <cols>
    <col min="1" max="1" width="29.5703125" style="1" customWidth="1"/>
    <col min="2" max="16384" width="11.42578125" style="1"/>
  </cols>
  <sheetData>
    <row r="1" spans="1:44" s="8" customFormat="1" ht="11.25" x14ac:dyDescent="0.2">
      <c r="A1" s="67" t="s">
        <v>11879</v>
      </c>
      <c r="B1" s="68"/>
      <c r="C1" s="69"/>
      <c r="M1" s="9"/>
    </row>
    <row r="2" spans="1:44" s="8" customFormat="1" ht="11.25" x14ac:dyDescent="0.2">
      <c r="A2" s="98" t="s">
        <v>11898</v>
      </c>
      <c r="B2" s="99"/>
      <c r="C2" s="100"/>
    </row>
    <row r="3" spans="1:44" s="8" customFormat="1" ht="11.25" x14ac:dyDescent="0.2">
      <c r="A3" s="101" t="s">
        <v>11880</v>
      </c>
      <c r="B3" s="102"/>
      <c r="C3" s="103"/>
    </row>
    <row r="4" spans="1:44" s="75" customFormat="1" ht="22.5" x14ac:dyDescent="0.2">
      <c r="A4" s="70" t="s">
        <v>33</v>
      </c>
      <c r="B4" s="71" t="s">
        <v>34</v>
      </c>
      <c r="C4" s="72" t="s">
        <v>35</v>
      </c>
      <c r="D4" s="72" t="s">
        <v>36</v>
      </c>
      <c r="E4" s="71" t="s">
        <v>37</v>
      </c>
      <c r="F4" s="71" t="s">
        <v>38</v>
      </c>
      <c r="G4" s="71" t="s">
        <v>39</v>
      </c>
      <c r="H4" s="71" t="s">
        <v>40</v>
      </c>
      <c r="I4" s="71" t="s">
        <v>41</v>
      </c>
      <c r="J4" s="73" t="s">
        <v>42</v>
      </c>
      <c r="K4" s="73" t="s">
        <v>3</v>
      </c>
      <c r="L4" s="73" t="s">
        <v>4</v>
      </c>
      <c r="M4" s="73" t="s">
        <v>43</v>
      </c>
      <c r="N4" s="71" t="s">
        <v>44</v>
      </c>
      <c r="O4" s="74" t="s">
        <v>45</v>
      </c>
    </row>
    <row r="5" spans="1:44" s="8" customFormat="1" ht="11.25" x14ac:dyDescent="0.2">
      <c r="A5" s="76" t="s">
        <v>11899</v>
      </c>
      <c r="B5" s="77"/>
      <c r="C5" s="78"/>
      <c r="D5" s="78"/>
      <c r="E5" s="77"/>
      <c r="F5" s="77"/>
      <c r="G5" s="79"/>
      <c r="H5" s="76"/>
      <c r="I5" s="77"/>
      <c r="J5" s="80"/>
      <c r="K5" s="81"/>
      <c r="L5" s="80"/>
      <c r="M5" s="81"/>
      <c r="N5" s="77"/>
      <c r="O5" s="77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</row>
    <row r="6" spans="1:44" s="8" customFormat="1" ht="56.25" x14ac:dyDescent="0.2">
      <c r="A6" s="83" t="s">
        <v>11900</v>
      </c>
      <c r="B6" s="83" t="s">
        <v>11901</v>
      </c>
      <c r="C6" s="84">
        <v>45658</v>
      </c>
      <c r="D6" s="84">
        <v>40382</v>
      </c>
      <c r="E6" s="83" t="s">
        <v>28</v>
      </c>
      <c r="F6" s="83" t="s">
        <v>9941</v>
      </c>
      <c r="G6" s="83" t="s">
        <v>11902</v>
      </c>
      <c r="H6" s="83" t="s">
        <v>11903</v>
      </c>
      <c r="I6" s="83" t="s">
        <v>49</v>
      </c>
      <c r="J6" s="83">
        <v>1120.6099999999999</v>
      </c>
      <c r="K6" s="83">
        <v>1120.6099999999999</v>
      </c>
      <c r="L6" s="83"/>
      <c r="M6" s="83">
        <v>1120.6099999999999</v>
      </c>
      <c r="N6" s="83"/>
      <c r="O6" s="83" t="s">
        <v>234</v>
      </c>
    </row>
    <row r="7" spans="1:44" s="8" customFormat="1" ht="56.25" x14ac:dyDescent="0.2">
      <c r="A7" s="83" t="s">
        <v>11904</v>
      </c>
      <c r="B7" s="83" t="s">
        <v>11905</v>
      </c>
      <c r="C7" s="84">
        <v>45658</v>
      </c>
      <c r="D7" s="84">
        <v>40662</v>
      </c>
      <c r="E7" s="83" t="s">
        <v>28</v>
      </c>
      <c r="F7" s="83" t="s">
        <v>9941</v>
      </c>
      <c r="G7" s="83" t="s">
        <v>11906</v>
      </c>
      <c r="H7" s="83" t="s">
        <v>11907</v>
      </c>
      <c r="I7" s="83" t="s">
        <v>49</v>
      </c>
      <c r="J7" s="83">
        <v>701.08</v>
      </c>
      <c r="K7" s="83">
        <v>701.08</v>
      </c>
      <c r="L7" s="83"/>
      <c r="M7" s="83">
        <v>701.08</v>
      </c>
      <c r="N7" s="83"/>
      <c r="O7" s="83" t="s">
        <v>234</v>
      </c>
    </row>
    <row r="8" spans="1:44" s="8" customFormat="1" ht="56.25" x14ac:dyDescent="0.2">
      <c r="A8" s="83" t="s">
        <v>11908</v>
      </c>
      <c r="B8" s="83" t="s">
        <v>11909</v>
      </c>
      <c r="C8" s="84">
        <v>45658</v>
      </c>
      <c r="D8" s="84">
        <v>40541</v>
      </c>
      <c r="E8" s="83" t="s">
        <v>28</v>
      </c>
      <c r="F8" s="83" t="s">
        <v>9941</v>
      </c>
      <c r="G8" s="83" t="s">
        <v>11910</v>
      </c>
      <c r="H8" s="83" t="s">
        <v>11911</v>
      </c>
      <c r="I8" s="83" t="s">
        <v>49</v>
      </c>
      <c r="J8" s="83">
        <v>474.86</v>
      </c>
      <c r="K8" s="83">
        <v>474.86</v>
      </c>
      <c r="L8" s="83"/>
      <c r="M8" s="83">
        <v>474.86</v>
      </c>
      <c r="N8" s="83"/>
      <c r="O8" s="83" t="s">
        <v>234</v>
      </c>
    </row>
    <row r="9" spans="1:44" s="8" customFormat="1" ht="56.25" x14ac:dyDescent="0.2">
      <c r="A9" s="83" t="s">
        <v>11912</v>
      </c>
      <c r="B9" s="83" t="s">
        <v>11913</v>
      </c>
      <c r="C9" s="84">
        <v>45658</v>
      </c>
      <c r="D9" s="84">
        <v>40518</v>
      </c>
      <c r="E9" s="83" t="s">
        <v>28</v>
      </c>
      <c r="F9" s="83" t="s">
        <v>9941</v>
      </c>
      <c r="G9" s="83" t="s">
        <v>11914</v>
      </c>
      <c r="H9" s="83" t="s">
        <v>11915</v>
      </c>
      <c r="I9" s="83" t="s">
        <v>49</v>
      </c>
      <c r="J9" s="83">
        <v>303.66000000000003</v>
      </c>
      <c r="K9" s="83">
        <v>303.66000000000003</v>
      </c>
      <c r="L9" s="83"/>
      <c r="M9" s="83">
        <v>303.66000000000003</v>
      </c>
      <c r="N9" s="83"/>
      <c r="O9" s="83" t="s">
        <v>234</v>
      </c>
    </row>
    <row r="10" spans="1:44" s="8" customFormat="1" ht="56.25" x14ac:dyDescent="0.2">
      <c r="A10" s="83" t="s">
        <v>11916</v>
      </c>
      <c r="B10" s="83" t="s">
        <v>11917</v>
      </c>
      <c r="C10" s="84">
        <v>45658</v>
      </c>
      <c r="D10" s="84">
        <v>40485</v>
      </c>
      <c r="E10" s="83" t="s">
        <v>28</v>
      </c>
      <c r="F10" s="83" t="s">
        <v>9941</v>
      </c>
      <c r="G10" s="83" t="s">
        <v>11918</v>
      </c>
      <c r="H10" s="83" t="s">
        <v>11919</v>
      </c>
      <c r="I10" s="83" t="s">
        <v>49</v>
      </c>
      <c r="J10" s="83">
        <v>257.47000000000003</v>
      </c>
      <c r="K10" s="83">
        <v>257.47000000000003</v>
      </c>
      <c r="L10" s="83"/>
      <c r="M10" s="83">
        <v>257.47000000000003</v>
      </c>
      <c r="N10" s="83"/>
      <c r="O10" s="83" t="s">
        <v>234</v>
      </c>
    </row>
    <row r="11" spans="1:44" s="8" customFormat="1" ht="56.25" x14ac:dyDescent="0.2">
      <c r="A11" s="83" t="s">
        <v>11920</v>
      </c>
      <c r="B11" s="83" t="s">
        <v>11921</v>
      </c>
      <c r="C11" s="84">
        <v>45658</v>
      </c>
      <c r="D11" s="84">
        <v>40511</v>
      </c>
      <c r="E11" s="83" t="s">
        <v>28</v>
      </c>
      <c r="F11" s="83" t="s">
        <v>9941</v>
      </c>
      <c r="G11" s="83" t="s">
        <v>11922</v>
      </c>
      <c r="H11" s="83" t="s">
        <v>11923</v>
      </c>
      <c r="I11" s="83" t="s">
        <v>49</v>
      </c>
      <c r="J11" s="83">
        <v>245.98</v>
      </c>
      <c r="K11" s="83">
        <v>245.98</v>
      </c>
      <c r="L11" s="83"/>
      <c r="M11" s="83">
        <v>245.98</v>
      </c>
      <c r="N11" s="83"/>
      <c r="O11" s="83" t="s">
        <v>234</v>
      </c>
    </row>
    <row r="12" spans="1:44" s="8" customFormat="1" ht="56.25" x14ac:dyDescent="0.2">
      <c r="A12" s="83" t="s">
        <v>11924</v>
      </c>
      <c r="B12" s="83" t="s">
        <v>11925</v>
      </c>
      <c r="C12" s="84">
        <v>45658</v>
      </c>
      <c r="D12" s="84">
        <v>40760</v>
      </c>
      <c r="E12" s="83" t="s">
        <v>28</v>
      </c>
      <c r="F12" s="83" t="s">
        <v>9941</v>
      </c>
      <c r="G12" s="83" t="s">
        <v>11926</v>
      </c>
      <c r="H12" s="83" t="s">
        <v>11927</v>
      </c>
      <c r="I12" s="83" t="s">
        <v>49</v>
      </c>
      <c r="J12" s="83">
        <v>76.959999999999994</v>
      </c>
      <c r="K12" s="83">
        <v>76.959999999999994</v>
      </c>
      <c r="L12" s="83"/>
      <c r="M12" s="83">
        <v>76.959999999999994</v>
      </c>
      <c r="N12" s="83"/>
      <c r="O12" s="83" t="s">
        <v>234</v>
      </c>
    </row>
    <row r="13" spans="1:44" s="8" customFormat="1" ht="11.25" x14ac:dyDescent="0.2">
      <c r="A13" s="83"/>
      <c r="B13" s="83"/>
      <c r="C13" s="84"/>
      <c r="D13" s="84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</row>
    <row r="14" spans="1:44" x14ac:dyDescent="0.2">
      <c r="M14" s="85">
        <f>SUM(M6:M13)</f>
        <v>3180.6200000000003</v>
      </c>
    </row>
  </sheetData>
  <mergeCells count="2">
    <mergeCell ref="A2:C2"/>
    <mergeCell ref="A3:C3"/>
  </mergeCells>
  <conditionalFormatting sqref="N1:N3">
    <cfRule type="duplicateValues" dxfId="27" priority="5"/>
    <cfRule type="duplicateValues" dxfId="26" priority="6"/>
    <cfRule type="duplicateValues" dxfId="25" priority="7"/>
    <cfRule type="duplicateValues" dxfId="24" priority="8"/>
  </conditionalFormatting>
  <conditionalFormatting sqref="N4">
    <cfRule type="duplicateValues" dxfId="23" priority="2"/>
    <cfRule type="duplicateValues" dxfId="22" priority="3"/>
    <cfRule type="duplicateValues" dxfId="21" priority="4"/>
  </conditionalFormatting>
  <conditionalFormatting sqref="N4:N13">
    <cfRule type="duplicateValues" dxfId="20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100C-B6AD-40FF-B1AB-096ED5169FE1}">
  <dimension ref="A1:AR91"/>
  <sheetViews>
    <sheetView showGridLines="0" topLeftCell="J83" workbookViewId="0">
      <selection activeCell="C12" sqref="C12"/>
    </sheetView>
  </sheetViews>
  <sheetFormatPr baseColWidth="10" defaultColWidth="19.7109375" defaultRowHeight="11.25" x14ac:dyDescent="0.2"/>
  <cols>
    <col min="1" max="16384" width="19.7109375" style="8"/>
  </cols>
  <sheetData>
    <row r="1" spans="1:44" x14ac:dyDescent="0.2">
      <c r="A1" s="67" t="s">
        <v>11879</v>
      </c>
      <c r="B1" s="68"/>
      <c r="C1" s="69"/>
      <c r="M1" s="9"/>
    </row>
    <row r="2" spans="1:44" x14ac:dyDescent="0.2">
      <c r="A2" s="98" t="s">
        <v>11898</v>
      </c>
      <c r="B2" s="99"/>
      <c r="C2" s="100"/>
    </row>
    <row r="3" spans="1:44" x14ac:dyDescent="0.2">
      <c r="A3" s="101" t="s">
        <v>11880</v>
      </c>
      <c r="B3" s="102"/>
      <c r="C3" s="103"/>
    </row>
    <row r="4" spans="1:44" s="75" customFormat="1" ht="39.75" customHeight="1" x14ac:dyDescent="0.2">
      <c r="A4" s="70" t="s">
        <v>33</v>
      </c>
      <c r="B4" s="71" t="s">
        <v>34</v>
      </c>
      <c r="C4" s="72" t="s">
        <v>35</v>
      </c>
      <c r="D4" s="72" t="s">
        <v>36</v>
      </c>
      <c r="E4" s="71" t="s">
        <v>37</v>
      </c>
      <c r="F4" s="71" t="s">
        <v>38</v>
      </c>
      <c r="G4" s="71" t="s">
        <v>39</v>
      </c>
      <c r="H4" s="71" t="s">
        <v>40</v>
      </c>
      <c r="I4" s="71" t="s">
        <v>41</v>
      </c>
      <c r="J4" s="73" t="s">
        <v>42</v>
      </c>
      <c r="K4" s="73" t="s">
        <v>3</v>
      </c>
      <c r="L4" s="73" t="s">
        <v>4</v>
      </c>
      <c r="M4" s="73" t="s">
        <v>43</v>
      </c>
      <c r="N4" s="71" t="s">
        <v>44</v>
      </c>
      <c r="O4" s="74" t="s">
        <v>45</v>
      </c>
    </row>
    <row r="5" spans="1:44" x14ac:dyDescent="0.2">
      <c r="A5" s="76" t="s">
        <v>11928</v>
      </c>
      <c r="B5" s="77"/>
      <c r="C5" s="78"/>
      <c r="D5" s="78"/>
      <c r="E5" s="77"/>
      <c r="F5" s="77"/>
      <c r="G5" s="79"/>
      <c r="H5" s="76"/>
      <c r="I5" s="77"/>
      <c r="J5" s="80"/>
      <c r="K5" s="81"/>
      <c r="L5" s="80"/>
      <c r="M5" s="81"/>
      <c r="N5" s="77"/>
      <c r="O5" s="77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</row>
    <row r="6" spans="1:44" ht="33.75" x14ac:dyDescent="0.2">
      <c r="A6" s="83" t="s">
        <v>11929</v>
      </c>
      <c r="B6" s="83" t="s">
        <v>11930</v>
      </c>
      <c r="C6" s="84">
        <v>45658</v>
      </c>
      <c r="D6" s="84">
        <v>42198</v>
      </c>
      <c r="E6" s="83" t="s">
        <v>29</v>
      </c>
      <c r="F6" s="83" t="s">
        <v>9941</v>
      </c>
      <c r="G6" s="83" t="s">
        <v>11931</v>
      </c>
      <c r="H6" s="83" t="s">
        <v>11932</v>
      </c>
      <c r="I6" s="83" t="s">
        <v>49</v>
      </c>
      <c r="J6" s="83">
        <v>4014.24</v>
      </c>
      <c r="K6" s="83">
        <v>4014.24</v>
      </c>
      <c r="L6" s="83"/>
      <c r="M6" s="83">
        <v>4014.24</v>
      </c>
      <c r="N6" s="83"/>
      <c r="O6" s="83" t="s">
        <v>234</v>
      </c>
    </row>
    <row r="7" spans="1:44" ht="33.75" x14ac:dyDescent="0.2">
      <c r="A7" s="83" t="s">
        <v>11933</v>
      </c>
      <c r="B7" s="83" t="s">
        <v>11934</v>
      </c>
      <c r="C7" s="84">
        <v>45658</v>
      </c>
      <c r="D7" s="84">
        <v>40879</v>
      </c>
      <c r="E7" s="83" t="s">
        <v>29</v>
      </c>
      <c r="F7" s="83" t="s">
        <v>9941</v>
      </c>
      <c r="G7" s="83" t="s">
        <v>11935</v>
      </c>
      <c r="H7" s="83" t="s">
        <v>11936</v>
      </c>
      <c r="I7" s="83" t="s">
        <v>49</v>
      </c>
      <c r="J7" s="83">
        <v>2380.4299999999998</v>
      </c>
      <c r="K7" s="83">
        <v>2380.4299999999998</v>
      </c>
      <c r="L7" s="83"/>
      <c r="M7" s="83">
        <v>2380.4299999999998</v>
      </c>
      <c r="N7" s="83"/>
      <c r="O7" s="83" t="s">
        <v>234</v>
      </c>
    </row>
    <row r="8" spans="1:44" ht="33.75" x14ac:dyDescent="0.2">
      <c r="A8" s="83" t="s">
        <v>11937</v>
      </c>
      <c r="B8" s="83" t="s">
        <v>11938</v>
      </c>
      <c r="C8" s="84">
        <v>45658</v>
      </c>
      <c r="D8" s="84">
        <v>40864</v>
      </c>
      <c r="E8" s="83" t="s">
        <v>29</v>
      </c>
      <c r="F8" s="83" t="s">
        <v>9941</v>
      </c>
      <c r="G8" s="83" t="s">
        <v>11939</v>
      </c>
      <c r="H8" s="83" t="s">
        <v>11940</v>
      </c>
      <c r="I8" s="83" t="s">
        <v>49</v>
      </c>
      <c r="J8" s="83">
        <v>2380.42</v>
      </c>
      <c r="K8" s="83">
        <v>2380.42</v>
      </c>
      <c r="L8" s="83"/>
      <c r="M8" s="83">
        <v>2380.42</v>
      </c>
      <c r="N8" s="83"/>
      <c r="O8" s="83" t="s">
        <v>234</v>
      </c>
    </row>
    <row r="9" spans="1:44" ht="33.75" x14ac:dyDescent="0.2">
      <c r="A9" s="83" t="s">
        <v>11941</v>
      </c>
      <c r="B9" s="83" t="s">
        <v>11942</v>
      </c>
      <c r="C9" s="84">
        <v>45658</v>
      </c>
      <c r="D9" s="84">
        <v>40861</v>
      </c>
      <c r="E9" s="83" t="s">
        <v>29</v>
      </c>
      <c r="F9" s="83" t="s">
        <v>9941</v>
      </c>
      <c r="G9" s="83" t="s">
        <v>11943</v>
      </c>
      <c r="H9" s="83" t="s">
        <v>11944</v>
      </c>
      <c r="I9" s="83" t="s">
        <v>49</v>
      </c>
      <c r="J9" s="83">
        <v>1887</v>
      </c>
      <c r="K9" s="83">
        <v>1887</v>
      </c>
      <c r="L9" s="83"/>
      <c r="M9" s="83">
        <v>1887</v>
      </c>
      <c r="N9" s="83"/>
      <c r="O9" s="83" t="s">
        <v>234</v>
      </c>
    </row>
    <row r="10" spans="1:44" ht="33.75" x14ac:dyDescent="0.2">
      <c r="A10" s="83" t="s">
        <v>11945</v>
      </c>
      <c r="B10" s="83" t="s">
        <v>11946</v>
      </c>
      <c r="C10" s="84">
        <v>45658</v>
      </c>
      <c r="D10" s="84">
        <v>41139</v>
      </c>
      <c r="E10" s="83" t="s">
        <v>29</v>
      </c>
      <c r="F10" s="83" t="s">
        <v>9941</v>
      </c>
      <c r="G10" s="83" t="s">
        <v>11947</v>
      </c>
      <c r="H10" s="83" t="s">
        <v>11948</v>
      </c>
      <c r="I10" s="83" t="s">
        <v>49</v>
      </c>
      <c r="J10" s="83">
        <v>1667.93</v>
      </c>
      <c r="K10" s="83">
        <v>1667.93</v>
      </c>
      <c r="L10" s="83"/>
      <c r="M10" s="83">
        <v>1667.93</v>
      </c>
      <c r="N10" s="83"/>
      <c r="O10" s="83" t="s">
        <v>234</v>
      </c>
    </row>
    <row r="11" spans="1:44" ht="33.75" x14ac:dyDescent="0.2">
      <c r="A11" s="83" t="s">
        <v>11949</v>
      </c>
      <c r="B11" s="83" t="s">
        <v>11950</v>
      </c>
      <c r="C11" s="84">
        <v>45658</v>
      </c>
      <c r="D11" s="84">
        <v>40862</v>
      </c>
      <c r="E11" s="83" t="s">
        <v>29</v>
      </c>
      <c r="F11" s="83" t="s">
        <v>9941</v>
      </c>
      <c r="G11" s="83" t="s">
        <v>11951</v>
      </c>
      <c r="H11" s="83" t="s">
        <v>11952</v>
      </c>
      <c r="I11" s="83" t="s">
        <v>49</v>
      </c>
      <c r="J11" s="83">
        <v>1617.08</v>
      </c>
      <c r="K11" s="83">
        <v>1617.08</v>
      </c>
      <c r="L11" s="83"/>
      <c r="M11" s="83">
        <v>1617.08</v>
      </c>
      <c r="N11" s="83"/>
      <c r="O11" s="83" t="s">
        <v>234</v>
      </c>
    </row>
    <row r="12" spans="1:44" ht="33.75" x14ac:dyDescent="0.2">
      <c r="A12" s="83" t="s">
        <v>11953</v>
      </c>
      <c r="B12" s="83" t="s">
        <v>11954</v>
      </c>
      <c r="C12" s="84">
        <v>45658</v>
      </c>
      <c r="D12" s="84">
        <v>41195</v>
      </c>
      <c r="E12" s="83" t="s">
        <v>29</v>
      </c>
      <c r="F12" s="83" t="s">
        <v>9941</v>
      </c>
      <c r="G12" s="83" t="s">
        <v>11955</v>
      </c>
      <c r="H12" s="83" t="s">
        <v>11956</v>
      </c>
      <c r="I12" s="83" t="s">
        <v>49</v>
      </c>
      <c r="J12" s="83">
        <v>1529.16</v>
      </c>
      <c r="K12" s="83">
        <v>1529.16</v>
      </c>
      <c r="L12" s="83"/>
      <c r="M12" s="83">
        <v>1529.16</v>
      </c>
      <c r="N12" s="83"/>
      <c r="O12" s="83" t="s">
        <v>234</v>
      </c>
    </row>
    <row r="13" spans="1:44" ht="33.75" x14ac:dyDescent="0.2">
      <c r="A13" s="83" t="s">
        <v>11957</v>
      </c>
      <c r="B13" s="83" t="s">
        <v>11958</v>
      </c>
      <c r="C13" s="84">
        <v>45658</v>
      </c>
      <c r="D13" s="84">
        <v>41111</v>
      </c>
      <c r="E13" s="83" t="s">
        <v>29</v>
      </c>
      <c r="F13" s="83" t="s">
        <v>9941</v>
      </c>
      <c r="G13" s="83" t="s">
        <v>11959</v>
      </c>
      <c r="H13" s="83" t="s">
        <v>11960</v>
      </c>
      <c r="I13" s="83" t="s">
        <v>49</v>
      </c>
      <c r="J13" s="83">
        <v>1525.06</v>
      </c>
      <c r="K13" s="83">
        <v>1525.06</v>
      </c>
      <c r="L13" s="83"/>
      <c r="M13" s="83">
        <v>1525.06</v>
      </c>
      <c r="N13" s="83"/>
      <c r="O13" s="83" t="s">
        <v>234</v>
      </c>
    </row>
    <row r="14" spans="1:44" ht="33.75" x14ac:dyDescent="0.2">
      <c r="A14" s="83" t="s">
        <v>11961</v>
      </c>
      <c r="B14" s="83" t="s">
        <v>11962</v>
      </c>
      <c r="C14" s="84">
        <v>45658</v>
      </c>
      <c r="D14" s="84">
        <v>40364</v>
      </c>
      <c r="E14" s="83" t="s">
        <v>29</v>
      </c>
      <c r="F14" s="83" t="s">
        <v>9941</v>
      </c>
      <c r="G14" s="83" t="s">
        <v>11963</v>
      </c>
      <c r="H14" s="83" t="s">
        <v>11964</v>
      </c>
      <c r="I14" s="83" t="s">
        <v>49</v>
      </c>
      <c r="J14" s="83">
        <v>1503.74</v>
      </c>
      <c r="K14" s="83">
        <v>1503.74</v>
      </c>
      <c r="L14" s="83"/>
      <c r="M14" s="83">
        <v>1503.74</v>
      </c>
      <c r="N14" s="83"/>
      <c r="O14" s="83" t="s">
        <v>234</v>
      </c>
    </row>
    <row r="15" spans="1:44" ht="33.75" x14ac:dyDescent="0.2">
      <c r="A15" s="83" t="s">
        <v>11965</v>
      </c>
      <c r="B15" s="83" t="s">
        <v>11966</v>
      </c>
      <c r="C15" s="84">
        <v>45658</v>
      </c>
      <c r="D15" s="84">
        <v>40265</v>
      </c>
      <c r="E15" s="83" t="s">
        <v>29</v>
      </c>
      <c r="F15" s="83" t="s">
        <v>9941</v>
      </c>
      <c r="G15" s="83" t="s">
        <v>11967</v>
      </c>
      <c r="H15" s="83" t="s">
        <v>11968</v>
      </c>
      <c r="I15" s="83" t="s">
        <v>49</v>
      </c>
      <c r="J15" s="83">
        <v>1490.63</v>
      </c>
      <c r="K15" s="83">
        <v>1490.63</v>
      </c>
      <c r="L15" s="83"/>
      <c r="M15" s="83">
        <v>1490.63</v>
      </c>
      <c r="N15" s="83"/>
      <c r="O15" s="83" t="s">
        <v>234</v>
      </c>
    </row>
    <row r="16" spans="1:44" ht="33.75" x14ac:dyDescent="0.2">
      <c r="A16" s="83" t="s">
        <v>11969</v>
      </c>
      <c r="B16" s="83" t="s">
        <v>11970</v>
      </c>
      <c r="C16" s="84">
        <v>45658</v>
      </c>
      <c r="D16" s="84">
        <v>40928</v>
      </c>
      <c r="E16" s="83" t="s">
        <v>29</v>
      </c>
      <c r="F16" s="83" t="s">
        <v>9941</v>
      </c>
      <c r="G16" s="83" t="s">
        <v>11971</v>
      </c>
      <c r="H16" s="83" t="s">
        <v>11972</v>
      </c>
      <c r="I16" s="83" t="s">
        <v>49</v>
      </c>
      <c r="J16" s="83">
        <v>1430.47</v>
      </c>
      <c r="K16" s="83">
        <v>1430.47</v>
      </c>
      <c r="L16" s="83"/>
      <c r="M16" s="83">
        <v>1430.47</v>
      </c>
      <c r="N16" s="83"/>
      <c r="O16" s="83" t="s">
        <v>234</v>
      </c>
    </row>
    <row r="17" spans="1:15" ht="33.75" x14ac:dyDescent="0.2">
      <c r="A17" s="83" t="s">
        <v>11973</v>
      </c>
      <c r="B17" s="83" t="s">
        <v>11974</v>
      </c>
      <c r="C17" s="84">
        <v>45658</v>
      </c>
      <c r="D17" s="84">
        <v>40861</v>
      </c>
      <c r="E17" s="83" t="s">
        <v>29</v>
      </c>
      <c r="F17" s="83" t="s">
        <v>9941</v>
      </c>
      <c r="G17" s="83" t="s">
        <v>11975</v>
      </c>
      <c r="H17" s="83" t="s">
        <v>11976</v>
      </c>
      <c r="I17" s="83" t="s">
        <v>49</v>
      </c>
      <c r="J17" s="83">
        <v>1421.77</v>
      </c>
      <c r="K17" s="83">
        <v>1421.77</v>
      </c>
      <c r="L17" s="83"/>
      <c r="M17" s="83">
        <v>1421.77</v>
      </c>
      <c r="N17" s="83"/>
      <c r="O17" s="83" t="s">
        <v>234</v>
      </c>
    </row>
    <row r="18" spans="1:15" ht="33.75" x14ac:dyDescent="0.2">
      <c r="A18" s="83" t="s">
        <v>11977</v>
      </c>
      <c r="B18" s="83" t="s">
        <v>11978</v>
      </c>
      <c r="C18" s="84">
        <v>45658</v>
      </c>
      <c r="D18" s="84">
        <v>40774</v>
      </c>
      <c r="E18" s="83" t="s">
        <v>29</v>
      </c>
      <c r="F18" s="83" t="s">
        <v>9941</v>
      </c>
      <c r="G18" s="83" t="s">
        <v>11979</v>
      </c>
      <c r="H18" s="83" t="s">
        <v>11980</v>
      </c>
      <c r="I18" s="83" t="s">
        <v>49</v>
      </c>
      <c r="J18" s="83">
        <v>1392.21</v>
      </c>
      <c r="K18" s="83">
        <v>1392.21</v>
      </c>
      <c r="L18" s="83"/>
      <c r="M18" s="83">
        <v>1392.21</v>
      </c>
      <c r="N18" s="83"/>
      <c r="O18" s="83" t="s">
        <v>234</v>
      </c>
    </row>
    <row r="19" spans="1:15" ht="33.75" x14ac:dyDescent="0.2">
      <c r="A19" s="83" t="s">
        <v>11981</v>
      </c>
      <c r="B19" s="83" t="s">
        <v>11982</v>
      </c>
      <c r="C19" s="84">
        <v>45658</v>
      </c>
      <c r="D19" s="84">
        <v>40861</v>
      </c>
      <c r="E19" s="83" t="s">
        <v>29</v>
      </c>
      <c r="F19" s="83" t="s">
        <v>9941</v>
      </c>
      <c r="G19" s="83" t="s">
        <v>11983</v>
      </c>
      <c r="H19" s="83" t="s">
        <v>11984</v>
      </c>
      <c r="I19" s="83" t="s">
        <v>49</v>
      </c>
      <c r="J19" s="83">
        <v>1381.51</v>
      </c>
      <c r="K19" s="83">
        <v>1381.51</v>
      </c>
      <c r="L19" s="83"/>
      <c r="M19" s="83">
        <v>1381.51</v>
      </c>
      <c r="N19" s="83"/>
      <c r="O19" s="83" t="s">
        <v>234</v>
      </c>
    </row>
    <row r="20" spans="1:15" ht="33.75" x14ac:dyDescent="0.2">
      <c r="A20" s="83" t="s">
        <v>11985</v>
      </c>
      <c r="B20" s="83" t="s">
        <v>11986</v>
      </c>
      <c r="C20" s="84">
        <v>45658</v>
      </c>
      <c r="D20" s="84">
        <v>40763</v>
      </c>
      <c r="E20" s="83" t="s">
        <v>29</v>
      </c>
      <c r="F20" s="83" t="s">
        <v>9941</v>
      </c>
      <c r="G20" s="83" t="s">
        <v>11987</v>
      </c>
      <c r="H20" s="83" t="s">
        <v>11988</v>
      </c>
      <c r="I20" s="83" t="s">
        <v>49</v>
      </c>
      <c r="J20" s="83">
        <v>1379.84</v>
      </c>
      <c r="K20" s="83">
        <v>1379.84</v>
      </c>
      <c r="L20" s="83"/>
      <c r="M20" s="83">
        <v>1379.84</v>
      </c>
      <c r="N20" s="83"/>
      <c r="O20" s="83" t="s">
        <v>234</v>
      </c>
    </row>
    <row r="21" spans="1:15" ht="33.75" x14ac:dyDescent="0.2">
      <c r="A21" s="83" t="s">
        <v>11989</v>
      </c>
      <c r="B21" s="83" t="s">
        <v>11990</v>
      </c>
      <c r="C21" s="84">
        <v>45658</v>
      </c>
      <c r="D21" s="84">
        <v>40932</v>
      </c>
      <c r="E21" s="83" t="s">
        <v>29</v>
      </c>
      <c r="F21" s="83" t="s">
        <v>9941</v>
      </c>
      <c r="G21" s="83" t="s">
        <v>11991</v>
      </c>
      <c r="H21" s="83" t="s">
        <v>11992</v>
      </c>
      <c r="I21" s="83" t="s">
        <v>49</v>
      </c>
      <c r="J21" s="83">
        <v>1292.5</v>
      </c>
      <c r="K21" s="83">
        <v>1292.5</v>
      </c>
      <c r="L21" s="83"/>
      <c r="M21" s="83">
        <v>1292.5</v>
      </c>
      <c r="N21" s="83"/>
      <c r="O21" s="83" t="s">
        <v>234</v>
      </c>
    </row>
    <row r="22" spans="1:15" ht="33.75" x14ac:dyDescent="0.2">
      <c r="A22" s="83" t="s">
        <v>11993</v>
      </c>
      <c r="B22" s="83" t="s">
        <v>11994</v>
      </c>
      <c r="C22" s="84">
        <v>45658</v>
      </c>
      <c r="D22" s="84">
        <v>40868</v>
      </c>
      <c r="E22" s="83" t="s">
        <v>29</v>
      </c>
      <c r="F22" s="83" t="s">
        <v>9941</v>
      </c>
      <c r="G22" s="83" t="s">
        <v>11995</v>
      </c>
      <c r="H22" s="83" t="s">
        <v>11996</v>
      </c>
      <c r="I22" s="83" t="s">
        <v>49</v>
      </c>
      <c r="J22" s="83">
        <v>1282.26</v>
      </c>
      <c r="K22" s="83">
        <v>1282.26</v>
      </c>
      <c r="L22" s="83"/>
      <c r="M22" s="83">
        <v>1282.26</v>
      </c>
      <c r="N22" s="83"/>
      <c r="O22" s="83" t="s">
        <v>234</v>
      </c>
    </row>
    <row r="23" spans="1:15" ht="33.75" x14ac:dyDescent="0.2">
      <c r="A23" s="83" t="s">
        <v>11997</v>
      </c>
      <c r="B23" s="83" t="s">
        <v>11998</v>
      </c>
      <c r="C23" s="84">
        <v>45658</v>
      </c>
      <c r="D23" s="84">
        <v>40353</v>
      </c>
      <c r="E23" s="83" t="s">
        <v>29</v>
      </c>
      <c r="F23" s="83" t="s">
        <v>9941</v>
      </c>
      <c r="G23" s="83" t="s">
        <v>11999</v>
      </c>
      <c r="H23" s="83" t="s">
        <v>12000</v>
      </c>
      <c r="I23" s="83" t="s">
        <v>49</v>
      </c>
      <c r="J23" s="83">
        <v>1245.29</v>
      </c>
      <c r="K23" s="83">
        <v>1245.29</v>
      </c>
      <c r="L23" s="83"/>
      <c r="M23" s="83">
        <v>1245.29</v>
      </c>
      <c r="N23" s="83"/>
      <c r="O23" s="83" t="s">
        <v>234</v>
      </c>
    </row>
    <row r="24" spans="1:15" ht="33.75" x14ac:dyDescent="0.2">
      <c r="A24" s="83" t="s">
        <v>12001</v>
      </c>
      <c r="B24" s="83" t="s">
        <v>12002</v>
      </c>
      <c r="C24" s="84">
        <v>45658</v>
      </c>
      <c r="D24" s="84">
        <v>41106</v>
      </c>
      <c r="E24" s="83" t="s">
        <v>29</v>
      </c>
      <c r="F24" s="83" t="s">
        <v>9941</v>
      </c>
      <c r="G24" s="83" t="s">
        <v>12003</v>
      </c>
      <c r="H24" s="83" t="s">
        <v>12004</v>
      </c>
      <c r="I24" s="83" t="s">
        <v>49</v>
      </c>
      <c r="J24" s="83">
        <v>1235.22</v>
      </c>
      <c r="K24" s="83">
        <v>1235.22</v>
      </c>
      <c r="L24" s="83"/>
      <c r="M24" s="83">
        <v>1235.22</v>
      </c>
      <c r="N24" s="83"/>
      <c r="O24" s="83" t="s">
        <v>234</v>
      </c>
    </row>
    <row r="25" spans="1:15" ht="33.75" x14ac:dyDescent="0.2">
      <c r="A25" s="83" t="s">
        <v>12005</v>
      </c>
      <c r="B25" s="83" t="s">
        <v>12006</v>
      </c>
      <c r="C25" s="84">
        <v>45658</v>
      </c>
      <c r="D25" s="84">
        <v>41104</v>
      </c>
      <c r="E25" s="83" t="s">
        <v>29</v>
      </c>
      <c r="F25" s="83" t="s">
        <v>9941</v>
      </c>
      <c r="G25" s="83" t="s">
        <v>12007</v>
      </c>
      <c r="H25" s="83" t="s">
        <v>12008</v>
      </c>
      <c r="I25" s="83" t="s">
        <v>49</v>
      </c>
      <c r="J25" s="83">
        <v>1227.71</v>
      </c>
      <c r="K25" s="83">
        <v>1227.71</v>
      </c>
      <c r="L25" s="83"/>
      <c r="M25" s="83">
        <v>1227.71</v>
      </c>
      <c r="N25" s="83"/>
      <c r="O25" s="83" t="s">
        <v>234</v>
      </c>
    </row>
    <row r="26" spans="1:15" ht="33.75" x14ac:dyDescent="0.2">
      <c r="A26" s="83" t="s">
        <v>12009</v>
      </c>
      <c r="B26" s="83" t="s">
        <v>12010</v>
      </c>
      <c r="C26" s="84">
        <v>45658</v>
      </c>
      <c r="D26" s="84">
        <v>40938</v>
      </c>
      <c r="E26" s="83" t="s">
        <v>29</v>
      </c>
      <c r="F26" s="83" t="s">
        <v>9941</v>
      </c>
      <c r="G26" s="83" t="s">
        <v>12011</v>
      </c>
      <c r="H26" s="83" t="s">
        <v>12012</v>
      </c>
      <c r="I26" s="83" t="s">
        <v>49</v>
      </c>
      <c r="J26" s="83">
        <v>1185.04</v>
      </c>
      <c r="K26" s="83">
        <v>1185.04</v>
      </c>
      <c r="L26" s="83"/>
      <c r="M26" s="83">
        <v>1185.04</v>
      </c>
      <c r="N26" s="83"/>
      <c r="O26" s="83" t="s">
        <v>234</v>
      </c>
    </row>
    <row r="27" spans="1:15" ht="33.75" x14ac:dyDescent="0.2">
      <c r="A27" s="83" t="s">
        <v>12013</v>
      </c>
      <c r="B27" s="83" t="s">
        <v>12014</v>
      </c>
      <c r="C27" s="84">
        <v>45658</v>
      </c>
      <c r="D27" s="84">
        <v>41106</v>
      </c>
      <c r="E27" s="83" t="s">
        <v>29</v>
      </c>
      <c r="F27" s="83" t="s">
        <v>9941</v>
      </c>
      <c r="G27" s="83" t="s">
        <v>12015</v>
      </c>
      <c r="H27" s="83" t="s">
        <v>12016</v>
      </c>
      <c r="I27" s="83" t="s">
        <v>49</v>
      </c>
      <c r="J27" s="83">
        <v>1153.4100000000001</v>
      </c>
      <c r="K27" s="83">
        <v>1153.4100000000001</v>
      </c>
      <c r="L27" s="83"/>
      <c r="M27" s="83">
        <v>1153.4100000000001</v>
      </c>
      <c r="N27" s="83"/>
      <c r="O27" s="83" t="s">
        <v>234</v>
      </c>
    </row>
    <row r="28" spans="1:15" ht="33.75" x14ac:dyDescent="0.2">
      <c r="A28" s="83" t="s">
        <v>12017</v>
      </c>
      <c r="B28" s="83" t="s">
        <v>12018</v>
      </c>
      <c r="C28" s="84">
        <v>45658</v>
      </c>
      <c r="D28" s="84">
        <v>41188</v>
      </c>
      <c r="E28" s="83" t="s">
        <v>29</v>
      </c>
      <c r="F28" s="83" t="s">
        <v>9941</v>
      </c>
      <c r="G28" s="83" t="s">
        <v>12019</v>
      </c>
      <c r="H28" s="83" t="s">
        <v>12020</v>
      </c>
      <c r="I28" s="83" t="s">
        <v>49</v>
      </c>
      <c r="J28" s="83">
        <v>1117.48</v>
      </c>
      <c r="K28" s="83">
        <v>1117.48</v>
      </c>
      <c r="L28" s="83"/>
      <c r="M28" s="83">
        <v>1117.48</v>
      </c>
      <c r="N28" s="83"/>
      <c r="O28" s="83" t="s">
        <v>234</v>
      </c>
    </row>
    <row r="29" spans="1:15" ht="33.75" x14ac:dyDescent="0.2">
      <c r="A29" s="83" t="s">
        <v>12021</v>
      </c>
      <c r="B29" s="83" t="s">
        <v>12022</v>
      </c>
      <c r="C29" s="84">
        <v>45658</v>
      </c>
      <c r="D29" s="84">
        <v>40896</v>
      </c>
      <c r="E29" s="83" t="s">
        <v>29</v>
      </c>
      <c r="F29" s="83" t="s">
        <v>9941</v>
      </c>
      <c r="G29" s="83" t="s">
        <v>12023</v>
      </c>
      <c r="H29" s="83" t="s">
        <v>12024</v>
      </c>
      <c r="I29" s="83" t="s">
        <v>49</v>
      </c>
      <c r="J29" s="83">
        <v>1116.1400000000001</v>
      </c>
      <c r="K29" s="83">
        <v>1116.1400000000001</v>
      </c>
      <c r="L29" s="83"/>
      <c r="M29" s="83">
        <v>1116.1400000000001</v>
      </c>
      <c r="N29" s="83"/>
      <c r="O29" s="83" t="s">
        <v>234</v>
      </c>
    </row>
    <row r="30" spans="1:15" ht="33.75" x14ac:dyDescent="0.2">
      <c r="A30" s="83" t="s">
        <v>12025</v>
      </c>
      <c r="B30" s="83" t="s">
        <v>12026</v>
      </c>
      <c r="C30" s="84">
        <v>45658</v>
      </c>
      <c r="D30" s="84">
        <v>40873</v>
      </c>
      <c r="E30" s="83" t="s">
        <v>29</v>
      </c>
      <c r="F30" s="83" t="s">
        <v>9941</v>
      </c>
      <c r="G30" s="83" t="s">
        <v>12027</v>
      </c>
      <c r="H30" s="83" t="s">
        <v>12028</v>
      </c>
      <c r="I30" s="83" t="s">
        <v>49</v>
      </c>
      <c r="J30" s="83">
        <v>1103.19</v>
      </c>
      <c r="K30" s="83">
        <v>1103.19</v>
      </c>
      <c r="L30" s="83"/>
      <c r="M30" s="83">
        <v>1103.19</v>
      </c>
      <c r="N30" s="83"/>
      <c r="O30" s="83" t="s">
        <v>234</v>
      </c>
    </row>
    <row r="31" spans="1:15" ht="33.75" x14ac:dyDescent="0.2">
      <c r="A31" s="83" t="s">
        <v>12029</v>
      </c>
      <c r="B31" s="83" t="s">
        <v>12030</v>
      </c>
      <c r="C31" s="84">
        <v>45658</v>
      </c>
      <c r="D31" s="84">
        <v>40936</v>
      </c>
      <c r="E31" s="83" t="s">
        <v>29</v>
      </c>
      <c r="F31" s="83" t="s">
        <v>9941</v>
      </c>
      <c r="G31" s="83" t="s">
        <v>12031</v>
      </c>
      <c r="H31" s="83" t="s">
        <v>12032</v>
      </c>
      <c r="I31" s="83" t="s">
        <v>49</v>
      </c>
      <c r="J31" s="83">
        <v>1091.98</v>
      </c>
      <c r="K31" s="83">
        <v>1091.98</v>
      </c>
      <c r="L31" s="83"/>
      <c r="M31" s="83">
        <v>1091.98</v>
      </c>
      <c r="N31" s="83"/>
      <c r="O31" s="83" t="s">
        <v>234</v>
      </c>
    </row>
    <row r="32" spans="1:15" ht="33.75" x14ac:dyDescent="0.2">
      <c r="A32" s="83" t="s">
        <v>12033</v>
      </c>
      <c r="B32" s="83" t="s">
        <v>12034</v>
      </c>
      <c r="C32" s="84">
        <v>45658</v>
      </c>
      <c r="D32" s="84">
        <v>40665</v>
      </c>
      <c r="E32" s="83" t="s">
        <v>29</v>
      </c>
      <c r="F32" s="83" t="s">
        <v>9941</v>
      </c>
      <c r="G32" s="83" t="s">
        <v>12035</v>
      </c>
      <c r="H32" s="83" t="s">
        <v>12036</v>
      </c>
      <c r="I32" s="83" t="s">
        <v>49</v>
      </c>
      <c r="J32" s="83">
        <v>1034.51</v>
      </c>
      <c r="K32" s="83">
        <v>1034.51</v>
      </c>
      <c r="L32" s="83"/>
      <c r="M32" s="83">
        <v>1034.51</v>
      </c>
      <c r="N32" s="83"/>
      <c r="O32" s="83" t="s">
        <v>234</v>
      </c>
    </row>
    <row r="33" spans="1:15" ht="33.75" x14ac:dyDescent="0.2">
      <c r="A33" s="83" t="s">
        <v>12037</v>
      </c>
      <c r="B33" s="83" t="s">
        <v>12038</v>
      </c>
      <c r="C33" s="84">
        <v>45658</v>
      </c>
      <c r="D33" s="84">
        <v>40935</v>
      </c>
      <c r="E33" s="83" t="s">
        <v>29</v>
      </c>
      <c r="F33" s="83" t="s">
        <v>9941</v>
      </c>
      <c r="G33" s="83" t="s">
        <v>12039</v>
      </c>
      <c r="H33" s="83" t="s">
        <v>12040</v>
      </c>
      <c r="I33" s="83" t="s">
        <v>49</v>
      </c>
      <c r="J33" s="83">
        <v>1018.75</v>
      </c>
      <c r="K33" s="83">
        <v>1018.75</v>
      </c>
      <c r="L33" s="83"/>
      <c r="M33" s="83">
        <v>1018.75</v>
      </c>
      <c r="N33" s="83"/>
      <c r="O33" s="83" t="s">
        <v>234</v>
      </c>
    </row>
    <row r="34" spans="1:15" ht="33.75" x14ac:dyDescent="0.2">
      <c r="A34" s="83" t="s">
        <v>12041</v>
      </c>
      <c r="B34" s="83" t="s">
        <v>12042</v>
      </c>
      <c r="C34" s="84">
        <v>45658</v>
      </c>
      <c r="D34" s="84">
        <v>40924</v>
      </c>
      <c r="E34" s="83" t="s">
        <v>29</v>
      </c>
      <c r="F34" s="83" t="s">
        <v>9941</v>
      </c>
      <c r="G34" s="83" t="s">
        <v>12043</v>
      </c>
      <c r="H34" s="83" t="s">
        <v>12044</v>
      </c>
      <c r="I34" s="83" t="s">
        <v>49</v>
      </c>
      <c r="J34" s="83">
        <v>1009.74</v>
      </c>
      <c r="K34" s="83">
        <v>1009.74</v>
      </c>
      <c r="L34" s="83"/>
      <c r="M34" s="83">
        <v>1009.74</v>
      </c>
      <c r="N34" s="83"/>
      <c r="O34" s="83" t="s">
        <v>234</v>
      </c>
    </row>
    <row r="35" spans="1:15" ht="33.75" x14ac:dyDescent="0.2">
      <c r="A35" s="83" t="s">
        <v>12045</v>
      </c>
      <c r="B35" s="83" t="s">
        <v>12046</v>
      </c>
      <c r="C35" s="84">
        <v>45658</v>
      </c>
      <c r="D35" s="84">
        <v>40949</v>
      </c>
      <c r="E35" s="83" t="s">
        <v>29</v>
      </c>
      <c r="F35" s="83" t="s">
        <v>9941</v>
      </c>
      <c r="G35" s="83" t="s">
        <v>12047</v>
      </c>
      <c r="H35" s="83" t="s">
        <v>12048</v>
      </c>
      <c r="I35" s="83" t="s">
        <v>49</v>
      </c>
      <c r="J35" s="83">
        <v>968.54</v>
      </c>
      <c r="K35" s="83">
        <v>968.54</v>
      </c>
      <c r="L35" s="83"/>
      <c r="M35" s="83">
        <v>968.54</v>
      </c>
      <c r="N35" s="83"/>
      <c r="O35" s="83" t="s">
        <v>234</v>
      </c>
    </row>
    <row r="36" spans="1:15" ht="33.75" x14ac:dyDescent="0.2">
      <c r="A36" s="83" t="s">
        <v>12049</v>
      </c>
      <c r="B36" s="83" t="s">
        <v>12050</v>
      </c>
      <c r="C36" s="84">
        <v>45658</v>
      </c>
      <c r="D36" s="84">
        <v>40952</v>
      </c>
      <c r="E36" s="83" t="s">
        <v>29</v>
      </c>
      <c r="F36" s="83" t="s">
        <v>9941</v>
      </c>
      <c r="G36" s="83" t="s">
        <v>12051</v>
      </c>
      <c r="H36" s="83" t="s">
        <v>12052</v>
      </c>
      <c r="I36" s="83" t="s">
        <v>49</v>
      </c>
      <c r="J36" s="83">
        <v>918.03</v>
      </c>
      <c r="K36" s="83">
        <v>918.03</v>
      </c>
      <c r="L36" s="83"/>
      <c r="M36" s="83">
        <v>918.03</v>
      </c>
      <c r="N36" s="83"/>
      <c r="O36" s="83" t="s">
        <v>234</v>
      </c>
    </row>
    <row r="37" spans="1:15" ht="33.75" x14ac:dyDescent="0.2">
      <c r="A37" s="83" t="s">
        <v>12053</v>
      </c>
      <c r="B37" s="83" t="s">
        <v>12054</v>
      </c>
      <c r="C37" s="84">
        <v>45658</v>
      </c>
      <c r="D37" s="84">
        <v>41100</v>
      </c>
      <c r="E37" s="83" t="s">
        <v>29</v>
      </c>
      <c r="F37" s="83" t="s">
        <v>9941</v>
      </c>
      <c r="G37" s="83" t="s">
        <v>12055</v>
      </c>
      <c r="H37" s="83" t="s">
        <v>12056</v>
      </c>
      <c r="I37" s="83" t="s">
        <v>49</v>
      </c>
      <c r="J37" s="83">
        <v>876.66</v>
      </c>
      <c r="K37" s="83">
        <v>876.66</v>
      </c>
      <c r="L37" s="83"/>
      <c r="M37" s="83">
        <v>876.66</v>
      </c>
      <c r="N37" s="83"/>
      <c r="O37" s="83" t="s">
        <v>234</v>
      </c>
    </row>
    <row r="38" spans="1:15" ht="33.75" x14ac:dyDescent="0.2">
      <c r="A38" s="83" t="s">
        <v>12057</v>
      </c>
      <c r="B38" s="83" t="s">
        <v>12058</v>
      </c>
      <c r="C38" s="84">
        <v>45658</v>
      </c>
      <c r="D38" s="84">
        <v>41206</v>
      </c>
      <c r="E38" s="83" t="s">
        <v>29</v>
      </c>
      <c r="F38" s="83" t="s">
        <v>9941</v>
      </c>
      <c r="G38" s="83" t="s">
        <v>12059</v>
      </c>
      <c r="H38" s="83" t="s">
        <v>12060</v>
      </c>
      <c r="I38" s="83" t="s">
        <v>49</v>
      </c>
      <c r="J38" s="83">
        <v>854.84</v>
      </c>
      <c r="K38" s="83">
        <v>854.84</v>
      </c>
      <c r="L38" s="83"/>
      <c r="M38" s="83">
        <v>854.84</v>
      </c>
      <c r="N38" s="83"/>
      <c r="O38" s="83" t="s">
        <v>234</v>
      </c>
    </row>
    <row r="39" spans="1:15" ht="33.75" x14ac:dyDescent="0.2">
      <c r="A39" s="83" t="s">
        <v>12061</v>
      </c>
      <c r="B39" s="83" t="s">
        <v>12062</v>
      </c>
      <c r="C39" s="84">
        <v>45658</v>
      </c>
      <c r="D39" s="84">
        <v>41198</v>
      </c>
      <c r="E39" s="83" t="s">
        <v>29</v>
      </c>
      <c r="F39" s="83" t="s">
        <v>9941</v>
      </c>
      <c r="G39" s="83" t="s">
        <v>12063</v>
      </c>
      <c r="H39" s="83" t="s">
        <v>12064</v>
      </c>
      <c r="I39" s="83" t="s">
        <v>49</v>
      </c>
      <c r="J39" s="83">
        <v>854.84</v>
      </c>
      <c r="K39" s="83">
        <v>854.84</v>
      </c>
      <c r="L39" s="83"/>
      <c r="M39" s="83">
        <v>854.84</v>
      </c>
      <c r="N39" s="83"/>
      <c r="O39" s="83" t="s">
        <v>234</v>
      </c>
    </row>
    <row r="40" spans="1:15" ht="33.75" x14ac:dyDescent="0.2">
      <c r="A40" s="83" t="s">
        <v>12065</v>
      </c>
      <c r="B40" s="83" t="s">
        <v>12066</v>
      </c>
      <c r="C40" s="84">
        <v>45658</v>
      </c>
      <c r="D40" s="84">
        <v>41191</v>
      </c>
      <c r="E40" s="83" t="s">
        <v>29</v>
      </c>
      <c r="F40" s="83" t="s">
        <v>9941</v>
      </c>
      <c r="G40" s="83" t="s">
        <v>12067</v>
      </c>
      <c r="H40" s="83" t="s">
        <v>12068</v>
      </c>
      <c r="I40" s="83" t="s">
        <v>49</v>
      </c>
      <c r="J40" s="83">
        <v>854.84</v>
      </c>
      <c r="K40" s="83">
        <v>854.84</v>
      </c>
      <c r="L40" s="83"/>
      <c r="M40" s="83">
        <v>854.84</v>
      </c>
      <c r="N40" s="83"/>
      <c r="O40" s="83" t="s">
        <v>234</v>
      </c>
    </row>
    <row r="41" spans="1:15" ht="33.75" x14ac:dyDescent="0.2">
      <c r="A41" s="83" t="s">
        <v>12069</v>
      </c>
      <c r="B41" s="83" t="s">
        <v>12070</v>
      </c>
      <c r="C41" s="84">
        <v>45658</v>
      </c>
      <c r="D41" s="84">
        <v>41183</v>
      </c>
      <c r="E41" s="83" t="s">
        <v>29</v>
      </c>
      <c r="F41" s="83" t="s">
        <v>9941</v>
      </c>
      <c r="G41" s="83" t="s">
        <v>12071</v>
      </c>
      <c r="H41" s="83" t="s">
        <v>12072</v>
      </c>
      <c r="I41" s="83" t="s">
        <v>49</v>
      </c>
      <c r="J41" s="83">
        <v>854.84</v>
      </c>
      <c r="K41" s="83">
        <v>854.84</v>
      </c>
      <c r="L41" s="83"/>
      <c r="M41" s="83">
        <v>854.84</v>
      </c>
      <c r="N41" s="83"/>
      <c r="O41" s="83" t="s">
        <v>234</v>
      </c>
    </row>
    <row r="42" spans="1:15" ht="33.75" x14ac:dyDescent="0.2">
      <c r="A42" s="83" t="s">
        <v>12073</v>
      </c>
      <c r="B42" s="83" t="s">
        <v>12074</v>
      </c>
      <c r="C42" s="84">
        <v>45658</v>
      </c>
      <c r="D42" s="84">
        <v>40388</v>
      </c>
      <c r="E42" s="83" t="s">
        <v>29</v>
      </c>
      <c r="F42" s="83" t="s">
        <v>9941</v>
      </c>
      <c r="G42" s="83" t="s">
        <v>12075</v>
      </c>
      <c r="H42" s="83" t="s">
        <v>12076</v>
      </c>
      <c r="I42" s="83" t="s">
        <v>49</v>
      </c>
      <c r="J42" s="83">
        <v>848.53</v>
      </c>
      <c r="K42" s="83">
        <v>848.53</v>
      </c>
      <c r="L42" s="83"/>
      <c r="M42" s="83">
        <v>848.53</v>
      </c>
      <c r="N42" s="83"/>
      <c r="O42" s="83" t="s">
        <v>234</v>
      </c>
    </row>
    <row r="43" spans="1:15" ht="33.75" x14ac:dyDescent="0.2">
      <c r="A43" s="83" t="s">
        <v>12077</v>
      </c>
      <c r="B43" s="83" t="s">
        <v>12078</v>
      </c>
      <c r="C43" s="84">
        <v>45658</v>
      </c>
      <c r="D43" s="84">
        <v>41124</v>
      </c>
      <c r="E43" s="83" t="s">
        <v>29</v>
      </c>
      <c r="F43" s="83" t="s">
        <v>9941</v>
      </c>
      <c r="G43" s="83" t="s">
        <v>12079</v>
      </c>
      <c r="H43" s="83" t="s">
        <v>12080</v>
      </c>
      <c r="I43" s="83" t="s">
        <v>49</v>
      </c>
      <c r="J43" s="83">
        <v>841.74</v>
      </c>
      <c r="K43" s="83">
        <v>841.74</v>
      </c>
      <c r="L43" s="83"/>
      <c r="M43" s="83">
        <v>841.74</v>
      </c>
      <c r="N43" s="83"/>
      <c r="O43" s="83" t="s">
        <v>234</v>
      </c>
    </row>
    <row r="44" spans="1:15" ht="33.75" x14ac:dyDescent="0.2">
      <c r="A44" s="83" t="s">
        <v>12081</v>
      </c>
      <c r="B44" s="83" t="s">
        <v>12082</v>
      </c>
      <c r="C44" s="84">
        <v>45658</v>
      </c>
      <c r="D44" s="84">
        <v>41123</v>
      </c>
      <c r="E44" s="83" t="s">
        <v>29</v>
      </c>
      <c r="F44" s="83" t="s">
        <v>9941</v>
      </c>
      <c r="G44" s="83" t="s">
        <v>12083</v>
      </c>
      <c r="H44" s="83" t="s">
        <v>12084</v>
      </c>
      <c r="I44" s="83" t="s">
        <v>49</v>
      </c>
      <c r="J44" s="83">
        <v>819.13</v>
      </c>
      <c r="K44" s="83">
        <v>819.13</v>
      </c>
      <c r="L44" s="83"/>
      <c r="M44" s="83">
        <v>819.13</v>
      </c>
      <c r="N44" s="83"/>
      <c r="O44" s="83" t="s">
        <v>234</v>
      </c>
    </row>
    <row r="45" spans="1:15" ht="33.75" x14ac:dyDescent="0.2">
      <c r="A45" s="83" t="s">
        <v>12085</v>
      </c>
      <c r="B45" s="83" t="s">
        <v>12086</v>
      </c>
      <c r="C45" s="84">
        <v>45658</v>
      </c>
      <c r="D45" s="84">
        <v>41120</v>
      </c>
      <c r="E45" s="83" t="s">
        <v>29</v>
      </c>
      <c r="F45" s="83" t="s">
        <v>9941</v>
      </c>
      <c r="G45" s="83" t="s">
        <v>12087</v>
      </c>
      <c r="H45" s="83" t="s">
        <v>12088</v>
      </c>
      <c r="I45" s="83" t="s">
        <v>49</v>
      </c>
      <c r="J45" s="83">
        <v>755.99</v>
      </c>
      <c r="K45" s="83">
        <v>755.99</v>
      </c>
      <c r="L45" s="83"/>
      <c r="M45" s="83">
        <v>755.99</v>
      </c>
      <c r="N45" s="83"/>
      <c r="O45" s="83" t="s">
        <v>234</v>
      </c>
    </row>
    <row r="46" spans="1:15" ht="33.75" x14ac:dyDescent="0.2">
      <c r="A46" s="83" t="s">
        <v>12089</v>
      </c>
      <c r="B46" s="83" t="s">
        <v>12090</v>
      </c>
      <c r="C46" s="84">
        <v>45658</v>
      </c>
      <c r="D46" s="84">
        <v>41026</v>
      </c>
      <c r="E46" s="83" t="s">
        <v>29</v>
      </c>
      <c r="F46" s="83" t="s">
        <v>9941</v>
      </c>
      <c r="G46" s="83" t="s">
        <v>12091</v>
      </c>
      <c r="H46" s="83" t="s">
        <v>12092</v>
      </c>
      <c r="I46" s="83" t="s">
        <v>49</v>
      </c>
      <c r="J46" s="83">
        <v>752.3</v>
      </c>
      <c r="K46" s="83">
        <v>752.3</v>
      </c>
      <c r="L46" s="83"/>
      <c r="M46" s="83">
        <v>752.3</v>
      </c>
      <c r="N46" s="83"/>
      <c r="O46" s="83" t="s">
        <v>234</v>
      </c>
    </row>
    <row r="47" spans="1:15" ht="33.75" x14ac:dyDescent="0.2">
      <c r="A47" s="83" t="s">
        <v>12093</v>
      </c>
      <c r="B47" s="83" t="s">
        <v>12094</v>
      </c>
      <c r="C47" s="84">
        <v>45658</v>
      </c>
      <c r="D47" s="84">
        <v>41033</v>
      </c>
      <c r="E47" s="83" t="s">
        <v>29</v>
      </c>
      <c r="F47" s="83" t="s">
        <v>9941</v>
      </c>
      <c r="G47" s="83" t="s">
        <v>12095</v>
      </c>
      <c r="H47" s="83" t="s">
        <v>12096</v>
      </c>
      <c r="I47" s="83" t="s">
        <v>49</v>
      </c>
      <c r="J47" s="83">
        <v>751.8</v>
      </c>
      <c r="K47" s="83">
        <v>751.8</v>
      </c>
      <c r="L47" s="83"/>
      <c r="M47" s="83">
        <v>751.8</v>
      </c>
      <c r="N47" s="83"/>
      <c r="O47" s="83" t="s">
        <v>234</v>
      </c>
    </row>
    <row r="48" spans="1:15" ht="33.75" x14ac:dyDescent="0.2">
      <c r="A48" s="83" t="s">
        <v>12097</v>
      </c>
      <c r="B48" s="83" t="s">
        <v>12098</v>
      </c>
      <c r="C48" s="84">
        <v>45658</v>
      </c>
      <c r="D48" s="84">
        <v>40384</v>
      </c>
      <c r="E48" s="83" t="s">
        <v>29</v>
      </c>
      <c r="F48" s="83" t="s">
        <v>9941</v>
      </c>
      <c r="G48" s="83" t="s">
        <v>12099</v>
      </c>
      <c r="H48" s="83" t="s">
        <v>12100</v>
      </c>
      <c r="I48" s="83" t="s">
        <v>49</v>
      </c>
      <c r="J48" s="83">
        <v>745</v>
      </c>
      <c r="K48" s="83">
        <v>745</v>
      </c>
      <c r="L48" s="83"/>
      <c r="M48" s="83">
        <v>745</v>
      </c>
      <c r="N48" s="83"/>
      <c r="O48" s="83" t="s">
        <v>234</v>
      </c>
    </row>
    <row r="49" spans="1:15" ht="33.75" x14ac:dyDescent="0.2">
      <c r="A49" s="83" t="s">
        <v>12101</v>
      </c>
      <c r="B49" s="83" t="s">
        <v>12102</v>
      </c>
      <c r="C49" s="84">
        <v>45658</v>
      </c>
      <c r="D49" s="84">
        <v>41107</v>
      </c>
      <c r="E49" s="83" t="s">
        <v>29</v>
      </c>
      <c r="F49" s="83" t="s">
        <v>9941</v>
      </c>
      <c r="G49" s="83" t="s">
        <v>12103</v>
      </c>
      <c r="H49" s="83" t="s">
        <v>12104</v>
      </c>
      <c r="I49" s="83" t="s">
        <v>49</v>
      </c>
      <c r="J49" s="83">
        <v>739.86</v>
      </c>
      <c r="K49" s="83">
        <v>739.86</v>
      </c>
      <c r="L49" s="83"/>
      <c r="M49" s="83">
        <v>739.86</v>
      </c>
      <c r="N49" s="83"/>
      <c r="O49" s="83" t="s">
        <v>234</v>
      </c>
    </row>
    <row r="50" spans="1:15" ht="33.75" x14ac:dyDescent="0.2">
      <c r="A50" s="83" t="s">
        <v>12105</v>
      </c>
      <c r="B50" s="83" t="s">
        <v>12106</v>
      </c>
      <c r="C50" s="84">
        <v>45658</v>
      </c>
      <c r="D50" s="84">
        <v>41102</v>
      </c>
      <c r="E50" s="83" t="s">
        <v>29</v>
      </c>
      <c r="F50" s="83" t="s">
        <v>9941</v>
      </c>
      <c r="G50" s="83" t="s">
        <v>12107</v>
      </c>
      <c r="H50" s="83" t="s">
        <v>12108</v>
      </c>
      <c r="I50" s="83" t="s">
        <v>49</v>
      </c>
      <c r="J50" s="83">
        <v>706.27</v>
      </c>
      <c r="K50" s="83">
        <v>706.27</v>
      </c>
      <c r="L50" s="83"/>
      <c r="M50" s="83">
        <v>706.27</v>
      </c>
      <c r="N50" s="83"/>
      <c r="O50" s="83" t="s">
        <v>234</v>
      </c>
    </row>
    <row r="51" spans="1:15" ht="33.75" x14ac:dyDescent="0.2">
      <c r="A51" s="83" t="s">
        <v>12109</v>
      </c>
      <c r="B51" s="83" t="s">
        <v>12110</v>
      </c>
      <c r="C51" s="84">
        <v>45658</v>
      </c>
      <c r="D51" s="84">
        <v>41110</v>
      </c>
      <c r="E51" s="83" t="s">
        <v>29</v>
      </c>
      <c r="F51" s="83" t="s">
        <v>9941</v>
      </c>
      <c r="G51" s="83" t="s">
        <v>12111</v>
      </c>
      <c r="H51" s="83" t="s">
        <v>12112</v>
      </c>
      <c r="I51" s="83" t="s">
        <v>49</v>
      </c>
      <c r="J51" s="83">
        <v>685.29</v>
      </c>
      <c r="K51" s="83">
        <v>685.29</v>
      </c>
      <c r="L51" s="83"/>
      <c r="M51" s="83">
        <v>685.29</v>
      </c>
      <c r="N51" s="83"/>
      <c r="O51" s="83" t="s">
        <v>234</v>
      </c>
    </row>
    <row r="52" spans="1:15" ht="33.75" x14ac:dyDescent="0.2">
      <c r="A52" s="83" t="s">
        <v>12113</v>
      </c>
      <c r="B52" s="83" t="s">
        <v>12114</v>
      </c>
      <c r="C52" s="84">
        <v>45658</v>
      </c>
      <c r="D52" s="84">
        <v>40945</v>
      </c>
      <c r="E52" s="83" t="s">
        <v>29</v>
      </c>
      <c r="F52" s="83" t="s">
        <v>9941</v>
      </c>
      <c r="G52" s="83" t="s">
        <v>12115</v>
      </c>
      <c r="H52" s="83" t="s">
        <v>12116</v>
      </c>
      <c r="I52" s="83" t="s">
        <v>49</v>
      </c>
      <c r="J52" s="83">
        <v>682.67</v>
      </c>
      <c r="K52" s="83">
        <v>682.67</v>
      </c>
      <c r="L52" s="83"/>
      <c r="M52" s="83">
        <v>682.67</v>
      </c>
      <c r="N52" s="83"/>
      <c r="O52" s="83" t="s">
        <v>234</v>
      </c>
    </row>
    <row r="53" spans="1:15" ht="33.75" x14ac:dyDescent="0.2">
      <c r="A53" s="83" t="s">
        <v>12117</v>
      </c>
      <c r="B53" s="83" t="s">
        <v>12118</v>
      </c>
      <c r="C53" s="84">
        <v>45658</v>
      </c>
      <c r="D53" s="84">
        <v>40952</v>
      </c>
      <c r="E53" s="83" t="s">
        <v>29</v>
      </c>
      <c r="F53" s="83" t="s">
        <v>9941</v>
      </c>
      <c r="G53" s="83" t="s">
        <v>12119</v>
      </c>
      <c r="H53" s="83" t="s">
        <v>12120</v>
      </c>
      <c r="I53" s="83" t="s">
        <v>49</v>
      </c>
      <c r="J53" s="83">
        <v>682.67</v>
      </c>
      <c r="K53" s="83">
        <v>682.67</v>
      </c>
      <c r="L53" s="83"/>
      <c r="M53" s="83">
        <v>682.67</v>
      </c>
      <c r="N53" s="83"/>
      <c r="O53" s="83" t="s">
        <v>234</v>
      </c>
    </row>
    <row r="54" spans="1:15" ht="33.75" x14ac:dyDescent="0.2">
      <c r="A54" s="83" t="s">
        <v>12121</v>
      </c>
      <c r="B54" s="83" t="s">
        <v>12122</v>
      </c>
      <c r="C54" s="84">
        <v>45658</v>
      </c>
      <c r="D54" s="84">
        <v>41120</v>
      </c>
      <c r="E54" s="83" t="s">
        <v>29</v>
      </c>
      <c r="F54" s="83" t="s">
        <v>9941</v>
      </c>
      <c r="G54" s="83" t="s">
        <v>12123</v>
      </c>
      <c r="H54" s="83" t="s">
        <v>12124</v>
      </c>
      <c r="I54" s="83" t="s">
        <v>49</v>
      </c>
      <c r="J54" s="83">
        <v>631.47</v>
      </c>
      <c r="K54" s="83">
        <v>631.47</v>
      </c>
      <c r="L54" s="83"/>
      <c r="M54" s="83">
        <v>631.47</v>
      </c>
      <c r="N54" s="83"/>
      <c r="O54" s="83" t="s">
        <v>234</v>
      </c>
    </row>
    <row r="55" spans="1:15" ht="33.75" x14ac:dyDescent="0.2">
      <c r="A55" s="83" t="s">
        <v>12125</v>
      </c>
      <c r="B55" s="83" t="s">
        <v>12126</v>
      </c>
      <c r="C55" s="84">
        <v>45658</v>
      </c>
      <c r="D55" s="84">
        <v>41114</v>
      </c>
      <c r="E55" s="83" t="s">
        <v>29</v>
      </c>
      <c r="F55" s="83" t="s">
        <v>9941</v>
      </c>
      <c r="G55" s="83" t="s">
        <v>12127</v>
      </c>
      <c r="H55" s="83" t="s">
        <v>12128</v>
      </c>
      <c r="I55" s="83" t="s">
        <v>49</v>
      </c>
      <c r="J55" s="83">
        <v>621.04</v>
      </c>
      <c r="K55" s="83">
        <v>621.04</v>
      </c>
      <c r="L55" s="83"/>
      <c r="M55" s="83">
        <v>621.04</v>
      </c>
      <c r="N55" s="83"/>
      <c r="O55" s="83" t="s">
        <v>234</v>
      </c>
    </row>
    <row r="56" spans="1:15" ht="33.75" x14ac:dyDescent="0.2">
      <c r="A56" s="83" t="s">
        <v>12129</v>
      </c>
      <c r="B56" s="83" t="s">
        <v>12130</v>
      </c>
      <c r="C56" s="84">
        <v>45658</v>
      </c>
      <c r="D56" s="84">
        <v>41117</v>
      </c>
      <c r="E56" s="83" t="s">
        <v>29</v>
      </c>
      <c r="F56" s="83" t="s">
        <v>9941</v>
      </c>
      <c r="G56" s="83" t="s">
        <v>12131</v>
      </c>
      <c r="H56" s="83" t="s">
        <v>12132</v>
      </c>
      <c r="I56" s="83" t="s">
        <v>49</v>
      </c>
      <c r="J56" s="83">
        <v>617.96</v>
      </c>
      <c r="K56" s="83">
        <v>617.96</v>
      </c>
      <c r="L56" s="83"/>
      <c r="M56" s="83">
        <v>617.96</v>
      </c>
      <c r="N56" s="83"/>
      <c r="O56" s="83" t="s">
        <v>234</v>
      </c>
    </row>
    <row r="57" spans="1:15" ht="33.75" x14ac:dyDescent="0.2">
      <c r="A57" s="83" t="s">
        <v>12133</v>
      </c>
      <c r="B57" s="83" t="s">
        <v>12134</v>
      </c>
      <c r="C57" s="84">
        <v>45658</v>
      </c>
      <c r="D57" s="84">
        <v>41013</v>
      </c>
      <c r="E57" s="83" t="s">
        <v>29</v>
      </c>
      <c r="F57" s="83" t="s">
        <v>9941</v>
      </c>
      <c r="G57" s="83" t="s">
        <v>12135</v>
      </c>
      <c r="H57" s="83" t="s">
        <v>12136</v>
      </c>
      <c r="I57" s="83" t="s">
        <v>49</v>
      </c>
      <c r="J57" s="83">
        <v>590.86</v>
      </c>
      <c r="K57" s="83">
        <v>590.86</v>
      </c>
      <c r="L57" s="83"/>
      <c r="M57" s="83">
        <v>590.86</v>
      </c>
      <c r="N57" s="83"/>
      <c r="O57" s="83" t="s">
        <v>234</v>
      </c>
    </row>
    <row r="58" spans="1:15" ht="33.75" x14ac:dyDescent="0.2">
      <c r="A58" s="83" t="s">
        <v>12137</v>
      </c>
      <c r="B58" s="83" t="s">
        <v>12138</v>
      </c>
      <c r="C58" s="84">
        <v>45658</v>
      </c>
      <c r="D58" s="84">
        <v>41099</v>
      </c>
      <c r="E58" s="83" t="s">
        <v>29</v>
      </c>
      <c r="F58" s="83" t="s">
        <v>9941</v>
      </c>
      <c r="G58" s="83" t="s">
        <v>12139</v>
      </c>
      <c r="H58" s="83" t="s">
        <v>12140</v>
      </c>
      <c r="I58" s="83" t="s">
        <v>49</v>
      </c>
      <c r="J58" s="83">
        <v>585.28</v>
      </c>
      <c r="K58" s="83">
        <v>585.28</v>
      </c>
      <c r="L58" s="83"/>
      <c r="M58" s="83">
        <v>585.28</v>
      </c>
      <c r="N58" s="83"/>
      <c r="O58" s="83" t="s">
        <v>234</v>
      </c>
    </row>
    <row r="59" spans="1:15" ht="33.75" x14ac:dyDescent="0.2">
      <c r="A59" s="83" t="s">
        <v>12141</v>
      </c>
      <c r="B59" s="83" t="s">
        <v>12142</v>
      </c>
      <c r="C59" s="84">
        <v>45658</v>
      </c>
      <c r="D59" s="84">
        <v>41020</v>
      </c>
      <c r="E59" s="83" t="s">
        <v>29</v>
      </c>
      <c r="F59" s="83" t="s">
        <v>9941</v>
      </c>
      <c r="G59" s="83" t="s">
        <v>12143</v>
      </c>
      <c r="H59" s="83" t="s">
        <v>12144</v>
      </c>
      <c r="I59" s="83" t="s">
        <v>49</v>
      </c>
      <c r="J59" s="83">
        <v>580.65</v>
      </c>
      <c r="K59" s="83">
        <v>580.65</v>
      </c>
      <c r="L59" s="83"/>
      <c r="M59" s="83">
        <v>580.65</v>
      </c>
      <c r="N59" s="83"/>
      <c r="O59" s="83" t="s">
        <v>234</v>
      </c>
    </row>
    <row r="60" spans="1:15" ht="33.75" x14ac:dyDescent="0.2">
      <c r="A60" s="83" t="s">
        <v>12145</v>
      </c>
      <c r="B60" s="83" t="s">
        <v>12146</v>
      </c>
      <c r="C60" s="84">
        <v>45658</v>
      </c>
      <c r="D60" s="84">
        <v>41121</v>
      </c>
      <c r="E60" s="83" t="s">
        <v>29</v>
      </c>
      <c r="F60" s="83" t="s">
        <v>9941</v>
      </c>
      <c r="G60" s="83" t="s">
        <v>12147</v>
      </c>
      <c r="H60" s="83" t="s">
        <v>12148</v>
      </c>
      <c r="I60" s="83" t="s">
        <v>49</v>
      </c>
      <c r="J60" s="83">
        <v>569.36</v>
      </c>
      <c r="K60" s="83">
        <v>569.36</v>
      </c>
      <c r="L60" s="83"/>
      <c r="M60" s="83">
        <v>569.36</v>
      </c>
      <c r="N60" s="83"/>
      <c r="O60" s="83" t="s">
        <v>234</v>
      </c>
    </row>
    <row r="61" spans="1:15" ht="33.75" x14ac:dyDescent="0.2">
      <c r="A61" s="83" t="s">
        <v>12149</v>
      </c>
      <c r="B61" s="83" t="s">
        <v>12150</v>
      </c>
      <c r="C61" s="84">
        <v>45658</v>
      </c>
      <c r="D61" s="84">
        <v>41029</v>
      </c>
      <c r="E61" s="83" t="s">
        <v>29</v>
      </c>
      <c r="F61" s="83" t="s">
        <v>9941</v>
      </c>
      <c r="G61" s="83" t="s">
        <v>12151</v>
      </c>
      <c r="H61" s="83" t="s">
        <v>12152</v>
      </c>
      <c r="I61" s="83" t="s">
        <v>49</v>
      </c>
      <c r="J61" s="83">
        <v>558.07000000000005</v>
      </c>
      <c r="K61" s="83">
        <v>558.07000000000005</v>
      </c>
      <c r="L61" s="83"/>
      <c r="M61" s="83">
        <v>558.07000000000005</v>
      </c>
      <c r="N61" s="83"/>
      <c r="O61" s="83" t="s">
        <v>234</v>
      </c>
    </row>
    <row r="62" spans="1:15" ht="33.75" x14ac:dyDescent="0.2">
      <c r="A62" s="83" t="s">
        <v>12153</v>
      </c>
      <c r="B62" s="83" t="s">
        <v>12154</v>
      </c>
      <c r="C62" s="84">
        <v>45658</v>
      </c>
      <c r="D62" s="84">
        <v>41029</v>
      </c>
      <c r="E62" s="83" t="s">
        <v>29</v>
      </c>
      <c r="F62" s="83" t="s">
        <v>9941</v>
      </c>
      <c r="G62" s="83" t="s">
        <v>12155</v>
      </c>
      <c r="H62" s="83" t="s">
        <v>12156</v>
      </c>
      <c r="I62" s="83" t="s">
        <v>49</v>
      </c>
      <c r="J62" s="83">
        <v>531.97</v>
      </c>
      <c r="K62" s="83">
        <v>531.97</v>
      </c>
      <c r="L62" s="83"/>
      <c r="M62" s="83">
        <v>531.97</v>
      </c>
      <c r="N62" s="83"/>
      <c r="O62" s="83" t="s">
        <v>234</v>
      </c>
    </row>
    <row r="63" spans="1:15" ht="33.75" x14ac:dyDescent="0.2">
      <c r="A63" s="83" t="s">
        <v>12157</v>
      </c>
      <c r="B63" s="83" t="s">
        <v>12158</v>
      </c>
      <c r="C63" s="84">
        <v>45658</v>
      </c>
      <c r="D63" s="84">
        <v>41121</v>
      </c>
      <c r="E63" s="83" t="s">
        <v>29</v>
      </c>
      <c r="F63" s="83" t="s">
        <v>9941</v>
      </c>
      <c r="G63" s="83" t="s">
        <v>12159</v>
      </c>
      <c r="H63" s="83" t="s">
        <v>12160</v>
      </c>
      <c r="I63" s="83" t="s">
        <v>49</v>
      </c>
      <c r="J63" s="83">
        <v>515.19000000000005</v>
      </c>
      <c r="K63" s="83">
        <v>515.19000000000005</v>
      </c>
      <c r="L63" s="83"/>
      <c r="M63" s="83">
        <v>515.19000000000005</v>
      </c>
      <c r="N63" s="83"/>
      <c r="O63" s="83" t="s">
        <v>234</v>
      </c>
    </row>
    <row r="64" spans="1:15" ht="33.75" x14ac:dyDescent="0.2">
      <c r="A64" s="83" t="s">
        <v>12161</v>
      </c>
      <c r="B64" s="83" t="s">
        <v>12162</v>
      </c>
      <c r="C64" s="84">
        <v>45658</v>
      </c>
      <c r="D64" s="84">
        <v>40917</v>
      </c>
      <c r="E64" s="83" t="s">
        <v>29</v>
      </c>
      <c r="F64" s="83" t="s">
        <v>9941</v>
      </c>
      <c r="G64" s="83" t="s">
        <v>12163</v>
      </c>
      <c r="H64" s="83" t="s">
        <v>12164</v>
      </c>
      <c r="I64" s="83" t="s">
        <v>49</v>
      </c>
      <c r="J64" s="83">
        <v>508.4</v>
      </c>
      <c r="K64" s="83">
        <v>508.4</v>
      </c>
      <c r="L64" s="83"/>
      <c r="M64" s="83">
        <v>508.4</v>
      </c>
      <c r="N64" s="83"/>
      <c r="O64" s="83" t="s">
        <v>234</v>
      </c>
    </row>
    <row r="65" spans="1:15" ht="33.75" x14ac:dyDescent="0.2">
      <c r="A65" s="83" t="s">
        <v>12165</v>
      </c>
      <c r="B65" s="83" t="s">
        <v>12166</v>
      </c>
      <c r="C65" s="84">
        <v>45658</v>
      </c>
      <c r="D65" s="84">
        <v>41093</v>
      </c>
      <c r="E65" s="83" t="s">
        <v>29</v>
      </c>
      <c r="F65" s="83" t="s">
        <v>9941</v>
      </c>
      <c r="G65" s="83" t="s">
        <v>12167</v>
      </c>
      <c r="H65" s="83" t="s">
        <v>12168</v>
      </c>
      <c r="I65" s="83" t="s">
        <v>49</v>
      </c>
      <c r="J65" s="83">
        <v>495.51</v>
      </c>
      <c r="K65" s="83">
        <v>495.51</v>
      </c>
      <c r="L65" s="83"/>
      <c r="M65" s="83">
        <v>495.51</v>
      </c>
      <c r="N65" s="83"/>
      <c r="O65" s="83" t="s">
        <v>234</v>
      </c>
    </row>
    <row r="66" spans="1:15" ht="33.75" x14ac:dyDescent="0.2">
      <c r="A66" s="83" t="s">
        <v>12169</v>
      </c>
      <c r="B66" s="83" t="s">
        <v>12170</v>
      </c>
      <c r="C66" s="84">
        <v>45658</v>
      </c>
      <c r="D66" s="84">
        <v>41026</v>
      </c>
      <c r="E66" s="83" t="s">
        <v>29</v>
      </c>
      <c r="F66" s="83" t="s">
        <v>9941</v>
      </c>
      <c r="G66" s="83" t="s">
        <v>12171</v>
      </c>
      <c r="H66" s="83" t="s">
        <v>12172</v>
      </c>
      <c r="I66" s="83" t="s">
        <v>49</v>
      </c>
      <c r="J66" s="83">
        <v>480.82</v>
      </c>
      <c r="K66" s="83">
        <v>480.82</v>
      </c>
      <c r="L66" s="83"/>
      <c r="M66" s="83">
        <v>480.82</v>
      </c>
      <c r="N66" s="83"/>
      <c r="O66" s="83" t="s">
        <v>234</v>
      </c>
    </row>
    <row r="67" spans="1:15" ht="33.75" x14ac:dyDescent="0.2">
      <c r="A67" s="83" t="s">
        <v>12173</v>
      </c>
      <c r="B67" s="83" t="s">
        <v>12174</v>
      </c>
      <c r="C67" s="84">
        <v>45658</v>
      </c>
      <c r="D67" s="84">
        <v>41096</v>
      </c>
      <c r="E67" s="83" t="s">
        <v>29</v>
      </c>
      <c r="F67" s="83" t="s">
        <v>9941</v>
      </c>
      <c r="G67" s="83" t="s">
        <v>12175</v>
      </c>
      <c r="H67" s="83" t="s">
        <v>12176</v>
      </c>
      <c r="I67" s="83" t="s">
        <v>49</v>
      </c>
      <c r="J67" s="83">
        <v>474.95</v>
      </c>
      <c r="K67" s="83">
        <v>474.95</v>
      </c>
      <c r="L67" s="83"/>
      <c r="M67" s="83">
        <v>474.95</v>
      </c>
      <c r="N67" s="83"/>
      <c r="O67" s="83" t="s">
        <v>234</v>
      </c>
    </row>
    <row r="68" spans="1:15" ht="33.75" x14ac:dyDescent="0.2">
      <c r="A68" s="83" t="s">
        <v>12177</v>
      </c>
      <c r="B68" s="83" t="s">
        <v>12178</v>
      </c>
      <c r="C68" s="84">
        <v>45658</v>
      </c>
      <c r="D68" s="84">
        <v>40945</v>
      </c>
      <c r="E68" s="83" t="s">
        <v>29</v>
      </c>
      <c r="F68" s="83" t="s">
        <v>9941</v>
      </c>
      <c r="G68" s="83" t="s">
        <v>12179</v>
      </c>
      <c r="H68" s="83" t="s">
        <v>12180</v>
      </c>
      <c r="I68" s="83" t="s">
        <v>49</v>
      </c>
      <c r="J68" s="83">
        <v>459.85</v>
      </c>
      <c r="K68" s="83">
        <v>459.85</v>
      </c>
      <c r="L68" s="83"/>
      <c r="M68" s="83">
        <v>459.85</v>
      </c>
      <c r="N68" s="83"/>
      <c r="O68" s="83" t="s">
        <v>234</v>
      </c>
    </row>
    <row r="69" spans="1:15" ht="33.75" x14ac:dyDescent="0.2">
      <c r="A69" s="83" t="s">
        <v>12181</v>
      </c>
      <c r="B69" s="83" t="s">
        <v>12182</v>
      </c>
      <c r="C69" s="84">
        <v>45658</v>
      </c>
      <c r="D69" s="84">
        <v>41131</v>
      </c>
      <c r="E69" s="83" t="s">
        <v>29</v>
      </c>
      <c r="F69" s="83" t="s">
        <v>9941</v>
      </c>
      <c r="G69" s="83" t="s">
        <v>12183</v>
      </c>
      <c r="H69" s="83" t="s">
        <v>12184</v>
      </c>
      <c r="I69" s="83" t="s">
        <v>49</v>
      </c>
      <c r="J69" s="83">
        <v>458.09</v>
      </c>
      <c r="K69" s="83">
        <v>458.09</v>
      </c>
      <c r="L69" s="83"/>
      <c r="M69" s="83">
        <v>458.09</v>
      </c>
      <c r="N69" s="83"/>
      <c r="O69" s="83" t="s">
        <v>234</v>
      </c>
    </row>
    <row r="70" spans="1:15" ht="33.75" x14ac:dyDescent="0.2">
      <c r="A70" s="83" t="s">
        <v>12185</v>
      </c>
      <c r="B70" s="83" t="s">
        <v>12186</v>
      </c>
      <c r="C70" s="84">
        <v>45658</v>
      </c>
      <c r="D70" s="84">
        <v>41027</v>
      </c>
      <c r="E70" s="83" t="s">
        <v>29</v>
      </c>
      <c r="F70" s="83" t="s">
        <v>9941</v>
      </c>
      <c r="G70" s="83" t="s">
        <v>12187</v>
      </c>
      <c r="H70" s="83" t="s">
        <v>12188</v>
      </c>
      <c r="I70" s="83" t="s">
        <v>49</v>
      </c>
      <c r="J70" s="83">
        <v>443.49</v>
      </c>
      <c r="K70" s="83">
        <v>443.49</v>
      </c>
      <c r="L70" s="83"/>
      <c r="M70" s="83">
        <v>443.49</v>
      </c>
      <c r="N70" s="83"/>
      <c r="O70" s="83" t="s">
        <v>234</v>
      </c>
    </row>
    <row r="71" spans="1:15" ht="33.75" x14ac:dyDescent="0.2">
      <c r="A71" s="83" t="s">
        <v>12189</v>
      </c>
      <c r="B71" s="83" t="s">
        <v>12190</v>
      </c>
      <c r="C71" s="84">
        <v>45658</v>
      </c>
      <c r="D71" s="84">
        <v>41128</v>
      </c>
      <c r="E71" s="83" t="s">
        <v>29</v>
      </c>
      <c r="F71" s="83" t="s">
        <v>9941</v>
      </c>
      <c r="G71" s="83" t="s">
        <v>12191</v>
      </c>
      <c r="H71" s="83" t="s">
        <v>12192</v>
      </c>
      <c r="I71" s="83" t="s">
        <v>49</v>
      </c>
      <c r="J71" s="83">
        <v>439.18</v>
      </c>
      <c r="K71" s="83">
        <v>439.18</v>
      </c>
      <c r="L71" s="83"/>
      <c r="M71" s="83">
        <v>439.18</v>
      </c>
      <c r="N71" s="83"/>
      <c r="O71" s="83" t="s">
        <v>234</v>
      </c>
    </row>
    <row r="72" spans="1:15" ht="33.75" x14ac:dyDescent="0.2">
      <c r="A72" s="83" t="s">
        <v>12193</v>
      </c>
      <c r="B72" s="83" t="s">
        <v>12194</v>
      </c>
      <c r="C72" s="84">
        <v>45658</v>
      </c>
      <c r="D72" s="84">
        <v>41113</v>
      </c>
      <c r="E72" s="83" t="s">
        <v>29</v>
      </c>
      <c r="F72" s="83" t="s">
        <v>9941</v>
      </c>
      <c r="G72" s="83" t="s">
        <v>12195</v>
      </c>
      <c r="H72" s="83" t="s">
        <v>12196</v>
      </c>
      <c r="I72" s="83" t="s">
        <v>49</v>
      </c>
      <c r="J72" s="83">
        <v>427.5</v>
      </c>
      <c r="K72" s="83">
        <v>427.5</v>
      </c>
      <c r="L72" s="83"/>
      <c r="M72" s="83">
        <v>427.5</v>
      </c>
      <c r="N72" s="83"/>
      <c r="O72" s="83" t="s">
        <v>234</v>
      </c>
    </row>
    <row r="73" spans="1:15" ht="33.75" x14ac:dyDescent="0.2">
      <c r="A73" s="83" t="s">
        <v>12197</v>
      </c>
      <c r="B73" s="83" t="s">
        <v>12198</v>
      </c>
      <c r="C73" s="84">
        <v>45658</v>
      </c>
      <c r="D73" s="84">
        <v>41116</v>
      </c>
      <c r="E73" s="83" t="s">
        <v>29</v>
      </c>
      <c r="F73" s="83" t="s">
        <v>9941</v>
      </c>
      <c r="G73" s="83" t="s">
        <v>12199</v>
      </c>
      <c r="H73" s="83" t="s">
        <v>12200</v>
      </c>
      <c r="I73" s="83" t="s">
        <v>49</v>
      </c>
      <c r="J73" s="83">
        <v>400.54</v>
      </c>
      <c r="K73" s="83">
        <v>400.54</v>
      </c>
      <c r="L73" s="83"/>
      <c r="M73" s="83">
        <v>400.54</v>
      </c>
      <c r="N73" s="83"/>
      <c r="O73" s="83" t="s">
        <v>234</v>
      </c>
    </row>
    <row r="74" spans="1:15" ht="33.75" x14ac:dyDescent="0.2">
      <c r="A74" s="83" t="s">
        <v>12201</v>
      </c>
      <c r="B74" s="83" t="s">
        <v>12202</v>
      </c>
      <c r="C74" s="84">
        <v>45658</v>
      </c>
      <c r="D74" s="84">
        <v>41019</v>
      </c>
      <c r="E74" s="83" t="s">
        <v>29</v>
      </c>
      <c r="F74" s="83" t="s">
        <v>9941</v>
      </c>
      <c r="G74" s="83" t="s">
        <v>12203</v>
      </c>
      <c r="H74" s="83" t="s">
        <v>12204</v>
      </c>
      <c r="I74" s="83" t="s">
        <v>49</v>
      </c>
      <c r="J74" s="83">
        <v>399.13</v>
      </c>
      <c r="K74" s="83">
        <v>399.13</v>
      </c>
      <c r="L74" s="83"/>
      <c r="M74" s="83">
        <v>399.13</v>
      </c>
      <c r="N74" s="83"/>
      <c r="O74" s="83" t="s">
        <v>234</v>
      </c>
    </row>
    <row r="75" spans="1:15" ht="33.75" x14ac:dyDescent="0.2">
      <c r="A75" s="83" t="s">
        <v>12205</v>
      </c>
      <c r="B75" s="83" t="s">
        <v>12206</v>
      </c>
      <c r="C75" s="84">
        <v>45658</v>
      </c>
      <c r="D75" s="84">
        <v>40359</v>
      </c>
      <c r="E75" s="83" t="s">
        <v>29</v>
      </c>
      <c r="F75" s="83" t="s">
        <v>9941</v>
      </c>
      <c r="G75" s="83" t="s">
        <v>12207</v>
      </c>
      <c r="H75" s="83" t="s">
        <v>12208</v>
      </c>
      <c r="I75" s="83" t="s">
        <v>49</v>
      </c>
      <c r="J75" s="83">
        <v>389.51</v>
      </c>
      <c r="K75" s="83">
        <v>389.51</v>
      </c>
      <c r="L75" s="83"/>
      <c r="M75" s="83">
        <v>389.51</v>
      </c>
      <c r="N75" s="83"/>
      <c r="O75" s="83" t="s">
        <v>234</v>
      </c>
    </row>
    <row r="76" spans="1:15" ht="33.75" x14ac:dyDescent="0.2">
      <c r="A76" s="83" t="s">
        <v>12209</v>
      </c>
      <c r="B76" s="83" t="s">
        <v>12210</v>
      </c>
      <c r="C76" s="84">
        <v>45658</v>
      </c>
      <c r="D76" s="84">
        <v>41029</v>
      </c>
      <c r="E76" s="83" t="s">
        <v>29</v>
      </c>
      <c r="F76" s="83" t="s">
        <v>9941</v>
      </c>
      <c r="G76" s="83" t="s">
        <v>12211</v>
      </c>
      <c r="H76" s="83" t="s">
        <v>12212</v>
      </c>
      <c r="I76" s="83" t="s">
        <v>49</v>
      </c>
      <c r="J76" s="83">
        <v>387.85</v>
      </c>
      <c r="K76" s="83">
        <v>387.85</v>
      </c>
      <c r="L76" s="83"/>
      <c r="M76" s="83">
        <v>387.85</v>
      </c>
      <c r="N76" s="83"/>
      <c r="O76" s="83" t="s">
        <v>234</v>
      </c>
    </row>
    <row r="77" spans="1:15" ht="33.75" x14ac:dyDescent="0.2">
      <c r="A77" s="83" t="s">
        <v>12213</v>
      </c>
      <c r="B77" s="83" t="s">
        <v>12214</v>
      </c>
      <c r="C77" s="84">
        <v>45658</v>
      </c>
      <c r="D77" s="84">
        <v>41019</v>
      </c>
      <c r="E77" s="83" t="s">
        <v>29</v>
      </c>
      <c r="F77" s="83" t="s">
        <v>9941</v>
      </c>
      <c r="G77" s="83" t="s">
        <v>12215</v>
      </c>
      <c r="H77" s="83" t="s">
        <v>12216</v>
      </c>
      <c r="I77" s="83" t="s">
        <v>49</v>
      </c>
      <c r="J77" s="83">
        <v>358.22</v>
      </c>
      <c r="K77" s="83">
        <v>358.22</v>
      </c>
      <c r="L77" s="83"/>
      <c r="M77" s="83">
        <v>358.22</v>
      </c>
      <c r="N77" s="83"/>
      <c r="O77" s="83" t="s">
        <v>234</v>
      </c>
    </row>
    <row r="78" spans="1:15" ht="33.75" x14ac:dyDescent="0.2">
      <c r="A78" s="83" t="s">
        <v>12217</v>
      </c>
      <c r="B78" s="83" t="s">
        <v>12218</v>
      </c>
      <c r="C78" s="84">
        <v>45658</v>
      </c>
      <c r="D78" s="84">
        <v>41022</v>
      </c>
      <c r="E78" s="83" t="s">
        <v>29</v>
      </c>
      <c r="F78" s="83" t="s">
        <v>9941</v>
      </c>
      <c r="G78" s="83" t="s">
        <v>12219</v>
      </c>
      <c r="H78" s="83" t="s">
        <v>12220</v>
      </c>
      <c r="I78" s="83" t="s">
        <v>49</v>
      </c>
      <c r="J78" s="83">
        <v>354.77</v>
      </c>
      <c r="K78" s="83">
        <v>354.77</v>
      </c>
      <c r="L78" s="83"/>
      <c r="M78" s="83">
        <v>354.77</v>
      </c>
      <c r="N78" s="83"/>
      <c r="O78" s="83" t="s">
        <v>234</v>
      </c>
    </row>
    <row r="79" spans="1:15" ht="33.75" x14ac:dyDescent="0.2">
      <c r="A79" s="83" t="s">
        <v>12221</v>
      </c>
      <c r="B79" s="83" t="s">
        <v>12222</v>
      </c>
      <c r="C79" s="84">
        <v>45658</v>
      </c>
      <c r="D79" s="84">
        <v>41029</v>
      </c>
      <c r="E79" s="83" t="s">
        <v>29</v>
      </c>
      <c r="F79" s="83" t="s">
        <v>9941</v>
      </c>
      <c r="G79" s="83" t="s">
        <v>12223</v>
      </c>
      <c r="H79" s="83" t="s">
        <v>12224</v>
      </c>
      <c r="I79" s="83" t="s">
        <v>49</v>
      </c>
      <c r="J79" s="83">
        <v>334.3</v>
      </c>
      <c r="K79" s="83">
        <v>334.3</v>
      </c>
      <c r="L79" s="83"/>
      <c r="M79" s="83">
        <v>334.3</v>
      </c>
      <c r="N79" s="83"/>
      <c r="O79" s="83" t="s">
        <v>234</v>
      </c>
    </row>
    <row r="80" spans="1:15" ht="33.75" x14ac:dyDescent="0.2">
      <c r="A80" s="83" t="s">
        <v>12225</v>
      </c>
      <c r="B80" s="83" t="s">
        <v>12226</v>
      </c>
      <c r="C80" s="84">
        <v>45658</v>
      </c>
      <c r="D80" s="84">
        <v>40346</v>
      </c>
      <c r="E80" s="83" t="s">
        <v>29</v>
      </c>
      <c r="F80" s="83" t="s">
        <v>9941</v>
      </c>
      <c r="G80" s="83" t="s">
        <v>12227</v>
      </c>
      <c r="H80" s="83" t="s">
        <v>12228</v>
      </c>
      <c r="I80" s="83" t="s">
        <v>49</v>
      </c>
      <c r="J80" s="83">
        <v>328.52</v>
      </c>
      <c r="K80" s="83">
        <v>328.52</v>
      </c>
      <c r="L80" s="83"/>
      <c r="M80" s="83">
        <v>328.52</v>
      </c>
      <c r="N80" s="83"/>
      <c r="O80" s="83" t="s">
        <v>234</v>
      </c>
    </row>
    <row r="81" spans="1:15" ht="33.75" x14ac:dyDescent="0.2">
      <c r="A81" s="83" t="s">
        <v>12229</v>
      </c>
      <c r="B81" s="83" t="s">
        <v>12230</v>
      </c>
      <c r="C81" s="84">
        <v>45658</v>
      </c>
      <c r="D81" s="84">
        <v>40346</v>
      </c>
      <c r="E81" s="83" t="s">
        <v>29</v>
      </c>
      <c r="F81" s="83" t="s">
        <v>9941</v>
      </c>
      <c r="G81" s="83" t="s">
        <v>12231</v>
      </c>
      <c r="H81" s="83" t="s">
        <v>12232</v>
      </c>
      <c r="I81" s="83" t="s">
        <v>49</v>
      </c>
      <c r="J81" s="83">
        <v>328.34</v>
      </c>
      <c r="K81" s="83">
        <v>328.34</v>
      </c>
      <c r="L81" s="83"/>
      <c r="M81" s="83">
        <v>328.34</v>
      </c>
      <c r="N81" s="83"/>
      <c r="O81" s="83" t="s">
        <v>234</v>
      </c>
    </row>
    <row r="82" spans="1:15" ht="33.75" x14ac:dyDescent="0.2">
      <c r="A82" s="83" t="s">
        <v>12233</v>
      </c>
      <c r="B82" s="83" t="s">
        <v>12234</v>
      </c>
      <c r="C82" s="84">
        <v>45658</v>
      </c>
      <c r="D82" s="84">
        <v>40876</v>
      </c>
      <c r="E82" s="83" t="s">
        <v>29</v>
      </c>
      <c r="F82" s="83" t="s">
        <v>9941</v>
      </c>
      <c r="G82" s="83" t="s">
        <v>12235</v>
      </c>
      <c r="H82" s="83" t="s">
        <v>12236</v>
      </c>
      <c r="I82" s="83" t="s">
        <v>49</v>
      </c>
      <c r="J82" s="83">
        <v>325.79000000000002</v>
      </c>
      <c r="K82" s="83">
        <v>325.79000000000002</v>
      </c>
      <c r="L82" s="83"/>
      <c r="M82" s="83">
        <v>325.79000000000002</v>
      </c>
      <c r="N82" s="83"/>
      <c r="O82" s="83" t="s">
        <v>234</v>
      </c>
    </row>
    <row r="83" spans="1:15" ht="33.75" x14ac:dyDescent="0.2">
      <c r="A83" s="83" t="s">
        <v>12237</v>
      </c>
      <c r="B83" s="83" t="s">
        <v>12238</v>
      </c>
      <c r="C83" s="84">
        <v>45658</v>
      </c>
      <c r="D83" s="84">
        <v>41034</v>
      </c>
      <c r="E83" s="83" t="s">
        <v>29</v>
      </c>
      <c r="F83" s="83" t="s">
        <v>9941</v>
      </c>
      <c r="G83" s="83" t="s">
        <v>12239</v>
      </c>
      <c r="H83" s="83" t="s">
        <v>12240</v>
      </c>
      <c r="I83" s="83" t="s">
        <v>49</v>
      </c>
      <c r="J83" s="83">
        <v>301.83</v>
      </c>
      <c r="K83" s="83">
        <v>301.83</v>
      </c>
      <c r="L83" s="83"/>
      <c r="M83" s="83">
        <v>301.83</v>
      </c>
      <c r="N83" s="83"/>
      <c r="O83" s="83" t="s">
        <v>234</v>
      </c>
    </row>
    <row r="84" spans="1:15" ht="33.75" x14ac:dyDescent="0.2">
      <c r="A84" s="83" t="s">
        <v>12241</v>
      </c>
      <c r="B84" s="83" t="s">
        <v>12242</v>
      </c>
      <c r="C84" s="84">
        <v>45658</v>
      </c>
      <c r="D84" s="84">
        <v>40286</v>
      </c>
      <c r="E84" s="83" t="s">
        <v>29</v>
      </c>
      <c r="F84" s="83" t="s">
        <v>9941</v>
      </c>
      <c r="G84" s="83" t="s">
        <v>12243</v>
      </c>
      <c r="H84" s="83" t="s">
        <v>12244</v>
      </c>
      <c r="I84" s="83" t="s">
        <v>49</v>
      </c>
      <c r="J84" s="83">
        <v>281.87</v>
      </c>
      <c r="K84" s="83">
        <v>281.87</v>
      </c>
      <c r="L84" s="83"/>
      <c r="M84" s="83">
        <v>281.87</v>
      </c>
      <c r="N84" s="83"/>
      <c r="O84" s="83" t="s">
        <v>234</v>
      </c>
    </row>
    <row r="85" spans="1:15" ht="33.75" x14ac:dyDescent="0.2">
      <c r="A85" s="83" t="s">
        <v>12245</v>
      </c>
      <c r="B85" s="83" t="s">
        <v>12246</v>
      </c>
      <c r="C85" s="84">
        <v>45658</v>
      </c>
      <c r="D85" s="84">
        <v>41090</v>
      </c>
      <c r="E85" s="83" t="s">
        <v>29</v>
      </c>
      <c r="F85" s="83" t="s">
        <v>9941</v>
      </c>
      <c r="G85" s="83" t="s">
        <v>12247</v>
      </c>
      <c r="H85" s="83" t="s">
        <v>12248</v>
      </c>
      <c r="I85" s="83" t="s">
        <v>49</v>
      </c>
      <c r="J85" s="83">
        <v>267.01</v>
      </c>
      <c r="K85" s="83">
        <v>267.01</v>
      </c>
      <c r="L85" s="83"/>
      <c r="M85" s="83">
        <v>267.01</v>
      </c>
      <c r="N85" s="83"/>
      <c r="O85" s="83" t="s">
        <v>234</v>
      </c>
    </row>
    <row r="86" spans="1:15" ht="33.75" x14ac:dyDescent="0.2">
      <c r="A86" s="83" t="s">
        <v>12249</v>
      </c>
      <c r="B86" s="83" t="s">
        <v>12250</v>
      </c>
      <c r="C86" s="84">
        <v>45658</v>
      </c>
      <c r="D86" s="84">
        <v>41036</v>
      </c>
      <c r="E86" s="83" t="s">
        <v>29</v>
      </c>
      <c r="F86" s="83" t="s">
        <v>9941</v>
      </c>
      <c r="G86" s="83" t="s">
        <v>12251</v>
      </c>
      <c r="H86" s="83" t="s">
        <v>12252</v>
      </c>
      <c r="I86" s="83" t="s">
        <v>49</v>
      </c>
      <c r="J86" s="83">
        <v>263.77</v>
      </c>
      <c r="K86" s="83">
        <v>263.77</v>
      </c>
      <c r="L86" s="83"/>
      <c r="M86" s="83">
        <v>263.77</v>
      </c>
      <c r="N86" s="83"/>
      <c r="O86" s="83" t="s">
        <v>234</v>
      </c>
    </row>
    <row r="87" spans="1:15" ht="33.75" x14ac:dyDescent="0.2">
      <c r="A87" s="83" t="s">
        <v>12253</v>
      </c>
      <c r="B87" s="83" t="s">
        <v>12254</v>
      </c>
      <c r="C87" s="84">
        <v>45658</v>
      </c>
      <c r="D87" s="84">
        <v>40196</v>
      </c>
      <c r="E87" s="83" t="s">
        <v>29</v>
      </c>
      <c r="F87" s="83" t="s">
        <v>9941</v>
      </c>
      <c r="G87" s="83" t="s">
        <v>12255</v>
      </c>
      <c r="H87" s="83" t="s">
        <v>12256</v>
      </c>
      <c r="I87" s="83" t="s">
        <v>49</v>
      </c>
      <c r="J87" s="83">
        <v>258.23</v>
      </c>
      <c r="K87" s="83">
        <v>258.23</v>
      </c>
      <c r="L87" s="83"/>
      <c r="M87" s="83">
        <v>258.23</v>
      </c>
      <c r="N87" s="83"/>
      <c r="O87" s="83" t="s">
        <v>234</v>
      </c>
    </row>
    <row r="88" spans="1:15" ht="33.75" x14ac:dyDescent="0.2">
      <c r="A88" s="83" t="s">
        <v>12257</v>
      </c>
      <c r="B88" s="83" t="s">
        <v>12258</v>
      </c>
      <c r="C88" s="84">
        <v>45658</v>
      </c>
      <c r="D88" s="84">
        <v>41015</v>
      </c>
      <c r="E88" s="83" t="s">
        <v>29</v>
      </c>
      <c r="F88" s="83" t="s">
        <v>9941</v>
      </c>
      <c r="G88" s="83" t="s">
        <v>12259</v>
      </c>
      <c r="H88" s="83" t="s">
        <v>12260</v>
      </c>
      <c r="I88" s="83" t="s">
        <v>49</v>
      </c>
      <c r="J88" s="83">
        <v>240.6</v>
      </c>
      <c r="K88" s="83">
        <v>240.6</v>
      </c>
      <c r="L88" s="83"/>
      <c r="M88" s="83">
        <v>240.6</v>
      </c>
      <c r="N88" s="83"/>
      <c r="O88" s="83" t="s">
        <v>234</v>
      </c>
    </row>
    <row r="89" spans="1:15" ht="33.75" x14ac:dyDescent="0.2">
      <c r="A89" s="83" t="s">
        <v>12261</v>
      </c>
      <c r="B89" s="83" t="s">
        <v>12262</v>
      </c>
      <c r="C89" s="84">
        <v>45658</v>
      </c>
      <c r="D89" s="84">
        <v>40266</v>
      </c>
      <c r="E89" s="83" t="s">
        <v>29</v>
      </c>
      <c r="F89" s="83" t="s">
        <v>9941</v>
      </c>
      <c r="G89" s="83" t="s">
        <v>12263</v>
      </c>
      <c r="H89" s="83" t="s">
        <v>12264</v>
      </c>
      <c r="I89" s="83" t="s">
        <v>49</v>
      </c>
      <c r="J89" s="83">
        <v>175.33</v>
      </c>
      <c r="K89" s="83">
        <v>175.33</v>
      </c>
      <c r="L89" s="83"/>
      <c r="M89" s="83">
        <v>175.33</v>
      </c>
      <c r="N89" s="83"/>
      <c r="O89" s="83" t="s">
        <v>234</v>
      </c>
    </row>
    <row r="91" spans="1:15" x14ac:dyDescent="0.2">
      <c r="M91" s="56">
        <f>SUM(M6:M90)</f>
        <v>73693.8</v>
      </c>
    </row>
  </sheetData>
  <mergeCells count="2">
    <mergeCell ref="A2:C2"/>
    <mergeCell ref="A3:C3"/>
  </mergeCells>
  <conditionalFormatting sqref="N1:N3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N4">
    <cfRule type="duplicateValues" dxfId="15" priority="2"/>
    <cfRule type="duplicateValues" dxfId="14" priority="3"/>
    <cfRule type="duplicateValues" dxfId="13" priority="4"/>
  </conditionalFormatting>
  <conditionalFormatting sqref="N4:N89">
    <cfRule type="duplicateValues" dxfId="1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Balance de comprobación</vt:lpstr>
      <vt:lpstr>12121xx1</vt:lpstr>
      <vt:lpstr>1212xx2</vt:lpstr>
      <vt:lpstr>1212xx3</vt:lpstr>
      <vt:lpstr>122xx1</vt:lpstr>
      <vt:lpstr>122xx2</vt:lpstr>
      <vt:lpstr>122xx3</vt:lpstr>
      <vt:lpstr>122xx4</vt:lpstr>
      <vt:lpstr>122xx5</vt:lpstr>
      <vt:lpstr>1232xx1</vt:lpstr>
      <vt:lpstr>1233xx1</vt:lpstr>
      <vt:lpstr>1234xx1</vt:lpstr>
      <vt:lpstr>1234xx4</vt:lpstr>
      <vt:lpstr>1312xx1</vt:lpstr>
      <vt:lpstr>1312xx2</vt:lpstr>
      <vt:lpstr>1312xx3</vt:lpstr>
      <vt:lpstr>1321xx1</vt:lpstr>
      <vt:lpstr>1331xx1</vt:lpstr>
      <vt:lpstr>1332xx1</vt:lpstr>
      <vt:lpstr>133xx4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Kattya Barcena Braga</dc:creator>
  <cp:lastModifiedBy>San Luis 2</cp:lastModifiedBy>
  <dcterms:created xsi:type="dcterms:W3CDTF">2026-06-04T20:11:57Z</dcterms:created>
  <dcterms:modified xsi:type="dcterms:W3CDTF">2026-06-05T17:33:26Z</dcterms:modified>
</cp:coreProperties>
</file>